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worksheets/sheet6.xml" ContentType="application/vnd.openxmlformats-officedocument.spreadsheetml.worksheet+xml"/>
  <Override PartName="/xl/tables/table5.xml" ContentType="application/vnd.openxmlformats-officedocument.spreadsheetml.table+xml"/>
  <Override PartName="/xl/worksheets/sheet7.xml" ContentType="application/vnd.openxmlformats-officedocument.spreadsheetml.worksheet+xml"/>
  <Override PartName="/xl/tables/table6.xml" ContentType="application/vnd.openxmlformats-officedocument.spreadsheetml.table+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tables/table12.xml" ContentType="application/vnd.openxmlformats-officedocument.spreadsheetml.table+xml"/>
  <Override PartName="/xl/worksheets/sheet14.xml" ContentType="application/vnd.openxmlformats-officedocument.spreadsheetml.worksheet+xml"/>
  <Override PartName="/xl/tables/table13.xml" ContentType="application/vnd.openxmlformats-officedocument.spreadsheetml.table+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40" yWindow="900" windowWidth="33720" windowHeight="19880" tabRatio="745" firstSheet="0" activeTab="6" autoFilterDateGrouping="1"/>
  </bookViews>
  <sheets>
    <sheet xmlns:r="http://schemas.openxmlformats.org/officeDocument/2006/relationships" name="welcome" sheetId="1" state="visible" r:id="rId1"/>
    <sheet xmlns:r="http://schemas.openxmlformats.org/officeDocument/2006/relationships" name="chassis" sheetId="2" state="visible" r:id="rId2"/>
    <sheet xmlns:r="http://schemas.openxmlformats.org/officeDocument/2006/relationships" name="media" sheetId="3" state="visible" r:id="rId3"/>
    <sheet xmlns:r="http://schemas.openxmlformats.org/officeDocument/2006/relationships" name="chemicals" sheetId="4" state="visible" r:id="rId4"/>
    <sheet xmlns:r="http://schemas.openxmlformats.org/officeDocument/2006/relationships" name="promoter" sheetId="5" state="visible" r:id="rId5"/>
    <sheet xmlns:r="http://schemas.openxmlformats.org/officeDocument/2006/relationships" name="rbs" sheetId="6" state="visible" r:id="rId6"/>
    <sheet xmlns:r="http://schemas.openxmlformats.org/officeDocument/2006/relationships" name="cds" sheetId="7" state="visible" r:id="rId7"/>
    <sheet xmlns:r="http://schemas.openxmlformats.org/officeDocument/2006/relationships" name="terminator" sheetId="8" state="visible" r:id="rId8"/>
    <sheet xmlns:r="http://schemas.openxmlformats.org/officeDocument/2006/relationships" name="other" sheetId="9" state="visible" r:id="rId9"/>
    <sheet xmlns:r="http://schemas.openxmlformats.org/officeDocument/2006/relationships" name="protein" sheetId="10" state="visible" r:id="rId10"/>
    <sheet xmlns:r="http://schemas.openxmlformats.org/officeDocument/2006/relationships" name="complex" sheetId="11" state="visible" r:id="rId11"/>
    <sheet xmlns:r="http://schemas.openxmlformats.org/officeDocument/2006/relationships" name="signal" sheetId="12" state="visible" r:id="rId12"/>
    <sheet xmlns:r="http://schemas.openxmlformats.org/officeDocument/2006/relationships" name="Init" sheetId="13" state="hidden" r:id="rId13"/>
    <sheet xmlns:r="http://schemas.openxmlformats.org/officeDocument/2006/relationships" name="column_definitions" sheetId="14" state="hidden" r:id="rId14"/>
    <sheet xmlns:r="http://schemas.openxmlformats.org/officeDocument/2006/relationships" name="unique_values" sheetId="15" state="hidden" r:id="rId15"/>
    <sheet xmlns:r="http://schemas.openxmlformats.org/officeDocument/2006/relationships" name="Ontology Terms" sheetId="16" state="hidden" r:id="rId16"/>
    <sheet xmlns:r="http://schemas.openxmlformats.org/officeDocument/2006/relationships" name="molecule_types" sheetId="17" state="hidden" r:id="rId17"/>
    <sheet xmlns:r="http://schemas.openxmlformats.org/officeDocument/2006/relationships" name="Organism Terms" sheetId="18" state="visible" r:id="rId18"/>
    <sheet xmlns:r="http://schemas.openxmlformats.org/officeDocument/2006/relationships" name="protein_and_complex_Ids" sheetId="19" state="hidden" r:id="rId19"/>
  </sheets>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fullCalcOnLoad="1"/>
</workbook>
</file>

<file path=xl/styles.xml><?xml version="1.0" encoding="utf-8"?>
<styleSheet xmlns="http://schemas.openxmlformats.org/spreadsheetml/2006/main">
  <numFmts count="0"/>
  <fonts count="17">
    <font>
      <name val="Helvetica"/>
      <family val="2"/>
      <color theme="1"/>
      <sz val="11"/>
      <scheme val="minor"/>
    </font>
    <font>
      <name val="Arial"/>
      <family val="2"/>
      <color theme="1"/>
      <sz val="12"/>
    </font>
    <font>
      <name val="Helvetica"/>
      <family val="2"/>
      <color rgb="FF000000"/>
      <sz val="11"/>
      <scheme val="minor"/>
    </font>
    <font>
      <name val="Helvetica"/>
      <family val="2"/>
      <b val="1"/>
      <color theme="1"/>
      <sz val="11"/>
      <scheme val="minor"/>
    </font>
    <font>
      <name val="Helvetica"/>
      <family val="2"/>
      <b val="1"/>
      <color theme="1"/>
      <sz val="48"/>
      <scheme val="minor"/>
    </font>
    <font>
      <name val="Helvetica"/>
      <family val="2"/>
      <color theme="10"/>
      <sz val="11"/>
      <u val="single"/>
      <scheme val="minor"/>
    </font>
    <font>
      <name val="Helvetica"/>
      <family val="2"/>
      <color rgb="FF104861"/>
      <sz val="11"/>
      <scheme val="minor"/>
    </font>
    <font>
      <name val="Helvetica"/>
      <family val="2"/>
      <color rgb="FF9C0006"/>
      <sz val="11"/>
      <scheme val="minor"/>
    </font>
    <font>
      <name val="Helvetica"/>
      <family val="2"/>
      <color theme="1"/>
      <sz val="11"/>
      <scheme val="minor"/>
    </font>
    <font>
      <name val="Helvetica"/>
      <family val="2"/>
      <color theme="4" tint="-0.249977111117893"/>
      <sz val="11"/>
      <scheme val="minor"/>
    </font>
    <font>
      <name val="Helvetica"/>
      <family val="2"/>
      <b val="1"/>
      <color theme="4" tint="-0.249977111117893"/>
      <sz val="11"/>
      <scheme val="minor"/>
    </font>
    <font>
      <name val="Helvetica"/>
      <family val="2"/>
      <b val="1"/>
      <color rgb="FF104861"/>
      <sz val="11"/>
      <scheme val="minor"/>
    </font>
    <font>
      <name val="Arial"/>
      <family val="2"/>
      <color rgb="FF111827"/>
      <sz val="11"/>
    </font>
    <font>
      <name val="Helvetica (Body)"/>
      <color theme="1"/>
      <sz val="36"/>
    </font>
    <font>
      <name val="Aptos Narrow"/>
      <family val="2"/>
      <color rgb="FF000000"/>
      <sz val="11"/>
    </font>
    <font>
      <name val="Helvetica"/>
      <family val="2"/>
      <b val="1"/>
      <color rgb="FF1D1C1D"/>
      <sz val="11"/>
      <scheme val="minor"/>
    </font>
    <font>
      <name val="Verdana"/>
      <family val="2"/>
      <color rgb="FF000000"/>
      <sz val="10"/>
    </font>
  </fonts>
  <fills count="7">
    <fill>
      <patternFill/>
    </fill>
    <fill>
      <patternFill patternType="gray125"/>
    </fill>
    <fill>
      <patternFill patternType="solid">
        <fgColor theme="9" tint="0.3999755851924192"/>
        <bgColor indexed="64"/>
      </patternFill>
    </fill>
    <fill>
      <patternFill patternType="solid">
        <fgColor rgb="FFFFFF00"/>
        <bgColor indexed="64"/>
      </patternFill>
    </fill>
    <fill>
      <patternFill patternType="solid">
        <fgColor theme="4" tint="0.7999816888943144"/>
        <bgColor theme="4" tint="0.7999816888943144"/>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8" fillId="0" borderId="1"/>
    <xf numFmtId="0" fontId="1" fillId="0" borderId="1"/>
    <xf numFmtId="0" fontId="5" fillId="0" borderId="1"/>
    <xf numFmtId="0" fontId="8" fillId="0" borderId="1"/>
    <xf numFmtId="0" fontId="5" fillId="0" borderId="1"/>
  </cellStyleXfs>
  <cellXfs count="46">
    <xf numFmtId="0" fontId="0" fillId="0" borderId="0" pivotButton="0" quotePrefix="0" xfId="0"/>
    <xf numFmtId="0" fontId="0" fillId="0" borderId="1" pivotButton="0" quotePrefix="0" xfId="0"/>
    <xf numFmtId="0" fontId="3" fillId="0" borderId="0" pivotButton="0" quotePrefix="0" xfId="0"/>
    <xf numFmtId="0" fontId="0" fillId="2" borderId="0" pivotButton="0" quotePrefix="0" xfId="0"/>
    <xf numFmtId="0" fontId="3" fillId="0" borderId="1" pivotButton="0" quotePrefix="0" xfId="0"/>
    <xf numFmtId="0" fontId="4" fillId="0" borderId="2" pivotButton="0" quotePrefix="0" xfId="0"/>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5" fillId="0" borderId="0" pivotButton="0" quotePrefix="0" xfId="2"/>
    <xf numFmtId="0" fontId="0" fillId="0" borderId="0" applyAlignment="1" pivotButton="0" quotePrefix="0" xfId="0">
      <alignment wrapText="1"/>
    </xf>
    <xf numFmtId="0" fontId="2" fillId="0" borderId="1" pivotButton="0" quotePrefix="0" xfId="0"/>
    <xf numFmtId="0" fontId="3" fillId="0" borderId="1" applyAlignment="1" pivotButton="0" quotePrefix="0" xfId="0">
      <alignment horizontal="left"/>
    </xf>
    <xf numFmtId="14" fontId="3" fillId="0" borderId="1" applyAlignment="1" pivotButton="0" quotePrefix="0" xfId="0">
      <alignment horizontal="left"/>
    </xf>
    <xf numFmtId="0" fontId="0" fillId="3" borderId="0" pivotButton="0" quotePrefix="0" xfId="0"/>
    <xf numFmtId="0" fontId="0" fillId="0" borderId="0" applyAlignment="1" pivotButton="0" quotePrefix="0" xfId="0">
      <alignment horizontal="left"/>
    </xf>
    <xf numFmtId="0" fontId="9" fillId="0" borderId="0" pivotButton="0" quotePrefix="0" xfId="0"/>
    <xf numFmtId="0" fontId="5" fillId="0" borderId="1" pivotButton="0" quotePrefix="0" xfId="2"/>
    <xf numFmtId="0" fontId="10" fillId="0" borderId="7" pivotButton="0" quotePrefix="0" xfId="0"/>
    <xf numFmtId="0" fontId="9" fillId="4" borderId="0" pivotButton="0" quotePrefix="0" xfId="0"/>
    <xf numFmtId="0" fontId="0" fillId="5" borderId="0" pivotButton="0" quotePrefix="0" xfId="0"/>
    <xf numFmtId="0" fontId="10" fillId="0" borderId="7" applyAlignment="1" pivotButton="0" quotePrefix="0" xfId="0">
      <alignment wrapText="1"/>
    </xf>
    <xf numFmtId="0" fontId="11" fillId="0" borderId="8" applyAlignment="1" pivotButton="0" quotePrefix="0" xfId="0">
      <alignment wrapText="1"/>
    </xf>
    <xf numFmtId="0" fontId="1" fillId="0" borderId="0" pivotButton="0" quotePrefix="0" xfId="0"/>
    <xf numFmtId="1" fontId="12" fillId="0" borderId="0" pivotButton="0" quotePrefix="0" xfId="0"/>
    <xf numFmtId="1" fontId="0" fillId="0" borderId="0" pivotButton="0" quotePrefix="0" xfId="0"/>
    <xf numFmtId="0" fontId="6" fillId="0" borderId="0" pivotButton="0" quotePrefix="0" xfId="0"/>
    <xf numFmtId="0" fontId="6" fillId="0" borderId="1" pivotButton="0" quotePrefix="0" xfId="0"/>
    <xf numFmtId="0" fontId="7" fillId="6" borderId="1" pivotButton="0" quotePrefix="0" xfId="0"/>
    <xf numFmtId="0" fontId="13" fillId="0" borderId="2" pivotButton="0" quotePrefix="0" xfId="0"/>
    <xf numFmtId="0" fontId="14" fillId="0" borderId="0" pivotButton="0" quotePrefix="0" xfId="0"/>
    <xf numFmtId="0" fontId="15" fillId="0" borderId="0" pivotButton="0" quotePrefix="0" xfId="0"/>
    <xf numFmtId="0" fontId="0" fillId="0" borderId="0" pivotButton="0" quotePrefix="1" xfId="0"/>
    <xf numFmtId="0" fontId="16" fillId="0" borderId="0" pivotButton="0" quotePrefix="0" xfId="0"/>
    <xf numFmtId="0" fontId="5" fillId="0" borderId="1" pivotButton="0" quotePrefix="0" xfId="4"/>
    <xf numFmtId="0" fontId="8" fillId="0" borderId="1" pivotButton="0" quotePrefix="0" xfId="3"/>
    <xf numFmtId="0" fontId="8" fillId="5" borderId="1" pivotButton="0" quotePrefix="0" xfId="3"/>
    <xf numFmtId="0" fontId="10" fillId="0" borderId="7" pivotButton="0" quotePrefix="0" xfId="3"/>
    <xf numFmtId="0" fontId="10" fillId="0" borderId="7" applyAlignment="1" pivotButton="0" quotePrefix="0" xfId="3">
      <alignment wrapText="1"/>
    </xf>
    <xf numFmtId="0" fontId="11" fillId="0" borderId="8" applyAlignment="1" pivotButton="0" quotePrefix="0" xfId="3">
      <alignment wrapText="1"/>
    </xf>
    <xf numFmtId="0" fontId="1" fillId="0" borderId="1" pivotButton="0" quotePrefix="0" xfId="3"/>
    <xf numFmtId="1" fontId="12" fillId="0" borderId="1" pivotButton="0" quotePrefix="0" xfId="3"/>
    <xf numFmtId="0" fontId="9" fillId="0" borderId="1" pivotButton="0" quotePrefix="0" xfId="3"/>
    <xf numFmtId="1" fontId="8" fillId="0" borderId="1" pivotButton="0" quotePrefix="0" xfId="3"/>
  </cellXfs>
  <cellStyles count="5">
    <cellStyle name="Normal" xfId="0" builtinId="0"/>
    <cellStyle name="Normal 2" xfId="1"/>
    <cellStyle name="Hyperlink" xfId="2" builtinId="8"/>
    <cellStyle name="Normal 3" xfId="3"/>
    <cellStyle name="Hyperlink 2" xfId="4"/>
  </cellStyles>
  <dxfs count="337">
    <dxf>
      <font>
        <name val="Helvetica"/>
        <family val="2"/>
        <strike val="0"/>
        <outline val="0"/>
        <shadow val="0"/>
        <sz val="11"/>
        <vertAlign val="baseline"/>
        <scheme val="minor"/>
      </font>
    </dxf>
    <dxf>
      <font>
        <name val="Helvetica"/>
        <family val="2"/>
        <strike val="0"/>
        <outline val="0"/>
        <shadow val="0"/>
        <sz val="11"/>
        <vertAlign val="baseline"/>
        <scheme val="minor"/>
      </font>
    </dxf>
    <dxf>
      <font>
        <name val="Helvetica"/>
        <family val="2"/>
        <strike val="0"/>
        <outline val="0"/>
        <shadow val="0"/>
        <sz val="11"/>
        <vertAlign val="baseline"/>
        <scheme val="minor"/>
      </font>
    </dxf>
    <dxf>
      <font>
        <name val="Helvetica"/>
        <family val="2"/>
        <strike val="0"/>
        <outline val="0"/>
        <shadow val="0"/>
        <sz val="11"/>
        <vertAlign val="baseline"/>
        <scheme val="minor"/>
      </font>
    </dxf>
    <dxf>
      <font>
        <name val="Helvetica"/>
        <family val="2"/>
        <strike val="0"/>
        <outline val="0"/>
        <shadow val="0"/>
        <sz val="11"/>
        <vertAlign val="baseline"/>
        <scheme val="minor"/>
      </font>
    </dxf>
    <dxf>
      <font>
        <name val="Helvetica"/>
        <family val="2"/>
        <strike val="0"/>
        <outline val="0"/>
        <shadow val="0"/>
        <sz val="11"/>
        <vertAlign val="baseline"/>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name val="Arial"/>
        <family val="2"/>
        <strike val="0"/>
        <outline val="0"/>
        <shadow val="0"/>
        <condense val="0"/>
        <color theme="1"/>
        <extend val="0"/>
        <sz val="12"/>
        <vertAlign val="baseline"/>
      </font>
    </dxf>
    <dxf>
      <font>
        <name val="Arial"/>
        <family val="2"/>
        <sz val="12"/>
      </font>
      <fill>
        <patternFill>
          <fgColor indexed="64"/>
          <bgColor auto="1"/>
        </patternFill>
      </fill>
    </dxf>
    <dxf>
      <font>
        <name val="Arial"/>
        <family val="2"/>
        <sz val="1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font>
        <name val="Aptos Narrow"/>
        <family val="2"/>
        <strike val="0"/>
        <outline val="0"/>
        <shadow val="0"/>
        <condense val="0"/>
        <color rgb="FF000000"/>
        <extend val="0"/>
        <sz val="11"/>
        <vertAlign val="baseline"/>
      </font>
    </dxf>
    <dxf>
      <numFmt numFmtId="0" formatCode="General"/>
    </dxf>
    <dxf>
      <font>
        <color rgb="FF9C0006"/>
      </font>
      <fill>
        <patternFill>
          <bgColor rgb="FFFFC7CE"/>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name val="Arial"/>
        <family val="2"/>
        <sz val="1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name val="Arial"/>
        <family val="2"/>
        <sz val="12"/>
      </font>
      <fill>
        <patternFill>
          <fgColor indexed="64"/>
          <bgColor auto="1"/>
        </patternFill>
      </fill>
    </dxf>
    <dxf>
      <font>
        <name val="Arial"/>
        <family val="2"/>
        <sz val="1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name val="Arial"/>
        <family val="2"/>
        <sz val="12"/>
      </font>
      <fill>
        <patternFill>
          <fgColor indexed="64"/>
          <bgColor auto="1"/>
        </patternFill>
      </fill>
    </dxf>
    <dxf>
      <font>
        <name val="Arial"/>
        <family val="2"/>
        <sz val="1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font>
        <name val="Helvetica"/>
        <family val="2"/>
        <strike val="0"/>
        <outline val="0"/>
        <shadow val="0"/>
        <condense val="0"/>
        <color theme="4" tint="-0.249977111117893"/>
        <extend val="0"/>
        <sz val="11"/>
        <vertAlign val="baseline"/>
        <scheme val="minor"/>
      </font>
      <fill>
        <patternFill patternType="solid">
          <fgColor theme="4" tint="0.7999816888943144"/>
          <bgColor theme="4" tint="0.7999816888943144"/>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s>
</file>

<file path=xl/tables/table1.xml><?xml version="1.0" encoding="utf-8"?>
<table xmlns="http://schemas.openxmlformats.org/spreadsheetml/2006/main" id="1" name="Table_12121510" displayName="Table_12121510" ref="A4:M300" headerRowCount="1" totalsRowShown="0" dataDxfId="329">
  <autoFilter ref="A4:M300"/>
  <tableColumns count="13">
    <tableColumn id="1" name="Chassis ID" dataDxfId="328">
      <calculatedColumnFormula>IF(Table_12121510[[#This Row],[Chassis Name]]=0,"",Table_12121510[[#This Row],[Chassis Name]])</calculatedColumnFormula>
    </tableColumn>
    <tableColumn id="4" name="Chassis Name" dataDxfId="327"/>
    <tableColumn id="9" name="Previous Version (URI)"/>
    <tableColumn id="5" name="Chassis Description" dataDxfId="326"/>
    <tableColumn id="6" name="Data Source" dataDxfId="325"/>
    <tableColumn id="2" name="PubMed ID" dataDxfId="324"/>
    <tableColumn id="7" name="DOI" dataDxfId="323"/>
    <tableColumn id="10" name="URI" dataDxfId="322"/>
    <tableColumn id="11" name="Update" dataDxfId="321">
      <calculatedColumnFormula>IF($B5="","FALSE","TRUE")</calculatedColumnFormula>
    </tableColumn>
    <tableColumn id="8" name="URL Checker - Data Source" dataDxfId="320">
      <calculatedColumnFormula array="1">IsURL(Table_12121510[[#This Row],[Data Source]])</calculatedColumnFormula>
    </tableColumn>
    <tableColumn id="12" name="URL Checker - DOI" dataDxfId="319">
      <calculatedColumnFormula array="1">IsURL(Table_12121510[[#This Row],[DOI]])</calculatedColumnFormula>
    </tableColumn>
    <tableColumn id="13" name="URL Checker - Previous Version" dataDxfId="318">
      <calculatedColumnFormula array="1">IsURL(Table_12121510[[#This Row],[Data Source]])</calculatedColumnFormula>
    </tableColumn>
    <tableColumn id="14" name="URL Checker - URI" dataDxfId="317">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id="2" name="Table_121215" displayName="Table_121215" ref="A4:M300" headerRowCount="1" totalsRowShown="0" dataDxfId="315">
  <autoFilter ref="A4:M300"/>
  <tableColumns count="13">
    <tableColumn id="1" name="Media ID" dataDxfId="314">
      <calculatedColumnFormula>IF(Table_121215[[#This Row],[Media Name]]=0,"",Table_121215[[#This Row],[Media Name]])</calculatedColumnFormula>
    </tableColumn>
    <tableColumn id="4" name="Media Name" dataDxfId="313"/>
    <tableColumn id="9" name="Previous Version (URI)"/>
    <tableColumn id="5" name="Media Description" dataDxfId="312"/>
    <tableColumn id="6" name="Data Source" dataDxfId="311"/>
    <tableColumn id="2" name="PubMed ID" dataDxfId="310"/>
    <tableColumn id="7" name="DOI" dataDxfId="309"/>
    <tableColumn id="10" name="URI" dataDxfId="308"/>
    <tableColumn id="11" name="Update" dataDxfId="307">
      <calculatedColumnFormula>IF($B5="","FALSE","TRUE")</calculatedColumnFormula>
    </tableColumn>
    <tableColumn id="8" name="URL Checker - Data Source" dataDxfId="306">
      <calculatedColumnFormula array="1">IsURL(Table_121215[[#This Row],[Data Source]])</calculatedColumnFormula>
    </tableColumn>
    <tableColumn id="12" name="URL Checker - DOI" dataDxfId="305">
      <calculatedColumnFormula array="1">IsURL(Table_121215[[#This Row],[DOI]])</calculatedColumnFormula>
    </tableColumn>
    <tableColumn id="13" name="URL Checker - Previous Version" dataDxfId="304">
      <calculatedColumnFormula array="1">IsURL(Table_121215[[#This Row],[Data Source]])</calculatedColumnFormula>
    </tableColumn>
    <tableColumn id="14" name="URL Checker - URI" dataDxfId="303">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id="3" name="Table_121214" displayName="Table_121214" ref="A4:M300" headerRowCount="1" totalsRowShown="0" dataDxfId="301">
  <autoFilter ref="A4:M300"/>
  <tableColumns count="13">
    <tableColumn id="1" name="Chemical ID" dataDxfId="300">
      <calculatedColumnFormula>IF(chemicals!B5="","",chemicals!B5)</calculatedColumnFormula>
    </tableColumn>
    <tableColumn id="4" name="Chemical Name" dataDxfId="299"/>
    <tableColumn id="9" name="Previous Version (URI)"/>
    <tableColumn id="5" name="Chemical Description" dataDxfId="298"/>
    <tableColumn id="6" name="Data Source" dataDxfId="297"/>
    <tableColumn id="2" name="PubMed ID" dataDxfId="296"/>
    <tableColumn id="7" name="DOI" dataDxfId="295"/>
    <tableColumn id="10" name="URI" dataDxfId="294"/>
    <tableColumn id="11" name="Update" dataDxfId="293">
      <calculatedColumnFormula>IF($B5="","FALSE","TRUE")</calculatedColumnFormula>
    </tableColumn>
    <tableColumn id="12" name="URL Checker - Data Source" dataDxfId="292">
      <calculatedColumnFormula array="1">IsURL(Table_121214[[#This Row],[Data Source]])</calculatedColumnFormula>
    </tableColumn>
    <tableColumn id="13" name="URL Checker - DOI" dataDxfId="291">
      <calculatedColumnFormula array="1">IsURL(Table_121214[[#This Row],[DOI]])</calculatedColumnFormula>
    </tableColumn>
    <tableColumn id="3" name="URL Checker - Previous Version" dataDxfId="290">
      <calculatedColumnFormula array="1">IsURL(Table_121214[[#This Row],[Data Source]])</calculatedColumnFormula>
    </tableColumn>
    <tableColumn id="8" name="URL Checker - URI" dataDxfId="289">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id="4" name="Table_19" displayName="Table_19" ref="A4:R300" headerRowCount="1" totalsRowShown="0">
  <autoFilter ref="A4:R300"/>
  <tableColumns count="18">
    <tableColumn id="1" name="Part ID" dataDxfId="286">
      <calculatedColumnFormula>IF(Table_19[[#This Row],[Part Name]]=0,"",Table_19[[#This Row],[Part Name]])</calculatedColumnFormula>
    </tableColumn>
    <tableColumn id="4" name="Part Name"/>
    <tableColumn id="14" name="Previous Version (URI)"/>
    <tableColumn id="5" name="Part Description"/>
    <tableColumn id="7" name="Data Source"/>
    <tableColumn id="9" name="PubMed Id"/>
    <tableColumn id="6" name="DOI"/>
    <tableColumn id="8" name="Source Organism"/>
    <tableColumn id="2" name="Activators"/>
    <tableColumn id="3" name="Repressors"/>
    <tableColumn id="12" name="length (bp)" dataDxfId="285">
      <calculatedColumnFormula>LEN(TRIM(CLEAN(SUBSTITUTE(SUBSTITUTE(Table_19[[#This Row],[Sequence]],CHAR(160)," ")," ",""))))</calculatedColumnFormula>
    </tableColumn>
    <tableColumn id="13" name="Sequence"/>
    <tableColumn id="17" name="URI" dataDxfId="284"/>
    <tableColumn id="18" name="Update" dataDxfId="283">
      <calculatedColumnFormula>IF($B5="","FALSE","TRUE")</calculatedColumnFormula>
    </tableColumn>
    <tableColumn id="10" name="URL Checker - Data Source">
      <calculatedColumnFormula array="1">IsURL(Table_121215[[#This Row],[Data Source]])</calculatedColumnFormula>
    </tableColumn>
    <tableColumn id="15" name="URL Checker - DOI">
      <calculatedColumnFormula array="1">IsURL(Table_121215[[#This Row],[DOI]])</calculatedColumnFormula>
    </tableColumn>
    <tableColumn id="16" name="URL Checker - Previous Version">
      <calculatedColumnFormula array="1">IsURL(Table_121215[[#This Row],[Data Source]])</calculatedColumnFormula>
    </tableColumn>
    <tableColumn id="19"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id="5" name="Table_18" displayName="Table_18" ref="A4:P300" headerRowCount="1" totalsRowShown="0">
  <autoFilter ref="A4:P300"/>
  <tableColumns count="16">
    <tableColumn id="1" name="Part ID" dataDxfId="280">
      <calculatedColumnFormula>IF(Table_18[[#This Row],[Part Name]]=0,"",Table_18[[#This Row],[Part Name]])</calculatedColumnFormula>
    </tableColumn>
    <tableColumn id="4" name="Part Name" dataDxfId="279"/>
    <tableColumn id="10" name="Previous Version (URI)"/>
    <tableColumn id="5" name="Part Description"/>
    <tableColumn id="6" name="Data Source"/>
    <tableColumn id="2" name="PubMed Id"/>
    <tableColumn id="7" name="DOI"/>
    <tableColumn id="8" name="Source Organism"/>
    <tableColumn id="12" name="length (bp)" dataDxfId="278">
      <calculatedColumnFormula>LEN(TRIM(CLEAN(SUBSTITUTE(SUBSTITUTE(Table_18[[#This Row],[Sequence]],CHAR(160)," ")," ",""))))</calculatedColumnFormula>
    </tableColumn>
    <tableColumn id="13" name="Sequence" dataDxfId="277"/>
    <tableColumn id="11" name="URI" dataDxfId="276"/>
    <tableColumn id="14" name="Update" dataDxfId="275">
      <calculatedColumnFormula>IF($B5="","FALSE","TRUE")</calculatedColumnFormula>
    </tableColumn>
    <tableColumn id="3" name="URL Checker - Data Source">
      <calculatedColumnFormula array="1">IsURL(Table_121215[[#This Row],[Data Source]])</calculatedColumnFormula>
    </tableColumn>
    <tableColumn id="9" name="URL Checker - DOI">
      <calculatedColumnFormula array="1">IsURL(Table_121215[[#This Row],[DOI]])</calculatedColumnFormula>
    </tableColumn>
    <tableColumn id="15" name="URL Checker - Previous Version">
      <calculatedColumnFormula array="1">IsURL(Table_121215[[#This Row],[Data Source]])</calculatedColumnFormula>
    </tableColumn>
    <tableColumn id="16"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id="6" name="Table_17" displayName="Table_17" ref="A4:R300" headerRowCount="1" totalsRowShown="0">
  <autoFilter ref="A4:R300"/>
  <tableColumns count="18">
    <tableColumn id="1" name="Part ID" dataDxfId="334">
      <calculatedColumnFormula>IF(Table_17[[#This Row],[Part Name]]=0,"",Table_17[[#This Row],[Part Name]])</calculatedColumnFormula>
    </tableColumn>
    <tableColumn id="4" name="Part Name"/>
    <tableColumn id="15" name="Previous Version (URI)"/>
    <tableColumn id="5" name="Part Description"/>
    <tableColumn id="9" name="Data Source" dataCellStyle="Hyperlink"/>
    <tableColumn id="3" name="PubMed Id"/>
    <tableColumn id="2" name="DOI"/>
    <tableColumn id="8" name="Source Organism"/>
    <tableColumn id="7" name="Encodes for"/>
    <tableColumn id="12" name="length (bp)" dataDxfId="333">
      <calculatedColumnFormula>LEN(TRIM(CLEAN(SUBSTITUTE(SUBSTITUTE(Table_17[[#This Row],[Sequence]],CHAR(160)," ")," ",""))))</calculatedColumnFormula>
    </tableColumn>
    <tableColumn id="13" name="Sequence"/>
    <tableColumn id="14" name="URI" dataDxfId="332"/>
    <tableColumn id="16" name="Update" dataDxfId="331">
      <calculatedColumnFormula>IF($B5="","FALSE","TRUE")</calculatedColumnFormula>
    </tableColumn>
    <tableColumn id="6" name="URL Checker - Data Source">
      <calculatedColumnFormula array="1">IsURL(Table_121215[[#This Row],[Data Source]])</calculatedColumnFormula>
    </tableColumn>
    <tableColumn id="10" name="URL Checker - DOI">
      <calculatedColumnFormula array="1">IsURL(Table_121215[[#This Row],[DOI]])</calculatedColumnFormula>
    </tableColumn>
    <tableColumn id="11" name="URL Checker - Previous Version">
      <calculatedColumnFormula array="1">IsURL(Table_121215[[#This Row],[Data Source]])</calculatedColumnFormula>
    </tableColumn>
    <tableColumn id="17" name="URL Checker - URI">
      <calculatedColumnFormula array="1">IsURL(Table_121215[[#This Row],[Data Source]])</calculatedColumnFormula>
    </tableColumn>
    <tableColumn id="18" name="Translate to Protein"/>
  </tableColumns>
  <tableStyleInfo name="TableStyleLight2" showFirstColumn="1" showLastColumn="0" showRowStripes="1" showColumnStripes="0"/>
</table>
</file>

<file path=xl/tables/table7.xml><?xml version="1.0" encoding="utf-8"?>
<table xmlns="http://schemas.openxmlformats.org/spreadsheetml/2006/main" id="7" name="Table_15" displayName="Table_15" ref="A4:P300" headerRowCount="1" totalsRowShown="0">
  <autoFilter ref="A4:P300"/>
  <tableColumns count="16">
    <tableColumn id="1" name="Part ID" dataDxfId="272">
      <calculatedColumnFormula>IF(Table_15[[#This Row],[Part Name]]=0,"",Table_15[[#This Row],[Part Name]])</calculatedColumnFormula>
    </tableColumn>
    <tableColumn id="4" name="Part Name" dataDxfId="271"/>
    <tableColumn id="10" name="Previous Version (URI)"/>
    <tableColumn id="5" name="Part Description"/>
    <tableColumn id="6" name="Data Source"/>
    <tableColumn id="2" name="PubMed Id"/>
    <tableColumn id="7" name="DOI"/>
    <tableColumn id="8" name="Source Organism"/>
    <tableColumn id="12" name="length (bp)" dataDxfId="270">
      <calculatedColumnFormula>LEN(TRIM(CLEAN(SUBSTITUTE(SUBSTITUTE(Table_15[[#This Row],[Sequence]],CHAR(160)," ")," ",""))))</calculatedColumnFormula>
    </tableColumn>
    <tableColumn id="13" name="Sequence"/>
    <tableColumn id="11" name="URI" dataDxfId="269"/>
    <tableColumn id="14" name="Update" dataDxfId="268">
      <calculatedColumnFormula>IF($B5="","FALSE","TRUE")</calculatedColumnFormula>
    </tableColumn>
    <tableColumn id="3" name="URL Checker - Data Source">
      <calculatedColumnFormula array="1">IsURL(Table_121215[[#This Row],[Data Source]])</calculatedColumnFormula>
    </tableColumn>
    <tableColumn id="9" name="URL Checker - DOI">
      <calculatedColumnFormula array="1">IsURL(Table_121215[[#This Row],[DOI]])</calculatedColumnFormula>
    </tableColumn>
    <tableColumn id="15" name="URL Checker - Previous Version">
      <calculatedColumnFormula array="1">IsURL(Table_121215[[#This Row],[Data Source]])</calculatedColumnFormula>
    </tableColumn>
    <tableColumn id="16"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id="8" name="Table_1" displayName="Table_1" ref="A4:Q300" headerRowCount="1" totalsRowShown="0">
  <autoFilter ref="A4:Q300"/>
  <sortState ref="A5:K5">
    <sortCondition ref="E4:E5"/>
  </sortState>
  <tableColumns count="17">
    <tableColumn id="1" name="Part ID" dataDxfId="265">
      <calculatedColumnFormula>IF(Table_1[[#This Row],[Part Name]]=0,"",Table_1[[#This Row],[Part Name]])</calculatedColumnFormula>
    </tableColumn>
    <tableColumn id="4" name="Part Name"/>
    <tableColumn id="11" name="Previous Version (URI)" dataDxfId="264"/>
    <tableColumn id="5" name="Part Description"/>
    <tableColumn id="2" name="Role"/>
    <tableColumn id="10" name="Data Source"/>
    <tableColumn id="9" name="PubMed Id"/>
    <tableColumn id="3" name="DOI"/>
    <tableColumn id="8" name="Source Organism"/>
    <tableColumn id="12" name="length (bp)" dataDxfId="263">
      <calculatedColumnFormula>LEN(TRIM(CLEAN(SUBSTITUTE(SUBSTITUTE(Table_1[[#This Row],[Sequence]],CHAR(160)," ")," ",""))))</calculatedColumnFormula>
    </tableColumn>
    <tableColumn id="13" name="Sequence"/>
    <tableColumn id="14" name="URI" dataDxfId="262"/>
    <tableColumn id="15" name="Update" dataDxfId="261">
      <calculatedColumnFormula>IF($B5="","FALSE","TRUE")</calculatedColumnFormula>
    </tableColumn>
    <tableColumn id="6" name="URL Checker - Data Source">
      <calculatedColumnFormula array="1">IsURL(Table_121215[[#This Row],[Data Source]])</calculatedColumnFormula>
    </tableColumn>
    <tableColumn id="7" name="URL Checker - DOI">
      <calculatedColumnFormula array="1">IsURL(Table_121215[[#This Row],[DOI]])</calculatedColumnFormula>
    </tableColumn>
    <tableColumn id="16" name="URL Checker - Previous Version">
      <calculatedColumnFormula array="1">IsURL(Table_121215[[#This Row],[Data Source]])</calculatedColumnFormula>
    </tableColumn>
    <tableColumn id="17"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id="9" name="Table_12" displayName="Table_12" ref="A4:O301" headerRowCount="1" totalsRowShown="0">
  <autoFilter ref="A4:O301"/>
  <tableColumns count="15">
    <tableColumn id="1" name="Protein ID" dataDxfId="258">
      <calculatedColumnFormula>IF(Table_12[[#This Row],[Protein Name]]=0,"",Table_12[[#This Row],[Protein Name]])</calculatedColumnFormula>
    </tableColumn>
    <tableColumn id="4" name="Protein Name"/>
    <tableColumn id="9" name="Previous Version (URI)"/>
    <tableColumn id="5" name="Protein Description"/>
    <tableColumn id="6" name="Data Source"/>
    <tableColumn id="2" name="PubMed Id"/>
    <tableColumn id="7" name="DOI"/>
    <tableColumn id="12" name="length (aa)" dataDxfId="257">
      <calculatedColumnFormula>LEN(TRIM(CLEAN(SUBSTITUTE(SUBSTITUTE(Table_12[[#This Row],[Sequence]],CHAR(160)," ")," ",""))))</calculatedColumnFormula>
    </tableColumn>
    <tableColumn id="13" name="Sequence"/>
    <tableColumn id="10" name="URI" dataDxfId="256"/>
    <tableColumn id="11" name="Update" dataDxfId="255">
      <calculatedColumnFormula>IF($B5="","FALSE","TRUE")</calculatedColumnFormula>
    </tableColumn>
    <tableColumn id="3" name="URL Checker - Data Source">
      <calculatedColumnFormula array="1">IsURL(Table_121215[[#This Row],[Data Source]])</calculatedColumnFormula>
    </tableColumn>
    <tableColumn id="8" name="URL Checker - DOI">
      <calculatedColumnFormula array="1">IsURL(Table_121215[[#This Row],[DOI]])</calculatedColumnFormula>
    </tableColumn>
    <tableColumn id="14" name="URL Checker - Previous Version">
      <calculatedColumnFormula array="1">IsURL(Table_121215[[#This Row],[Data Source]])</calculatedColumnFormula>
    </tableColumn>
    <tableColumn id="15"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id="10" name="Table_1211" displayName="Table_1211" ref="A4:N300" headerRowCount="1" totalsRowShown="0">
  <autoFilter ref="A4:N300"/>
  <tableColumns count="14">
    <tableColumn id="1" name="Complex ID" dataDxfId="253">
      <calculatedColumnFormula>IF(Table_1211[[#This Row],[Complex Name]]=0,"",Table_1211[[#This Row],[Complex Name]])</calculatedColumnFormula>
    </tableColumn>
    <tableColumn id="4" name="Complex Name"/>
    <tableColumn id="8" name="Previous Version (URI)"/>
    <tableColumn id="5" name="Complex Description"/>
    <tableColumn id="6" name="Data Source"/>
    <tableColumn id="2" name="PubMed Id"/>
    <tableColumn id="7" name="DOI"/>
    <tableColumn id="3" name="Components IDs"/>
    <tableColumn id="12" name="URI" dataDxfId="252"/>
    <tableColumn id="13" name="Update" dataDxfId="251">
      <calculatedColumnFormula>IF($B5="","FALSE","TRUE")</calculatedColumnFormula>
    </tableColumn>
    <tableColumn id="9" name="URL Checker - Data Source">
      <calculatedColumnFormula array="1">IsURL(Table_121215[[#This Row],[Data Source]])</calculatedColumnFormula>
    </tableColumn>
    <tableColumn id="10" name="URL Checker - DOI">
      <calculatedColumnFormula array="1">IsURL(Table_121215[[#This Row],[DOI]])</calculatedColumnFormula>
    </tableColumn>
    <tableColumn id="11" name="URL Checker - Previous Version">
      <calculatedColumnFormula array="1">IsURL(Table_121215[[#This Row],[Data Source]])</calculatedColumnFormula>
    </tableColumn>
    <tableColumn id="14"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id="11" name="Table_1212151012" displayName="Table_1212151012" ref="A4:N300" headerRowCount="1" totalsRowShown="0" dataDxfId="249">
  <autoFilter ref="A4:N300"/>
  <tableColumns count="14">
    <tableColumn id="1" name="Signal ID" dataDxfId="248">
      <calculatedColumnFormula>IF(Table_1212151012[[#This Row],[Signal Name]]=0,"",Table_1212151012[[#This Row],[Signal Name]])</calculatedColumnFormula>
    </tableColumn>
    <tableColumn id="4" name="Signal Name" dataDxfId="247"/>
    <tableColumn id="9" name="Previous Version (URI)"/>
    <tableColumn id="5" name="Signal Description" dataDxfId="246"/>
    <tableColumn id="3" name="Signal Color" dataDxfId="245"/>
    <tableColumn id="6" name="Data Source" dataDxfId="244"/>
    <tableColumn id="2" name="PubMed ID" dataDxfId="243"/>
    <tableColumn id="7" name="DOI" dataDxfId="242"/>
    <tableColumn id="10" name="URI" dataDxfId="241"/>
    <tableColumn id="11" name="Update" dataDxfId="240">
      <calculatedColumnFormula>IF($B5="","FALSE","TRUE")</calculatedColumnFormula>
    </tableColumn>
    <tableColumn id="8" name="URL Checker - Data Source" dataDxfId="239">
      <calculatedColumnFormula array="1">IsURL(Table_1212151012[[#This Row],[Data Source]])</calculatedColumnFormula>
    </tableColumn>
    <tableColumn id="12" name="URL Checker - DOI" dataDxfId="238">
      <calculatedColumnFormula array="1">IsURL(Table_1212151012[[#This Row],[DOI]])</calculatedColumnFormula>
    </tableColumn>
    <tableColumn id="13" name="URL Checker - Previous Version" dataDxfId="237">
      <calculatedColumnFormula array="1">IsURL(Table_1212151012[[#This Row],[Data Source]])</calculatedColumnFormula>
    </tableColumn>
    <tableColumn id="14"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id="12" name="Table2" displayName="Table2" ref="A10:L26" headerRowCount="1" totalsRowShown="0">
  <autoFilter ref="A10:L26"/>
  <tableColumns count="12">
    <tableColumn id="1" name="Sheet Name"/>
    <tableColumn id="2" name="Convert"/>
    <tableColumn id="3" name="Lib Start Row"/>
    <tableColumn id="4" name="Has Collections"/>
    <tableColumn id="5" name="# of Collect Rows"/>
    <tableColumn id="6" name="Collect Cols"/>
    <tableColumn id="7" name="Has Descripts"/>
    <tableColumn id="8" name="Descript Start Row"/>
    <tableColumn id="9" name="Descript Cols"/>
    <tableColumn id="10" name="SBOL Object Type"/>
    <tableColumn id="11" name="Molecule Type"/>
    <tableColumn id="12" name="Role"/>
  </tableColumns>
  <tableStyleInfo name="TableStyleLight2" showFirstColumn="0" showLastColumn="0" showRowStripes="1" showColumnStripes="0"/>
</table>
</file>

<file path=xl/tables/table13.xml><?xml version="1.0" encoding="utf-8"?>
<table xmlns="http://schemas.openxmlformats.org/spreadsheetml/2006/main" id="13" name="Table4" displayName="Table4" ref="A1:Q163" headerRowCount="1" totalsRowShown="0" dataDxfId="5">
  <autoFilter ref="A1:Q163"/>
  <sortState ref="A2:Q162">
    <sortCondition ref="A1:A162"/>
  </sortState>
  <tableColumns count="17">
    <tableColumn id="1" name="Sheet Name"/>
    <tableColumn id="2" name="Column Name"/>
    <tableColumn id="3" name="SBOL Term"/>
    <tableColumn id="17" name="Multicolumn"/>
    <tableColumn id="4" name="Namespace URL"/>
    <tableColumn id="5" name="Type"/>
    <tableColumn id="6" name="Split On"/>
    <tableColumn id="7" name="Pattern"/>
    <tableColumn id="8" name="Tyto Lookup" dataDxfId="4"/>
    <tableColumn id="9" name="Sheet Lookup" dataDxfId="3"/>
    <tableColumn id="10" name="Replacement Lookup" dataDxfId="2"/>
    <tableColumn id="11" name="Object_ID Lookup" dataDxfId="1"/>
    <tableColumn id="12" name="Parent Lookup" dataDxfId="0"/>
    <tableColumn id="13" name="Lookup Sheet Name"/>
    <tableColumn id="14" name="From Col"/>
    <tableColumn id="15" name="To Col"/>
    <tableColumn id="16"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Relationships>
</file>

<file path=xl/worksheets/_rels/sheet3.xml.rels><Relationships xmlns="http://schemas.openxmlformats.org/package/2006/relationships"><Relationship Type="http://schemas.openxmlformats.org/officeDocument/2006/relationships/table" Target="/xl/tables/table2.xml" Id="rId1"/></Relationships>
</file>

<file path=xl/worksheets/_rels/sheet4.xml.rels><Relationships xmlns="http://schemas.openxmlformats.org/package/2006/relationships"><Relationship Type="http://schemas.openxmlformats.org/officeDocument/2006/relationships/table" Target="/xl/tables/table3.xml" Id="rId1"/></Relationships>
</file>

<file path=xl/worksheets/_rels/sheet5.xml.rels><Relationships xmlns="http://schemas.openxmlformats.org/package/2006/relationships"><Relationship Type="http://schemas.openxmlformats.org/officeDocument/2006/relationships/table" Target="/xl/tables/table4.xml" Id="rId1"/></Relationships>
</file>

<file path=xl/worksheets/_rels/sheet6.xml.rels><Relationships xmlns="http://schemas.openxmlformats.org/package/2006/relationships"><Relationship Type="http://schemas.openxmlformats.org/officeDocument/2006/relationships/table" Target="/xl/tables/table5.xml" Id="rId1"/></Relationships>
</file>

<file path=xl/worksheets/_rels/sheet7.xml.rels><Relationships xmlns="http://schemas.openxmlformats.org/package/2006/relationships"><Relationship Type="http://schemas.openxmlformats.org/officeDocument/2006/relationships/table" Target="/xl/tables/table6.xml" Id="rId1"/></Relationships>
</file>

<file path=xl/worksheets/_rels/sheet8.xml.rels><Relationships xmlns="http://schemas.openxmlformats.org/package/2006/relationships"><Relationship Type="http://schemas.openxmlformats.org/officeDocument/2006/relationships/table" Target="/xl/tables/table7.xml" Id="rId1"/></Relationships>
</file>

<file path=xl/worksheets/_rels/sheet9.xml.rels><Relationships xmlns="http://schemas.openxmlformats.org/package/2006/relationships"><Relationship Type="http://schemas.openxmlformats.org/officeDocument/2006/relationships/table" Target="/xl/tables/table8.xml" Id="rId1"/></Relationships>
</file>

<file path=xl/worksheets/_rels/sheet10.xml.rels><Relationships xmlns="http://schemas.openxmlformats.org/package/2006/relationships"><Relationship Type="http://schemas.openxmlformats.org/officeDocument/2006/relationships/table" Target="/xl/tables/table9.xml" Id="rId1"/></Relationships>
</file>

<file path=xl/worksheets/_rels/sheet11.xml.rels><Relationships xmlns="http://schemas.openxmlformats.org/package/2006/relationships"><Relationship Type="http://schemas.openxmlformats.org/officeDocument/2006/relationships/table" Target="/xl/tables/table10.xml" Id="rId1"/></Relationships>
</file>

<file path=xl/worksheets/_rels/sheet12.xml.rels><Relationships xmlns="http://schemas.openxmlformats.org/package/2006/relationships"><Relationship Type="http://schemas.openxmlformats.org/officeDocument/2006/relationships/table" Target="/xl/tables/table11.xml" Id="rId1"/></Relationships>
</file>

<file path=xl/worksheets/_rels/sheet13.xml.rels><Relationships xmlns="http://schemas.openxmlformats.org/package/2006/relationships"><Relationship Type="http://schemas.openxmlformats.org/officeDocument/2006/relationships/table" Target="/xl/tables/table12.xml" Id="rId1"/></Relationships>
</file>

<file path=xl/worksheets/_rels/sheet14.xml.rels><Relationships xmlns="http://schemas.openxmlformats.org/package/2006/relationships"><Relationship Type="http://schemas.openxmlformats.org/officeDocument/2006/relationships/hyperlink" Target="https://wiki.synbiohub.org/wiki/Terms/Flapjack" TargetMode="External" Id="rId1"/><Relationship Type="http://schemas.openxmlformats.org/officeDocument/2006/relationships/table" Target="/xl/tables/table13.xml" Id="rId2"/></Relationships>
</file>

<file path=xl/worksheets/_rels/sheet16.xml.rels><Relationships xmlns="http://schemas.openxmlformats.org/package/2006/relationships"><Relationship Type="http://schemas.openxmlformats.org/officeDocument/2006/relationships/hyperlink" Target="http://identifiers.org/so/SO:0000316" TargetMode="External" Id="rId1"/><Relationship Type="http://schemas.openxmlformats.org/officeDocument/2006/relationships/hyperlink" Target="http://identifiers.org/ncit/NCIT:C43382" TargetMode="External" Id="rId2"/></Relationships>
</file>

<file path=xl/worksheets/_rels/sheet18.xml.rels><Relationships xmlns="http://schemas.openxmlformats.org/package/2006/relationships"><Relationship Type="http://schemas.openxmlformats.org/officeDocument/2006/relationships/hyperlink" Target="http://purl.obolibrary.org/obo/NCBITaxon_272943" TargetMode="External" Id="rId1"/><Relationship Type="http://schemas.openxmlformats.org/officeDocument/2006/relationships/hyperlink" Target="http://purl.obolibrary.org/obo/NCBITaxon_70779" TargetMode="External" Id="rId2"/></Relationships>
</file>

<file path=xl/worksheets/sheet1.xml><?xml version="1.0" encoding="utf-8"?>
<worksheet xmlns="http://schemas.openxmlformats.org/spreadsheetml/2006/main">
  <sheetPr codeName="Sheet1">
    <outlinePr summaryBelow="1" summaryRight="1"/>
    <pageSetUpPr/>
  </sheetPr>
  <dimension ref="A4:K18"/>
  <sheetViews>
    <sheetView workbookViewId="0">
      <selection activeCell="H16" sqref="H16"/>
    </sheetView>
  </sheetViews>
  <sheetFormatPr baseColWidth="10" defaultColWidth="10.6640625" defaultRowHeight="15"/>
  <cols>
    <col width="10.6640625" customWidth="1" style="6" min="1" max="1"/>
    <col width="12.5" customWidth="1" style="6" min="2" max="2"/>
    <col width="50.1640625" customWidth="1" style="6" min="3" max="3"/>
    <col width="10.6640625" customWidth="1" style="6" min="4" max="4"/>
    <col width="10.6640625" customWidth="1" style="6" min="5" max="16384"/>
  </cols>
  <sheetData>
    <row r="4" ht="60" customHeight="1">
      <c r="B4" s="31" t="inlineStr">
        <is>
          <t>Resources</t>
        </is>
      </c>
      <c r="C4" s="5" t="n"/>
    </row>
    <row r="6">
      <c r="B6" s="9" t="n"/>
      <c r="C6" s="9" t="n"/>
    </row>
    <row r="7">
      <c r="A7" s="7" t="n"/>
      <c r="B7" s="1" t="inlineStr">
        <is>
          <t>Author</t>
        </is>
      </c>
      <c r="C7" s="4" t="n"/>
      <c r="D7" s="8" t="n"/>
    </row>
    <row r="8">
      <c r="A8" s="7" t="n"/>
      <c r="B8" s="1" t="inlineStr">
        <is>
          <t>Email</t>
        </is>
      </c>
      <c r="C8" s="4" t="n"/>
      <c r="D8" s="8" t="n"/>
    </row>
    <row r="9">
      <c r="A9" s="7" t="n"/>
      <c r="B9" s="1" t="inlineStr">
        <is>
          <t>Lab</t>
        </is>
      </c>
      <c r="C9" s="4" t="n"/>
      <c r="D9" s="8" t="n"/>
    </row>
    <row r="10">
      <c r="A10" s="7" t="n"/>
      <c r="B10" s="1" t="inlineStr">
        <is>
          <t>Institution</t>
        </is>
      </c>
      <c r="C10" s="4" t="n"/>
      <c r="D10" s="8" t="n"/>
      <c r="K10" s="6" t="inlineStr">
        <is>
          <t xml:space="preserve"> </t>
        </is>
      </c>
    </row>
    <row r="11">
      <c r="A11" s="7" t="n"/>
      <c r="B11" s="1" t="inlineStr">
        <is>
          <t>Library Name</t>
        </is>
      </c>
      <c r="C11" s="4" t="n"/>
      <c r="D11" s="8" t="n"/>
    </row>
    <row r="12">
      <c r="A12" s="7" t="n"/>
      <c r="B12" s="1" t="inlineStr">
        <is>
          <t>Description</t>
        </is>
      </c>
      <c r="C12" s="4" t="n"/>
      <c r="D12" s="8" t="n"/>
    </row>
    <row r="13">
      <c r="A13" s="7" t="n"/>
      <c r="B13" s="1" t="inlineStr">
        <is>
          <t>PubId</t>
        </is>
      </c>
      <c r="C13" s="14" t="n"/>
      <c r="D13" s="8" t="n"/>
    </row>
    <row r="14">
      <c r="A14" s="7" t="n"/>
      <c r="B14" s="1" t="inlineStr">
        <is>
          <t>Date</t>
        </is>
      </c>
      <c r="C14" s="15" t="n"/>
      <c r="D14" s="8" t="n"/>
    </row>
    <row r="15">
      <c r="A15" s="7" t="n"/>
      <c r="B15" s="1" t="inlineStr">
        <is>
          <t>Final</t>
        </is>
      </c>
      <c r="C15" s="1" t="b">
        <v>0</v>
      </c>
      <c r="D15" s="8" t="n"/>
    </row>
    <row r="16">
      <c r="A16" s="7" t="n"/>
      <c r="B16" s="10" t="inlineStr">
        <is>
          <t>Domain</t>
        </is>
      </c>
      <c r="C16" s="10" t="n"/>
      <c r="D16" s="8" t="n"/>
    </row>
    <row r="17">
      <c r="A17" s="7" t="n"/>
      <c r="B17" s="6" t="inlineStr">
        <is>
          <t>Master Collection</t>
        </is>
      </c>
      <c r="D17" s="8" t="n"/>
    </row>
    <row r="18">
      <c r="B18" s="10" t="n"/>
      <c r="C18" s="10" t="n"/>
    </row>
  </sheetData>
  <dataValidations count="1">
    <dataValidation sqref="C15" showErrorMessage="1" showInputMessage="1" allowBlank="0" type="list">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sheetPr codeName="Sheet21">
    <outlinePr summaryBelow="1" summaryRight="1"/>
    <pageSetUpPr/>
  </sheetPr>
  <dimension ref="A3:M300"/>
  <sheetViews>
    <sheetView topLeftCell="B1" workbookViewId="0">
      <selection activeCell="J1" sqref="J1:M1048576"/>
    </sheetView>
  </sheetViews>
  <sheetFormatPr baseColWidth="10" defaultColWidth="8.83203125" defaultRowHeight="15"/>
  <cols>
    <col hidden="1" width="12.6640625" customWidth="1" min="1" max="1"/>
    <col width="17" customWidth="1" min="2" max="2"/>
    <col width="23.6640625" bestFit="1" customWidth="1" min="3" max="3"/>
    <col width="21.33203125" customWidth="1" min="4" max="4"/>
    <col width="14.33203125" bestFit="1" customWidth="1" min="5" max="5"/>
    <col width="13.1640625" bestFit="1" customWidth="1" min="6" max="6"/>
    <col width="7" bestFit="1" customWidth="1" min="7" max="7"/>
    <col width="6.83203125" bestFit="1" customWidth="1" min="8" max="8"/>
    <col width="10" bestFit="1" customWidth="1" min="9" max="9"/>
    <col hidden="1" width="27.83203125" customWidth="1" min="10" max="10"/>
    <col hidden="1" width="20.33203125" customWidth="1" min="11" max="11"/>
    <col hidden="1" width="27.83203125" customWidth="1" min="12" max="13"/>
    <col width="8.5" bestFit="1" customWidth="1" min="14" max="24"/>
    <col width="12.5" bestFit="1" customWidth="1" min="25" max="25"/>
  </cols>
  <sheetData>
    <row r="1" ht="15.75" customHeight="1"/>
    <row r="2" ht="15.75" customHeight="1"/>
    <row r="3" ht="15.75" customHeight="1">
      <c r="A3" t="inlineStr">
        <is>
          <t>This ID is used to reference the proteins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J3" s="22" t="inlineStr">
        <is>
          <t>DO NOT CHANGE</t>
        </is>
      </c>
      <c r="K3" s="22" t="inlineStr">
        <is>
          <t>DO NOT CHANGE</t>
        </is>
      </c>
      <c r="L3" s="22" t="inlineStr">
        <is>
          <t>DO NOT CHANGE</t>
        </is>
      </c>
      <c r="M3" s="22" t="inlineStr">
        <is>
          <t>DO NOT CHANGE</t>
        </is>
      </c>
    </row>
    <row r="4" ht="15.75" customHeight="1">
      <c r="A4" t="inlineStr">
        <is>
          <t>Chassis ID</t>
        </is>
      </c>
      <c r="B4" t="inlineStr">
        <is>
          <t>Chassis Name</t>
        </is>
      </c>
      <c r="C4" t="inlineStr">
        <is>
          <t>Previous Version (URI)</t>
        </is>
      </c>
      <c r="D4" t="inlineStr">
        <is>
          <t>Chassis Description</t>
        </is>
      </c>
      <c r="E4" t="inlineStr">
        <is>
          <t>Data Source</t>
        </is>
      </c>
      <c r="F4" t="inlineStr">
        <is>
          <t>PubMed ID</t>
        </is>
      </c>
      <c r="G4" t="inlineStr">
        <is>
          <t>DOI</t>
        </is>
      </c>
      <c r="H4" s="20" t="inlineStr">
        <is>
          <t>URI</t>
        </is>
      </c>
      <c r="I4" s="20" t="inlineStr">
        <is>
          <t>Update</t>
        </is>
      </c>
      <c r="J4" s="23" t="inlineStr">
        <is>
          <t>URL Checker - Data Source</t>
        </is>
      </c>
      <c r="K4" s="24" t="inlineStr">
        <is>
          <t>URL Checker - DOI</t>
        </is>
      </c>
      <c r="L4" s="23" t="inlineStr">
        <is>
          <t>URL Checker - Previous Version</t>
        </is>
      </c>
      <c r="M4" s="23" t="inlineStr">
        <is>
          <t>URL Checker - URI</t>
        </is>
      </c>
    </row>
    <row r="5" ht="15.75" customHeight="1">
      <c r="A5">
        <f>IF(Table_12121510[[#This Row],[Chassis Name]]=0,"",Table_12121510[[#This Row],[Chassis Name]])</f>
        <v/>
      </c>
      <c r="D5" s="25" t="n"/>
      <c r="F5" s="26" t="n"/>
      <c r="H5" s="18" t="n"/>
      <c r="I5" s="18">
        <f>IF($B5="","FALSE","TRUE")</f>
        <v/>
      </c>
      <c r="J5">
        <f t="array" ref="J5">IsURL(Table_12121510[[#This Row],[Data Source]])</f>
        <v/>
      </c>
      <c r="K5">
        <f t="array" ref="K5">IsURL(Table_12121510[[#This Row],[DOI]])</f>
        <v/>
      </c>
      <c r="L5">
        <f t="array" ref="L5">IsURL(Table_12121510[[#This Row],[Data Source]])</f>
        <v/>
      </c>
      <c r="M5">
        <f t="array" ref="M5">IsURL(Table_12121510[[#This Row],[Data Source]])</f>
        <v/>
      </c>
    </row>
    <row r="6" ht="15.75" customHeight="1">
      <c r="A6">
        <f>IF(Table_12121510[[#This Row],[Chassis Name]]=0,"",Table_12121510[[#This Row],[Chassis Name]])</f>
        <v/>
      </c>
      <c r="E6" s="11" t="n"/>
      <c r="F6" s="26" t="n"/>
      <c r="H6" s="18" t="n"/>
      <c r="I6" s="18">
        <f>IF($B6="","FALSE","TRUE")</f>
        <v/>
      </c>
      <c r="J6">
        <f t="array" ref="J6">IsURL(Table_12121510[[#This Row],[Data Source]])</f>
        <v/>
      </c>
      <c r="K6">
        <f t="array" ref="K6">IsURL(Table_12121510[[#This Row],[DOI]])</f>
        <v/>
      </c>
      <c r="L6">
        <f t="array" ref="L6">IsURL(Table_12121510[[#This Row],[Data Source]])</f>
        <v/>
      </c>
      <c r="M6">
        <f t="array" ref="M6">IsURL(Table_12121510[[#This Row],[Data Source]])</f>
        <v/>
      </c>
    </row>
    <row r="7" ht="15.75" customHeight="1">
      <c r="A7">
        <f>IF(Table_12121510[[#This Row],[Chassis Name]]=0,"",Table_12121510[[#This Row],[Chassis Name]])</f>
        <v/>
      </c>
      <c r="F7" s="26" t="n"/>
      <c r="I7" s="18">
        <f>IF($B7="","FALSE","TRUE")</f>
        <v/>
      </c>
      <c r="J7">
        <f t="array" ref="J7">IsURL(Table_12121510[[#This Row],[Data Source]])</f>
        <v/>
      </c>
      <c r="K7">
        <f t="array" ref="K7">IsURL(Table_12121510[[#This Row],[DOI]])</f>
        <v/>
      </c>
      <c r="L7">
        <f t="array" ref="L7">IsURL(Table_12121510[[#This Row],[Data Source]])</f>
        <v/>
      </c>
      <c r="M7">
        <f t="array" ref="M7">IsURL(Table_12121510[[#This Row],[Data Source]])</f>
        <v/>
      </c>
    </row>
    <row r="8" ht="15.75" customHeight="1">
      <c r="A8">
        <f>IF(Table_12121510[[#This Row],[Chassis Name]]=0,"",Table_12121510[[#This Row],[Chassis Name]])</f>
        <v/>
      </c>
      <c r="D8" s="25" t="n"/>
      <c r="F8" s="27" t="n"/>
      <c r="I8" s="18">
        <f>IF($B8="","FALSE","TRUE")</f>
        <v/>
      </c>
      <c r="J8">
        <f t="array" ref="J8">IsURL(Table_12121510[[#This Row],[Data Source]])</f>
        <v/>
      </c>
      <c r="K8">
        <f t="array" ref="K8">IsURL(Table_12121510[[#This Row],[DOI]])</f>
        <v/>
      </c>
      <c r="L8">
        <f t="array" ref="L8">IsURL(Table_12121510[[#This Row],[Data Source]])</f>
        <v/>
      </c>
      <c r="M8">
        <f t="array" ref="M8">IsURL(Table_12121510[[#This Row],[Data Source]])</f>
        <v/>
      </c>
    </row>
    <row r="9" ht="15.75" customHeight="1">
      <c r="A9">
        <f>IF(Table_12121510[[#This Row],[Chassis Name]]=0,"",Table_12121510[[#This Row],[Chassis Name]])</f>
        <v/>
      </c>
      <c r="D9" s="25" t="n"/>
      <c r="F9" s="27" t="n"/>
      <c r="I9" s="18">
        <f>IF($B9="","FALSE","TRUE")</f>
        <v/>
      </c>
      <c r="J9">
        <f t="array" ref="J9">IsURL(Table_12121510[[#This Row],[Data Source]])</f>
        <v/>
      </c>
      <c r="K9">
        <f t="array" ref="K9">IsURL(Table_12121510[[#This Row],[DOI]])</f>
        <v/>
      </c>
      <c r="L9">
        <f t="array" ref="L9">IsURL(Table_12121510[[#This Row],[Data Source]])</f>
        <v/>
      </c>
      <c r="M9">
        <f t="array" ref="M9">IsURL(Table_12121510[[#This Row],[Data Source]])</f>
        <v/>
      </c>
    </row>
    <row r="10" ht="15.75" customHeight="1">
      <c r="A10">
        <f>IF(Table_12121510[[#This Row],[Chassis Name]]=0,"",Table_12121510[[#This Row],[Chassis Name]])</f>
        <v/>
      </c>
      <c r="D10" s="25" t="n"/>
      <c r="F10" s="27" t="n"/>
      <c r="I10" s="18">
        <f>IF($B10="","FALSE","TRUE")</f>
        <v/>
      </c>
      <c r="J10">
        <f t="array" ref="J10">IsURL(Table_12121510[[#This Row],[Data Source]])</f>
        <v/>
      </c>
      <c r="K10">
        <f t="array" ref="K10">IsURL(Table_12121510[[#This Row],[DOI]])</f>
        <v/>
      </c>
      <c r="L10">
        <f t="array" ref="L10">IsURL(Table_12121510[[#This Row],[Data Source]])</f>
        <v/>
      </c>
      <c r="M10">
        <f t="array" ref="M10">IsURL(Table_12121510[[#This Row],[Data Source]])</f>
        <v/>
      </c>
    </row>
    <row r="11" ht="15.75" customHeight="1">
      <c r="A11">
        <f>IF(Table_12121510[[#This Row],[Chassis Name]]=0,"",Table_12121510[[#This Row],[Chassis Name]])</f>
        <v/>
      </c>
      <c r="D11" s="25" t="n"/>
      <c r="F11" s="27" t="n"/>
      <c r="I11" s="18">
        <f>IF($B11="","FALSE","TRUE")</f>
        <v/>
      </c>
      <c r="J11">
        <f t="array" ref="J11">IsURL(Table_12121510[[#This Row],[Data Source]])</f>
        <v/>
      </c>
      <c r="K11">
        <f t="array" ref="K11">IsURL(Table_12121510[[#This Row],[DOI]])</f>
        <v/>
      </c>
      <c r="L11">
        <f t="array" ref="L11">IsURL(Table_12121510[[#This Row],[Data Source]])</f>
        <v/>
      </c>
      <c r="M11">
        <f t="array" ref="M11">IsURL(Table_12121510[[#This Row],[Data Source]])</f>
        <v/>
      </c>
    </row>
    <row r="12" ht="15.75" customHeight="1">
      <c r="A12">
        <f>IF(Table_12121510[[#This Row],[Chassis Name]]=0,"",Table_12121510[[#This Row],[Chassis Name]])</f>
        <v/>
      </c>
      <c r="D12" s="25" t="n"/>
      <c r="F12" s="27" t="n"/>
      <c r="I12" s="18">
        <f>IF($B12="","FALSE","TRUE")</f>
        <v/>
      </c>
      <c r="J12">
        <f t="array" ref="J12">IsURL(Table_12121510[[#This Row],[Data Source]])</f>
        <v/>
      </c>
      <c r="K12">
        <f t="array" ref="K12">IsURL(Table_12121510[[#This Row],[DOI]])</f>
        <v/>
      </c>
      <c r="L12">
        <f t="array" ref="L12">IsURL(Table_12121510[[#This Row],[Data Source]])</f>
        <v/>
      </c>
      <c r="M12">
        <f t="array" ref="M12">IsURL(Table_12121510[[#This Row],[Data Source]])</f>
        <v/>
      </c>
    </row>
    <row r="13" ht="15.75" customHeight="1">
      <c r="A13">
        <f>IF(Table_12121510[[#This Row],[Chassis Name]]=0,"",Table_12121510[[#This Row],[Chassis Name]])</f>
        <v/>
      </c>
      <c r="D13" s="25" t="n"/>
      <c r="F13" s="27" t="n"/>
      <c r="I13" s="18">
        <f>IF($B13="","FALSE","TRUE")</f>
        <v/>
      </c>
      <c r="J13">
        <f t="array" ref="J13">IsURL(Table_12121510[[#This Row],[Data Source]])</f>
        <v/>
      </c>
      <c r="K13">
        <f t="array" ref="K13">IsURL(Table_12121510[[#This Row],[DOI]])</f>
        <v/>
      </c>
      <c r="L13">
        <f t="array" ref="L13">IsURL(Table_12121510[[#This Row],[Data Source]])</f>
        <v/>
      </c>
      <c r="M13">
        <f t="array" ref="M13">IsURL(Table_12121510[[#This Row],[Data Source]])</f>
        <v/>
      </c>
    </row>
    <row r="14" ht="15.75" customHeight="1">
      <c r="A14">
        <f>IF(Table_12121510[[#This Row],[Chassis Name]]=0,"",Table_12121510[[#This Row],[Chassis Name]])</f>
        <v/>
      </c>
      <c r="D14" s="25" t="n"/>
      <c r="F14" s="27" t="n"/>
      <c r="I14" s="18">
        <f>IF($B14="","FALSE","TRUE")</f>
        <v/>
      </c>
      <c r="J14">
        <f t="array" ref="J14">IsURL(Table_12121510[[#This Row],[Data Source]])</f>
        <v/>
      </c>
      <c r="K14">
        <f t="array" ref="K14">IsURL(Table_12121510[[#This Row],[DOI]])</f>
        <v/>
      </c>
      <c r="L14">
        <f t="array" ref="L14">IsURL(Table_12121510[[#This Row],[Data Source]])</f>
        <v/>
      </c>
      <c r="M14">
        <f t="array" ref="M14">IsURL(Table_12121510[[#This Row],[Data Source]])</f>
        <v/>
      </c>
    </row>
    <row r="15" ht="15.75" customHeight="1">
      <c r="A15">
        <f>IF(Table_12121510[[#This Row],[Chassis Name]]=0,"",Table_12121510[[#This Row],[Chassis Name]])</f>
        <v/>
      </c>
      <c r="D15" s="25" t="n"/>
      <c r="F15" s="27" t="n"/>
      <c r="I15" s="18">
        <f>IF($B15="","FALSE","TRUE")</f>
        <v/>
      </c>
      <c r="J15">
        <f t="array" ref="J15">IsURL(Table_12121510[[#This Row],[Data Source]])</f>
        <v/>
      </c>
      <c r="K15">
        <f t="array" ref="K15">IsURL(Table_12121510[[#This Row],[DOI]])</f>
        <v/>
      </c>
      <c r="L15">
        <f t="array" ref="L15">IsURL(Table_12121510[[#This Row],[Data Source]])</f>
        <v/>
      </c>
      <c r="M15">
        <f t="array" ref="M15">IsURL(Table_12121510[[#This Row],[Data Source]])</f>
        <v/>
      </c>
    </row>
    <row r="16" ht="15.75" customHeight="1">
      <c r="A16">
        <f>IF(Table_12121510[[#This Row],[Chassis Name]]=0,"",Table_12121510[[#This Row],[Chassis Name]])</f>
        <v/>
      </c>
      <c r="D16" s="25" t="n"/>
      <c r="F16" s="27" t="n"/>
      <c r="I16" s="18">
        <f>IF($B16="","FALSE","TRUE")</f>
        <v/>
      </c>
      <c r="J16">
        <f t="array" ref="J16">IsURL(Table_12121510[[#This Row],[Data Source]])</f>
        <v/>
      </c>
      <c r="K16">
        <f t="array" ref="K16">IsURL(Table_12121510[[#This Row],[DOI]])</f>
        <v/>
      </c>
      <c r="L16">
        <f t="array" ref="L16">IsURL(Table_12121510[[#This Row],[Data Source]])</f>
        <v/>
      </c>
      <c r="M16">
        <f t="array" ref="M16">IsURL(Table_12121510[[#This Row],[Data Source]])</f>
        <v/>
      </c>
    </row>
    <row r="17" ht="15.75" customHeight="1">
      <c r="A17">
        <f>IF(Table_12121510[[#This Row],[Chassis Name]]=0,"",Table_12121510[[#This Row],[Chassis Name]])</f>
        <v/>
      </c>
      <c r="D17" s="25" t="n"/>
      <c r="F17" s="27" t="n"/>
      <c r="I17" s="18">
        <f>IF($B17="","FALSE","TRUE")</f>
        <v/>
      </c>
      <c r="J17">
        <f t="array" ref="J17">IsURL(Table_12121510[[#This Row],[Data Source]])</f>
        <v/>
      </c>
      <c r="K17">
        <f t="array" ref="K17">IsURL(Table_12121510[[#This Row],[DOI]])</f>
        <v/>
      </c>
      <c r="L17">
        <f t="array" ref="L17">IsURL(Table_12121510[[#This Row],[Data Source]])</f>
        <v/>
      </c>
      <c r="M17">
        <f t="array" ref="M17">IsURL(Table_12121510[[#This Row],[Data Source]])</f>
        <v/>
      </c>
    </row>
    <row r="18" ht="15.75" customHeight="1">
      <c r="A18">
        <f>IF(Table_12121510[[#This Row],[Chassis Name]]=0,"",Table_12121510[[#This Row],[Chassis Name]])</f>
        <v/>
      </c>
      <c r="D18" s="25" t="n"/>
      <c r="F18" s="27" t="n"/>
      <c r="I18" s="18">
        <f>IF($B18="","FALSE","TRUE")</f>
        <v/>
      </c>
      <c r="J18">
        <f t="array" ref="J18">IsURL(Table_12121510[[#This Row],[Data Source]])</f>
        <v/>
      </c>
      <c r="K18">
        <f t="array" ref="K18">IsURL(Table_12121510[[#This Row],[DOI]])</f>
        <v/>
      </c>
      <c r="L18">
        <f t="array" ref="L18">IsURL(Table_12121510[[#This Row],[Data Source]])</f>
        <v/>
      </c>
      <c r="M18">
        <f t="array" ref="M18">IsURL(Table_12121510[[#This Row],[Data Source]])</f>
        <v/>
      </c>
    </row>
    <row r="19" ht="15.75" customHeight="1">
      <c r="A19">
        <f>IF(Table_12121510[[#This Row],[Chassis Name]]=0,"",Table_12121510[[#This Row],[Chassis Name]])</f>
        <v/>
      </c>
      <c r="D19" s="25" t="n"/>
      <c r="F19" s="27" t="n"/>
      <c r="I19" s="18">
        <f>IF($B19="","FALSE","TRUE")</f>
        <v/>
      </c>
      <c r="J19">
        <f t="array" ref="J19">IsURL(Table_12121510[[#This Row],[Data Source]])</f>
        <v/>
      </c>
      <c r="K19">
        <f t="array" ref="K19">IsURL(Table_12121510[[#This Row],[DOI]])</f>
        <v/>
      </c>
      <c r="L19">
        <f t="array" ref="L19">IsURL(Table_12121510[[#This Row],[Data Source]])</f>
        <v/>
      </c>
      <c r="M19">
        <f t="array" ref="M19">IsURL(Table_12121510[[#This Row],[Data Source]])</f>
        <v/>
      </c>
    </row>
    <row r="20" ht="15.75" customHeight="1">
      <c r="A20">
        <f>IF(Table_12121510[[#This Row],[Chassis Name]]=0,"",Table_12121510[[#This Row],[Chassis Name]])</f>
        <v/>
      </c>
      <c r="D20" s="25" t="n"/>
      <c r="F20" s="27" t="n"/>
      <c r="I20" s="18">
        <f>IF($B20="","FALSE","TRUE")</f>
        <v/>
      </c>
      <c r="J20">
        <f t="array" ref="J20">IsURL(Table_12121510[[#This Row],[Data Source]])</f>
        <v/>
      </c>
      <c r="K20">
        <f t="array" ref="K20">IsURL(Table_12121510[[#This Row],[DOI]])</f>
        <v/>
      </c>
      <c r="L20">
        <f t="array" ref="L20">IsURL(Table_12121510[[#This Row],[Data Source]])</f>
        <v/>
      </c>
      <c r="M20">
        <f t="array" ref="M20">IsURL(Table_12121510[[#This Row],[Data Source]])</f>
        <v/>
      </c>
    </row>
    <row r="21" ht="15.75" customHeight="1">
      <c r="A21">
        <f>IF(Table_12121510[[#This Row],[Chassis Name]]=0,"",Table_12121510[[#This Row],[Chassis Name]])</f>
        <v/>
      </c>
      <c r="D21" s="25" t="n"/>
      <c r="F21" s="27" t="n"/>
      <c r="I21" s="18">
        <f>IF($B21="","FALSE","TRUE")</f>
        <v/>
      </c>
      <c r="J21">
        <f t="array" ref="J21">IsURL(Table_12121510[[#This Row],[Data Source]])</f>
        <v/>
      </c>
      <c r="K21">
        <f t="array" ref="K21">IsURL(Table_12121510[[#This Row],[DOI]])</f>
        <v/>
      </c>
      <c r="L21">
        <f t="array" ref="L21">IsURL(Table_12121510[[#This Row],[Data Source]])</f>
        <v/>
      </c>
      <c r="M21">
        <f t="array" ref="M21">IsURL(Table_12121510[[#This Row],[Data Source]])</f>
        <v/>
      </c>
    </row>
    <row r="22" ht="15.75" customHeight="1">
      <c r="A22">
        <f>IF(Table_12121510[[#This Row],[Chassis Name]]=0,"",Table_12121510[[#This Row],[Chassis Name]])</f>
        <v/>
      </c>
      <c r="D22" s="25" t="n"/>
      <c r="F22" s="27" t="n"/>
      <c r="I22" s="18">
        <f>IF($B22="","FALSE","TRUE")</f>
        <v/>
      </c>
      <c r="J22">
        <f t="array" ref="J22">IsURL(Table_12121510[[#This Row],[Data Source]])</f>
        <v/>
      </c>
      <c r="K22">
        <f t="array" ref="K22">IsURL(Table_12121510[[#This Row],[DOI]])</f>
        <v/>
      </c>
      <c r="L22">
        <f t="array" ref="L22">IsURL(Table_12121510[[#This Row],[Data Source]])</f>
        <v/>
      </c>
      <c r="M22">
        <f t="array" ref="M22">IsURL(Table_12121510[[#This Row],[Data Source]])</f>
        <v/>
      </c>
    </row>
    <row r="23" ht="15.75" customHeight="1">
      <c r="A23">
        <f>IF(Table_12121510[[#This Row],[Chassis Name]]=0,"",Table_12121510[[#This Row],[Chassis Name]])</f>
        <v/>
      </c>
      <c r="D23" s="25" t="n"/>
      <c r="F23" s="27" t="n"/>
      <c r="I23" s="18">
        <f>IF($B23="","FALSE","TRUE")</f>
        <v/>
      </c>
      <c r="J23">
        <f t="array" ref="J23">IsURL(Table_12121510[[#This Row],[Data Source]])</f>
        <v/>
      </c>
      <c r="K23">
        <f t="array" ref="K23">IsURL(Table_12121510[[#This Row],[DOI]])</f>
        <v/>
      </c>
      <c r="L23">
        <f t="array" ref="L23">IsURL(Table_12121510[[#This Row],[Data Source]])</f>
        <v/>
      </c>
      <c r="M23">
        <f t="array" ref="M23">IsURL(Table_12121510[[#This Row],[Data Source]])</f>
        <v/>
      </c>
    </row>
    <row r="24" ht="15.75" customHeight="1">
      <c r="A24">
        <f>IF(Table_12121510[[#This Row],[Chassis Name]]=0,"",Table_12121510[[#This Row],[Chassis Name]])</f>
        <v/>
      </c>
      <c r="D24" s="25" t="n"/>
      <c r="F24" s="27" t="n"/>
      <c r="I24" s="18">
        <f>IF($B24="","FALSE","TRUE")</f>
        <v/>
      </c>
      <c r="J24">
        <f t="array" ref="J24">IsURL(Table_12121510[[#This Row],[Data Source]])</f>
        <v/>
      </c>
      <c r="K24">
        <f t="array" ref="K24">IsURL(Table_12121510[[#This Row],[DOI]])</f>
        <v/>
      </c>
      <c r="L24">
        <f t="array" ref="L24">IsURL(Table_12121510[[#This Row],[Data Source]])</f>
        <v/>
      </c>
      <c r="M24">
        <f t="array" ref="M24">IsURL(Table_12121510[[#This Row],[Data Source]])</f>
        <v/>
      </c>
    </row>
    <row r="25" ht="15.75" customHeight="1">
      <c r="A25">
        <f>IF(Table_12121510[[#This Row],[Chassis Name]]=0,"",Table_12121510[[#This Row],[Chassis Name]])</f>
        <v/>
      </c>
      <c r="D25" s="25" t="n"/>
      <c r="F25" s="27" t="n"/>
      <c r="I25" s="18">
        <f>IF($B25="","FALSE","TRUE")</f>
        <v/>
      </c>
      <c r="J25">
        <f t="array" ref="J25">IsURL(Table_12121510[[#This Row],[Data Source]])</f>
        <v/>
      </c>
      <c r="K25">
        <f t="array" ref="K25">IsURL(Table_12121510[[#This Row],[DOI]])</f>
        <v/>
      </c>
      <c r="L25">
        <f t="array" ref="L25">IsURL(Table_12121510[[#This Row],[Data Source]])</f>
        <v/>
      </c>
      <c r="M25">
        <f t="array" ref="M25">IsURL(Table_12121510[[#This Row],[Data Source]])</f>
        <v/>
      </c>
    </row>
    <row r="26" ht="15.75" customHeight="1">
      <c r="A26">
        <f>IF(Table_12121510[[#This Row],[Chassis Name]]=0,"",Table_12121510[[#This Row],[Chassis Name]])</f>
        <v/>
      </c>
      <c r="D26" s="25" t="n"/>
      <c r="F26" s="27" t="n"/>
      <c r="I26" s="18">
        <f>IF($B26="","FALSE","TRUE")</f>
        <v/>
      </c>
      <c r="J26">
        <f t="array" ref="J26">IsURL(Table_12121510[[#This Row],[Data Source]])</f>
        <v/>
      </c>
      <c r="K26">
        <f t="array" ref="K26">IsURL(Table_12121510[[#This Row],[DOI]])</f>
        <v/>
      </c>
      <c r="L26">
        <f t="array" ref="L26">IsURL(Table_12121510[[#This Row],[Data Source]])</f>
        <v/>
      </c>
      <c r="M26">
        <f t="array" ref="M26">IsURL(Table_12121510[[#This Row],[Data Source]])</f>
        <v/>
      </c>
    </row>
    <row r="27" ht="15.75" customHeight="1">
      <c r="A27">
        <f>IF(Table_12121510[[#This Row],[Chassis Name]]=0,"",Table_12121510[[#This Row],[Chassis Name]])</f>
        <v/>
      </c>
      <c r="D27" s="25" t="n"/>
      <c r="F27" s="27" t="n"/>
      <c r="I27" s="18">
        <f>IF($B27="","FALSE","TRUE")</f>
        <v/>
      </c>
      <c r="J27">
        <f t="array" ref="J27">IsURL(Table_12121510[[#This Row],[Data Source]])</f>
        <v/>
      </c>
      <c r="K27">
        <f t="array" ref="K27">IsURL(Table_12121510[[#This Row],[DOI]])</f>
        <v/>
      </c>
      <c r="L27">
        <f t="array" ref="L27">IsURL(Table_12121510[[#This Row],[Data Source]])</f>
        <v/>
      </c>
      <c r="M27">
        <f t="array" ref="M27">IsURL(Table_12121510[[#This Row],[Data Source]])</f>
        <v/>
      </c>
    </row>
    <row r="28" ht="15.75" customHeight="1">
      <c r="A28">
        <f>IF(Table_12121510[[#This Row],[Chassis Name]]=0,"",Table_12121510[[#This Row],[Chassis Name]])</f>
        <v/>
      </c>
      <c r="D28" s="25" t="n"/>
      <c r="F28" s="27" t="n"/>
      <c r="I28" s="18">
        <f>IF($B28="","FALSE","TRUE")</f>
        <v/>
      </c>
      <c r="J28">
        <f t="array" ref="J28">IsURL(Table_12121510[[#This Row],[Data Source]])</f>
        <v/>
      </c>
      <c r="K28">
        <f t="array" ref="K28">IsURL(Table_12121510[[#This Row],[DOI]])</f>
        <v/>
      </c>
      <c r="L28">
        <f t="array" ref="L28">IsURL(Table_12121510[[#This Row],[Data Source]])</f>
        <v/>
      </c>
      <c r="M28">
        <f t="array" ref="M28">IsURL(Table_12121510[[#This Row],[Data Source]])</f>
        <v/>
      </c>
    </row>
    <row r="29" ht="15.75" customHeight="1">
      <c r="A29">
        <f>IF(Table_12121510[[#This Row],[Chassis Name]]=0,"",Table_12121510[[#This Row],[Chassis Name]])</f>
        <v/>
      </c>
      <c r="D29" s="25" t="n"/>
      <c r="F29" s="27" t="n"/>
      <c r="I29" s="18">
        <f>IF($B29="","FALSE","TRUE")</f>
        <v/>
      </c>
      <c r="J29">
        <f t="array" ref="J29">IsURL(Table_12121510[[#This Row],[Data Source]])</f>
        <v/>
      </c>
      <c r="K29">
        <f t="array" ref="K29">IsURL(Table_12121510[[#This Row],[DOI]])</f>
        <v/>
      </c>
      <c r="L29">
        <f t="array" ref="L29">IsURL(Table_12121510[[#This Row],[Data Source]])</f>
        <v/>
      </c>
      <c r="M29">
        <f t="array" ref="M29">IsURL(Table_12121510[[#This Row],[Data Source]])</f>
        <v/>
      </c>
    </row>
    <row r="30" ht="15.75" customHeight="1">
      <c r="A30">
        <f>IF(Table_12121510[[#This Row],[Chassis Name]]=0,"",Table_12121510[[#This Row],[Chassis Name]])</f>
        <v/>
      </c>
      <c r="D30" s="25" t="n"/>
      <c r="F30" s="27" t="n"/>
      <c r="I30" s="18">
        <f>IF($B30="","FALSE","TRUE")</f>
        <v/>
      </c>
      <c r="J30">
        <f t="array" ref="J30">IsURL(Table_12121510[[#This Row],[Data Source]])</f>
        <v/>
      </c>
      <c r="K30">
        <f t="array" ref="K30">IsURL(Table_12121510[[#This Row],[DOI]])</f>
        <v/>
      </c>
      <c r="L30">
        <f t="array" ref="L30">IsURL(Table_12121510[[#This Row],[Data Source]])</f>
        <v/>
      </c>
      <c r="M30">
        <f t="array" ref="M30">IsURL(Table_12121510[[#This Row],[Data Source]])</f>
        <v/>
      </c>
    </row>
    <row r="31" ht="15.75" customHeight="1">
      <c r="A31">
        <f>IF(Table_12121510[[#This Row],[Chassis Name]]=0,"",Table_12121510[[#This Row],[Chassis Name]])</f>
        <v/>
      </c>
      <c r="D31" s="25" t="n"/>
      <c r="F31" s="27" t="n"/>
      <c r="I31" s="18">
        <f>IF($B31="","FALSE","TRUE")</f>
        <v/>
      </c>
      <c r="J31">
        <f t="array" ref="J31">IsURL(Table_12121510[[#This Row],[Data Source]])</f>
        <v/>
      </c>
      <c r="K31">
        <f t="array" ref="K31">IsURL(Table_12121510[[#This Row],[DOI]])</f>
        <v/>
      </c>
      <c r="L31">
        <f t="array" ref="L31">IsURL(Table_12121510[[#This Row],[Data Source]])</f>
        <v/>
      </c>
      <c r="M31">
        <f t="array" ref="M31">IsURL(Table_12121510[[#This Row],[Data Source]])</f>
        <v/>
      </c>
    </row>
    <row r="32" ht="15.75" customHeight="1">
      <c r="A32">
        <f>IF(Table_12121510[[#This Row],[Chassis Name]]=0,"",Table_12121510[[#This Row],[Chassis Name]])</f>
        <v/>
      </c>
      <c r="D32" s="25" t="n"/>
      <c r="F32" s="27" t="n"/>
      <c r="I32" s="18">
        <f>IF($B32="","FALSE","TRUE")</f>
        <v/>
      </c>
      <c r="J32">
        <f t="array" ref="J32">IsURL(Table_12121510[[#This Row],[Data Source]])</f>
        <v/>
      </c>
      <c r="K32">
        <f t="array" ref="K32">IsURL(Table_12121510[[#This Row],[DOI]])</f>
        <v/>
      </c>
      <c r="L32">
        <f t="array" ref="L32">IsURL(Table_12121510[[#This Row],[Data Source]])</f>
        <v/>
      </c>
      <c r="M32">
        <f t="array" ref="M32">IsURL(Table_12121510[[#This Row],[Data Source]])</f>
        <v/>
      </c>
    </row>
    <row r="33" ht="15.75" customHeight="1">
      <c r="A33">
        <f>IF(Table_12121510[[#This Row],[Chassis Name]]=0,"",Table_12121510[[#This Row],[Chassis Name]])</f>
        <v/>
      </c>
      <c r="D33" s="25" t="n"/>
      <c r="F33" s="27" t="n"/>
      <c r="I33" s="18">
        <f>IF($B33="","FALSE","TRUE")</f>
        <v/>
      </c>
      <c r="J33">
        <f t="array" ref="J33">IsURL(Table_12121510[[#This Row],[Data Source]])</f>
        <v/>
      </c>
      <c r="K33">
        <f t="array" ref="K33">IsURL(Table_12121510[[#This Row],[DOI]])</f>
        <v/>
      </c>
      <c r="L33">
        <f t="array" ref="L33">IsURL(Table_12121510[[#This Row],[Data Source]])</f>
        <v/>
      </c>
      <c r="M33">
        <f t="array" ref="M33">IsURL(Table_12121510[[#This Row],[Data Source]])</f>
        <v/>
      </c>
    </row>
    <row r="34" ht="15.75" customHeight="1">
      <c r="A34">
        <f>IF(Table_12121510[[#This Row],[Chassis Name]]=0,"",Table_12121510[[#This Row],[Chassis Name]])</f>
        <v/>
      </c>
      <c r="D34" s="25" t="n"/>
      <c r="F34" s="27" t="n"/>
      <c r="I34" s="18">
        <f>IF($B34="","FALSE","TRUE")</f>
        <v/>
      </c>
      <c r="J34">
        <f t="array" ref="J34">IsURL(Table_12121510[[#This Row],[Data Source]])</f>
        <v/>
      </c>
      <c r="K34">
        <f t="array" ref="K34">IsURL(Table_12121510[[#This Row],[DOI]])</f>
        <v/>
      </c>
      <c r="L34">
        <f t="array" ref="L34">IsURL(Table_12121510[[#This Row],[Data Source]])</f>
        <v/>
      </c>
      <c r="M34">
        <f t="array" ref="M34">IsURL(Table_12121510[[#This Row],[Data Source]])</f>
        <v/>
      </c>
    </row>
    <row r="35" ht="15.75" customHeight="1">
      <c r="A35">
        <f>IF(Table_12121510[[#This Row],[Chassis Name]]=0,"",Table_12121510[[#This Row],[Chassis Name]])</f>
        <v/>
      </c>
      <c r="D35" s="25" t="n"/>
      <c r="F35" s="27" t="n"/>
      <c r="I35" s="18">
        <f>IF($B35="","FALSE","TRUE")</f>
        <v/>
      </c>
      <c r="J35">
        <f t="array" ref="J35">IsURL(Table_12121510[[#This Row],[Data Source]])</f>
        <v/>
      </c>
      <c r="K35">
        <f t="array" ref="K35">IsURL(Table_12121510[[#This Row],[DOI]])</f>
        <v/>
      </c>
      <c r="L35">
        <f t="array" ref="L35">IsURL(Table_12121510[[#This Row],[Data Source]])</f>
        <v/>
      </c>
      <c r="M35">
        <f t="array" ref="M35">IsURL(Table_12121510[[#This Row],[Data Source]])</f>
        <v/>
      </c>
    </row>
    <row r="36" ht="15.75" customHeight="1">
      <c r="A36">
        <f>IF(Table_12121510[[#This Row],[Chassis Name]]=0,"",Table_12121510[[#This Row],[Chassis Name]])</f>
        <v/>
      </c>
      <c r="D36" s="25" t="n"/>
      <c r="F36" s="27" t="n"/>
      <c r="I36" s="18">
        <f>IF($B36="","FALSE","TRUE")</f>
        <v/>
      </c>
      <c r="J36">
        <f t="array" ref="J36">IsURL(Table_12121510[[#This Row],[Data Source]])</f>
        <v/>
      </c>
      <c r="K36">
        <f t="array" ref="K36">IsURL(Table_12121510[[#This Row],[DOI]])</f>
        <v/>
      </c>
      <c r="L36">
        <f t="array" ref="L36">IsURL(Table_12121510[[#This Row],[Data Source]])</f>
        <v/>
      </c>
      <c r="M36">
        <f t="array" ref="M36">IsURL(Table_12121510[[#This Row],[Data Source]])</f>
        <v/>
      </c>
    </row>
    <row r="37" ht="15.75" customHeight="1">
      <c r="A37">
        <f>IF(Table_12121510[[#This Row],[Chassis Name]]=0,"",Table_12121510[[#This Row],[Chassis Name]])</f>
        <v/>
      </c>
      <c r="D37" s="25" t="n"/>
      <c r="F37" s="27" t="n"/>
      <c r="I37" s="18">
        <f>IF($B37="","FALSE","TRUE")</f>
        <v/>
      </c>
      <c r="J37">
        <f t="array" ref="J37">IsURL(Table_12121510[[#This Row],[Data Source]])</f>
        <v/>
      </c>
      <c r="K37">
        <f t="array" ref="K37">IsURL(Table_12121510[[#This Row],[DOI]])</f>
        <v/>
      </c>
      <c r="L37">
        <f t="array" ref="L37">IsURL(Table_12121510[[#This Row],[Data Source]])</f>
        <v/>
      </c>
      <c r="M37">
        <f t="array" ref="M37">IsURL(Table_12121510[[#This Row],[Data Source]])</f>
        <v/>
      </c>
    </row>
    <row r="38" ht="15.75" customHeight="1">
      <c r="A38">
        <f>IF(Table_12121510[[#This Row],[Chassis Name]]=0,"",Table_12121510[[#This Row],[Chassis Name]])</f>
        <v/>
      </c>
      <c r="D38" s="25" t="n"/>
      <c r="F38" s="27" t="n"/>
      <c r="I38" s="18">
        <f>IF($B38="","FALSE","TRUE")</f>
        <v/>
      </c>
      <c r="J38">
        <f t="array" ref="J38">IsURL(Table_12121510[[#This Row],[Data Source]])</f>
        <v/>
      </c>
      <c r="K38">
        <f t="array" ref="K38">IsURL(Table_12121510[[#This Row],[DOI]])</f>
        <v/>
      </c>
      <c r="L38">
        <f t="array" ref="L38">IsURL(Table_12121510[[#This Row],[Data Source]])</f>
        <v/>
      </c>
      <c r="M38">
        <f t="array" ref="M38">IsURL(Table_12121510[[#This Row],[Data Source]])</f>
        <v/>
      </c>
    </row>
    <row r="39" ht="15.75" customHeight="1">
      <c r="A39">
        <f>IF(Table_12121510[[#This Row],[Chassis Name]]=0,"",Table_12121510[[#This Row],[Chassis Name]])</f>
        <v/>
      </c>
      <c r="D39" s="25" t="n"/>
      <c r="F39" s="27" t="n"/>
      <c r="I39" s="18">
        <f>IF($B39="","FALSE","TRUE")</f>
        <v/>
      </c>
      <c r="J39">
        <f t="array" ref="J39">IsURL(Table_12121510[[#This Row],[Data Source]])</f>
        <v/>
      </c>
      <c r="K39">
        <f t="array" ref="K39">IsURL(Table_12121510[[#This Row],[DOI]])</f>
        <v/>
      </c>
      <c r="L39">
        <f t="array" ref="L39">IsURL(Table_12121510[[#This Row],[Data Source]])</f>
        <v/>
      </c>
      <c r="M39">
        <f t="array" ref="M39">IsURL(Table_12121510[[#This Row],[Data Source]])</f>
        <v/>
      </c>
    </row>
    <row r="40" ht="15.75" customHeight="1">
      <c r="A40">
        <f>IF(Table_12121510[[#This Row],[Chassis Name]]=0,"",Table_12121510[[#This Row],[Chassis Name]])</f>
        <v/>
      </c>
      <c r="D40" s="25" t="n"/>
      <c r="F40" s="27" t="n"/>
      <c r="I40" s="18">
        <f>IF($B40="","FALSE","TRUE")</f>
        <v/>
      </c>
      <c r="J40">
        <f t="array" ref="J40">IsURL(Table_12121510[[#This Row],[Data Source]])</f>
        <v/>
      </c>
      <c r="K40">
        <f t="array" ref="K40">IsURL(Table_12121510[[#This Row],[DOI]])</f>
        <v/>
      </c>
      <c r="L40">
        <f t="array" ref="L40">IsURL(Table_12121510[[#This Row],[Data Source]])</f>
        <v/>
      </c>
      <c r="M40">
        <f t="array" ref="M40">IsURL(Table_12121510[[#This Row],[Data Source]])</f>
        <v/>
      </c>
    </row>
    <row r="41" ht="15.75" customHeight="1">
      <c r="A41">
        <f>IF(Table_12121510[[#This Row],[Chassis Name]]=0,"",Table_12121510[[#This Row],[Chassis Name]])</f>
        <v/>
      </c>
      <c r="D41" s="25" t="n"/>
      <c r="F41" s="27" t="n"/>
      <c r="I41" s="18">
        <f>IF($B41="","FALSE","TRUE")</f>
        <v/>
      </c>
      <c r="J41">
        <f t="array" ref="J41">IsURL(Table_12121510[[#This Row],[Data Source]])</f>
        <v/>
      </c>
      <c r="K41">
        <f t="array" ref="K41">IsURL(Table_12121510[[#This Row],[DOI]])</f>
        <v/>
      </c>
      <c r="L41">
        <f t="array" ref="L41">IsURL(Table_12121510[[#This Row],[Data Source]])</f>
        <v/>
      </c>
      <c r="M41">
        <f t="array" ref="M41">IsURL(Table_12121510[[#This Row],[Data Source]])</f>
        <v/>
      </c>
    </row>
    <row r="42" ht="15.75" customHeight="1">
      <c r="A42">
        <f>IF(Table_12121510[[#This Row],[Chassis Name]]=0,"",Table_12121510[[#This Row],[Chassis Name]])</f>
        <v/>
      </c>
      <c r="D42" s="25" t="n"/>
      <c r="F42" s="27" t="n"/>
      <c r="I42" s="18">
        <f>IF($B42="","FALSE","TRUE")</f>
        <v/>
      </c>
      <c r="J42">
        <f t="array" ref="J42">IsURL(Table_12121510[[#This Row],[Data Source]])</f>
        <v/>
      </c>
      <c r="K42">
        <f t="array" ref="K42">IsURL(Table_12121510[[#This Row],[DOI]])</f>
        <v/>
      </c>
      <c r="L42">
        <f t="array" ref="L42">IsURL(Table_12121510[[#This Row],[Data Source]])</f>
        <v/>
      </c>
      <c r="M42">
        <f t="array" ref="M42">IsURL(Table_12121510[[#This Row],[Data Source]])</f>
        <v/>
      </c>
    </row>
    <row r="43" ht="15.75" customHeight="1">
      <c r="A43">
        <f>IF(Table_12121510[[#This Row],[Chassis Name]]=0,"",Table_12121510[[#This Row],[Chassis Name]])</f>
        <v/>
      </c>
      <c r="D43" s="25" t="n"/>
      <c r="F43" s="27" t="n"/>
      <c r="I43" s="18">
        <f>IF($B43="","FALSE","TRUE")</f>
        <v/>
      </c>
      <c r="J43">
        <f t="array" ref="J43">IsURL(Table_12121510[[#This Row],[Data Source]])</f>
        <v/>
      </c>
      <c r="K43">
        <f t="array" ref="K43">IsURL(Table_12121510[[#This Row],[DOI]])</f>
        <v/>
      </c>
      <c r="L43">
        <f t="array" ref="L43">IsURL(Table_12121510[[#This Row],[Data Source]])</f>
        <v/>
      </c>
      <c r="M43">
        <f t="array" ref="M43">IsURL(Table_12121510[[#This Row],[Data Source]])</f>
        <v/>
      </c>
    </row>
    <row r="44" ht="15.75" customHeight="1">
      <c r="A44">
        <f>IF(Table_12121510[[#This Row],[Chassis Name]]=0,"",Table_12121510[[#This Row],[Chassis Name]])</f>
        <v/>
      </c>
      <c r="D44" s="25" t="n"/>
      <c r="F44" s="27" t="n"/>
      <c r="I44" s="18">
        <f>IF($B44="","FALSE","TRUE")</f>
        <v/>
      </c>
      <c r="J44">
        <f t="array" ref="J44">IsURL(Table_12121510[[#This Row],[Data Source]])</f>
        <v/>
      </c>
      <c r="K44">
        <f t="array" ref="K44">IsURL(Table_12121510[[#This Row],[DOI]])</f>
        <v/>
      </c>
      <c r="L44">
        <f t="array" ref="L44">IsURL(Table_12121510[[#This Row],[Data Source]])</f>
        <v/>
      </c>
      <c r="M44">
        <f t="array" ref="M44">IsURL(Table_12121510[[#This Row],[Data Source]])</f>
        <v/>
      </c>
    </row>
    <row r="45" ht="15.75" customHeight="1">
      <c r="A45">
        <f>IF(Table_12121510[[#This Row],[Chassis Name]]=0,"",Table_12121510[[#This Row],[Chassis Name]])</f>
        <v/>
      </c>
      <c r="D45" s="25" t="n"/>
      <c r="F45" s="27" t="n"/>
      <c r="I45" s="18">
        <f>IF($B45="","FALSE","TRUE")</f>
        <v/>
      </c>
      <c r="J45">
        <f t="array" ref="J45">IsURL(Table_12121510[[#This Row],[Data Source]])</f>
        <v/>
      </c>
      <c r="K45">
        <f t="array" ref="K45">IsURL(Table_12121510[[#This Row],[DOI]])</f>
        <v/>
      </c>
      <c r="L45">
        <f t="array" ref="L45">IsURL(Table_12121510[[#This Row],[Data Source]])</f>
        <v/>
      </c>
      <c r="M45">
        <f t="array" ref="M45">IsURL(Table_12121510[[#This Row],[Data Source]])</f>
        <v/>
      </c>
    </row>
    <row r="46" ht="15.75" customHeight="1">
      <c r="A46">
        <f>IF(Table_12121510[[#This Row],[Chassis Name]]=0,"",Table_12121510[[#This Row],[Chassis Name]])</f>
        <v/>
      </c>
      <c r="D46" s="25" t="n"/>
      <c r="F46" s="27" t="n"/>
      <c r="I46" s="18">
        <f>IF($B46="","FALSE","TRUE")</f>
        <v/>
      </c>
      <c r="J46">
        <f t="array" ref="J46">IsURL(Table_12121510[[#This Row],[Data Source]])</f>
        <v/>
      </c>
      <c r="K46">
        <f t="array" ref="K46">IsURL(Table_12121510[[#This Row],[DOI]])</f>
        <v/>
      </c>
      <c r="L46">
        <f t="array" ref="L46">IsURL(Table_12121510[[#This Row],[Data Source]])</f>
        <v/>
      </c>
      <c r="M46">
        <f t="array" ref="M46">IsURL(Table_12121510[[#This Row],[Data Source]])</f>
        <v/>
      </c>
    </row>
    <row r="47" ht="15.75" customHeight="1">
      <c r="A47">
        <f>IF(Table_12121510[[#This Row],[Chassis Name]]=0,"",Table_12121510[[#This Row],[Chassis Name]])</f>
        <v/>
      </c>
      <c r="D47" s="25" t="n"/>
      <c r="F47" s="27" t="n"/>
      <c r="I47" s="18">
        <f>IF($B47="","FALSE","TRUE")</f>
        <v/>
      </c>
      <c r="J47">
        <f t="array" ref="J47">IsURL(Table_12121510[[#This Row],[Data Source]])</f>
        <v/>
      </c>
      <c r="K47">
        <f t="array" ref="K47">IsURL(Table_12121510[[#This Row],[DOI]])</f>
        <v/>
      </c>
      <c r="L47">
        <f t="array" ref="L47">IsURL(Table_12121510[[#This Row],[Data Source]])</f>
        <v/>
      </c>
      <c r="M47">
        <f t="array" ref="M47">IsURL(Table_12121510[[#This Row],[Data Source]])</f>
        <v/>
      </c>
    </row>
    <row r="48" ht="15.75" customHeight="1">
      <c r="A48">
        <f>IF(Table_12121510[[#This Row],[Chassis Name]]=0,"",Table_12121510[[#This Row],[Chassis Name]])</f>
        <v/>
      </c>
      <c r="D48" s="25" t="n"/>
      <c r="F48" s="27" t="n"/>
      <c r="I48" s="18">
        <f>IF($B48="","FALSE","TRUE")</f>
        <v/>
      </c>
      <c r="J48">
        <f t="array" ref="J48">IsURL(Table_12121510[[#This Row],[Data Source]])</f>
        <v/>
      </c>
      <c r="K48">
        <f t="array" ref="K48">IsURL(Table_12121510[[#This Row],[DOI]])</f>
        <v/>
      </c>
      <c r="L48">
        <f t="array" ref="L48">IsURL(Table_12121510[[#This Row],[Data Source]])</f>
        <v/>
      </c>
      <c r="M48">
        <f t="array" ref="M48">IsURL(Table_12121510[[#This Row],[Data Source]])</f>
        <v/>
      </c>
    </row>
    <row r="49" ht="15.75" customHeight="1">
      <c r="A49">
        <f>IF(Table_12121510[[#This Row],[Chassis Name]]=0,"",Table_12121510[[#This Row],[Chassis Name]])</f>
        <v/>
      </c>
      <c r="D49" s="25" t="n"/>
      <c r="F49" s="27" t="n"/>
      <c r="I49" s="18">
        <f>IF($B49="","FALSE","TRUE")</f>
        <v/>
      </c>
      <c r="J49">
        <f t="array" ref="J49">IsURL(Table_12121510[[#This Row],[Data Source]])</f>
        <v/>
      </c>
      <c r="K49">
        <f t="array" ref="K49">IsURL(Table_12121510[[#This Row],[DOI]])</f>
        <v/>
      </c>
      <c r="L49">
        <f t="array" ref="L49">IsURL(Table_12121510[[#This Row],[Data Source]])</f>
        <v/>
      </c>
      <c r="M49">
        <f t="array" ref="M49">IsURL(Table_12121510[[#This Row],[Data Source]])</f>
        <v/>
      </c>
    </row>
    <row r="50" ht="15.75" customHeight="1">
      <c r="A50">
        <f>IF(Table_12121510[[#This Row],[Chassis Name]]=0,"",Table_12121510[[#This Row],[Chassis Name]])</f>
        <v/>
      </c>
      <c r="D50" s="25" t="n"/>
      <c r="F50" s="27" t="n"/>
      <c r="I50" s="18">
        <f>IF($B50="","FALSE","TRUE")</f>
        <v/>
      </c>
      <c r="J50">
        <f t="array" ref="J50">IsURL(Table_12121510[[#This Row],[Data Source]])</f>
        <v/>
      </c>
      <c r="K50">
        <f t="array" ref="K50">IsURL(Table_12121510[[#This Row],[DOI]])</f>
        <v/>
      </c>
      <c r="L50">
        <f t="array" ref="L50">IsURL(Table_12121510[[#This Row],[Data Source]])</f>
        <v/>
      </c>
      <c r="M50">
        <f t="array" ref="M50">IsURL(Table_12121510[[#This Row],[Data Source]])</f>
        <v/>
      </c>
    </row>
    <row r="51" ht="15.75" customHeight="1">
      <c r="A51">
        <f>IF(Table_12121510[[#This Row],[Chassis Name]]=0,"",Table_12121510[[#This Row],[Chassis Name]])</f>
        <v/>
      </c>
      <c r="D51" s="25" t="n"/>
      <c r="F51" s="27" t="n"/>
      <c r="I51" s="18">
        <f>IF($B51="","FALSE","TRUE")</f>
        <v/>
      </c>
      <c r="J51">
        <f t="array" ref="J51">IsURL(Table_12121510[[#This Row],[Data Source]])</f>
        <v/>
      </c>
      <c r="K51">
        <f t="array" ref="K51">IsURL(Table_12121510[[#This Row],[DOI]])</f>
        <v/>
      </c>
      <c r="L51">
        <f t="array" ref="L51">IsURL(Table_12121510[[#This Row],[Data Source]])</f>
        <v/>
      </c>
      <c r="M51">
        <f t="array" ref="M51">IsURL(Table_12121510[[#This Row],[Data Source]])</f>
        <v/>
      </c>
    </row>
    <row r="52" ht="15.75" customHeight="1">
      <c r="A52">
        <f>IF(Table_12121510[[#This Row],[Chassis Name]]=0,"",Table_12121510[[#This Row],[Chassis Name]])</f>
        <v/>
      </c>
      <c r="D52" s="25" t="n"/>
      <c r="F52" s="27" t="n"/>
      <c r="I52" s="18">
        <f>IF($B52="","FALSE","TRUE")</f>
        <v/>
      </c>
      <c r="J52">
        <f t="array" ref="J52">IsURL(Table_12121510[[#This Row],[Data Source]])</f>
        <v/>
      </c>
      <c r="K52">
        <f t="array" ref="K52">IsURL(Table_12121510[[#This Row],[DOI]])</f>
        <v/>
      </c>
      <c r="L52">
        <f t="array" ref="L52">IsURL(Table_12121510[[#This Row],[Data Source]])</f>
        <v/>
      </c>
      <c r="M52">
        <f t="array" ref="M52">IsURL(Table_12121510[[#This Row],[Data Source]])</f>
        <v/>
      </c>
    </row>
    <row r="53" ht="15.75" customHeight="1">
      <c r="A53">
        <f>IF(Table_12121510[[#This Row],[Chassis Name]]=0,"",Table_12121510[[#This Row],[Chassis Name]])</f>
        <v/>
      </c>
      <c r="D53" s="25" t="n"/>
      <c r="F53" s="27" t="n"/>
      <c r="I53" s="18">
        <f>IF($B53="","FALSE","TRUE")</f>
        <v/>
      </c>
      <c r="J53">
        <f t="array" ref="J53">IsURL(Table_12121510[[#This Row],[Data Source]])</f>
        <v/>
      </c>
      <c r="K53">
        <f t="array" ref="K53">IsURL(Table_12121510[[#This Row],[DOI]])</f>
        <v/>
      </c>
      <c r="L53">
        <f t="array" ref="L53">IsURL(Table_12121510[[#This Row],[Data Source]])</f>
        <v/>
      </c>
      <c r="M53">
        <f t="array" ref="M53">IsURL(Table_12121510[[#This Row],[Data Source]])</f>
        <v/>
      </c>
    </row>
    <row r="54" ht="15.75" customHeight="1">
      <c r="A54">
        <f>IF(Table_12121510[[#This Row],[Chassis Name]]=0,"",Table_12121510[[#This Row],[Chassis Name]])</f>
        <v/>
      </c>
      <c r="D54" s="25" t="n"/>
      <c r="F54" s="27" t="n"/>
      <c r="I54" s="18">
        <f>IF($B54="","FALSE","TRUE")</f>
        <v/>
      </c>
      <c r="J54">
        <f t="array" ref="J54">IsURL(Table_12121510[[#This Row],[Data Source]])</f>
        <v/>
      </c>
      <c r="K54">
        <f t="array" ref="K54">IsURL(Table_12121510[[#This Row],[DOI]])</f>
        <v/>
      </c>
      <c r="L54">
        <f t="array" ref="L54">IsURL(Table_12121510[[#This Row],[Data Source]])</f>
        <v/>
      </c>
      <c r="M54">
        <f t="array" ref="M54">IsURL(Table_12121510[[#This Row],[Data Source]])</f>
        <v/>
      </c>
    </row>
    <row r="55" ht="15.75" customHeight="1">
      <c r="A55">
        <f>IF(Table_12121510[[#This Row],[Chassis Name]]=0,"",Table_12121510[[#This Row],[Chassis Name]])</f>
        <v/>
      </c>
      <c r="D55" s="25" t="n"/>
      <c r="F55" s="27" t="n"/>
      <c r="I55" s="18">
        <f>IF($B55="","FALSE","TRUE")</f>
        <v/>
      </c>
      <c r="J55">
        <f t="array" ref="J55">IsURL(Table_12121510[[#This Row],[Data Source]])</f>
        <v/>
      </c>
      <c r="K55">
        <f t="array" ref="K55">IsURL(Table_12121510[[#This Row],[DOI]])</f>
        <v/>
      </c>
      <c r="L55">
        <f t="array" ref="L55">IsURL(Table_12121510[[#This Row],[Data Source]])</f>
        <v/>
      </c>
      <c r="M55">
        <f t="array" ref="M55">IsURL(Table_12121510[[#This Row],[Data Source]])</f>
        <v/>
      </c>
    </row>
    <row r="56" ht="15.75" customHeight="1">
      <c r="A56">
        <f>IF(Table_12121510[[#This Row],[Chassis Name]]=0,"",Table_12121510[[#This Row],[Chassis Name]])</f>
        <v/>
      </c>
      <c r="D56" s="25" t="n"/>
      <c r="F56" s="27" t="n"/>
      <c r="I56" s="18">
        <f>IF($B56="","FALSE","TRUE")</f>
        <v/>
      </c>
      <c r="J56">
        <f t="array" ref="J56">IsURL(Table_12121510[[#This Row],[Data Source]])</f>
        <v/>
      </c>
      <c r="K56">
        <f t="array" ref="K56">IsURL(Table_12121510[[#This Row],[DOI]])</f>
        <v/>
      </c>
      <c r="L56">
        <f t="array" ref="L56">IsURL(Table_12121510[[#This Row],[Data Source]])</f>
        <v/>
      </c>
      <c r="M56">
        <f t="array" ref="M56">IsURL(Table_12121510[[#This Row],[Data Source]])</f>
        <v/>
      </c>
    </row>
    <row r="57" ht="15.75" customHeight="1">
      <c r="A57">
        <f>IF(Table_12121510[[#This Row],[Chassis Name]]=0,"",Table_12121510[[#This Row],[Chassis Name]])</f>
        <v/>
      </c>
      <c r="D57" s="25" t="n"/>
      <c r="F57" s="27" t="n"/>
      <c r="I57" s="18">
        <f>IF($B57="","FALSE","TRUE")</f>
        <v/>
      </c>
      <c r="J57">
        <f t="array" ref="J57">IsURL(Table_12121510[[#This Row],[Data Source]])</f>
        <v/>
      </c>
      <c r="K57">
        <f t="array" ref="K57">IsURL(Table_12121510[[#This Row],[DOI]])</f>
        <v/>
      </c>
      <c r="L57">
        <f t="array" ref="L57">IsURL(Table_12121510[[#This Row],[Data Source]])</f>
        <v/>
      </c>
      <c r="M57">
        <f t="array" ref="M57">IsURL(Table_12121510[[#This Row],[Data Source]])</f>
        <v/>
      </c>
    </row>
    <row r="58" ht="15.75" customHeight="1">
      <c r="A58">
        <f>IF(Table_12121510[[#This Row],[Chassis Name]]=0,"",Table_12121510[[#This Row],[Chassis Name]])</f>
        <v/>
      </c>
      <c r="D58" s="25" t="n"/>
      <c r="F58" s="27" t="n"/>
      <c r="I58" s="18">
        <f>IF($B58="","FALSE","TRUE")</f>
        <v/>
      </c>
      <c r="J58">
        <f t="array" ref="J58">IsURL(Table_12121510[[#This Row],[Data Source]])</f>
        <v/>
      </c>
      <c r="K58">
        <f t="array" ref="K58">IsURL(Table_12121510[[#This Row],[DOI]])</f>
        <v/>
      </c>
      <c r="L58">
        <f t="array" ref="L58">IsURL(Table_12121510[[#This Row],[Data Source]])</f>
        <v/>
      </c>
      <c r="M58">
        <f t="array" ref="M58">IsURL(Table_12121510[[#This Row],[Data Source]])</f>
        <v/>
      </c>
    </row>
    <row r="59" ht="15.75" customHeight="1">
      <c r="A59">
        <f>IF(Table_12121510[[#This Row],[Chassis Name]]=0,"",Table_12121510[[#This Row],[Chassis Name]])</f>
        <v/>
      </c>
      <c r="D59" s="25" t="n"/>
      <c r="F59" s="27" t="n"/>
      <c r="I59" s="18">
        <f>IF($B59="","FALSE","TRUE")</f>
        <v/>
      </c>
      <c r="J59">
        <f t="array" ref="J59">IsURL(Table_12121510[[#This Row],[Data Source]])</f>
        <v/>
      </c>
      <c r="K59">
        <f t="array" ref="K59">IsURL(Table_12121510[[#This Row],[DOI]])</f>
        <v/>
      </c>
      <c r="L59">
        <f t="array" ref="L59">IsURL(Table_12121510[[#This Row],[Data Source]])</f>
        <v/>
      </c>
      <c r="M59">
        <f t="array" ref="M59">IsURL(Table_12121510[[#This Row],[Data Source]])</f>
        <v/>
      </c>
    </row>
    <row r="60" ht="15.75" customHeight="1">
      <c r="A60">
        <f>IF(Table_12121510[[#This Row],[Chassis Name]]=0,"",Table_12121510[[#This Row],[Chassis Name]])</f>
        <v/>
      </c>
      <c r="D60" s="25" t="n"/>
      <c r="F60" s="27" t="n"/>
      <c r="I60" s="18">
        <f>IF($B60="","FALSE","TRUE")</f>
        <v/>
      </c>
      <c r="J60">
        <f t="array" ref="J60">IsURL(Table_12121510[[#This Row],[Data Source]])</f>
        <v/>
      </c>
      <c r="K60">
        <f t="array" ref="K60">IsURL(Table_12121510[[#This Row],[DOI]])</f>
        <v/>
      </c>
      <c r="L60">
        <f t="array" ref="L60">IsURL(Table_12121510[[#This Row],[Data Source]])</f>
        <v/>
      </c>
      <c r="M60">
        <f t="array" ref="M60">IsURL(Table_12121510[[#This Row],[Data Source]])</f>
        <v/>
      </c>
    </row>
    <row r="61" ht="15.75" customHeight="1">
      <c r="A61">
        <f>IF(Table_12121510[[#This Row],[Chassis Name]]=0,"",Table_12121510[[#This Row],[Chassis Name]])</f>
        <v/>
      </c>
      <c r="D61" s="25" t="n"/>
      <c r="F61" s="27" t="n"/>
      <c r="I61" s="18">
        <f>IF($B61="","FALSE","TRUE")</f>
        <v/>
      </c>
      <c r="J61">
        <f t="array" ref="J61">IsURL(Table_12121510[[#This Row],[Data Source]])</f>
        <v/>
      </c>
      <c r="K61">
        <f t="array" ref="K61">IsURL(Table_12121510[[#This Row],[DOI]])</f>
        <v/>
      </c>
      <c r="L61">
        <f t="array" ref="L61">IsURL(Table_12121510[[#This Row],[Data Source]])</f>
        <v/>
      </c>
      <c r="M61">
        <f t="array" ref="M61">IsURL(Table_12121510[[#This Row],[Data Source]])</f>
        <v/>
      </c>
    </row>
    <row r="62" ht="15.75" customHeight="1">
      <c r="A62">
        <f>IF(Table_12121510[[#This Row],[Chassis Name]]=0,"",Table_12121510[[#This Row],[Chassis Name]])</f>
        <v/>
      </c>
      <c r="D62" s="25" t="n"/>
      <c r="F62" s="27" t="n"/>
      <c r="I62" s="18">
        <f>IF($B62="","FALSE","TRUE")</f>
        <v/>
      </c>
      <c r="J62">
        <f t="array" ref="J62">IsURL(Table_12121510[[#This Row],[Data Source]])</f>
        <v/>
      </c>
      <c r="K62">
        <f t="array" ref="K62">IsURL(Table_12121510[[#This Row],[DOI]])</f>
        <v/>
      </c>
      <c r="L62">
        <f t="array" ref="L62">IsURL(Table_12121510[[#This Row],[Data Source]])</f>
        <v/>
      </c>
      <c r="M62">
        <f t="array" ref="M62">IsURL(Table_12121510[[#This Row],[Data Source]])</f>
        <v/>
      </c>
    </row>
    <row r="63" ht="15.75" customHeight="1">
      <c r="A63">
        <f>IF(Table_12121510[[#This Row],[Chassis Name]]=0,"",Table_12121510[[#This Row],[Chassis Name]])</f>
        <v/>
      </c>
      <c r="D63" s="25" t="n"/>
      <c r="F63" s="27" t="n"/>
      <c r="I63" s="18">
        <f>IF($B63="","FALSE","TRUE")</f>
        <v/>
      </c>
      <c r="J63">
        <f t="array" ref="J63">IsURL(Table_12121510[[#This Row],[Data Source]])</f>
        <v/>
      </c>
      <c r="K63">
        <f t="array" ref="K63">IsURL(Table_12121510[[#This Row],[DOI]])</f>
        <v/>
      </c>
      <c r="L63">
        <f t="array" ref="L63">IsURL(Table_12121510[[#This Row],[Data Source]])</f>
        <v/>
      </c>
      <c r="M63">
        <f t="array" ref="M63">IsURL(Table_12121510[[#This Row],[Data Source]])</f>
        <v/>
      </c>
    </row>
    <row r="64" ht="15.75" customHeight="1">
      <c r="A64">
        <f>IF(Table_12121510[[#This Row],[Chassis Name]]=0,"",Table_12121510[[#This Row],[Chassis Name]])</f>
        <v/>
      </c>
      <c r="D64" s="25" t="n"/>
      <c r="F64" s="27" t="n"/>
      <c r="I64" s="18">
        <f>IF($B64="","FALSE","TRUE")</f>
        <v/>
      </c>
      <c r="J64">
        <f t="array" ref="J64">IsURL(Table_12121510[[#This Row],[Data Source]])</f>
        <v/>
      </c>
      <c r="K64">
        <f t="array" ref="K64">IsURL(Table_12121510[[#This Row],[DOI]])</f>
        <v/>
      </c>
      <c r="L64">
        <f t="array" ref="L64">IsURL(Table_12121510[[#This Row],[Data Source]])</f>
        <v/>
      </c>
      <c r="M64">
        <f t="array" ref="M64">IsURL(Table_12121510[[#This Row],[Data Source]])</f>
        <v/>
      </c>
    </row>
    <row r="65" ht="15.75" customHeight="1">
      <c r="A65">
        <f>IF(Table_12121510[[#This Row],[Chassis Name]]=0,"",Table_12121510[[#This Row],[Chassis Name]])</f>
        <v/>
      </c>
      <c r="D65" s="25" t="n"/>
      <c r="F65" s="27" t="n"/>
      <c r="I65" s="18">
        <f>IF($B65="","FALSE","TRUE")</f>
        <v/>
      </c>
      <c r="J65">
        <f t="array" ref="J65">IsURL(Table_12121510[[#This Row],[Data Source]])</f>
        <v/>
      </c>
      <c r="K65">
        <f t="array" ref="K65">IsURL(Table_12121510[[#This Row],[DOI]])</f>
        <v/>
      </c>
      <c r="L65">
        <f t="array" ref="L65">IsURL(Table_12121510[[#This Row],[Data Source]])</f>
        <v/>
      </c>
      <c r="M65">
        <f t="array" ref="M65">IsURL(Table_12121510[[#This Row],[Data Source]])</f>
        <v/>
      </c>
    </row>
    <row r="66" ht="15.75" customHeight="1">
      <c r="A66">
        <f>IF(Table_12121510[[#This Row],[Chassis Name]]=0,"",Table_12121510[[#This Row],[Chassis Name]])</f>
        <v/>
      </c>
      <c r="D66" s="25" t="n"/>
      <c r="F66" s="27" t="n"/>
      <c r="I66" s="18">
        <f>IF($B66="","FALSE","TRUE")</f>
        <v/>
      </c>
      <c r="J66">
        <f t="array" ref="J66">IsURL(Table_12121510[[#This Row],[Data Source]])</f>
        <v/>
      </c>
      <c r="K66">
        <f t="array" ref="K66">IsURL(Table_12121510[[#This Row],[DOI]])</f>
        <v/>
      </c>
      <c r="L66">
        <f t="array" ref="L66">IsURL(Table_12121510[[#This Row],[Data Source]])</f>
        <v/>
      </c>
      <c r="M66">
        <f t="array" ref="M66">IsURL(Table_12121510[[#This Row],[Data Source]])</f>
        <v/>
      </c>
    </row>
    <row r="67" ht="15.75" customHeight="1">
      <c r="A67">
        <f>IF(Table_12121510[[#This Row],[Chassis Name]]=0,"",Table_12121510[[#This Row],[Chassis Name]])</f>
        <v/>
      </c>
      <c r="D67" s="25" t="n"/>
      <c r="F67" s="27" t="n"/>
      <c r="I67" s="18">
        <f>IF($B67="","FALSE","TRUE")</f>
        <v/>
      </c>
      <c r="J67">
        <f t="array" ref="J67">IsURL(Table_12121510[[#This Row],[Data Source]])</f>
        <v/>
      </c>
      <c r="K67">
        <f t="array" ref="K67">IsURL(Table_12121510[[#This Row],[DOI]])</f>
        <v/>
      </c>
      <c r="L67">
        <f t="array" ref="L67">IsURL(Table_12121510[[#This Row],[Data Source]])</f>
        <v/>
      </c>
      <c r="M67">
        <f t="array" ref="M67">IsURL(Table_12121510[[#This Row],[Data Source]])</f>
        <v/>
      </c>
    </row>
    <row r="68" ht="15.75" customHeight="1">
      <c r="A68">
        <f>IF(Table_12121510[[#This Row],[Chassis Name]]=0,"",Table_12121510[[#This Row],[Chassis Name]])</f>
        <v/>
      </c>
      <c r="D68" s="25" t="n"/>
      <c r="F68" s="27" t="n"/>
      <c r="I68" s="18">
        <f>IF($B68="","FALSE","TRUE")</f>
        <v/>
      </c>
      <c r="J68">
        <f t="array" ref="J68">IsURL(Table_12121510[[#This Row],[Data Source]])</f>
        <v/>
      </c>
      <c r="K68">
        <f t="array" ref="K68">IsURL(Table_12121510[[#This Row],[DOI]])</f>
        <v/>
      </c>
      <c r="L68">
        <f t="array" ref="L68">IsURL(Table_12121510[[#This Row],[Data Source]])</f>
        <v/>
      </c>
      <c r="M68">
        <f t="array" ref="M68">IsURL(Table_12121510[[#This Row],[Data Source]])</f>
        <v/>
      </c>
    </row>
    <row r="69" ht="15.75" customHeight="1">
      <c r="A69">
        <f>IF(Table_12121510[[#This Row],[Chassis Name]]=0,"",Table_12121510[[#This Row],[Chassis Name]])</f>
        <v/>
      </c>
      <c r="D69" s="25" t="n"/>
      <c r="F69" s="27" t="n"/>
      <c r="I69" s="18">
        <f>IF($B69="","FALSE","TRUE")</f>
        <v/>
      </c>
      <c r="J69">
        <f t="array" ref="J69">IsURL(Table_12121510[[#This Row],[Data Source]])</f>
        <v/>
      </c>
      <c r="K69">
        <f t="array" ref="K69">IsURL(Table_12121510[[#This Row],[DOI]])</f>
        <v/>
      </c>
      <c r="L69">
        <f t="array" ref="L69">IsURL(Table_12121510[[#This Row],[Data Source]])</f>
        <v/>
      </c>
      <c r="M69">
        <f t="array" ref="M69">IsURL(Table_12121510[[#This Row],[Data Source]])</f>
        <v/>
      </c>
    </row>
    <row r="70" ht="15.75" customHeight="1">
      <c r="A70">
        <f>IF(Table_12121510[[#This Row],[Chassis Name]]=0,"",Table_12121510[[#This Row],[Chassis Name]])</f>
        <v/>
      </c>
      <c r="D70" s="25" t="n"/>
      <c r="F70" s="27" t="n"/>
      <c r="I70" s="18">
        <f>IF($B70="","FALSE","TRUE")</f>
        <v/>
      </c>
      <c r="J70">
        <f t="array" ref="J70">IsURL(Table_12121510[[#This Row],[Data Source]])</f>
        <v/>
      </c>
      <c r="K70">
        <f t="array" ref="K70">IsURL(Table_12121510[[#This Row],[DOI]])</f>
        <v/>
      </c>
      <c r="L70">
        <f t="array" ref="L70">IsURL(Table_12121510[[#This Row],[Data Source]])</f>
        <v/>
      </c>
      <c r="M70">
        <f t="array" ref="M70">IsURL(Table_12121510[[#This Row],[Data Source]])</f>
        <v/>
      </c>
    </row>
    <row r="71" ht="15.75" customHeight="1">
      <c r="A71">
        <f>IF(Table_12121510[[#This Row],[Chassis Name]]=0,"",Table_12121510[[#This Row],[Chassis Name]])</f>
        <v/>
      </c>
      <c r="D71" s="25" t="n"/>
      <c r="F71" s="27" t="n"/>
      <c r="I71" s="18">
        <f>IF($B71="","FALSE","TRUE")</f>
        <v/>
      </c>
      <c r="J71">
        <f t="array" ref="J71">IsURL(Table_12121510[[#This Row],[Data Source]])</f>
        <v/>
      </c>
      <c r="K71">
        <f t="array" ref="K71">IsURL(Table_12121510[[#This Row],[DOI]])</f>
        <v/>
      </c>
      <c r="L71">
        <f t="array" ref="L71">IsURL(Table_12121510[[#This Row],[Data Source]])</f>
        <v/>
      </c>
      <c r="M71">
        <f t="array" ref="M71">IsURL(Table_12121510[[#This Row],[Data Source]])</f>
        <v/>
      </c>
    </row>
    <row r="72" ht="15.75" customHeight="1">
      <c r="A72">
        <f>IF(Table_12121510[[#This Row],[Chassis Name]]=0,"",Table_12121510[[#This Row],[Chassis Name]])</f>
        <v/>
      </c>
      <c r="D72" s="25" t="n"/>
      <c r="F72" s="27" t="n"/>
      <c r="I72" s="18">
        <f>IF($B72="","FALSE","TRUE")</f>
        <v/>
      </c>
      <c r="J72">
        <f t="array" ref="J72">IsURL(Table_12121510[[#This Row],[Data Source]])</f>
        <v/>
      </c>
      <c r="K72">
        <f t="array" ref="K72">IsURL(Table_12121510[[#This Row],[DOI]])</f>
        <v/>
      </c>
      <c r="L72">
        <f t="array" ref="L72">IsURL(Table_12121510[[#This Row],[Data Source]])</f>
        <v/>
      </c>
      <c r="M72">
        <f t="array" ref="M72">IsURL(Table_12121510[[#This Row],[Data Source]])</f>
        <v/>
      </c>
    </row>
    <row r="73" ht="15.75" customHeight="1">
      <c r="A73">
        <f>IF(Table_12121510[[#This Row],[Chassis Name]]=0,"",Table_12121510[[#This Row],[Chassis Name]])</f>
        <v/>
      </c>
      <c r="D73" s="25" t="n"/>
      <c r="F73" s="27" t="n"/>
      <c r="I73" s="18">
        <f>IF($B73="","FALSE","TRUE")</f>
        <v/>
      </c>
      <c r="J73">
        <f t="array" ref="J73">IsURL(Table_12121510[[#This Row],[Data Source]])</f>
        <v/>
      </c>
      <c r="K73">
        <f t="array" ref="K73">IsURL(Table_12121510[[#This Row],[DOI]])</f>
        <v/>
      </c>
      <c r="L73">
        <f t="array" ref="L73">IsURL(Table_12121510[[#This Row],[Data Source]])</f>
        <v/>
      </c>
      <c r="M73">
        <f t="array" ref="M73">IsURL(Table_12121510[[#This Row],[Data Source]])</f>
        <v/>
      </c>
    </row>
    <row r="74" ht="15.75" customHeight="1">
      <c r="A74">
        <f>IF(Table_12121510[[#This Row],[Chassis Name]]=0,"",Table_12121510[[#This Row],[Chassis Name]])</f>
        <v/>
      </c>
      <c r="D74" s="25" t="n"/>
      <c r="F74" s="27" t="n"/>
      <c r="I74" s="18">
        <f>IF($B74="","FALSE","TRUE")</f>
        <v/>
      </c>
      <c r="J74">
        <f t="array" ref="J74">IsURL(Table_12121510[[#This Row],[Data Source]])</f>
        <v/>
      </c>
      <c r="K74">
        <f t="array" ref="K74">IsURL(Table_12121510[[#This Row],[DOI]])</f>
        <v/>
      </c>
      <c r="L74">
        <f t="array" ref="L74">IsURL(Table_12121510[[#This Row],[Data Source]])</f>
        <v/>
      </c>
      <c r="M74">
        <f t="array" ref="M74">IsURL(Table_12121510[[#This Row],[Data Source]])</f>
        <v/>
      </c>
    </row>
    <row r="75" ht="15.75" customHeight="1">
      <c r="A75">
        <f>IF(Table_12121510[[#This Row],[Chassis Name]]=0,"",Table_12121510[[#This Row],[Chassis Name]])</f>
        <v/>
      </c>
      <c r="D75" s="25" t="n"/>
      <c r="F75" s="27" t="n"/>
      <c r="I75" s="18">
        <f>IF($B75="","FALSE","TRUE")</f>
        <v/>
      </c>
      <c r="J75">
        <f t="array" ref="J75">IsURL(Table_12121510[[#This Row],[Data Source]])</f>
        <v/>
      </c>
      <c r="K75">
        <f t="array" ref="K75">IsURL(Table_12121510[[#This Row],[DOI]])</f>
        <v/>
      </c>
      <c r="L75">
        <f t="array" ref="L75">IsURL(Table_12121510[[#This Row],[Data Source]])</f>
        <v/>
      </c>
      <c r="M75">
        <f t="array" ref="M75">IsURL(Table_12121510[[#This Row],[Data Source]])</f>
        <v/>
      </c>
    </row>
    <row r="76" ht="15.75" customHeight="1">
      <c r="A76">
        <f>IF(Table_12121510[[#This Row],[Chassis Name]]=0,"",Table_12121510[[#This Row],[Chassis Name]])</f>
        <v/>
      </c>
      <c r="D76" s="25" t="n"/>
      <c r="F76" s="27" t="n"/>
      <c r="I76" s="18">
        <f>IF($B76="","FALSE","TRUE")</f>
        <v/>
      </c>
      <c r="J76">
        <f t="array" ref="J76">IsURL(Table_12121510[[#This Row],[Data Source]])</f>
        <v/>
      </c>
      <c r="K76">
        <f t="array" ref="K76">IsURL(Table_12121510[[#This Row],[DOI]])</f>
        <v/>
      </c>
      <c r="L76">
        <f t="array" ref="L76">IsURL(Table_12121510[[#This Row],[Data Source]])</f>
        <v/>
      </c>
      <c r="M76">
        <f t="array" ref="M76">IsURL(Table_12121510[[#This Row],[Data Source]])</f>
        <v/>
      </c>
    </row>
    <row r="77" ht="15.75" customHeight="1">
      <c r="A77">
        <f>IF(Table_12121510[[#This Row],[Chassis Name]]=0,"",Table_12121510[[#This Row],[Chassis Name]])</f>
        <v/>
      </c>
      <c r="D77" s="25" t="n"/>
      <c r="F77" s="27" t="n"/>
      <c r="I77" s="18">
        <f>IF($B77="","FALSE","TRUE")</f>
        <v/>
      </c>
      <c r="J77">
        <f t="array" ref="J77">IsURL(Table_12121510[[#This Row],[Data Source]])</f>
        <v/>
      </c>
      <c r="K77">
        <f t="array" ref="K77">IsURL(Table_12121510[[#This Row],[DOI]])</f>
        <v/>
      </c>
      <c r="L77">
        <f t="array" ref="L77">IsURL(Table_12121510[[#This Row],[Data Source]])</f>
        <v/>
      </c>
      <c r="M77">
        <f t="array" ref="M77">IsURL(Table_12121510[[#This Row],[Data Source]])</f>
        <v/>
      </c>
    </row>
    <row r="78" ht="15.75" customHeight="1">
      <c r="A78">
        <f>IF(Table_12121510[[#This Row],[Chassis Name]]=0,"",Table_12121510[[#This Row],[Chassis Name]])</f>
        <v/>
      </c>
      <c r="D78" s="25" t="n"/>
      <c r="F78" s="27" t="n"/>
      <c r="I78" s="18">
        <f>IF($B78="","FALSE","TRUE")</f>
        <v/>
      </c>
      <c r="J78">
        <f t="array" ref="J78">IsURL(Table_12121510[[#This Row],[Data Source]])</f>
        <v/>
      </c>
      <c r="K78">
        <f t="array" ref="K78">IsURL(Table_12121510[[#This Row],[DOI]])</f>
        <v/>
      </c>
      <c r="L78">
        <f t="array" ref="L78">IsURL(Table_12121510[[#This Row],[Data Source]])</f>
        <v/>
      </c>
      <c r="M78">
        <f t="array" ref="M78">IsURL(Table_12121510[[#This Row],[Data Source]])</f>
        <v/>
      </c>
    </row>
    <row r="79" ht="15.75" customHeight="1">
      <c r="A79">
        <f>IF(Table_12121510[[#This Row],[Chassis Name]]=0,"",Table_12121510[[#This Row],[Chassis Name]])</f>
        <v/>
      </c>
      <c r="D79" s="25" t="n"/>
      <c r="F79" s="27" t="n"/>
      <c r="I79" s="18">
        <f>IF($B79="","FALSE","TRUE")</f>
        <v/>
      </c>
      <c r="J79">
        <f t="array" ref="J79">IsURL(Table_12121510[[#This Row],[Data Source]])</f>
        <v/>
      </c>
      <c r="K79">
        <f t="array" ref="K79">IsURL(Table_12121510[[#This Row],[DOI]])</f>
        <v/>
      </c>
      <c r="L79">
        <f t="array" ref="L79">IsURL(Table_12121510[[#This Row],[Data Source]])</f>
        <v/>
      </c>
      <c r="M79">
        <f t="array" ref="M79">IsURL(Table_12121510[[#This Row],[Data Source]])</f>
        <v/>
      </c>
    </row>
    <row r="80" ht="15.75" customHeight="1">
      <c r="A80">
        <f>IF(Table_12121510[[#This Row],[Chassis Name]]=0,"",Table_12121510[[#This Row],[Chassis Name]])</f>
        <v/>
      </c>
      <c r="D80" s="25" t="n"/>
      <c r="F80" s="27" t="n"/>
      <c r="I80" s="18">
        <f>IF($B80="","FALSE","TRUE")</f>
        <v/>
      </c>
      <c r="J80">
        <f t="array" ref="J80">IsURL(Table_12121510[[#This Row],[Data Source]])</f>
        <v/>
      </c>
      <c r="K80">
        <f t="array" ref="K80">IsURL(Table_12121510[[#This Row],[DOI]])</f>
        <v/>
      </c>
      <c r="L80">
        <f t="array" ref="L80">IsURL(Table_12121510[[#This Row],[Data Source]])</f>
        <v/>
      </c>
      <c r="M80">
        <f t="array" ref="M80">IsURL(Table_12121510[[#This Row],[Data Source]])</f>
        <v/>
      </c>
    </row>
    <row r="81" ht="15.75" customHeight="1">
      <c r="A81">
        <f>IF(Table_12121510[[#This Row],[Chassis Name]]=0,"",Table_12121510[[#This Row],[Chassis Name]])</f>
        <v/>
      </c>
      <c r="D81" s="25" t="n"/>
      <c r="F81" s="27" t="n"/>
      <c r="I81" s="18">
        <f>IF($B81="","FALSE","TRUE")</f>
        <v/>
      </c>
      <c r="J81">
        <f t="array" ref="J81">IsURL(Table_12121510[[#This Row],[Data Source]])</f>
        <v/>
      </c>
      <c r="K81">
        <f t="array" ref="K81">IsURL(Table_12121510[[#This Row],[DOI]])</f>
        <v/>
      </c>
      <c r="L81">
        <f t="array" ref="L81">IsURL(Table_12121510[[#This Row],[Data Source]])</f>
        <v/>
      </c>
      <c r="M81">
        <f t="array" ref="M81">IsURL(Table_12121510[[#This Row],[Data Source]])</f>
        <v/>
      </c>
    </row>
    <row r="82" ht="15.75" customHeight="1">
      <c r="A82">
        <f>IF(Table_12121510[[#This Row],[Chassis Name]]=0,"",Table_12121510[[#This Row],[Chassis Name]])</f>
        <v/>
      </c>
      <c r="D82" s="25" t="n"/>
      <c r="F82" s="27" t="n"/>
      <c r="I82" s="18">
        <f>IF($B82="","FALSE","TRUE")</f>
        <v/>
      </c>
      <c r="J82">
        <f t="array" ref="J82">IsURL(Table_12121510[[#This Row],[Data Source]])</f>
        <v/>
      </c>
      <c r="K82">
        <f t="array" ref="K82">IsURL(Table_12121510[[#This Row],[DOI]])</f>
        <v/>
      </c>
      <c r="L82">
        <f t="array" ref="L82">IsURL(Table_12121510[[#This Row],[Data Source]])</f>
        <v/>
      </c>
      <c r="M82">
        <f t="array" ref="M82">IsURL(Table_12121510[[#This Row],[Data Source]])</f>
        <v/>
      </c>
    </row>
    <row r="83" ht="15.75" customHeight="1">
      <c r="A83">
        <f>IF(Table_12121510[[#This Row],[Chassis Name]]=0,"",Table_12121510[[#This Row],[Chassis Name]])</f>
        <v/>
      </c>
      <c r="D83" s="25" t="n"/>
      <c r="F83" s="27" t="n"/>
      <c r="I83" s="18">
        <f>IF($B83="","FALSE","TRUE")</f>
        <v/>
      </c>
      <c r="J83">
        <f t="array" ref="J83">IsURL(Table_12121510[[#This Row],[Data Source]])</f>
        <v/>
      </c>
      <c r="K83">
        <f t="array" ref="K83">IsURL(Table_12121510[[#This Row],[DOI]])</f>
        <v/>
      </c>
      <c r="L83">
        <f t="array" ref="L83">IsURL(Table_12121510[[#This Row],[Data Source]])</f>
        <v/>
      </c>
      <c r="M83">
        <f t="array" ref="M83">IsURL(Table_12121510[[#This Row],[Data Source]])</f>
        <v/>
      </c>
    </row>
    <row r="84" ht="15.75" customHeight="1">
      <c r="A84">
        <f>IF(Table_12121510[[#This Row],[Chassis Name]]=0,"",Table_12121510[[#This Row],[Chassis Name]])</f>
        <v/>
      </c>
      <c r="D84" s="25" t="n"/>
      <c r="F84" s="27" t="n"/>
      <c r="I84" s="18">
        <f>IF($B84="","FALSE","TRUE")</f>
        <v/>
      </c>
      <c r="J84">
        <f t="array" ref="J84">IsURL(Table_12121510[[#This Row],[Data Source]])</f>
        <v/>
      </c>
      <c r="K84">
        <f t="array" ref="K84">IsURL(Table_12121510[[#This Row],[DOI]])</f>
        <v/>
      </c>
      <c r="L84">
        <f t="array" ref="L84">IsURL(Table_12121510[[#This Row],[Data Source]])</f>
        <v/>
      </c>
      <c r="M84">
        <f t="array" ref="M84">IsURL(Table_12121510[[#This Row],[Data Source]])</f>
        <v/>
      </c>
    </row>
    <row r="85" ht="15.75" customHeight="1">
      <c r="A85">
        <f>IF(Table_12121510[[#This Row],[Chassis Name]]=0,"",Table_12121510[[#This Row],[Chassis Name]])</f>
        <v/>
      </c>
      <c r="D85" s="25" t="n"/>
      <c r="F85" s="27" t="n"/>
      <c r="I85" s="18">
        <f>IF($B85="","FALSE","TRUE")</f>
        <v/>
      </c>
      <c r="J85">
        <f t="array" ref="J85">IsURL(Table_12121510[[#This Row],[Data Source]])</f>
        <v/>
      </c>
      <c r="K85">
        <f t="array" ref="K85">IsURL(Table_12121510[[#This Row],[DOI]])</f>
        <v/>
      </c>
      <c r="L85">
        <f t="array" ref="L85">IsURL(Table_12121510[[#This Row],[Data Source]])</f>
        <v/>
      </c>
      <c r="M85">
        <f t="array" ref="M85">IsURL(Table_12121510[[#This Row],[Data Source]])</f>
        <v/>
      </c>
    </row>
    <row r="86" ht="15.75" customHeight="1">
      <c r="A86">
        <f>IF(Table_12121510[[#This Row],[Chassis Name]]=0,"",Table_12121510[[#This Row],[Chassis Name]])</f>
        <v/>
      </c>
      <c r="D86" s="25" t="n"/>
      <c r="F86" s="27" t="n"/>
      <c r="I86" s="18">
        <f>IF($B86="","FALSE","TRUE")</f>
        <v/>
      </c>
      <c r="J86">
        <f t="array" ref="J86">IsURL(Table_12121510[[#This Row],[Data Source]])</f>
        <v/>
      </c>
      <c r="K86">
        <f t="array" ref="K86">IsURL(Table_12121510[[#This Row],[DOI]])</f>
        <v/>
      </c>
      <c r="L86">
        <f t="array" ref="L86">IsURL(Table_12121510[[#This Row],[Data Source]])</f>
        <v/>
      </c>
      <c r="M86">
        <f t="array" ref="M86">IsURL(Table_12121510[[#This Row],[Data Source]])</f>
        <v/>
      </c>
    </row>
    <row r="87" ht="15.75" customHeight="1">
      <c r="A87">
        <f>IF(Table_12121510[[#This Row],[Chassis Name]]=0,"",Table_12121510[[#This Row],[Chassis Name]])</f>
        <v/>
      </c>
      <c r="D87" s="25" t="n"/>
      <c r="F87" s="27" t="n"/>
      <c r="I87" s="18">
        <f>IF($B87="","FALSE","TRUE")</f>
        <v/>
      </c>
      <c r="J87">
        <f t="array" ref="J87">IsURL(Table_12121510[[#This Row],[Data Source]])</f>
        <v/>
      </c>
      <c r="K87">
        <f t="array" ref="K87">IsURL(Table_12121510[[#This Row],[DOI]])</f>
        <v/>
      </c>
      <c r="L87">
        <f t="array" ref="L87">IsURL(Table_12121510[[#This Row],[Data Source]])</f>
        <v/>
      </c>
      <c r="M87">
        <f t="array" ref="M87">IsURL(Table_12121510[[#This Row],[Data Source]])</f>
        <v/>
      </c>
    </row>
    <row r="88" ht="15.75" customHeight="1">
      <c r="A88">
        <f>IF(Table_12121510[[#This Row],[Chassis Name]]=0,"",Table_12121510[[#This Row],[Chassis Name]])</f>
        <v/>
      </c>
      <c r="D88" s="25" t="n"/>
      <c r="F88" s="27" t="n"/>
      <c r="I88" s="18">
        <f>IF($B88="","FALSE","TRUE")</f>
        <v/>
      </c>
      <c r="J88">
        <f t="array" ref="J88">IsURL(Table_12121510[[#This Row],[Data Source]])</f>
        <v/>
      </c>
      <c r="K88">
        <f t="array" ref="K88">IsURL(Table_12121510[[#This Row],[DOI]])</f>
        <v/>
      </c>
      <c r="L88">
        <f t="array" ref="L88">IsURL(Table_12121510[[#This Row],[Data Source]])</f>
        <v/>
      </c>
      <c r="M88">
        <f t="array" ref="M88">IsURL(Table_12121510[[#This Row],[Data Source]])</f>
        <v/>
      </c>
    </row>
    <row r="89" ht="15.75" customHeight="1">
      <c r="A89">
        <f>IF(Table_12121510[[#This Row],[Chassis Name]]=0,"",Table_12121510[[#This Row],[Chassis Name]])</f>
        <v/>
      </c>
      <c r="D89" s="25" t="n"/>
      <c r="F89" s="27" t="n"/>
      <c r="I89" s="18">
        <f>IF($B89="","FALSE","TRUE")</f>
        <v/>
      </c>
      <c r="J89">
        <f t="array" ref="J89">IsURL(Table_12121510[[#This Row],[Data Source]])</f>
        <v/>
      </c>
      <c r="K89">
        <f t="array" ref="K89">IsURL(Table_12121510[[#This Row],[DOI]])</f>
        <v/>
      </c>
      <c r="L89">
        <f t="array" ref="L89">IsURL(Table_12121510[[#This Row],[Data Source]])</f>
        <v/>
      </c>
      <c r="M89">
        <f t="array" ref="M89">IsURL(Table_12121510[[#This Row],[Data Source]])</f>
        <v/>
      </c>
    </row>
    <row r="90" ht="15.75" customHeight="1">
      <c r="A90">
        <f>IF(Table_12121510[[#This Row],[Chassis Name]]=0,"",Table_12121510[[#This Row],[Chassis Name]])</f>
        <v/>
      </c>
      <c r="D90" s="25" t="n"/>
      <c r="F90" s="27" t="n"/>
      <c r="I90" s="18">
        <f>IF($B90="","FALSE","TRUE")</f>
        <v/>
      </c>
      <c r="J90">
        <f t="array" ref="J90">IsURL(Table_12121510[[#This Row],[Data Source]])</f>
        <v/>
      </c>
      <c r="K90">
        <f t="array" ref="K90">IsURL(Table_12121510[[#This Row],[DOI]])</f>
        <v/>
      </c>
      <c r="L90">
        <f t="array" ref="L90">IsURL(Table_12121510[[#This Row],[Data Source]])</f>
        <v/>
      </c>
      <c r="M90">
        <f t="array" ref="M90">IsURL(Table_12121510[[#This Row],[Data Source]])</f>
        <v/>
      </c>
    </row>
    <row r="91" ht="15.75" customHeight="1">
      <c r="A91">
        <f>IF(Table_12121510[[#This Row],[Chassis Name]]=0,"",Table_12121510[[#This Row],[Chassis Name]])</f>
        <v/>
      </c>
      <c r="D91" s="25" t="n"/>
      <c r="F91" s="27" t="n"/>
      <c r="I91" s="18">
        <f>IF($B91="","FALSE","TRUE")</f>
        <v/>
      </c>
      <c r="J91">
        <f t="array" ref="J91">IsURL(Table_12121510[[#This Row],[Data Source]])</f>
        <v/>
      </c>
      <c r="K91">
        <f t="array" ref="K91">IsURL(Table_12121510[[#This Row],[DOI]])</f>
        <v/>
      </c>
      <c r="L91">
        <f t="array" ref="L91">IsURL(Table_12121510[[#This Row],[Data Source]])</f>
        <v/>
      </c>
      <c r="M91">
        <f t="array" ref="M91">IsURL(Table_12121510[[#This Row],[Data Source]])</f>
        <v/>
      </c>
    </row>
    <row r="92" ht="15.75" customHeight="1">
      <c r="A92">
        <f>IF(Table_12121510[[#This Row],[Chassis Name]]=0,"",Table_12121510[[#This Row],[Chassis Name]])</f>
        <v/>
      </c>
      <c r="D92" s="25" t="n"/>
      <c r="F92" s="27" t="n"/>
      <c r="I92" s="18">
        <f>IF($B92="","FALSE","TRUE")</f>
        <v/>
      </c>
      <c r="J92">
        <f t="array" ref="J92">IsURL(Table_12121510[[#This Row],[Data Source]])</f>
        <v/>
      </c>
      <c r="K92">
        <f t="array" ref="K92">IsURL(Table_12121510[[#This Row],[DOI]])</f>
        <v/>
      </c>
      <c r="L92">
        <f t="array" ref="L92">IsURL(Table_12121510[[#This Row],[Data Source]])</f>
        <v/>
      </c>
      <c r="M92">
        <f t="array" ref="M92">IsURL(Table_12121510[[#This Row],[Data Source]])</f>
        <v/>
      </c>
    </row>
    <row r="93" ht="15.75" customHeight="1">
      <c r="A93">
        <f>IF(Table_12121510[[#This Row],[Chassis Name]]=0,"",Table_12121510[[#This Row],[Chassis Name]])</f>
        <v/>
      </c>
      <c r="D93" s="25" t="n"/>
      <c r="F93" s="27" t="n"/>
      <c r="I93" s="18">
        <f>IF($B93="","FALSE","TRUE")</f>
        <v/>
      </c>
      <c r="J93">
        <f t="array" ref="J93">IsURL(Table_12121510[[#This Row],[Data Source]])</f>
        <v/>
      </c>
      <c r="K93">
        <f t="array" ref="K93">IsURL(Table_12121510[[#This Row],[DOI]])</f>
        <v/>
      </c>
      <c r="L93">
        <f t="array" ref="L93">IsURL(Table_12121510[[#This Row],[Data Source]])</f>
        <v/>
      </c>
      <c r="M93">
        <f t="array" ref="M93">IsURL(Table_12121510[[#This Row],[Data Source]])</f>
        <v/>
      </c>
    </row>
    <row r="94" ht="15.75" customHeight="1">
      <c r="A94">
        <f>IF(Table_12121510[[#This Row],[Chassis Name]]=0,"",Table_12121510[[#This Row],[Chassis Name]])</f>
        <v/>
      </c>
      <c r="D94" s="25" t="n"/>
      <c r="F94" s="27" t="n"/>
      <c r="I94" s="18">
        <f>IF($B94="","FALSE","TRUE")</f>
        <v/>
      </c>
      <c r="J94">
        <f t="array" ref="J94">IsURL(Table_12121510[[#This Row],[Data Source]])</f>
        <v/>
      </c>
      <c r="K94">
        <f t="array" ref="K94">IsURL(Table_12121510[[#This Row],[DOI]])</f>
        <v/>
      </c>
      <c r="L94">
        <f t="array" ref="L94">IsURL(Table_12121510[[#This Row],[Data Source]])</f>
        <v/>
      </c>
      <c r="M94">
        <f t="array" ref="M94">IsURL(Table_12121510[[#This Row],[Data Source]])</f>
        <v/>
      </c>
    </row>
    <row r="95" ht="15.75" customHeight="1">
      <c r="A95">
        <f>IF(Table_12121510[[#This Row],[Chassis Name]]=0,"",Table_12121510[[#This Row],[Chassis Name]])</f>
        <v/>
      </c>
      <c r="D95" s="25" t="n"/>
      <c r="F95" s="27" t="n"/>
      <c r="I95" s="18">
        <f>IF($B95="","FALSE","TRUE")</f>
        <v/>
      </c>
      <c r="J95">
        <f t="array" ref="J95">IsURL(Table_12121510[[#This Row],[Data Source]])</f>
        <v/>
      </c>
      <c r="K95">
        <f t="array" ref="K95">IsURL(Table_12121510[[#This Row],[DOI]])</f>
        <v/>
      </c>
      <c r="L95">
        <f t="array" ref="L95">IsURL(Table_12121510[[#This Row],[Data Source]])</f>
        <v/>
      </c>
      <c r="M95">
        <f t="array" ref="M95">IsURL(Table_12121510[[#This Row],[Data Source]])</f>
        <v/>
      </c>
    </row>
    <row r="96" ht="15.75" customHeight="1">
      <c r="A96">
        <f>IF(Table_12121510[[#This Row],[Chassis Name]]=0,"",Table_12121510[[#This Row],[Chassis Name]])</f>
        <v/>
      </c>
      <c r="D96" s="25" t="n"/>
      <c r="F96" s="27" t="n"/>
      <c r="I96" s="18">
        <f>IF($B96="","FALSE","TRUE")</f>
        <v/>
      </c>
      <c r="J96">
        <f t="array" ref="J96">IsURL(Table_12121510[[#This Row],[Data Source]])</f>
        <v/>
      </c>
      <c r="K96">
        <f t="array" ref="K96">IsURL(Table_12121510[[#This Row],[DOI]])</f>
        <v/>
      </c>
      <c r="L96">
        <f t="array" ref="L96">IsURL(Table_12121510[[#This Row],[Data Source]])</f>
        <v/>
      </c>
      <c r="M96">
        <f t="array" ref="M96">IsURL(Table_12121510[[#This Row],[Data Source]])</f>
        <v/>
      </c>
    </row>
    <row r="97" ht="15.75" customHeight="1">
      <c r="A97">
        <f>IF(Table_12121510[[#This Row],[Chassis Name]]=0,"",Table_12121510[[#This Row],[Chassis Name]])</f>
        <v/>
      </c>
      <c r="D97" s="25" t="n"/>
      <c r="F97" s="27" t="n"/>
      <c r="I97" s="18">
        <f>IF($B97="","FALSE","TRUE")</f>
        <v/>
      </c>
      <c r="J97">
        <f t="array" ref="J97">IsURL(Table_12121510[[#This Row],[Data Source]])</f>
        <v/>
      </c>
      <c r="K97">
        <f t="array" ref="K97">IsURL(Table_12121510[[#This Row],[DOI]])</f>
        <v/>
      </c>
      <c r="L97">
        <f t="array" ref="L97">IsURL(Table_12121510[[#This Row],[Data Source]])</f>
        <v/>
      </c>
      <c r="M97">
        <f t="array" ref="M97">IsURL(Table_12121510[[#This Row],[Data Source]])</f>
        <v/>
      </c>
    </row>
    <row r="98" ht="15.75" customHeight="1">
      <c r="A98">
        <f>IF(Table_12121510[[#This Row],[Chassis Name]]=0,"",Table_12121510[[#This Row],[Chassis Name]])</f>
        <v/>
      </c>
      <c r="D98" s="25" t="n"/>
      <c r="F98" s="27" t="n"/>
      <c r="I98" s="18">
        <f>IF($B98="","FALSE","TRUE")</f>
        <v/>
      </c>
      <c r="J98">
        <f t="array" ref="J98">IsURL(Table_12121510[[#This Row],[Data Source]])</f>
        <v/>
      </c>
      <c r="K98">
        <f t="array" ref="K98">IsURL(Table_12121510[[#This Row],[DOI]])</f>
        <v/>
      </c>
      <c r="L98">
        <f t="array" ref="L98">IsURL(Table_12121510[[#This Row],[Data Source]])</f>
        <v/>
      </c>
      <c r="M98">
        <f t="array" ref="M98">IsURL(Table_12121510[[#This Row],[Data Source]])</f>
        <v/>
      </c>
    </row>
    <row r="99" ht="15.75" customHeight="1">
      <c r="A99">
        <f>IF(Table_12121510[[#This Row],[Chassis Name]]=0,"",Table_12121510[[#This Row],[Chassis Name]])</f>
        <v/>
      </c>
      <c r="D99" s="25" t="n"/>
      <c r="F99" s="27" t="n"/>
      <c r="I99" s="18">
        <f>IF($B99="","FALSE","TRUE")</f>
        <v/>
      </c>
      <c r="J99">
        <f t="array" ref="J99">IsURL(Table_12121510[[#This Row],[Data Source]])</f>
        <v/>
      </c>
      <c r="K99">
        <f t="array" ref="K99">IsURL(Table_12121510[[#This Row],[DOI]])</f>
        <v/>
      </c>
      <c r="L99">
        <f t="array" ref="L99">IsURL(Table_12121510[[#This Row],[Data Source]])</f>
        <v/>
      </c>
      <c r="M99">
        <f t="array" ref="M99">IsURL(Table_12121510[[#This Row],[Data Source]])</f>
        <v/>
      </c>
    </row>
    <row r="100" ht="15.75" customHeight="1">
      <c r="A100">
        <f>IF(Table_12121510[[#This Row],[Chassis Name]]=0,"",Table_12121510[[#This Row],[Chassis Name]])</f>
        <v/>
      </c>
      <c r="D100" s="25" t="n"/>
      <c r="F100" s="27" t="n"/>
      <c r="I100" s="18">
        <f>IF($B100="","FALSE","TRUE")</f>
        <v/>
      </c>
      <c r="J100">
        <f t="array" ref="J100">IsURL(Table_12121510[[#This Row],[Data Source]])</f>
        <v/>
      </c>
      <c r="K100">
        <f t="array" ref="K100">IsURL(Table_12121510[[#This Row],[DOI]])</f>
        <v/>
      </c>
      <c r="L100">
        <f t="array" ref="L100">IsURL(Table_12121510[[#This Row],[Data Source]])</f>
        <v/>
      </c>
      <c r="M100">
        <f t="array" ref="M100">IsURL(Table_12121510[[#This Row],[Data Source]])</f>
        <v/>
      </c>
    </row>
    <row r="101" ht="15.75" customHeight="1">
      <c r="A101">
        <f>IF(Table_12121510[[#This Row],[Chassis Name]]=0,"",Table_12121510[[#This Row],[Chassis Name]])</f>
        <v/>
      </c>
      <c r="D101" s="25" t="n"/>
      <c r="F101" s="27" t="n"/>
      <c r="I101" s="18">
        <f>IF($B101="","FALSE","TRUE")</f>
        <v/>
      </c>
      <c r="J101">
        <f t="array" ref="J101">IsURL(Table_12121510[[#This Row],[Data Source]])</f>
        <v/>
      </c>
      <c r="K101">
        <f t="array" ref="K101">IsURL(Table_12121510[[#This Row],[DOI]])</f>
        <v/>
      </c>
      <c r="L101">
        <f t="array" ref="L101">IsURL(Table_12121510[[#This Row],[Data Source]])</f>
        <v/>
      </c>
      <c r="M101">
        <f t="array" ref="M101">IsURL(Table_12121510[[#This Row],[Data Source]])</f>
        <v/>
      </c>
    </row>
    <row r="102" ht="15.75" customHeight="1">
      <c r="A102">
        <f>IF(Table_12121510[[#This Row],[Chassis Name]]=0,"",Table_12121510[[#This Row],[Chassis Name]])</f>
        <v/>
      </c>
      <c r="D102" s="25" t="n"/>
      <c r="F102" s="27" t="n"/>
      <c r="I102" s="18">
        <f>IF($B102="","FALSE","TRUE")</f>
        <v/>
      </c>
      <c r="J102">
        <f t="array" ref="J102">IsURL(Table_12121510[[#This Row],[Data Source]])</f>
        <v/>
      </c>
      <c r="K102">
        <f t="array" ref="K102">IsURL(Table_12121510[[#This Row],[DOI]])</f>
        <v/>
      </c>
      <c r="L102">
        <f t="array" ref="L102">IsURL(Table_12121510[[#This Row],[Data Source]])</f>
        <v/>
      </c>
      <c r="M102">
        <f t="array" ref="M102">IsURL(Table_12121510[[#This Row],[Data Source]])</f>
        <v/>
      </c>
    </row>
    <row r="103" ht="15.75" customHeight="1">
      <c r="A103">
        <f>IF(Table_12121510[[#This Row],[Chassis Name]]=0,"",Table_12121510[[#This Row],[Chassis Name]])</f>
        <v/>
      </c>
      <c r="D103" s="25" t="n"/>
      <c r="F103" s="27" t="n"/>
      <c r="I103" s="18">
        <f>IF($B103="","FALSE","TRUE")</f>
        <v/>
      </c>
      <c r="J103">
        <f t="array" ref="J103">IsURL(Table_12121510[[#This Row],[Data Source]])</f>
        <v/>
      </c>
      <c r="K103">
        <f t="array" ref="K103">IsURL(Table_12121510[[#This Row],[DOI]])</f>
        <v/>
      </c>
      <c r="L103">
        <f t="array" ref="L103">IsURL(Table_12121510[[#This Row],[Data Source]])</f>
        <v/>
      </c>
      <c r="M103">
        <f t="array" ref="M103">IsURL(Table_12121510[[#This Row],[Data Source]])</f>
        <v/>
      </c>
    </row>
    <row r="104" ht="15.75" customHeight="1">
      <c r="A104">
        <f>IF(Table_12121510[[#This Row],[Chassis Name]]=0,"",Table_12121510[[#This Row],[Chassis Name]])</f>
        <v/>
      </c>
      <c r="D104" s="25" t="n"/>
      <c r="F104" s="27" t="n"/>
      <c r="I104" s="18">
        <f>IF($B104="","FALSE","TRUE")</f>
        <v/>
      </c>
      <c r="J104">
        <f t="array" ref="J104">IsURL(Table_12121510[[#This Row],[Data Source]])</f>
        <v/>
      </c>
      <c r="K104">
        <f t="array" ref="K104">IsURL(Table_12121510[[#This Row],[DOI]])</f>
        <v/>
      </c>
      <c r="L104">
        <f t="array" ref="L104">IsURL(Table_12121510[[#This Row],[Data Source]])</f>
        <v/>
      </c>
      <c r="M104">
        <f t="array" ref="M104">IsURL(Table_12121510[[#This Row],[Data Source]])</f>
        <v/>
      </c>
    </row>
    <row r="105" ht="15.75" customHeight="1">
      <c r="A105">
        <f>IF(Table_12121510[[#This Row],[Chassis Name]]=0,"",Table_12121510[[#This Row],[Chassis Name]])</f>
        <v/>
      </c>
      <c r="D105" s="25" t="n"/>
      <c r="F105" s="27" t="n"/>
      <c r="I105" s="18">
        <f>IF($B105="","FALSE","TRUE")</f>
        <v/>
      </c>
      <c r="J105">
        <f t="array" ref="J105">IsURL(Table_12121510[[#This Row],[Data Source]])</f>
        <v/>
      </c>
      <c r="K105">
        <f t="array" ref="K105">IsURL(Table_12121510[[#This Row],[DOI]])</f>
        <v/>
      </c>
      <c r="L105">
        <f t="array" ref="L105">IsURL(Table_12121510[[#This Row],[Data Source]])</f>
        <v/>
      </c>
      <c r="M105">
        <f t="array" ref="M105">IsURL(Table_12121510[[#This Row],[Data Source]])</f>
        <v/>
      </c>
    </row>
    <row r="106" ht="15.75" customHeight="1">
      <c r="A106">
        <f>IF(Table_12121510[[#This Row],[Chassis Name]]=0,"",Table_12121510[[#This Row],[Chassis Name]])</f>
        <v/>
      </c>
      <c r="D106" s="25" t="n"/>
      <c r="F106" s="27" t="n"/>
      <c r="I106" s="18">
        <f>IF($B106="","FALSE","TRUE")</f>
        <v/>
      </c>
      <c r="J106">
        <f t="array" ref="J106">IsURL(Table_12121510[[#This Row],[Data Source]])</f>
        <v/>
      </c>
      <c r="K106">
        <f t="array" ref="K106">IsURL(Table_12121510[[#This Row],[DOI]])</f>
        <v/>
      </c>
      <c r="L106">
        <f t="array" ref="L106">IsURL(Table_12121510[[#This Row],[Data Source]])</f>
        <v/>
      </c>
      <c r="M106">
        <f t="array" ref="M106">IsURL(Table_12121510[[#This Row],[Data Source]])</f>
        <v/>
      </c>
    </row>
    <row r="107" ht="15.75" customHeight="1">
      <c r="A107">
        <f>IF(Table_12121510[[#This Row],[Chassis Name]]=0,"",Table_12121510[[#This Row],[Chassis Name]])</f>
        <v/>
      </c>
      <c r="D107" s="25" t="n"/>
      <c r="F107" s="27" t="n"/>
      <c r="I107" s="18">
        <f>IF($B107="","FALSE","TRUE")</f>
        <v/>
      </c>
      <c r="J107">
        <f t="array" ref="J107">IsURL(Table_12121510[[#This Row],[Data Source]])</f>
        <v/>
      </c>
      <c r="K107">
        <f t="array" ref="K107">IsURL(Table_12121510[[#This Row],[DOI]])</f>
        <v/>
      </c>
      <c r="L107">
        <f t="array" ref="L107">IsURL(Table_12121510[[#This Row],[Data Source]])</f>
        <v/>
      </c>
      <c r="M107">
        <f t="array" ref="M107">IsURL(Table_12121510[[#This Row],[Data Source]])</f>
        <v/>
      </c>
    </row>
    <row r="108" ht="15.75" customHeight="1">
      <c r="A108">
        <f>IF(Table_12121510[[#This Row],[Chassis Name]]=0,"",Table_12121510[[#This Row],[Chassis Name]])</f>
        <v/>
      </c>
      <c r="D108" s="25" t="n"/>
      <c r="F108" s="27" t="n"/>
      <c r="I108" s="18">
        <f>IF($B108="","FALSE","TRUE")</f>
        <v/>
      </c>
      <c r="J108">
        <f t="array" ref="J108">IsURL(Table_12121510[[#This Row],[Data Source]])</f>
        <v/>
      </c>
      <c r="K108">
        <f t="array" ref="K108">IsURL(Table_12121510[[#This Row],[DOI]])</f>
        <v/>
      </c>
      <c r="L108">
        <f t="array" ref="L108">IsURL(Table_12121510[[#This Row],[Data Source]])</f>
        <v/>
      </c>
      <c r="M108">
        <f t="array" ref="M108">IsURL(Table_12121510[[#This Row],[Data Source]])</f>
        <v/>
      </c>
    </row>
    <row r="109" ht="15.75" customHeight="1">
      <c r="A109">
        <f>IF(Table_12121510[[#This Row],[Chassis Name]]=0,"",Table_12121510[[#This Row],[Chassis Name]])</f>
        <v/>
      </c>
      <c r="D109" s="25" t="n"/>
      <c r="F109" s="27" t="n"/>
      <c r="I109" s="18">
        <f>IF($B109="","FALSE","TRUE")</f>
        <v/>
      </c>
      <c r="J109">
        <f t="array" ref="J109">IsURL(Table_12121510[[#This Row],[Data Source]])</f>
        <v/>
      </c>
      <c r="K109">
        <f t="array" ref="K109">IsURL(Table_12121510[[#This Row],[DOI]])</f>
        <v/>
      </c>
      <c r="L109">
        <f t="array" ref="L109">IsURL(Table_12121510[[#This Row],[Data Source]])</f>
        <v/>
      </c>
      <c r="M109">
        <f t="array" ref="M109">IsURL(Table_12121510[[#This Row],[Data Source]])</f>
        <v/>
      </c>
    </row>
    <row r="110" ht="15.75" customHeight="1">
      <c r="A110">
        <f>IF(Table_12121510[[#This Row],[Chassis Name]]=0,"",Table_12121510[[#This Row],[Chassis Name]])</f>
        <v/>
      </c>
      <c r="D110" s="25" t="n"/>
      <c r="F110" s="27" t="n"/>
      <c r="I110" s="18">
        <f>IF($B110="","FALSE","TRUE")</f>
        <v/>
      </c>
      <c r="J110">
        <f t="array" ref="J110">IsURL(Table_12121510[[#This Row],[Data Source]])</f>
        <v/>
      </c>
      <c r="K110">
        <f t="array" ref="K110">IsURL(Table_12121510[[#This Row],[DOI]])</f>
        <v/>
      </c>
      <c r="L110">
        <f t="array" ref="L110">IsURL(Table_12121510[[#This Row],[Data Source]])</f>
        <v/>
      </c>
      <c r="M110">
        <f t="array" ref="M110">IsURL(Table_12121510[[#This Row],[Data Source]])</f>
        <v/>
      </c>
    </row>
    <row r="111" ht="15.75" customHeight="1">
      <c r="A111">
        <f>IF(Table_12121510[[#This Row],[Chassis Name]]=0,"",Table_12121510[[#This Row],[Chassis Name]])</f>
        <v/>
      </c>
      <c r="D111" s="25" t="n"/>
      <c r="F111" s="27" t="n"/>
      <c r="I111" s="18">
        <f>IF($B111="","FALSE","TRUE")</f>
        <v/>
      </c>
      <c r="J111">
        <f t="array" ref="J111">IsURL(Table_12121510[[#This Row],[Data Source]])</f>
        <v/>
      </c>
      <c r="K111">
        <f t="array" ref="K111">IsURL(Table_12121510[[#This Row],[DOI]])</f>
        <v/>
      </c>
      <c r="L111">
        <f t="array" ref="L111">IsURL(Table_12121510[[#This Row],[Data Source]])</f>
        <v/>
      </c>
      <c r="M111">
        <f t="array" ref="M111">IsURL(Table_12121510[[#This Row],[Data Source]])</f>
        <v/>
      </c>
    </row>
    <row r="112" ht="15.75" customHeight="1">
      <c r="A112">
        <f>IF(Table_12121510[[#This Row],[Chassis Name]]=0,"",Table_12121510[[#This Row],[Chassis Name]])</f>
        <v/>
      </c>
      <c r="D112" s="25" t="n"/>
      <c r="F112" s="27" t="n"/>
      <c r="I112" s="18">
        <f>IF($B112="","FALSE","TRUE")</f>
        <v/>
      </c>
      <c r="J112">
        <f t="array" ref="J112">IsURL(Table_12121510[[#This Row],[Data Source]])</f>
        <v/>
      </c>
      <c r="K112">
        <f t="array" ref="K112">IsURL(Table_12121510[[#This Row],[DOI]])</f>
        <v/>
      </c>
      <c r="L112">
        <f t="array" ref="L112">IsURL(Table_12121510[[#This Row],[Data Source]])</f>
        <v/>
      </c>
      <c r="M112">
        <f t="array" ref="M112">IsURL(Table_12121510[[#This Row],[Data Source]])</f>
        <v/>
      </c>
    </row>
    <row r="113" ht="15.75" customHeight="1">
      <c r="A113">
        <f>IF(Table_12121510[[#This Row],[Chassis Name]]=0,"",Table_12121510[[#This Row],[Chassis Name]])</f>
        <v/>
      </c>
      <c r="D113" s="25" t="n"/>
      <c r="F113" s="27" t="n"/>
      <c r="I113" s="18">
        <f>IF($B113="","FALSE","TRUE")</f>
        <v/>
      </c>
      <c r="J113">
        <f t="array" ref="J113">IsURL(Table_12121510[[#This Row],[Data Source]])</f>
        <v/>
      </c>
      <c r="K113">
        <f t="array" ref="K113">IsURL(Table_12121510[[#This Row],[DOI]])</f>
        <v/>
      </c>
      <c r="L113">
        <f t="array" ref="L113">IsURL(Table_12121510[[#This Row],[Data Source]])</f>
        <v/>
      </c>
      <c r="M113">
        <f t="array" ref="M113">IsURL(Table_12121510[[#This Row],[Data Source]])</f>
        <v/>
      </c>
    </row>
    <row r="114" ht="15.75" customHeight="1">
      <c r="A114">
        <f>IF(Table_12121510[[#This Row],[Chassis Name]]=0,"",Table_12121510[[#This Row],[Chassis Name]])</f>
        <v/>
      </c>
      <c r="D114" s="25" t="n"/>
      <c r="F114" s="27" t="n"/>
      <c r="I114" s="18">
        <f>IF($B114="","FALSE","TRUE")</f>
        <v/>
      </c>
      <c r="J114">
        <f t="array" ref="J114">IsURL(Table_12121510[[#This Row],[Data Source]])</f>
        <v/>
      </c>
      <c r="K114">
        <f t="array" ref="K114">IsURL(Table_12121510[[#This Row],[DOI]])</f>
        <v/>
      </c>
      <c r="L114">
        <f t="array" ref="L114">IsURL(Table_12121510[[#This Row],[Data Source]])</f>
        <v/>
      </c>
      <c r="M114">
        <f t="array" ref="M114">IsURL(Table_12121510[[#This Row],[Data Source]])</f>
        <v/>
      </c>
    </row>
    <row r="115" ht="15.75" customHeight="1">
      <c r="A115">
        <f>IF(Table_12121510[[#This Row],[Chassis Name]]=0,"",Table_12121510[[#This Row],[Chassis Name]])</f>
        <v/>
      </c>
      <c r="D115" s="25" t="n"/>
      <c r="F115" s="27" t="n"/>
      <c r="I115" s="18">
        <f>IF($B115="","FALSE","TRUE")</f>
        <v/>
      </c>
      <c r="J115">
        <f t="array" ref="J115">IsURL(Table_12121510[[#This Row],[Data Source]])</f>
        <v/>
      </c>
      <c r="K115">
        <f t="array" ref="K115">IsURL(Table_12121510[[#This Row],[DOI]])</f>
        <v/>
      </c>
      <c r="L115">
        <f t="array" ref="L115">IsURL(Table_12121510[[#This Row],[Data Source]])</f>
        <v/>
      </c>
      <c r="M115">
        <f t="array" ref="M115">IsURL(Table_12121510[[#This Row],[Data Source]])</f>
        <v/>
      </c>
    </row>
    <row r="116" ht="15.75" customHeight="1">
      <c r="A116">
        <f>IF(Table_12121510[[#This Row],[Chassis Name]]=0,"",Table_12121510[[#This Row],[Chassis Name]])</f>
        <v/>
      </c>
      <c r="D116" s="25" t="n"/>
      <c r="F116" s="27" t="n"/>
      <c r="I116" s="18">
        <f>IF($B116="","FALSE","TRUE")</f>
        <v/>
      </c>
      <c r="J116">
        <f t="array" ref="J116">IsURL(Table_12121510[[#This Row],[Data Source]])</f>
        <v/>
      </c>
      <c r="K116">
        <f t="array" ref="K116">IsURL(Table_12121510[[#This Row],[DOI]])</f>
        <v/>
      </c>
      <c r="L116">
        <f t="array" ref="L116">IsURL(Table_12121510[[#This Row],[Data Source]])</f>
        <v/>
      </c>
      <c r="M116">
        <f t="array" ref="M116">IsURL(Table_12121510[[#This Row],[Data Source]])</f>
        <v/>
      </c>
    </row>
    <row r="117" ht="15.75" customHeight="1">
      <c r="A117">
        <f>IF(Table_12121510[[#This Row],[Chassis Name]]=0,"",Table_12121510[[#This Row],[Chassis Name]])</f>
        <v/>
      </c>
      <c r="D117" s="25" t="n"/>
      <c r="F117" s="27" t="n"/>
      <c r="I117" s="18">
        <f>IF($B117="","FALSE","TRUE")</f>
        <v/>
      </c>
      <c r="J117">
        <f t="array" ref="J117">IsURL(Table_12121510[[#This Row],[Data Source]])</f>
        <v/>
      </c>
      <c r="K117">
        <f t="array" ref="K117">IsURL(Table_12121510[[#This Row],[DOI]])</f>
        <v/>
      </c>
      <c r="L117">
        <f t="array" ref="L117">IsURL(Table_12121510[[#This Row],[Data Source]])</f>
        <v/>
      </c>
      <c r="M117">
        <f t="array" ref="M117">IsURL(Table_12121510[[#This Row],[Data Source]])</f>
        <v/>
      </c>
    </row>
    <row r="118" ht="15.75" customHeight="1">
      <c r="A118">
        <f>IF(Table_12121510[[#This Row],[Chassis Name]]=0,"",Table_12121510[[#This Row],[Chassis Name]])</f>
        <v/>
      </c>
      <c r="D118" s="25" t="n"/>
      <c r="F118" s="27" t="n"/>
      <c r="I118" s="18">
        <f>IF($B118="","FALSE","TRUE")</f>
        <v/>
      </c>
      <c r="J118">
        <f t="array" ref="J118">IsURL(Table_12121510[[#This Row],[Data Source]])</f>
        <v/>
      </c>
      <c r="K118">
        <f t="array" ref="K118">IsURL(Table_12121510[[#This Row],[DOI]])</f>
        <v/>
      </c>
      <c r="L118">
        <f t="array" ref="L118">IsURL(Table_12121510[[#This Row],[Data Source]])</f>
        <v/>
      </c>
      <c r="M118">
        <f t="array" ref="M118">IsURL(Table_12121510[[#This Row],[Data Source]])</f>
        <v/>
      </c>
    </row>
    <row r="119" ht="15.75" customHeight="1">
      <c r="A119">
        <f>IF(Table_12121510[[#This Row],[Chassis Name]]=0,"",Table_12121510[[#This Row],[Chassis Name]])</f>
        <v/>
      </c>
      <c r="D119" s="25" t="n"/>
      <c r="F119" s="27" t="n"/>
      <c r="I119" s="18">
        <f>IF($B119="","FALSE","TRUE")</f>
        <v/>
      </c>
      <c r="J119">
        <f t="array" ref="J119">IsURL(Table_12121510[[#This Row],[Data Source]])</f>
        <v/>
      </c>
      <c r="K119">
        <f t="array" ref="K119">IsURL(Table_12121510[[#This Row],[DOI]])</f>
        <v/>
      </c>
      <c r="L119">
        <f t="array" ref="L119">IsURL(Table_12121510[[#This Row],[Data Source]])</f>
        <v/>
      </c>
      <c r="M119">
        <f t="array" ref="M119">IsURL(Table_12121510[[#This Row],[Data Source]])</f>
        <v/>
      </c>
    </row>
    <row r="120" ht="15.75" customHeight="1">
      <c r="A120">
        <f>IF(Table_12121510[[#This Row],[Chassis Name]]=0,"",Table_12121510[[#This Row],[Chassis Name]])</f>
        <v/>
      </c>
      <c r="D120" s="25" t="n"/>
      <c r="F120" s="27" t="n"/>
      <c r="I120" s="18">
        <f>IF($B120="","FALSE","TRUE")</f>
        <v/>
      </c>
      <c r="J120">
        <f t="array" ref="J120">IsURL(Table_12121510[[#This Row],[Data Source]])</f>
        <v/>
      </c>
      <c r="K120">
        <f t="array" ref="K120">IsURL(Table_12121510[[#This Row],[DOI]])</f>
        <v/>
      </c>
      <c r="L120">
        <f t="array" ref="L120">IsURL(Table_12121510[[#This Row],[Data Source]])</f>
        <v/>
      </c>
      <c r="M120">
        <f t="array" ref="M120">IsURL(Table_12121510[[#This Row],[Data Source]])</f>
        <v/>
      </c>
    </row>
    <row r="121" ht="15.75" customHeight="1">
      <c r="A121">
        <f>IF(Table_12121510[[#This Row],[Chassis Name]]=0,"",Table_12121510[[#This Row],[Chassis Name]])</f>
        <v/>
      </c>
      <c r="D121" s="25" t="n"/>
      <c r="F121" s="27" t="n"/>
      <c r="I121" s="18">
        <f>IF($B121="","FALSE","TRUE")</f>
        <v/>
      </c>
      <c r="J121">
        <f t="array" ref="J121">IsURL(Table_12121510[[#This Row],[Data Source]])</f>
        <v/>
      </c>
      <c r="K121">
        <f t="array" ref="K121">IsURL(Table_12121510[[#This Row],[DOI]])</f>
        <v/>
      </c>
      <c r="L121">
        <f t="array" ref="L121">IsURL(Table_12121510[[#This Row],[Data Source]])</f>
        <v/>
      </c>
      <c r="M121">
        <f t="array" ref="M121">IsURL(Table_12121510[[#This Row],[Data Source]])</f>
        <v/>
      </c>
    </row>
    <row r="122" ht="15.75" customHeight="1">
      <c r="A122">
        <f>IF(Table_12121510[[#This Row],[Chassis Name]]=0,"",Table_12121510[[#This Row],[Chassis Name]])</f>
        <v/>
      </c>
      <c r="D122" s="25" t="n"/>
      <c r="F122" s="27" t="n"/>
      <c r="I122" s="18">
        <f>IF($B122="","FALSE","TRUE")</f>
        <v/>
      </c>
      <c r="J122">
        <f t="array" ref="J122">IsURL(Table_12121510[[#This Row],[Data Source]])</f>
        <v/>
      </c>
      <c r="K122">
        <f t="array" ref="K122">IsURL(Table_12121510[[#This Row],[DOI]])</f>
        <v/>
      </c>
      <c r="L122">
        <f t="array" ref="L122">IsURL(Table_12121510[[#This Row],[Data Source]])</f>
        <v/>
      </c>
      <c r="M122">
        <f t="array" ref="M122">IsURL(Table_12121510[[#This Row],[Data Source]])</f>
        <v/>
      </c>
    </row>
    <row r="123" ht="15.75" customHeight="1">
      <c r="A123">
        <f>IF(Table_12121510[[#This Row],[Chassis Name]]=0,"",Table_12121510[[#This Row],[Chassis Name]])</f>
        <v/>
      </c>
      <c r="D123" s="25" t="n"/>
      <c r="F123" s="27" t="n"/>
      <c r="I123" s="18">
        <f>IF($B123="","FALSE","TRUE")</f>
        <v/>
      </c>
      <c r="J123">
        <f t="array" ref="J123">IsURL(Table_12121510[[#This Row],[Data Source]])</f>
        <v/>
      </c>
      <c r="K123">
        <f t="array" ref="K123">IsURL(Table_12121510[[#This Row],[DOI]])</f>
        <v/>
      </c>
      <c r="L123">
        <f t="array" ref="L123">IsURL(Table_12121510[[#This Row],[Data Source]])</f>
        <v/>
      </c>
      <c r="M123">
        <f t="array" ref="M123">IsURL(Table_12121510[[#This Row],[Data Source]])</f>
        <v/>
      </c>
    </row>
    <row r="124" ht="15.75" customHeight="1">
      <c r="A124">
        <f>IF(Table_12121510[[#This Row],[Chassis Name]]=0,"",Table_12121510[[#This Row],[Chassis Name]])</f>
        <v/>
      </c>
      <c r="D124" s="25" t="n"/>
      <c r="F124" s="27" t="n"/>
      <c r="I124" s="18">
        <f>IF($B124="","FALSE","TRUE")</f>
        <v/>
      </c>
      <c r="J124">
        <f t="array" ref="J124">IsURL(Table_12121510[[#This Row],[Data Source]])</f>
        <v/>
      </c>
      <c r="K124">
        <f t="array" ref="K124">IsURL(Table_12121510[[#This Row],[DOI]])</f>
        <v/>
      </c>
      <c r="L124">
        <f t="array" ref="L124">IsURL(Table_12121510[[#This Row],[Data Source]])</f>
        <v/>
      </c>
      <c r="M124">
        <f t="array" ref="M124">IsURL(Table_12121510[[#This Row],[Data Source]])</f>
        <v/>
      </c>
    </row>
    <row r="125" ht="15.75" customHeight="1">
      <c r="A125">
        <f>IF(Table_12121510[[#This Row],[Chassis Name]]=0,"",Table_12121510[[#This Row],[Chassis Name]])</f>
        <v/>
      </c>
      <c r="D125" s="25" t="n"/>
      <c r="F125" s="27" t="n"/>
      <c r="I125" s="18">
        <f>IF($B125="","FALSE","TRUE")</f>
        <v/>
      </c>
      <c r="J125">
        <f t="array" ref="J125">IsURL(Table_12121510[[#This Row],[Data Source]])</f>
        <v/>
      </c>
      <c r="K125">
        <f t="array" ref="K125">IsURL(Table_12121510[[#This Row],[DOI]])</f>
        <v/>
      </c>
      <c r="L125">
        <f t="array" ref="L125">IsURL(Table_12121510[[#This Row],[Data Source]])</f>
        <v/>
      </c>
      <c r="M125">
        <f t="array" ref="M125">IsURL(Table_12121510[[#This Row],[Data Source]])</f>
        <v/>
      </c>
    </row>
    <row r="126" ht="15.75" customHeight="1">
      <c r="A126">
        <f>IF(Table_12121510[[#This Row],[Chassis Name]]=0,"",Table_12121510[[#This Row],[Chassis Name]])</f>
        <v/>
      </c>
      <c r="D126" s="25" t="n"/>
      <c r="F126" s="27" t="n"/>
      <c r="I126" s="18">
        <f>IF($B126="","FALSE","TRUE")</f>
        <v/>
      </c>
      <c r="J126">
        <f t="array" ref="J126">IsURL(Table_12121510[[#This Row],[Data Source]])</f>
        <v/>
      </c>
      <c r="K126">
        <f t="array" ref="K126">IsURL(Table_12121510[[#This Row],[DOI]])</f>
        <v/>
      </c>
      <c r="L126">
        <f t="array" ref="L126">IsURL(Table_12121510[[#This Row],[Data Source]])</f>
        <v/>
      </c>
      <c r="M126">
        <f t="array" ref="M126">IsURL(Table_12121510[[#This Row],[Data Source]])</f>
        <v/>
      </c>
    </row>
    <row r="127" ht="15.75" customHeight="1">
      <c r="A127">
        <f>IF(Table_12121510[[#This Row],[Chassis Name]]=0,"",Table_12121510[[#This Row],[Chassis Name]])</f>
        <v/>
      </c>
      <c r="D127" s="25" t="n"/>
      <c r="F127" s="27" t="n"/>
      <c r="I127" s="18">
        <f>IF($B127="","FALSE","TRUE")</f>
        <v/>
      </c>
      <c r="J127">
        <f t="array" ref="J127">IsURL(Table_12121510[[#This Row],[Data Source]])</f>
        <v/>
      </c>
      <c r="K127">
        <f t="array" ref="K127">IsURL(Table_12121510[[#This Row],[DOI]])</f>
        <v/>
      </c>
      <c r="L127">
        <f t="array" ref="L127">IsURL(Table_12121510[[#This Row],[Data Source]])</f>
        <v/>
      </c>
      <c r="M127">
        <f t="array" ref="M127">IsURL(Table_12121510[[#This Row],[Data Source]])</f>
        <v/>
      </c>
    </row>
    <row r="128" ht="15.75" customHeight="1">
      <c r="A128">
        <f>IF(Table_12121510[[#This Row],[Chassis Name]]=0,"",Table_12121510[[#This Row],[Chassis Name]])</f>
        <v/>
      </c>
      <c r="D128" s="25" t="n"/>
      <c r="F128" s="27" t="n"/>
      <c r="I128" s="18">
        <f>IF($B128="","FALSE","TRUE")</f>
        <v/>
      </c>
      <c r="J128">
        <f t="array" ref="J128">IsURL(Table_12121510[[#This Row],[Data Source]])</f>
        <v/>
      </c>
      <c r="K128">
        <f t="array" ref="K128">IsURL(Table_12121510[[#This Row],[DOI]])</f>
        <v/>
      </c>
      <c r="L128">
        <f t="array" ref="L128">IsURL(Table_12121510[[#This Row],[Data Source]])</f>
        <v/>
      </c>
      <c r="M128">
        <f t="array" ref="M128">IsURL(Table_12121510[[#This Row],[Data Source]])</f>
        <v/>
      </c>
    </row>
    <row r="129" ht="15.75" customHeight="1">
      <c r="A129">
        <f>IF(Table_12121510[[#This Row],[Chassis Name]]=0,"",Table_12121510[[#This Row],[Chassis Name]])</f>
        <v/>
      </c>
      <c r="D129" s="25" t="n"/>
      <c r="F129" s="27" t="n"/>
      <c r="I129" s="18">
        <f>IF($B129="","FALSE","TRUE")</f>
        <v/>
      </c>
      <c r="J129">
        <f t="array" ref="J129">IsURL(Table_12121510[[#This Row],[Data Source]])</f>
        <v/>
      </c>
      <c r="K129">
        <f t="array" ref="K129">IsURL(Table_12121510[[#This Row],[DOI]])</f>
        <v/>
      </c>
      <c r="L129">
        <f t="array" ref="L129">IsURL(Table_12121510[[#This Row],[Data Source]])</f>
        <v/>
      </c>
      <c r="M129">
        <f t="array" ref="M129">IsURL(Table_12121510[[#This Row],[Data Source]])</f>
        <v/>
      </c>
    </row>
    <row r="130" ht="15.75" customHeight="1">
      <c r="A130">
        <f>IF(Table_12121510[[#This Row],[Chassis Name]]=0,"",Table_12121510[[#This Row],[Chassis Name]])</f>
        <v/>
      </c>
      <c r="D130" s="25" t="n"/>
      <c r="F130" s="27" t="n"/>
      <c r="I130" s="18">
        <f>IF($B130="","FALSE","TRUE")</f>
        <v/>
      </c>
      <c r="J130">
        <f t="array" ref="J130">IsURL(Table_12121510[[#This Row],[Data Source]])</f>
        <v/>
      </c>
      <c r="K130">
        <f t="array" ref="K130">IsURL(Table_12121510[[#This Row],[DOI]])</f>
        <v/>
      </c>
      <c r="L130">
        <f t="array" ref="L130">IsURL(Table_12121510[[#This Row],[Data Source]])</f>
        <v/>
      </c>
      <c r="M130">
        <f t="array" ref="M130">IsURL(Table_12121510[[#This Row],[Data Source]])</f>
        <v/>
      </c>
    </row>
    <row r="131" ht="15.75" customHeight="1">
      <c r="A131">
        <f>IF(Table_12121510[[#This Row],[Chassis Name]]=0,"",Table_12121510[[#This Row],[Chassis Name]])</f>
        <v/>
      </c>
      <c r="D131" s="25" t="n"/>
      <c r="F131" s="27" t="n"/>
      <c r="I131" s="18">
        <f>IF($B131="","FALSE","TRUE")</f>
        <v/>
      </c>
      <c r="J131">
        <f t="array" ref="J131">IsURL(Table_12121510[[#This Row],[Data Source]])</f>
        <v/>
      </c>
      <c r="K131">
        <f t="array" ref="K131">IsURL(Table_12121510[[#This Row],[DOI]])</f>
        <v/>
      </c>
      <c r="L131">
        <f t="array" ref="L131">IsURL(Table_12121510[[#This Row],[Data Source]])</f>
        <v/>
      </c>
      <c r="M131">
        <f t="array" ref="M131">IsURL(Table_12121510[[#This Row],[Data Source]])</f>
        <v/>
      </c>
    </row>
    <row r="132" ht="15.75" customHeight="1">
      <c r="A132">
        <f>IF(Table_12121510[[#This Row],[Chassis Name]]=0,"",Table_12121510[[#This Row],[Chassis Name]])</f>
        <v/>
      </c>
      <c r="D132" s="25" t="n"/>
      <c r="F132" s="27" t="n"/>
      <c r="I132" s="18">
        <f>IF($B132="","FALSE","TRUE")</f>
        <v/>
      </c>
      <c r="J132">
        <f t="array" ref="J132">IsURL(Table_12121510[[#This Row],[Data Source]])</f>
        <v/>
      </c>
      <c r="K132">
        <f t="array" ref="K132">IsURL(Table_12121510[[#This Row],[DOI]])</f>
        <v/>
      </c>
      <c r="L132">
        <f t="array" ref="L132">IsURL(Table_12121510[[#This Row],[Data Source]])</f>
        <v/>
      </c>
      <c r="M132">
        <f t="array" ref="M132">IsURL(Table_12121510[[#This Row],[Data Source]])</f>
        <v/>
      </c>
    </row>
    <row r="133" ht="15.75" customHeight="1">
      <c r="A133">
        <f>IF(Table_12121510[[#This Row],[Chassis Name]]=0,"",Table_12121510[[#This Row],[Chassis Name]])</f>
        <v/>
      </c>
      <c r="D133" s="25" t="n"/>
      <c r="F133" s="27" t="n"/>
      <c r="I133" s="18">
        <f>IF($B133="","FALSE","TRUE")</f>
        <v/>
      </c>
      <c r="J133">
        <f t="array" ref="J133">IsURL(Table_12121510[[#This Row],[Data Source]])</f>
        <v/>
      </c>
      <c r="K133">
        <f t="array" ref="K133">IsURL(Table_12121510[[#This Row],[DOI]])</f>
        <v/>
      </c>
      <c r="L133">
        <f t="array" ref="L133">IsURL(Table_12121510[[#This Row],[Data Source]])</f>
        <v/>
      </c>
      <c r="M133">
        <f t="array" ref="M133">IsURL(Table_12121510[[#This Row],[Data Source]])</f>
        <v/>
      </c>
    </row>
    <row r="134" ht="15.75" customHeight="1">
      <c r="A134">
        <f>IF(Table_12121510[[#This Row],[Chassis Name]]=0,"",Table_12121510[[#This Row],[Chassis Name]])</f>
        <v/>
      </c>
      <c r="D134" s="25" t="n"/>
      <c r="F134" s="27" t="n"/>
      <c r="I134" s="18">
        <f>IF($B134="","FALSE","TRUE")</f>
        <v/>
      </c>
      <c r="J134">
        <f t="array" ref="J134">IsURL(Table_12121510[[#This Row],[Data Source]])</f>
        <v/>
      </c>
      <c r="K134">
        <f t="array" ref="K134">IsURL(Table_12121510[[#This Row],[DOI]])</f>
        <v/>
      </c>
      <c r="L134">
        <f t="array" ref="L134">IsURL(Table_12121510[[#This Row],[Data Source]])</f>
        <v/>
      </c>
      <c r="M134">
        <f t="array" ref="M134">IsURL(Table_12121510[[#This Row],[Data Source]])</f>
        <v/>
      </c>
    </row>
    <row r="135" ht="15.75" customHeight="1">
      <c r="A135">
        <f>IF(Table_12121510[[#This Row],[Chassis Name]]=0,"",Table_12121510[[#This Row],[Chassis Name]])</f>
        <v/>
      </c>
      <c r="D135" s="25" t="n"/>
      <c r="F135" s="27" t="n"/>
      <c r="I135" s="18">
        <f>IF($B135="","FALSE","TRUE")</f>
        <v/>
      </c>
      <c r="J135">
        <f t="array" ref="J135">IsURL(Table_12121510[[#This Row],[Data Source]])</f>
        <v/>
      </c>
      <c r="K135">
        <f t="array" ref="K135">IsURL(Table_12121510[[#This Row],[DOI]])</f>
        <v/>
      </c>
      <c r="L135">
        <f t="array" ref="L135">IsURL(Table_12121510[[#This Row],[Data Source]])</f>
        <v/>
      </c>
      <c r="M135">
        <f t="array" ref="M135">IsURL(Table_12121510[[#This Row],[Data Source]])</f>
        <v/>
      </c>
    </row>
    <row r="136" ht="15.75" customHeight="1">
      <c r="A136">
        <f>IF(Table_12121510[[#This Row],[Chassis Name]]=0,"",Table_12121510[[#This Row],[Chassis Name]])</f>
        <v/>
      </c>
      <c r="D136" s="25" t="n"/>
      <c r="F136" s="27" t="n"/>
      <c r="I136" s="18">
        <f>IF($B136="","FALSE","TRUE")</f>
        <v/>
      </c>
      <c r="J136">
        <f t="array" ref="J136">IsURL(Table_12121510[[#This Row],[Data Source]])</f>
        <v/>
      </c>
      <c r="K136">
        <f t="array" ref="K136">IsURL(Table_12121510[[#This Row],[DOI]])</f>
        <v/>
      </c>
      <c r="L136">
        <f t="array" ref="L136">IsURL(Table_12121510[[#This Row],[Data Source]])</f>
        <v/>
      </c>
      <c r="M136">
        <f t="array" ref="M136">IsURL(Table_12121510[[#This Row],[Data Source]])</f>
        <v/>
      </c>
    </row>
    <row r="137" ht="15.75" customHeight="1">
      <c r="A137">
        <f>IF(Table_12121510[[#This Row],[Chassis Name]]=0,"",Table_12121510[[#This Row],[Chassis Name]])</f>
        <v/>
      </c>
      <c r="D137" s="25" t="n"/>
      <c r="F137" s="27" t="n"/>
      <c r="I137" s="18">
        <f>IF($B137="","FALSE","TRUE")</f>
        <v/>
      </c>
      <c r="J137">
        <f t="array" ref="J137">IsURL(Table_12121510[[#This Row],[Data Source]])</f>
        <v/>
      </c>
      <c r="K137">
        <f t="array" ref="K137">IsURL(Table_12121510[[#This Row],[DOI]])</f>
        <v/>
      </c>
      <c r="L137">
        <f t="array" ref="L137">IsURL(Table_12121510[[#This Row],[Data Source]])</f>
        <v/>
      </c>
      <c r="M137">
        <f t="array" ref="M137">IsURL(Table_12121510[[#This Row],[Data Source]])</f>
        <v/>
      </c>
    </row>
    <row r="138" ht="15.75" customHeight="1">
      <c r="A138">
        <f>IF(Table_12121510[[#This Row],[Chassis Name]]=0,"",Table_12121510[[#This Row],[Chassis Name]])</f>
        <v/>
      </c>
      <c r="D138" s="25" t="n"/>
      <c r="F138" s="27" t="n"/>
      <c r="I138" s="18">
        <f>IF($B138="","FALSE","TRUE")</f>
        <v/>
      </c>
      <c r="J138">
        <f t="array" ref="J138">IsURL(Table_12121510[[#This Row],[Data Source]])</f>
        <v/>
      </c>
      <c r="K138">
        <f t="array" ref="K138">IsURL(Table_12121510[[#This Row],[DOI]])</f>
        <v/>
      </c>
      <c r="L138">
        <f t="array" ref="L138">IsURL(Table_12121510[[#This Row],[Data Source]])</f>
        <v/>
      </c>
      <c r="M138">
        <f t="array" ref="M138">IsURL(Table_12121510[[#This Row],[Data Source]])</f>
        <v/>
      </c>
    </row>
    <row r="139" ht="15.75" customHeight="1">
      <c r="A139">
        <f>IF(Table_12121510[[#This Row],[Chassis Name]]=0,"",Table_12121510[[#This Row],[Chassis Name]])</f>
        <v/>
      </c>
      <c r="D139" s="25" t="n"/>
      <c r="F139" s="27" t="n"/>
      <c r="I139" s="18">
        <f>IF($B139="","FALSE","TRUE")</f>
        <v/>
      </c>
      <c r="J139">
        <f t="array" ref="J139">IsURL(Table_12121510[[#This Row],[Data Source]])</f>
        <v/>
      </c>
      <c r="K139">
        <f t="array" ref="K139">IsURL(Table_12121510[[#This Row],[DOI]])</f>
        <v/>
      </c>
      <c r="L139">
        <f t="array" ref="L139">IsURL(Table_12121510[[#This Row],[Data Source]])</f>
        <v/>
      </c>
      <c r="M139">
        <f t="array" ref="M139">IsURL(Table_12121510[[#This Row],[Data Source]])</f>
        <v/>
      </c>
    </row>
    <row r="140" ht="15.75" customHeight="1">
      <c r="A140">
        <f>IF(Table_12121510[[#This Row],[Chassis Name]]=0,"",Table_12121510[[#This Row],[Chassis Name]])</f>
        <v/>
      </c>
      <c r="D140" s="25" t="n"/>
      <c r="F140" s="27" t="n"/>
      <c r="I140" s="18">
        <f>IF($B140="","FALSE","TRUE")</f>
        <v/>
      </c>
      <c r="J140">
        <f t="array" ref="J140">IsURL(Table_12121510[[#This Row],[Data Source]])</f>
        <v/>
      </c>
      <c r="K140">
        <f t="array" ref="K140">IsURL(Table_12121510[[#This Row],[DOI]])</f>
        <v/>
      </c>
      <c r="L140">
        <f t="array" ref="L140">IsURL(Table_12121510[[#This Row],[Data Source]])</f>
        <v/>
      </c>
      <c r="M140">
        <f t="array" ref="M140">IsURL(Table_12121510[[#This Row],[Data Source]])</f>
        <v/>
      </c>
    </row>
    <row r="141" ht="15.75" customHeight="1">
      <c r="A141">
        <f>IF(Table_12121510[[#This Row],[Chassis Name]]=0,"",Table_12121510[[#This Row],[Chassis Name]])</f>
        <v/>
      </c>
      <c r="D141" s="25" t="n"/>
      <c r="F141" s="27" t="n"/>
      <c r="I141" s="18">
        <f>IF($B141="","FALSE","TRUE")</f>
        <v/>
      </c>
      <c r="J141">
        <f t="array" ref="J141">IsURL(Table_12121510[[#This Row],[Data Source]])</f>
        <v/>
      </c>
      <c r="K141">
        <f t="array" ref="K141">IsURL(Table_12121510[[#This Row],[DOI]])</f>
        <v/>
      </c>
      <c r="L141">
        <f t="array" ref="L141">IsURL(Table_12121510[[#This Row],[Data Source]])</f>
        <v/>
      </c>
      <c r="M141">
        <f t="array" ref="M141">IsURL(Table_12121510[[#This Row],[Data Source]])</f>
        <v/>
      </c>
    </row>
    <row r="142" ht="15.75" customHeight="1">
      <c r="A142">
        <f>IF(Table_12121510[[#This Row],[Chassis Name]]=0,"",Table_12121510[[#This Row],[Chassis Name]])</f>
        <v/>
      </c>
      <c r="D142" s="25" t="n"/>
      <c r="F142" s="27" t="n"/>
      <c r="I142" s="18">
        <f>IF($B142="","FALSE","TRUE")</f>
        <v/>
      </c>
      <c r="J142">
        <f t="array" ref="J142">IsURL(Table_12121510[[#This Row],[Data Source]])</f>
        <v/>
      </c>
      <c r="K142">
        <f t="array" ref="K142">IsURL(Table_12121510[[#This Row],[DOI]])</f>
        <v/>
      </c>
      <c r="L142">
        <f t="array" ref="L142">IsURL(Table_12121510[[#This Row],[Data Source]])</f>
        <v/>
      </c>
      <c r="M142">
        <f t="array" ref="M142">IsURL(Table_12121510[[#This Row],[Data Source]])</f>
        <v/>
      </c>
    </row>
    <row r="143" ht="15.75" customHeight="1">
      <c r="A143">
        <f>IF(Table_12121510[[#This Row],[Chassis Name]]=0,"",Table_12121510[[#This Row],[Chassis Name]])</f>
        <v/>
      </c>
      <c r="D143" s="25" t="n"/>
      <c r="F143" s="27" t="n"/>
      <c r="I143" s="18">
        <f>IF($B143="","FALSE","TRUE")</f>
        <v/>
      </c>
      <c r="J143">
        <f t="array" ref="J143">IsURL(Table_12121510[[#This Row],[Data Source]])</f>
        <v/>
      </c>
      <c r="K143">
        <f t="array" ref="K143">IsURL(Table_12121510[[#This Row],[DOI]])</f>
        <v/>
      </c>
      <c r="L143">
        <f t="array" ref="L143">IsURL(Table_12121510[[#This Row],[Data Source]])</f>
        <v/>
      </c>
      <c r="M143">
        <f t="array" ref="M143">IsURL(Table_12121510[[#This Row],[Data Source]])</f>
        <v/>
      </c>
    </row>
    <row r="144" ht="15.75" customHeight="1">
      <c r="A144">
        <f>IF(Table_12121510[[#This Row],[Chassis Name]]=0,"",Table_12121510[[#This Row],[Chassis Name]])</f>
        <v/>
      </c>
      <c r="D144" s="25" t="n"/>
      <c r="F144" s="27" t="n"/>
      <c r="I144" s="18">
        <f>IF($B144="","FALSE","TRUE")</f>
        <v/>
      </c>
      <c r="J144">
        <f t="array" ref="J144">IsURL(Table_12121510[[#This Row],[Data Source]])</f>
        <v/>
      </c>
      <c r="K144">
        <f t="array" ref="K144">IsURL(Table_12121510[[#This Row],[DOI]])</f>
        <v/>
      </c>
      <c r="L144">
        <f t="array" ref="L144">IsURL(Table_12121510[[#This Row],[Data Source]])</f>
        <v/>
      </c>
      <c r="M144">
        <f t="array" ref="M144">IsURL(Table_12121510[[#This Row],[Data Source]])</f>
        <v/>
      </c>
    </row>
    <row r="145" ht="15.75" customHeight="1">
      <c r="A145">
        <f>IF(Table_12121510[[#This Row],[Chassis Name]]=0,"",Table_12121510[[#This Row],[Chassis Name]])</f>
        <v/>
      </c>
      <c r="D145" s="25" t="n"/>
      <c r="F145" s="27" t="n"/>
      <c r="I145" s="18">
        <f>IF($B145="","FALSE","TRUE")</f>
        <v/>
      </c>
      <c r="J145">
        <f t="array" ref="J145">IsURL(Table_12121510[[#This Row],[Data Source]])</f>
        <v/>
      </c>
      <c r="K145">
        <f t="array" ref="K145">IsURL(Table_12121510[[#This Row],[DOI]])</f>
        <v/>
      </c>
      <c r="L145">
        <f t="array" ref="L145">IsURL(Table_12121510[[#This Row],[Data Source]])</f>
        <v/>
      </c>
      <c r="M145">
        <f t="array" ref="M145">IsURL(Table_12121510[[#This Row],[Data Source]])</f>
        <v/>
      </c>
    </row>
    <row r="146" ht="15.75" customHeight="1">
      <c r="A146">
        <f>IF(Table_12121510[[#This Row],[Chassis Name]]=0,"",Table_12121510[[#This Row],[Chassis Name]])</f>
        <v/>
      </c>
      <c r="D146" s="25" t="n"/>
      <c r="F146" s="27" t="n"/>
      <c r="I146" s="18">
        <f>IF($B146="","FALSE","TRUE")</f>
        <v/>
      </c>
      <c r="J146">
        <f t="array" ref="J146">IsURL(Table_12121510[[#This Row],[Data Source]])</f>
        <v/>
      </c>
      <c r="K146">
        <f t="array" ref="K146">IsURL(Table_12121510[[#This Row],[DOI]])</f>
        <v/>
      </c>
      <c r="L146">
        <f t="array" ref="L146">IsURL(Table_12121510[[#This Row],[Data Source]])</f>
        <v/>
      </c>
      <c r="M146">
        <f t="array" ref="M146">IsURL(Table_12121510[[#This Row],[Data Source]])</f>
        <v/>
      </c>
    </row>
    <row r="147" ht="15.75" customHeight="1">
      <c r="A147">
        <f>IF(Table_12121510[[#This Row],[Chassis Name]]=0,"",Table_12121510[[#This Row],[Chassis Name]])</f>
        <v/>
      </c>
      <c r="D147" s="25" t="n"/>
      <c r="F147" s="27" t="n"/>
      <c r="I147" s="18">
        <f>IF($B147="","FALSE","TRUE")</f>
        <v/>
      </c>
      <c r="J147">
        <f t="array" ref="J147">IsURL(Table_12121510[[#This Row],[Data Source]])</f>
        <v/>
      </c>
      <c r="K147">
        <f t="array" ref="K147">IsURL(Table_12121510[[#This Row],[DOI]])</f>
        <v/>
      </c>
      <c r="L147">
        <f t="array" ref="L147">IsURL(Table_12121510[[#This Row],[Data Source]])</f>
        <v/>
      </c>
      <c r="M147">
        <f t="array" ref="M147">IsURL(Table_12121510[[#This Row],[Data Source]])</f>
        <v/>
      </c>
    </row>
    <row r="148" ht="15.75" customHeight="1">
      <c r="A148">
        <f>IF(Table_12121510[[#This Row],[Chassis Name]]=0,"",Table_12121510[[#This Row],[Chassis Name]])</f>
        <v/>
      </c>
      <c r="D148" s="25" t="n"/>
      <c r="F148" s="27" t="n"/>
      <c r="I148" s="18">
        <f>IF($B148="","FALSE","TRUE")</f>
        <v/>
      </c>
      <c r="J148">
        <f t="array" ref="J148">IsURL(Table_12121510[[#This Row],[Data Source]])</f>
        <v/>
      </c>
      <c r="K148">
        <f t="array" ref="K148">IsURL(Table_12121510[[#This Row],[DOI]])</f>
        <v/>
      </c>
      <c r="L148">
        <f t="array" ref="L148">IsURL(Table_12121510[[#This Row],[Data Source]])</f>
        <v/>
      </c>
      <c r="M148">
        <f t="array" ref="M148">IsURL(Table_12121510[[#This Row],[Data Source]])</f>
        <v/>
      </c>
    </row>
    <row r="149" ht="15.75" customHeight="1">
      <c r="A149">
        <f>IF(Table_12121510[[#This Row],[Chassis Name]]=0,"",Table_12121510[[#This Row],[Chassis Name]])</f>
        <v/>
      </c>
      <c r="D149" s="25" t="n"/>
      <c r="F149" s="27" t="n"/>
      <c r="I149" s="18">
        <f>IF($B149="","FALSE","TRUE")</f>
        <v/>
      </c>
      <c r="J149">
        <f t="array" ref="J149">IsURL(Table_12121510[[#This Row],[Data Source]])</f>
        <v/>
      </c>
      <c r="K149">
        <f t="array" ref="K149">IsURL(Table_12121510[[#This Row],[DOI]])</f>
        <v/>
      </c>
      <c r="L149">
        <f t="array" ref="L149">IsURL(Table_12121510[[#This Row],[Data Source]])</f>
        <v/>
      </c>
      <c r="M149">
        <f t="array" ref="M149">IsURL(Table_12121510[[#This Row],[Data Source]])</f>
        <v/>
      </c>
    </row>
    <row r="150" ht="15.75" customHeight="1">
      <c r="A150">
        <f>IF(Table_12121510[[#This Row],[Chassis Name]]=0,"",Table_12121510[[#This Row],[Chassis Name]])</f>
        <v/>
      </c>
      <c r="D150" s="25" t="n"/>
      <c r="F150" s="27" t="n"/>
      <c r="I150" s="18">
        <f>IF($B150="","FALSE","TRUE")</f>
        <v/>
      </c>
      <c r="J150">
        <f t="array" ref="J150">IsURL(Table_12121510[[#This Row],[Data Source]])</f>
        <v/>
      </c>
      <c r="K150">
        <f t="array" ref="K150">IsURL(Table_12121510[[#This Row],[DOI]])</f>
        <v/>
      </c>
      <c r="L150">
        <f t="array" ref="L150">IsURL(Table_12121510[[#This Row],[Data Source]])</f>
        <v/>
      </c>
      <c r="M150">
        <f t="array" ref="M150">IsURL(Table_12121510[[#This Row],[Data Source]])</f>
        <v/>
      </c>
    </row>
    <row r="151" ht="15.75" customHeight="1">
      <c r="A151">
        <f>IF(Table_12121510[[#This Row],[Chassis Name]]=0,"",Table_12121510[[#This Row],[Chassis Name]])</f>
        <v/>
      </c>
      <c r="D151" s="25" t="n"/>
      <c r="F151" s="27" t="n"/>
      <c r="I151" s="18">
        <f>IF($B151="","FALSE","TRUE")</f>
        <v/>
      </c>
      <c r="J151">
        <f t="array" ref="J151">IsURL(Table_12121510[[#This Row],[Data Source]])</f>
        <v/>
      </c>
      <c r="K151">
        <f t="array" ref="K151">IsURL(Table_12121510[[#This Row],[DOI]])</f>
        <v/>
      </c>
      <c r="L151">
        <f t="array" ref="L151">IsURL(Table_12121510[[#This Row],[Data Source]])</f>
        <v/>
      </c>
      <c r="M151">
        <f t="array" ref="M151">IsURL(Table_12121510[[#This Row],[Data Source]])</f>
        <v/>
      </c>
    </row>
    <row r="152" ht="15.75" customHeight="1">
      <c r="A152">
        <f>IF(Table_12121510[[#This Row],[Chassis Name]]=0,"",Table_12121510[[#This Row],[Chassis Name]])</f>
        <v/>
      </c>
      <c r="D152" s="25" t="n"/>
      <c r="F152" s="27" t="n"/>
      <c r="I152" s="18">
        <f>IF($B152="","FALSE","TRUE")</f>
        <v/>
      </c>
      <c r="J152">
        <f t="array" ref="J152">IsURL(Table_12121510[[#This Row],[Data Source]])</f>
        <v/>
      </c>
      <c r="K152">
        <f t="array" ref="K152">IsURL(Table_12121510[[#This Row],[DOI]])</f>
        <v/>
      </c>
      <c r="L152">
        <f t="array" ref="L152">IsURL(Table_12121510[[#This Row],[Data Source]])</f>
        <v/>
      </c>
      <c r="M152">
        <f t="array" ref="M152">IsURL(Table_12121510[[#This Row],[Data Source]])</f>
        <v/>
      </c>
    </row>
    <row r="153" ht="15.75" customHeight="1">
      <c r="A153">
        <f>IF(Table_12121510[[#This Row],[Chassis Name]]=0,"",Table_12121510[[#This Row],[Chassis Name]])</f>
        <v/>
      </c>
      <c r="D153" s="25" t="n"/>
      <c r="F153" s="27" t="n"/>
      <c r="I153" s="18">
        <f>IF($B153="","FALSE","TRUE")</f>
        <v/>
      </c>
      <c r="J153">
        <f t="array" ref="J153">IsURL(Table_12121510[[#This Row],[Data Source]])</f>
        <v/>
      </c>
      <c r="K153">
        <f t="array" ref="K153">IsURL(Table_12121510[[#This Row],[DOI]])</f>
        <v/>
      </c>
      <c r="L153">
        <f t="array" ref="L153">IsURL(Table_12121510[[#This Row],[Data Source]])</f>
        <v/>
      </c>
      <c r="M153">
        <f t="array" ref="M153">IsURL(Table_12121510[[#This Row],[Data Source]])</f>
        <v/>
      </c>
    </row>
    <row r="154" ht="15.75" customHeight="1">
      <c r="A154">
        <f>IF(Table_12121510[[#This Row],[Chassis Name]]=0,"",Table_12121510[[#This Row],[Chassis Name]])</f>
        <v/>
      </c>
      <c r="D154" s="25" t="n"/>
      <c r="F154" s="27" t="n"/>
      <c r="I154" s="18">
        <f>IF($B154="","FALSE","TRUE")</f>
        <v/>
      </c>
      <c r="J154">
        <f t="array" ref="J154">IsURL(Table_12121510[[#This Row],[Data Source]])</f>
        <v/>
      </c>
      <c r="K154">
        <f t="array" ref="K154">IsURL(Table_12121510[[#This Row],[DOI]])</f>
        <v/>
      </c>
      <c r="L154">
        <f t="array" ref="L154">IsURL(Table_12121510[[#This Row],[Data Source]])</f>
        <v/>
      </c>
      <c r="M154">
        <f t="array" ref="M154">IsURL(Table_12121510[[#This Row],[Data Source]])</f>
        <v/>
      </c>
    </row>
    <row r="155" ht="15.75" customHeight="1">
      <c r="A155">
        <f>IF(Table_12121510[[#This Row],[Chassis Name]]=0,"",Table_12121510[[#This Row],[Chassis Name]])</f>
        <v/>
      </c>
      <c r="D155" s="25" t="n"/>
      <c r="F155" s="27" t="n"/>
      <c r="I155" s="18">
        <f>IF($B155="","FALSE","TRUE")</f>
        <v/>
      </c>
      <c r="J155">
        <f t="array" ref="J155">IsURL(Table_12121510[[#This Row],[Data Source]])</f>
        <v/>
      </c>
      <c r="K155">
        <f t="array" ref="K155">IsURL(Table_12121510[[#This Row],[DOI]])</f>
        <v/>
      </c>
      <c r="L155">
        <f t="array" ref="L155">IsURL(Table_12121510[[#This Row],[Data Source]])</f>
        <v/>
      </c>
      <c r="M155">
        <f t="array" ref="M155">IsURL(Table_12121510[[#This Row],[Data Source]])</f>
        <v/>
      </c>
    </row>
    <row r="156" ht="15.75" customHeight="1">
      <c r="A156">
        <f>IF(Table_12121510[[#This Row],[Chassis Name]]=0,"",Table_12121510[[#This Row],[Chassis Name]])</f>
        <v/>
      </c>
      <c r="D156" s="25" t="n"/>
      <c r="F156" s="27" t="n"/>
      <c r="I156" s="18">
        <f>IF($B156="","FALSE","TRUE")</f>
        <v/>
      </c>
      <c r="J156">
        <f t="array" ref="J156">IsURL(Table_12121510[[#This Row],[Data Source]])</f>
        <v/>
      </c>
      <c r="K156">
        <f t="array" ref="K156">IsURL(Table_12121510[[#This Row],[DOI]])</f>
        <v/>
      </c>
      <c r="L156">
        <f t="array" ref="L156">IsURL(Table_12121510[[#This Row],[Data Source]])</f>
        <v/>
      </c>
      <c r="M156">
        <f t="array" ref="M156">IsURL(Table_12121510[[#This Row],[Data Source]])</f>
        <v/>
      </c>
    </row>
    <row r="157" ht="15.75" customHeight="1">
      <c r="A157">
        <f>IF(Table_12121510[[#This Row],[Chassis Name]]=0,"",Table_12121510[[#This Row],[Chassis Name]])</f>
        <v/>
      </c>
      <c r="D157" s="25" t="n"/>
      <c r="F157" s="27" t="n"/>
      <c r="I157" s="18">
        <f>IF($B157="","FALSE","TRUE")</f>
        <v/>
      </c>
      <c r="J157">
        <f t="array" ref="J157">IsURL(Table_12121510[[#This Row],[Data Source]])</f>
        <v/>
      </c>
      <c r="K157">
        <f t="array" ref="K157">IsURL(Table_12121510[[#This Row],[DOI]])</f>
        <v/>
      </c>
      <c r="L157">
        <f t="array" ref="L157">IsURL(Table_12121510[[#This Row],[Data Source]])</f>
        <v/>
      </c>
      <c r="M157">
        <f t="array" ref="M157">IsURL(Table_12121510[[#This Row],[Data Source]])</f>
        <v/>
      </c>
    </row>
    <row r="158" ht="15.75" customHeight="1">
      <c r="A158">
        <f>IF(Table_12121510[[#This Row],[Chassis Name]]=0,"",Table_12121510[[#This Row],[Chassis Name]])</f>
        <v/>
      </c>
      <c r="D158" s="25" t="n"/>
      <c r="F158" s="27" t="n"/>
      <c r="I158" s="18">
        <f>IF($B158="","FALSE","TRUE")</f>
        <v/>
      </c>
      <c r="J158">
        <f t="array" ref="J158">IsURL(Table_12121510[[#This Row],[Data Source]])</f>
        <v/>
      </c>
      <c r="K158">
        <f t="array" ref="K158">IsURL(Table_12121510[[#This Row],[DOI]])</f>
        <v/>
      </c>
      <c r="L158">
        <f t="array" ref="L158">IsURL(Table_12121510[[#This Row],[Data Source]])</f>
        <v/>
      </c>
      <c r="M158">
        <f t="array" ref="M158">IsURL(Table_12121510[[#This Row],[Data Source]])</f>
        <v/>
      </c>
    </row>
    <row r="159" ht="15.75" customHeight="1">
      <c r="A159">
        <f>IF(Table_12121510[[#This Row],[Chassis Name]]=0,"",Table_12121510[[#This Row],[Chassis Name]])</f>
        <v/>
      </c>
      <c r="D159" s="25" t="n"/>
      <c r="F159" s="27" t="n"/>
      <c r="I159" s="18">
        <f>IF($B159="","FALSE","TRUE")</f>
        <v/>
      </c>
      <c r="J159">
        <f t="array" ref="J159">IsURL(Table_12121510[[#This Row],[Data Source]])</f>
        <v/>
      </c>
      <c r="K159">
        <f t="array" ref="K159">IsURL(Table_12121510[[#This Row],[DOI]])</f>
        <v/>
      </c>
      <c r="L159">
        <f t="array" ref="L159">IsURL(Table_12121510[[#This Row],[Data Source]])</f>
        <v/>
      </c>
      <c r="M159">
        <f t="array" ref="M159">IsURL(Table_12121510[[#This Row],[Data Source]])</f>
        <v/>
      </c>
    </row>
    <row r="160" ht="15.75" customHeight="1">
      <c r="A160">
        <f>IF(Table_12121510[[#This Row],[Chassis Name]]=0,"",Table_12121510[[#This Row],[Chassis Name]])</f>
        <v/>
      </c>
      <c r="D160" s="25" t="n"/>
      <c r="F160" s="27" t="n"/>
      <c r="I160" s="18">
        <f>IF($B160="","FALSE","TRUE")</f>
        <v/>
      </c>
      <c r="J160">
        <f t="array" ref="J160">IsURL(Table_12121510[[#This Row],[Data Source]])</f>
        <v/>
      </c>
      <c r="K160">
        <f t="array" ref="K160">IsURL(Table_12121510[[#This Row],[DOI]])</f>
        <v/>
      </c>
      <c r="L160">
        <f t="array" ref="L160">IsURL(Table_12121510[[#This Row],[Data Source]])</f>
        <v/>
      </c>
      <c r="M160">
        <f t="array" ref="M160">IsURL(Table_12121510[[#This Row],[Data Source]])</f>
        <v/>
      </c>
    </row>
    <row r="161" ht="15.75" customHeight="1">
      <c r="A161">
        <f>IF(Table_12121510[[#This Row],[Chassis Name]]=0,"",Table_12121510[[#This Row],[Chassis Name]])</f>
        <v/>
      </c>
      <c r="D161" s="25" t="n"/>
      <c r="F161" s="27" t="n"/>
      <c r="I161" s="18">
        <f>IF($B161="","FALSE","TRUE")</f>
        <v/>
      </c>
      <c r="J161">
        <f t="array" ref="J161">IsURL(Table_12121510[[#This Row],[Data Source]])</f>
        <v/>
      </c>
      <c r="K161">
        <f t="array" ref="K161">IsURL(Table_12121510[[#This Row],[DOI]])</f>
        <v/>
      </c>
      <c r="L161">
        <f t="array" ref="L161">IsURL(Table_12121510[[#This Row],[Data Source]])</f>
        <v/>
      </c>
      <c r="M161">
        <f t="array" ref="M161">IsURL(Table_12121510[[#This Row],[Data Source]])</f>
        <v/>
      </c>
    </row>
    <row r="162" ht="15.75" customHeight="1">
      <c r="A162">
        <f>IF(Table_12121510[[#This Row],[Chassis Name]]=0,"",Table_12121510[[#This Row],[Chassis Name]])</f>
        <v/>
      </c>
      <c r="D162" s="25" t="n"/>
      <c r="F162" s="27" t="n"/>
      <c r="I162" s="18">
        <f>IF($B162="","FALSE","TRUE")</f>
        <v/>
      </c>
      <c r="J162">
        <f t="array" ref="J162">IsURL(Table_12121510[[#This Row],[Data Source]])</f>
        <v/>
      </c>
      <c r="K162">
        <f t="array" ref="K162">IsURL(Table_12121510[[#This Row],[DOI]])</f>
        <v/>
      </c>
      <c r="L162">
        <f t="array" ref="L162">IsURL(Table_12121510[[#This Row],[Data Source]])</f>
        <v/>
      </c>
      <c r="M162">
        <f t="array" ref="M162">IsURL(Table_12121510[[#This Row],[Data Source]])</f>
        <v/>
      </c>
    </row>
    <row r="163" ht="15.75" customHeight="1">
      <c r="A163">
        <f>IF(Table_12121510[[#This Row],[Chassis Name]]=0,"",Table_12121510[[#This Row],[Chassis Name]])</f>
        <v/>
      </c>
      <c r="D163" s="25" t="n"/>
      <c r="F163" s="27" t="n"/>
      <c r="I163" s="18">
        <f>IF($B163="","FALSE","TRUE")</f>
        <v/>
      </c>
      <c r="J163">
        <f t="array" ref="J163">IsURL(Table_12121510[[#This Row],[Data Source]])</f>
        <v/>
      </c>
      <c r="K163">
        <f t="array" ref="K163">IsURL(Table_12121510[[#This Row],[DOI]])</f>
        <v/>
      </c>
      <c r="L163">
        <f t="array" ref="L163">IsURL(Table_12121510[[#This Row],[Data Source]])</f>
        <v/>
      </c>
      <c r="M163">
        <f t="array" ref="M163">IsURL(Table_12121510[[#This Row],[Data Source]])</f>
        <v/>
      </c>
    </row>
    <row r="164" ht="15.75" customHeight="1">
      <c r="A164">
        <f>IF(Table_12121510[[#This Row],[Chassis Name]]=0,"",Table_12121510[[#This Row],[Chassis Name]])</f>
        <v/>
      </c>
      <c r="D164" s="25" t="n"/>
      <c r="F164" s="27" t="n"/>
      <c r="I164" s="18">
        <f>IF($B164="","FALSE","TRUE")</f>
        <v/>
      </c>
      <c r="J164">
        <f t="array" ref="J164">IsURL(Table_12121510[[#This Row],[Data Source]])</f>
        <v/>
      </c>
      <c r="K164">
        <f t="array" ref="K164">IsURL(Table_12121510[[#This Row],[DOI]])</f>
        <v/>
      </c>
      <c r="L164">
        <f t="array" ref="L164">IsURL(Table_12121510[[#This Row],[Data Source]])</f>
        <v/>
      </c>
      <c r="M164">
        <f t="array" ref="M164">IsURL(Table_12121510[[#This Row],[Data Source]])</f>
        <v/>
      </c>
    </row>
    <row r="165" ht="15.75" customHeight="1">
      <c r="A165">
        <f>IF(Table_12121510[[#This Row],[Chassis Name]]=0,"",Table_12121510[[#This Row],[Chassis Name]])</f>
        <v/>
      </c>
      <c r="D165" s="25" t="n"/>
      <c r="F165" s="27" t="n"/>
      <c r="I165" s="18">
        <f>IF($B165="","FALSE","TRUE")</f>
        <v/>
      </c>
      <c r="J165">
        <f t="array" ref="J165">IsURL(Table_12121510[[#This Row],[Data Source]])</f>
        <v/>
      </c>
      <c r="K165">
        <f t="array" ref="K165">IsURL(Table_12121510[[#This Row],[DOI]])</f>
        <v/>
      </c>
      <c r="L165">
        <f t="array" ref="L165">IsURL(Table_12121510[[#This Row],[Data Source]])</f>
        <v/>
      </c>
      <c r="M165">
        <f t="array" ref="M165">IsURL(Table_12121510[[#This Row],[Data Source]])</f>
        <v/>
      </c>
    </row>
    <row r="166" ht="15.75" customHeight="1">
      <c r="A166">
        <f>IF(Table_12121510[[#This Row],[Chassis Name]]=0,"",Table_12121510[[#This Row],[Chassis Name]])</f>
        <v/>
      </c>
      <c r="D166" s="25" t="n"/>
      <c r="F166" s="27" t="n"/>
      <c r="I166" s="18">
        <f>IF($B166="","FALSE","TRUE")</f>
        <v/>
      </c>
      <c r="J166">
        <f t="array" ref="J166">IsURL(Table_12121510[[#This Row],[Data Source]])</f>
        <v/>
      </c>
      <c r="K166">
        <f t="array" ref="K166">IsURL(Table_12121510[[#This Row],[DOI]])</f>
        <v/>
      </c>
      <c r="L166">
        <f t="array" ref="L166">IsURL(Table_12121510[[#This Row],[Data Source]])</f>
        <v/>
      </c>
      <c r="M166">
        <f t="array" ref="M166">IsURL(Table_12121510[[#This Row],[Data Source]])</f>
        <v/>
      </c>
    </row>
    <row r="167" ht="15.75" customHeight="1">
      <c r="A167">
        <f>IF(Table_12121510[[#This Row],[Chassis Name]]=0,"",Table_12121510[[#This Row],[Chassis Name]])</f>
        <v/>
      </c>
      <c r="D167" s="25" t="n"/>
      <c r="F167" s="27" t="n"/>
      <c r="I167" s="18">
        <f>IF($B167="","FALSE","TRUE")</f>
        <v/>
      </c>
      <c r="J167">
        <f t="array" ref="J167">IsURL(Table_12121510[[#This Row],[Data Source]])</f>
        <v/>
      </c>
      <c r="K167">
        <f t="array" ref="K167">IsURL(Table_12121510[[#This Row],[DOI]])</f>
        <v/>
      </c>
      <c r="L167">
        <f t="array" ref="L167">IsURL(Table_12121510[[#This Row],[Data Source]])</f>
        <v/>
      </c>
      <c r="M167">
        <f t="array" ref="M167">IsURL(Table_12121510[[#This Row],[Data Source]])</f>
        <v/>
      </c>
    </row>
    <row r="168" ht="15.75" customHeight="1">
      <c r="A168">
        <f>IF(Table_12121510[[#This Row],[Chassis Name]]=0,"",Table_12121510[[#This Row],[Chassis Name]])</f>
        <v/>
      </c>
      <c r="D168" s="25" t="n"/>
      <c r="F168" s="27" t="n"/>
      <c r="I168" s="18">
        <f>IF($B168="","FALSE","TRUE")</f>
        <v/>
      </c>
      <c r="J168">
        <f t="array" ref="J168">IsURL(Table_12121510[[#This Row],[Data Source]])</f>
        <v/>
      </c>
      <c r="K168">
        <f t="array" ref="K168">IsURL(Table_12121510[[#This Row],[DOI]])</f>
        <v/>
      </c>
      <c r="L168">
        <f t="array" ref="L168">IsURL(Table_12121510[[#This Row],[Data Source]])</f>
        <v/>
      </c>
      <c r="M168">
        <f t="array" ref="M168">IsURL(Table_12121510[[#This Row],[Data Source]])</f>
        <v/>
      </c>
    </row>
    <row r="169" ht="15.75" customHeight="1">
      <c r="A169">
        <f>IF(Table_12121510[[#This Row],[Chassis Name]]=0,"",Table_12121510[[#This Row],[Chassis Name]])</f>
        <v/>
      </c>
      <c r="D169" s="25" t="n"/>
      <c r="F169" s="27" t="n"/>
      <c r="I169" s="18">
        <f>IF($B169="","FALSE","TRUE")</f>
        <v/>
      </c>
      <c r="J169">
        <f t="array" ref="J169">IsURL(Table_12121510[[#This Row],[Data Source]])</f>
        <v/>
      </c>
      <c r="K169">
        <f t="array" ref="K169">IsURL(Table_12121510[[#This Row],[DOI]])</f>
        <v/>
      </c>
      <c r="L169">
        <f t="array" ref="L169">IsURL(Table_12121510[[#This Row],[Data Source]])</f>
        <v/>
      </c>
      <c r="M169">
        <f t="array" ref="M169">IsURL(Table_12121510[[#This Row],[Data Source]])</f>
        <v/>
      </c>
    </row>
    <row r="170" ht="15.75" customHeight="1">
      <c r="A170">
        <f>IF(Table_12121510[[#This Row],[Chassis Name]]=0,"",Table_12121510[[#This Row],[Chassis Name]])</f>
        <v/>
      </c>
      <c r="D170" s="25" t="n"/>
      <c r="F170" s="27" t="n"/>
      <c r="I170" s="18">
        <f>IF($B170="","FALSE","TRUE")</f>
        <v/>
      </c>
      <c r="J170">
        <f t="array" ref="J170">IsURL(Table_12121510[[#This Row],[Data Source]])</f>
        <v/>
      </c>
      <c r="K170">
        <f t="array" ref="K170">IsURL(Table_12121510[[#This Row],[DOI]])</f>
        <v/>
      </c>
      <c r="L170">
        <f t="array" ref="L170">IsURL(Table_12121510[[#This Row],[Data Source]])</f>
        <v/>
      </c>
      <c r="M170">
        <f t="array" ref="M170">IsURL(Table_12121510[[#This Row],[Data Source]])</f>
        <v/>
      </c>
    </row>
    <row r="171" ht="15.75" customHeight="1">
      <c r="A171">
        <f>IF(Table_12121510[[#This Row],[Chassis Name]]=0,"",Table_12121510[[#This Row],[Chassis Name]])</f>
        <v/>
      </c>
      <c r="D171" s="25" t="n"/>
      <c r="F171" s="27" t="n"/>
      <c r="I171" s="18">
        <f>IF($B171="","FALSE","TRUE")</f>
        <v/>
      </c>
      <c r="J171">
        <f t="array" ref="J171">IsURL(Table_12121510[[#This Row],[Data Source]])</f>
        <v/>
      </c>
      <c r="K171">
        <f t="array" ref="K171">IsURL(Table_12121510[[#This Row],[DOI]])</f>
        <v/>
      </c>
      <c r="L171">
        <f t="array" ref="L171">IsURL(Table_12121510[[#This Row],[Data Source]])</f>
        <v/>
      </c>
      <c r="M171">
        <f t="array" ref="M171">IsURL(Table_12121510[[#This Row],[Data Source]])</f>
        <v/>
      </c>
    </row>
    <row r="172" ht="15.75" customHeight="1">
      <c r="A172">
        <f>IF(Table_12121510[[#This Row],[Chassis Name]]=0,"",Table_12121510[[#This Row],[Chassis Name]])</f>
        <v/>
      </c>
      <c r="D172" s="25" t="n"/>
      <c r="F172" s="27" t="n"/>
      <c r="I172" s="18">
        <f>IF($B172="","FALSE","TRUE")</f>
        <v/>
      </c>
      <c r="J172">
        <f t="array" ref="J172">IsURL(Table_12121510[[#This Row],[Data Source]])</f>
        <v/>
      </c>
      <c r="K172">
        <f t="array" ref="K172">IsURL(Table_12121510[[#This Row],[DOI]])</f>
        <v/>
      </c>
      <c r="L172">
        <f t="array" ref="L172">IsURL(Table_12121510[[#This Row],[Data Source]])</f>
        <v/>
      </c>
      <c r="M172">
        <f t="array" ref="M172">IsURL(Table_12121510[[#This Row],[Data Source]])</f>
        <v/>
      </c>
    </row>
    <row r="173" ht="15.75" customHeight="1">
      <c r="A173">
        <f>IF(Table_12121510[[#This Row],[Chassis Name]]=0,"",Table_12121510[[#This Row],[Chassis Name]])</f>
        <v/>
      </c>
      <c r="D173" s="25" t="n"/>
      <c r="F173" s="27" t="n"/>
      <c r="I173" s="18">
        <f>IF($B173="","FALSE","TRUE")</f>
        <v/>
      </c>
      <c r="J173">
        <f t="array" ref="J173">IsURL(Table_12121510[[#This Row],[Data Source]])</f>
        <v/>
      </c>
      <c r="K173">
        <f t="array" ref="K173">IsURL(Table_12121510[[#This Row],[DOI]])</f>
        <v/>
      </c>
      <c r="L173">
        <f t="array" ref="L173">IsURL(Table_12121510[[#This Row],[Data Source]])</f>
        <v/>
      </c>
      <c r="M173">
        <f t="array" ref="M173">IsURL(Table_12121510[[#This Row],[Data Source]])</f>
        <v/>
      </c>
    </row>
    <row r="174" ht="15.75" customHeight="1">
      <c r="A174">
        <f>IF(Table_12121510[[#This Row],[Chassis Name]]=0,"",Table_12121510[[#This Row],[Chassis Name]])</f>
        <v/>
      </c>
      <c r="D174" s="25" t="n"/>
      <c r="F174" s="27" t="n"/>
      <c r="I174" s="18">
        <f>IF($B174="","FALSE","TRUE")</f>
        <v/>
      </c>
      <c r="J174">
        <f t="array" ref="J174">IsURL(Table_12121510[[#This Row],[Data Source]])</f>
        <v/>
      </c>
      <c r="K174">
        <f t="array" ref="K174">IsURL(Table_12121510[[#This Row],[DOI]])</f>
        <v/>
      </c>
      <c r="L174">
        <f t="array" ref="L174">IsURL(Table_12121510[[#This Row],[Data Source]])</f>
        <v/>
      </c>
      <c r="M174">
        <f t="array" ref="M174">IsURL(Table_12121510[[#This Row],[Data Source]])</f>
        <v/>
      </c>
    </row>
    <row r="175" ht="15.75" customHeight="1">
      <c r="A175">
        <f>IF(Table_12121510[[#This Row],[Chassis Name]]=0,"",Table_12121510[[#This Row],[Chassis Name]])</f>
        <v/>
      </c>
      <c r="D175" s="25" t="n"/>
      <c r="F175" s="27" t="n"/>
      <c r="I175" s="18">
        <f>IF($B175="","FALSE","TRUE")</f>
        <v/>
      </c>
      <c r="J175">
        <f t="array" ref="J175">IsURL(Table_12121510[[#This Row],[Data Source]])</f>
        <v/>
      </c>
      <c r="K175">
        <f t="array" ref="K175">IsURL(Table_12121510[[#This Row],[DOI]])</f>
        <v/>
      </c>
      <c r="L175">
        <f t="array" ref="L175">IsURL(Table_12121510[[#This Row],[Data Source]])</f>
        <v/>
      </c>
      <c r="M175">
        <f t="array" ref="M175">IsURL(Table_12121510[[#This Row],[Data Source]])</f>
        <v/>
      </c>
    </row>
    <row r="176" ht="15.75" customHeight="1">
      <c r="A176">
        <f>IF(Table_12121510[[#This Row],[Chassis Name]]=0,"",Table_12121510[[#This Row],[Chassis Name]])</f>
        <v/>
      </c>
      <c r="D176" s="25" t="n"/>
      <c r="F176" s="27" t="n"/>
      <c r="I176" s="18">
        <f>IF($B176="","FALSE","TRUE")</f>
        <v/>
      </c>
      <c r="J176">
        <f t="array" ref="J176">IsURL(Table_12121510[[#This Row],[Data Source]])</f>
        <v/>
      </c>
      <c r="K176">
        <f t="array" ref="K176">IsURL(Table_12121510[[#This Row],[DOI]])</f>
        <v/>
      </c>
      <c r="L176">
        <f t="array" ref="L176">IsURL(Table_12121510[[#This Row],[Data Source]])</f>
        <v/>
      </c>
      <c r="M176">
        <f t="array" ref="M176">IsURL(Table_12121510[[#This Row],[Data Source]])</f>
        <v/>
      </c>
    </row>
    <row r="177" ht="15.75" customHeight="1">
      <c r="A177">
        <f>IF(Table_12121510[[#This Row],[Chassis Name]]=0,"",Table_12121510[[#This Row],[Chassis Name]])</f>
        <v/>
      </c>
      <c r="D177" s="25" t="n"/>
      <c r="F177" s="27" t="n"/>
      <c r="I177" s="18">
        <f>IF($B177="","FALSE","TRUE")</f>
        <v/>
      </c>
      <c r="J177">
        <f t="array" ref="J177">IsURL(Table_12121510[[#This Row],[Data Source]])</f>
        <v/>
      </c>
      <c r="K177">
        <f t="array" ref="K177">IsURL(Table_12121510[[#This Row],[DOI]])</f>
        <v/>
      </c>
      <c r="L177">
        <f t="array" ref="L177">IsURL(Table_12121510[[#This Row],[Data Source]])</f>
        <v/>
      </c>
      <c r="M177">
        <f t="array" ref="M177">IsURL(Table_12121510[[#This Row],[Data Source]])</f>
        <v/>
      </c>
    </row>
    <row r="178" ht="15.75" customHeight="1">
      <c r="A178">
        <f>IF(Table_12121510[[#This Row],[Chassis Name]]=0,"",Table_12121510[[#This Row],[Chassis Name]])</f>
        <v/>
      </c>
      <c r="D178" s="25" t="n"/>
      <c r="F178" s="27" t="n"/>
      <c r="I178" s="18">
        <f>IF($B178="","FALSE","TRUE")</f>
        <v/>
      </c>
      <c r="J178">
        <f t="array" ref="J178">IsURL(Table_12121510[[#This Row],[Data Source]])</f>
        <v/>
      </c>
      <c r="K178">
        <f t="array" ref="K178">IsURL(Table_12121510[[#This Row],[DOI]])</f>
        <v/>
      </c>
      <c r="L178">
        <f t="array" ref="L178">IsURL(Table_12121510[[#This Row],[Data Source]])</f>
        <v/>
      </c>
      <c r="M178">
        <f t="array" ref="M178">IsURL(Table_12121510[[#This Row],[Data Source]])</f>
        <v/>
      </c>
    </row>
    <row r="179" ht="15.75" customHeight="1">
      <c r="A179">
        <f>IF(Table_12121510[[#This Row],[Chassis Name]]=0,"",Table_12121510[[#This Row],[Chassis Name]])</f>
        <v/>
      </c>
      <c r="D179" s="25" t="n"/>
      <c r="F179" s="27" t="n"/>
      <c r="I179" s="18">
        <f>IF($B179="","FALSE","TRUE")</f>
        <v/>
      </c>
      <c r="J179">
        <f t="array" ref="J179">IsURL(Table_12121510[[#This Row],[Data Source]])</f>
        <v/>
      </c>
      <c r="K179">
        <f t="array" ref="K179">IsURL(Table_12121510[[#This Row],[DOI]])</f>
        <v/>
      </c>
      <c r="L179">
        <f t="array" ref="L179">IsURL(Table_12121510[[#This Row],[Data Source]])</f>
        <v/>
      </c>
      <c r="M179">
        <f t="array" ref="M179">IsURL(Table_12121510[[#This Row],[Data Source]])</f>
        <v/>
      </c>
    </row>
    <row r="180" ht="15.75" customHeight="1">
      <c r="A180">
        <f>IF(Table_12121510[[#This Row],[Chassis Name]]=0,"",Table_12121510[[#This Row],[Chassis Name]])</f>
        <v/>
      </c>
      <c r="D180" s="25" t="n"/>
      <c r="F180" s="27" t="n"/>
      <c r="I180" s="18">
        <f>IF($B180="","FALSE","TRUE")</f>
        <v/>
      </c>
      <c r="J180">
        <f t="array" ref="J180">IsURL(Table_12121510[[#This Row],[Data Source]])</f>
        <v/>
      </c>
      <c r="K180">
        <f t="array" ref="K180">IsURL(Table_12121510[[#This Row],[DOI]])</f>
        <v/>
      </c>
      <c r="L180">
        <f t="array" ref="L180">IsURL(Table_12121510[[#This Row],[Data Source]])</f>
        <v/>
      </c>
      <c r="M180">
        <f t="array" ref="M180">IsURL(Table_12121510[[#This Row],[Data Source]])</f>
        <v/>
      </c>
    </row>
    <row r="181" ht="15.75" customHeight="1">
      <c r="A181">
        <f>IF(Table_12121510[[#This Row],[Chassis Name]]=0,"",Table_12121510[[#This Row],[Chassis Name]])</f>
        <v/>
      </c>
      <c r="D181" s="25" t="n"/>
      <c r="F181" s="27" t="n"/>
      <c r="I181" s="18">
        <f>IF($B181="","FALSE","TRUE")</f>
        <v/>
      </c>
      <c r="J181">
        <f t="array" ref="J181">IsURL(Table_12121510[[#This Row],[Data Source]])</f>
        <v/>
      </c>
      <c r="K181">
        <f t="array" ref="K181">IsURL(Table_12121510[[#This Row],[DOI]])</f>
        <v/>
      </c>
      <c r="L181">
        <f t="array" ref="L181">IsURL(Table_12121510[[#This Row],[Data Source]])</f>
        <v/>
      </c>
      <c r="M181">
        <f t="array" ref="M181">IsURL(Table_12121510[[#This Row],[Data Source]])</f>
        <v/>
      </c>
    </row>
    <row r="182" ht="15.75" customHeight="1">
      <c r="A182">
        <f>IF(Table_12121510[[#This Row],[Chassis Name]]=0,"",Table_12121510[[#This Row],[Chassis Name]])</f>
        <v/>
      </c>
      <c r="D182" s="25" t="n"/>
      <c r="F182" s="27" t="n"/>
      <c r="I182" s="18">
        <f>IF($B182="","FALSE","TRUE")</f>
        <v/>
      </c>
      <c r="J182">
        <f t="array" ref="J182">IsURL(Table_12121510[[#This Row],[Data Source]])</f>
        <v/>
      </c>
      <c r="K182">
        <f t="array" ref="K182">IsURL(Table_12121510[[#This Row],[DOI]])</f>
        <v/>
      </c>
      <c r="L182">
        <f t="array" ref="L182">IsURL(Table_12121510[[#This Row],[Data Source]])</f>
        <v/>
      </c>
      <c r="M182">
        <f t="array" ref="M182">IsURL(Table_12121510[[#This Row],[Data Source]])</f>
        <v/>
      </c>
    </row>
    <row r="183" ht="15.75" customHeight="1">
      <c r="A183">
        <f>IF(Table_12121510[[#This Row],[Chassis Name]]=0,"",Table_12121510[[#This Row],[Chassis Name]])</f>
        <v/>
      </c>
      <c r="D183" s="25" t="n"/>
      <c r="F183" s="27" t="n"/>
      <c r="I183" s="18">
        <f>IF($B183="","FALSE","TRUE")</f>
        <v/>
      </c>
      <c r="J183">
        <f t="array" ref="J183">IsURL(Table_12121510[[#This Row],[Data Source]])</f>
        <v/>
      </c>
      <c r="K183">
        <f t="array" ref="K183">IsURL(Table_12121510[[#This Row],[DOI]])</f>
        <v/>
      </c>
      <c r="L183">
        <f t="array" ref="L183">IsURL(Table_12121510[[#This Row],[Data Source]])</f>
        <v/>
      </c>
      <c r="M183">
        <f t="array" ref="M183">IsURL(Table_12121510[[#This Row],[Data Source]])</f>
        <v/>
      </c>
    </row>
    <row r="184" ht="15.75" customHeight="1">
      <c r="A184">
        <f>IF(Table_12121510[[#This Row],[Chassis Name]]=0,"",Table_12121510[[#This Row],[Chassis Name]])</f>
        <v/>
      </c>
      <c r="D184" s="25" t="n"/>
      <c r="F184" s="27" t="n"/>
      <c r="I184" s="18">
        <f>IF($B184="","FALSE","TRUE")</f>
        <v/>
      </c>
      <c r="J184">
        <f t="array" ref="J184">IsURL(Table_12121510[[#This Row],[Data Source]])</f>
        <v/>
      </c>
      <c r="K184">
        <f t="array" ref="K184">IsURL(Table_12121510[[#This Row],[DOI]])</f>
        <v/>
      </c>
      <c r="L184">
        <f t="array" ref="L184">IsURL(Table_12121510[[#This Row],[Data Source]])</f>
        <v/>
      </c>
      <c r="M184">
        <f t="array" ref="M184">IsURL(Table_12121510[[#This Row],[Data Source]])</f>
        <v/>
      </c>
    </row>
    <row r="185" ht="15.75" customHeight="1">
      <c r="A185">
        <f>IF(Table_12121510[[#This Row],[Chassis Name]]=0,"",Table_12121510[[#This Row],[Chassis Name]])</f>
        <v/>
      </c>
      <c r="D185" s="25" t="n"/>
      <c r="F185" s="27" t="n"/>
      <c r="I185" s="18">
        <f>IF($B185="","FALSE","TRUE")</f>
        <v/>
      </c>
      <c r="J185">
        <f t="array" ref="J185">IsURL(Table_12121510[[#This Row],[Data Source]])</f>
        <v/>
      </c>
      <c r="K185">
        <f t="array" ref="K185">IsURL(Table_12121510[[#This Row],[DOI]])</f>
        <v/>
      </c>
      <c r="L185">
        <f t="array" ref="L185">IsURL(Table_12121510[[#This Row],[Data Source]])</f>
        <v/>
      </c>
      <c r="M185">
        <f t="array" ref="M185">IsURL(Table_12121510[[#This Row],[Data Source]])</f>
        <v/>
      </c>
    </row>
    <row r="186" ht="15.75" customHeight="1">
      <c r="A186">
        <f>IF(Table_12121510[[#This Row],[Chassis Name]]=0,"",Table_12121510[[#This Row],[Chassis Name]])</f>
        <v/>
      </c>
      <c r="D186" s="25" t="n"/>
      <c r="F186" s="27" t="n"/>
      <c r="I186" s="18">
        <f>IF($B186="","FALSE","TRUE")</f>
        <v/>
      </c>
      <c r="J186">
        <f t="array" ref="J186">IsURL(Table_12121510[[#This Row],[Data Source]])</f>
        <v/>
      </c>
      <c r="K186">
        <f t="array" ref="K186">IsURL(Table_12121510[[#This Row],[DOI]])</f>
        <v/>
      </c>
      <c r="L186">
        <f t="array" ref="L186">IsURL(Table_12121510[[#This Row],[Data Source]])</f>
        <v/>
      </c>
      <c r="M186">
        <f t="array" ref="M186">IsURL(Table_12121510[[#This Row],[Data Source]])</f>
        <v/>
      </c>
    </row>
    <row r="187" ht="15.75" customHeight="1">
      <c r="A187">
        <f>IF(Table_12121510[[#This Row],[Chassis Name]]=0,"",Table_12121510[[#This Row],[Chassis Name]])</f>
        <v/>
      </c>
      <c r="D187" s="25" t="n"/>
      <c r="F187" s="27" t="n"/>
      <c r="I187" s="18">
        <f>IF($B187="","FALSE","TRUE")</f>
        <v/>
      </c>
      <c r="J187">
        <f t="array" ref="J187">IsURL(Table_12121510[[#This Row],[Data Source]])</f>
        <v/>
      </c>
      <c r="K187">
        <f t="array" ref="K187">IsURL(Table_12121510[[#This Row],[DOI]])</f>
        <v/>
      </c>
      <c r="L187">
        <f t="array" ref="L187">IsURL(Table_12121510[[#This Row],[Data Source]])</f>
        <v/>
      </c>
      <c r="M187">
        <f t="array" ref="M187">IsURL(Table_12121510[[#This Row],[Data Source]])</f>
        <v/>
      </c>
    </row>
    <row r="188" ht="15.75" customHeight="1">
      <c r="A188">
        <f>IF(Table_12121510[[#This Row],[Chassis Name]]=0,"",Table_12121510[[#This Row],[Chassis Name]])</f>
        <v/>
      </c>
      <c r="D188" s="25" t="n"/>
      <c r="F188" s="27" t="n"/>
      <c r="I188" s="18">
        <f>IF($B188="","FALSE","TRUE")</f>
        <v/>
      </c>
      <c r="J188">
        <f t="array" ref="J188">IsURL(Table_12121510[[#This Row],[Data Source]])</f>
        <v/>
      </c>
      <c r="K188">
        <f t="array" ref="K188">IsURL(Table_12121510[[#This Row],[DOI]])</f>
        <v/>
      </c>
      <c r="L188">
        <f t="array" ref="L188">IsURL(Table_12121510[[#This Row],[Data Source]])</f>
        <v/>
      </c>
      <c r="M188">
        <f t="array" ref="M188">IsURL(Table_12121510[[#This Row],[Data Source]])</f>
        <v/>
      </c>
    </row>
    <row r="189" ht="15.75" customHeight="1">
      <c r="A189">
        <f>IF(Table_12121510[[#This Row],[Chassis Name]]=0,"",Table_12121510[[#This Row],[Chassis Name]])</f>
        <v/>
      </c>
      <c r="D189" s="25" t="n"/>
      <c r="F189" s="27" t="n"/>
      <c r="I189" s="18">
        <f>IF($B189="","FALSE","TRUE")</f>
        <v/>
      </c>
      <c r="J189">
        <f t="array" ref="J189">IsURL(Table_12121510[[#This Row],[Data Source]])</f>
        <v/>
      </c>
      <c r="K189">
        <f t="array" ref="K189">IsURL(Table_12121510[[#This Row],[DOI]])</f>
        <v/>
      </c>
      <c r="L189">
        <f t="array" ref="L189">IsURL(Table_12121510[[#This Row],[Data Source]])</f>
        <v/>
      </c>
      <c r="M189">
        <f t="array" ref="M189">IsURL(Table_12121510[[#This Row],[Data Source]])</f>
        <v/>
      </c>
    </row>
    <row r="190" ht="15.75" customHeight="1">
      <c r="A190">
        <f>IF(Table_12121510[[#This Row],[Chassis Name]]=0,"",Table_12121510[[#This Row],[Chassis Name]])</f>
        <v/>
      </c>
      <c r="D190" s="25" t="n"/>
      <c r="F190" s="27" t="n"/>
      <c r="I190" s="18">
        <f>IF($B190="","FALSE","TRUE")</f>
        <v/>
      </c>
      <c r="J190">
        <f t="array" ref="J190">IsURL(Table_12121510[[#This Row],[Data Source]])</f>
        <v/>
      </c>
      <c r="K190">
        <f t="array" ref="K190">IsURL(Table_12121510[[#This Row],[DOI]])</f>
        <v/>
      </c>
      <c r="L190">
        <f t="array" ref="L190">IsURL(Table_12121510[[#This Row],[Data Source]])</f>
        <v/>
      </c>
      <c r="M190">
        <f t="array" ref="M190">IsURL(Table_12121510[[#This Row],[Data Source]])</f>
        <v/>
      </c>
    </row>
    <row r="191" ht="15.75" customHeight="1">
      <c r="A191">
        <f>IF(Table_12121510[[#This Row],[Chassis Name]]=0,"",Table_12121510[[#This Row],[Chassis Name]])</f>
        <v/>
      </c>
      <c r="D191" s="25" t="n"/>
      <c r="F191" s="27" t="n"/>
      <c r="I191" s="18">
        <f>IF($B191="","FALSE","TRUE")</f>
        <v/>
      </c>
      <c r="J191">
        <f t="array" ref="J191">IsURL(Table_12121510[[#This Row],[Data Source]])</f>
        <v/>
      </c>
      <c r="K191">
        <f t="array" ref="K191">IsURL(Table_12121510[[#This Row],[DOI]])</f>
        <v/>
      </c>
      <c r="L191">
        <f t="array" ref="L191">IsURL(Table_12121510[[#This Row],[Data Source]])</f>
        <v/>
      </c>
      <c r="M191">
        <f t="array" ref="M191">IsURL(Table_12121510[[#This Row],[Data Source]])</f>
        <v/>
      </c>
    </row>
    <row r="192" ht="15.75" customHeight="1">
      <c r="A192">
        <f>IF(Table_12121510[[#This Row],[Chassis Name]]=0,"",Table_12121510[[#This Row],[Chassis Name]])</f>
        <v/>
      </c>
      <c r="D192" s="25" t="n"/>
      <c r="F192" s="27" t="n"/>
      <c r="I192" s="18">
        <f>IF($B192="","FALSE","TRUE")</f>
        <v/>
      </c>
      <c r="J192">
        <f t="array" ref="J192">IsURL(Table_12121510[[#This Row],[Data Source]])</f>
        <v/>
      </c>
      <c r="K192">
        <f t="array" ref="K192">IsURL(Table_12121510[[#This Row],[DOI]])</f>
        <v/>
      </c>
      <c r="L192">
        <f t="array" ref="L192">IsURL(Table_12121510[[#This Row],[Data Source]])</f>
        <v/>
      </c>
      <c r="M192">
        <f t="array" ref="M192">IsURL(Table_12121510[[#This Row],[Data Source]])</f>
        <v/>
      </c>
    </row>
    <row r="193" ht="15.75" customHeight="1">
      <c r="A193">
        <f>IF(Table_12121510[[#This Row],[Chassis Name]]=0,"",Table_12121510[[#This Row],[Chassis Name]])</f>
        <v/>
      </c>
      <c r="D193" s="25" t="n"/>
      <c r="F193" s="27" t="n"/>
      <c r="I193" s="18">
        <f>IF($B193="","FALSE","TRUE")</f>
        <v/>
      </c>
      <c r="J193">
        <f t="array" ref="J193">IsURL(Table_12121510[[#This Row],[Data Source]])</f>
        <v/>
      </c>
      <c r="K193">
        <f t="array" ref="K193">IsURL(Table_12121510[[#This Row],[DOI]])</f>
        <v/>
      </c>
      <c r="L193">
        <f t="array" ref="L193">IsURL(Table_12121510[[#This Row],[Data Source]])</f>
        <v/>
      </c>
      <c r="M193">
        <f t="array" ref="M193">IsURL(Table_12121510[[#This Row],[Data Source]])</f>
        <v/>
      </c>
    </row>
    <row r="194" ht="15.75" customHeight="1">
      <c r="A194">
        <f>IF(Table_12121510[[#This Row],[Chassis Name]]=0,"",Table_12121510[[#This Row],[Chassis Name]])</f>
        <v/>
      </c>
      <c r="D194" s="25" t="n"/>
      <c r="F194" s="27" t="n"/>
      <c r="I194" s="18">
        <f>IF($B194="","FALSE","TRUE")</f>
        <v/>
      </c>
      <c r="J194">
        <f t="array" ref="J194">IsURL(Table_12121510[[#This Row],[Data Source]])</f>
        <v/>
      </c>
      <c r="K194">
        <f t="array" ref="K194">IsURL(Table_12121510[[#This Row],[DOI]])</f>
        <v/>
      </c>
      <c r="L194">
        <f t="array" ref="L194">IsURL(Table_12121510[[#This Row],[Data Source]])</f>
        <v/>
      </c>
      <c r="M194">
        <f t="array" ref="M194">IsURL(Table_12121510[[#This Row],[Data Source]])</f>
        <v/>
      </c>
    </row>
    <row r="195" ht="15.75" customHeight="1">
      <c r="A195">
        <f>IF(Table_12121510[[#This Row],[Chassis Name]]=0,"",Table_12121510[[#This Row],[Chassis Name]])</f>
        <v/>
      </c>
      <c r="D195" s="25" t="n"/>
      <c r="F195" s="27" t="n"/>
      <c r="I195" s="18">
        <f>IF($B195="","FALSE","TRUE")</f>
        <v/>
      </c>
      <c r="J195">
        <f t="array" ref="J195">IsURL(Table_12121510[[#This Row],[Data Source]])</f>
        <v/>
      </c>
      <c r="K195">
        <f t="array" ref="K195">IsURL(Table_12121510[[#This Row],[DOI]])</f>
        <v/>
      </c>
      <c r="L195">
        <f t="array" ref="L195">IsURL(Table_12121510[[#This Row],[Data Source]])</f>
        <v/>
      </c>
      <c r="M195">
        <f t="array" ref="M195">IsURL(Table_12121510[[#This Row],[Data Source]])</f>
        <v/>
      </c>
    </row>
    <row r="196" ht="15.75" customHeight="1">
      <c r="A196">
        <f>IF(Table_12121510[[#This Row],[Chassis Name]]=0,"",Table_12121510[[#This Row],[Chassis Name]])</f>
        <v/>
      </c>
      <c r="D196" s="25" t="n"/>
      <c r="F196" s="27" t="n"/>
      <c r="I196" s="18">
        <f>IF($B196="","FALSE","TRUE")</f>
        <v/>
      </c>
      <c r="J196">
        <f t="array" ref="J196">IsURL(Table_12121510[[#This Row],[Data Source]])</f>
        <v/>
      </c>
      <c r="K196">
        <f t="array" ref="K196">IsURL(Table_12121510[[#This Row],[DOI]])</f>
        <v/>
      </c>
      <c r="L196">
        <f t="array" ref="L196">IsURL(Table_12121510[[#This Row],[Data Source]])</f>
        <v/>
      </c>
      <c r="M196">
        <f t="array" ref="M196">IsURL(Table_12121510[[#This Row],[Data Source]])</f>
        <v/>
      </c>
    </row>
    <row r="197" ht="15.75" customHeight="1">
      <c r="A197">
        <f>IF(Table_12121510[[#This Row],[Chassis Name]]=0,"",Table_12121510[[#This Row],[Chassis Name]])</f>
        <v/>
      </c>
      <c r="D197" s="25" t="n"/>
      <c r="F197" s="27" t="n"/>
      <c r="I197" s="18">
        <f>IF($B197="","FALSE","TRUE")</f>
        <v/>
      </c>
      <c r="J197">
        <f t="array" ref="J197">IsURL(Table_12121510[[#This Row],[Data Source]])</f>
        <v/>
      </c>
      <c r="K197">
        <f t="array" ref="K197">IsURL(Table_12121510[[#This Row],[DOI]])</f>
        <v/>
      </c>
      <c r="L197">
        <f t="array" ref="L197">IsURL(Table_12121510[[#This Row],[Data Source]])</f>
        <v/>
      </c>
      <c r="M197">
        <f t="array" ref="M197">IsURL(Table_12121510[[#This Row],[Data Source]])</f>
        <v/>
      </c>
    </row>
    <row r="198" ht="15.75" customHeight="1">
      <c r="A198">
        <f>IF(Table_12121510[[#This Row],[Chassis Name]]=0,"",Table_12121510[[#This Row],[Chassis Name]])</f>
        <v/>
      </c>
      <c r="D198" s="25" t="n"/>
      <c r="F198" s="27" t="n"/>
      <c r="I198" s="18">
        <f>IF($B198="","FALSE","TRUE")</f>
        <v/>
      </c>
      <c r="J198">
        <f t="array" ref="J198">IsURL(Table_12121510[[#This Row],[Data Source]])</f>
        <v/>
      </c>
      <c r="K198">
        <f t="array" ref="K198">IsURL(Table_12121510[[#This Row],[DOI]])</f>
        <v/>
      </c>
      <c r="L198">
        <f t="array" ref="L198">IsURL(Table_12121510[[#This Row],[Data Source]])</f>
        <v/>
      </c>
      <c r="M198">
        <f t="array" ref="M198">IsURL(Table_12121510[[#This Row],[Data Source]])</f>
        <v/>
      </c>
    </row>
    <row r="199" ht="15.75" customHeight="1">
      <c r="A199">
        <f>IF(Table_12121510[[#This Row],[Chassis Name]]=0,"",Table_12121510[[#This Row],[Chassis Name]])</f>
        <v/>
      </c>
      <c r="D199" s="25" t="n"/>
      <c r="F199" s="27" t="n"/>
      <c r="I199" s="18">
        <f>IF($B199="","FALSE","TRUE")</f>
        <v/>
      </c>
      <c r="J199">
        <f t="array" ref="J199">IsURL(Table_12121510[[#This Row],[Data Source]])</f>
        <v/>
      </c>
      <c r="K199">
        <f t="array" ref="K199">IsURL(Table_12121510[[#This Row],[DOI]])</f>
        <v/>
      </c>
      <c r="L199">
        <f t="array" ref="L199">IsURL(Table_12121510[[#This Row],[Data Source]])</f>
        <v/>
      </c>
      <c r="M199">
        <f t="array" ref="M199">IsURL(Table_12121510[[#This Row],[Data Source]])</f>
        <v/>
      </c>
    </row>
    <row r="200" ht="15.75" customHeight="1">
      <c r="A200">
        <f>IF(Table_12121510[[#This Row],[Chassis Name]]=0,"",Table_12121510[[#This Row],[Chassis Name]])</f>
        <v/>
      </c>
      <c r="D200" s="25" t="n"/>
      <c r="F200" s="27" t="n"/>
      <c r="I200" s="18">
        <f>IF($B200="","FALSE","TRUE")</f>
        <v/>
      </c>
      <c r="J200">
        <f t="array" ref="J200">IsURL(Table_12121510[[#This Row],[Data Source]])</f>
        <v/>
      </c>
      <c r="K200">
        <f t="array" ref="K200">IsURL(Table_12121510[[#This Row],[DOI]])</f>
        <v/>
      </c>
      <c r="L200">
        <f t="array" ref="L200">IsURL(Table_12121510[[#This Row],[Data Source]])</f>
        <v/>
      </c>
      <c r="M200">
        <f t="array" ref="M200">IsURL(Table_12121510[[#This Row],[Data Source]])</f>
        <v/>
      </c>
    </row>
    <row r="201" ht="15.75" customHeight="1">
      <c r="A201">
        <f>IF(Table_12121510[[#This Row],[Chassis Name]]=0,"",Table_12121510[[#This Row],[Chassis Name]])</f>
        <v/>
      </c>
      <c r="D201" s="25" t="n"/>
      <c r="F201" s="27" t="n"/>
      <c r="I201" s="18">
        <f>IF($B201="","FALSE","TRUE")</f>
        <v/>
      </c>
      <c r="J201">
        <f t="array" ref="J201">IsURL(Table_12121510[[#This Row],[Data Source]])</f>
        <v/>
      </c>
      <c r="K201">
        <f t="array" ref="K201">IsURL(Table_12121510[[#This Row],[DOI]])</f>
        <v/>
      </c>
      <c r="L201">
        <f t="array" ref="L201">IsURL(Table_12121510[[#This Row],[Data Source]])</f>
        <v/>
      </c>
      <c r="M201">
        <f t="array" ref="M201">IsURL(Table_12121510[[#This Row],[Data Source]])</f>
        <v/>
      </c>
    </row>
    <row r="202" ht="15.75" customHeight="1">
      <c r="A202">
        <f>IF(Table_12121510[[#This Row],[Chassis Name]]=0,"",Table_12121510[[#This Row],[Chassis Name]])</f>
        <v/>
      </c>
      <c r="D202" s="25" t="n"/>
      <c r="F202" s="27" t="n"/>
      <c r="I202" s="18">
        <f>IF($B202="","FALSE","TRUE")</f>
        <v/>
      </c>
      <c r="J202">
        <f t="array" ref="J202">IsURL(Table_12121510[[#This Row],[Data Source]])</f>
        <v/>
      </c>
      <c r="K202">
        <f t="array" ref="K202">IsURL(Table_12121510[[#This Row],[DOI]])</f>
        <v/>
      </c>
      <c r="L202">
        <f t="array" ref="L202">IsURL(Table_12121510[[#This Row],[Data Source]])</f>
        <v/>
      </c>
      <c r="M202">
        <f t="array" ref="M202">IsURL(Table_12121510[[#This Row],[Data Source]])</f>
        <v/>
      </c>
    </row>
    <row r="203" ht="15.75" customHeight="1">
      <c r="A203">
        <f>IF(Table_12121510[[#This Row],[Chassis Name]]=0,"",Table_12121510[[#This Row],[Chassis Name]])</f>
        <v/>
      </c>
      <c r="D203" s="25" t="n"/>
      <c r="F203" s="27" t="n"/>
      <c r="I203" s="18">
        <f>IF($B203="","FALSE","TRUE")</f>
        <v/>
      </c>
      <c r="J203">
        <f t="array" ref="J203">IsURL(Table_12121510[[#This Row],[Data Source]])</f>
        <v/>
      </c>
      <c r="K203">
        <f t="array" ref="K203">IsURL(Table_12121510[[#This Row],[DOI]])</f>
        <v/>
      </c>
      <c r="L203">
        <f t="array" ref="L203">IsURL(Table_12121510[[#This Row],[Data Source]])</f>
        <v/>
      </c>
      <c r="M203">
        <f t="array" ref="M203">IsURL(Table_12121510[[#This Row],[Data Source]])</f>
        <v/>
      </c>
    </row>
    <row r="204" ht="15.75" customHeight="1">
      <c r="A204">
        <f>IF(Table_12121510[[#This Row],[Chassis Name]]=0,"",Table_12121510[[#This Row],[Chassis Name]])</f>
        <v/>
      </c>
      <c r="D204" s="25" t="n"/>
      <c r="F204" s="27" t="n"/>
      <c r="I204" s="18">
        <f>IF($B204="","FALSE","TRUE")</f>
        <v/>
      </c>
      <c r="J204">
        <f t="array" ref="J204">IsURL(Table_12121510[[#This Row],[Data Source]])</f>
        <v/>
      </c>
      <c r="K204">
        <f t="array" ref="K204">IsURL(Table_12121510[[#This Row],[DOI]])</f>
        <v/>
      </c>
      <c r="L204">
        <f t="array" ref="L204">IsURL(Table_12121510[[#This Row],[Data Source]])</f>
        <v/>
      </c>
      <c r="M204">
        <f t="array" ref="M204">IsURL(Table_12121510[[#This Row],[Data Source]])</f>
        <v/>
      </c>
    </row>
    <row r="205" ht="15.75" customHeight="1">
      <c r="A205">
        <f>IF(Table_12121510[[#This Row],[Chassis Name]]=0,"",Table_12121510[[#This Row],[Chassis Name]])</f>
        <v/>
      </c>
      <c r="D205" s="25" t="n"/>
      <c r="F205" s="27" t="n"/>
      <c r="I205" s="18">
        <f>IF($B205="","FALSE","TRUE")</f>
        <v/>
      </c>
      <c r="J205">
        <f t="array" ref="J205">IsURL(Table_12121510[[#This Row],[Data Source]])</f>
        <v/>
      </c>
      <c r="K205">
        <f t="array" ref="K205">IsURL(Table_12121510[[#This Row],[DOI]])</f>
        <v/>
      </c>
      <c r="L205">
        <f t="array" ref="L205">IsURL(Table_12121510[[#This Row],[Data Source]])</f>
        <v/>
      </c>
      <c r="M205">
        <f t="array" ref="M205">IsURL(Table_12121510[[#This Row],[Data Source]])</f>
        <v/>
      </c>
    </row>
    <row r="206" ht="15.75" customHeight="1">
      <c r="A206">
        <f>IF(Table_12121510[[#This Row],[Chassis Name]]=0,"",Table_12121510[[#This Row],[Chassis Name]])</f>
        <v/>
      </c>
      <c r="D206" s="25" t="n"/>
      <c r="F206" s="27" t="n"/>
      <c r="I206" s="18">
        <f>IF($B206="","FALSE","TRUE")</f>
        <v/>
      </c>
      <c r="J206">
        <f t="array" ref="J206">IsURL(Table_12121510[[#This Row],[Data Source]])</f>
        <v/>
      </c>
      <c r="K206">
        <f t="array" ref="K206">IsURL(Table_12121510[[#This Row],[DOI]])</f>
        <v/>
      </c>
      <c r="L206">
        <f t="array" ref="L206">IsURL(Table_12121510[[#This Row],[Data Source]])</f>
        <v/>
      </c>
      <c r="M206">
        <f t="array" ref="M206">IsURL(Table_12121510[[#This Row],[Data Source]])</f>
        <v/>
      </c>
    </row>
    <row r="207" ht="15.75" customHeight="1">
      <c r="A207">
        <f>IF(Table_12121510[[#This Row],[Chassis Name]]=0,"",Table_12121510[[#This Row],[Chassis Name]])</f>
        <v/>
      </c>
      <c r="D207" s="25" t="n"/>
      <c r="F207" s="27" t="n"/>
      <c r="I207" s="18">
        <f>IF($B207="","FALSE","TRUE")</f>
        <v/>
      </c>
      <c r="J207">
        <f t="array" ref="J207">IsURL(Table_12121510[[#This Row],[Data Source]])</f>
        <v/>
      </c>
      <c r="K207">
        <f t="array" ref="K207">IsURL(Table_12121510[[#This Row],[DOI]])</f>
        <v/>
      </c>
      <c r="L207">
        <f t="array" ref="L207">IsURL(Table_12121510[[#This Row],[Data Source]])</f>
        <v/>
      </c>
      <c r="M207">
        <f t="array" ref="M207">IsURL(Table_12121510[[#This Row],[Data Source]])</f>
        <v/>
      </c>
    </row>
    <row r="208" ht="15.75" customHeight="1">
      <c r="A208">
        <f>IF(Table_12121510[[#This Row],[Chassis Name]]=0,"",Table_12121510[[#This Row],[Chassis Name]])</f>
        <v/>
      </c>
      <c r="D208" s="25" t="n"/>
      <c r="F208" s="27" t="n"/>
      <c r="I208" s="18">
        <f>IF($B208="","FALSE","TRUE")</f>
        <v/>
      </c>
      <c r="J208">
        <f t="array" ref="J208">IsURL(Table_12121510[[#This Row],[Data Source]])</f>
        <v/>
      </c>
      <c r="K208">
        <f t="array" ref="K208">IsURL(Table_12121510[[#This Row],[DOI]])</f>
        <v/>
      </c>
      <c r="L208">
        <f t="array" ref="L208">IsURL(Table_12121510[[#This Row],[Data Source]])</f>
        <v/>
      </c>
      <c r="M208">
        <f t="array" ref="M208">IsURL(Table_12121510[[#This Row],[Data Source]])</f>
        <v/>
      </c>
    </row>
    <row r="209" ht="15.75" customHeight="1">
      <c r="A209">
        <f>IF(Table_12121510[[#This Row],[Chassis Name]]=0,"",Table_12121510[[#This Row],[Chassis Name]])</f>
        <v/>
      </c>
      <c r="D209" s="25" t="n"/>
      <c r="F209" s="27" t="n"/>
      <c r="I209" s="18">
        <f>IF($B209="","FALSE","TRUE")</f>
        <v/>
      </c>
      <c r="J209">
        <f t="array" ref="J209">IsURL(Table_12121510[[#This Row],[Data Source]])</f>
        <v/>
      </c>
      <c r="K209">
        <f t="array" ref="K209">IsURL(Table_12121510[[#This Row],[DOI]])</f>
        <v/>
      </c>
      <c r="L209">
        <f t="array" ref="L209">IsURL(Table_12121510[[#This Row],[Data Source]])</f>
        <v/>
      </c>
      <c r="M209">
        <f t="array" ref="M209">IsURL(Table_12121510[[#This Row],[Data Source]])</f>
        <v/>
      </c>
    </row>
    <row r="210" ht="15.75" customHeight="1">
      <c r="A210">
        <f>IF(Table_12121510[[#This Row],[Chassis Name]]=0,"",Table_12121510[[#This Row],[Chassis Name]])</f>
        <v/>
      </c>
      <c r="D210" s="25" t="n"/>
      <c r="F210" s="27" t="n"/>
      <c r="I210" s="18">
        <f>IF($B210="","FALSE","TRUE")</f>
        <v/>
      </c>
      <c r="J210">
        <f t="array" ref="J210">IsURL(Table_12121510[[#This Row],[Data Source]])</f>
        <v/>
      </c>
      <c r="K210">
        <f t="array" ref="K210">IsURL(Table_12121510[[#This Row],[DOI]])</f>
        <v/>
      </c>
      <c r="L210">
        <f t="array" ref="L210">IsURL(Table_12121510[[#This Row],[Data Source]])</f>
        <v/>
      </c>
      <c r="M210">
        <f t="array" ref="M210">IsURL(Table_12121510[[#This Row],[Data Source]])</f>
        <v/>
      </c>
    </row>
    <row r="211" ht="15.75" customHeight="1">
      <c r="A211">
        <f>IF(Table_12121510[[#This Row],[Chassis Name]]=0,"",Table_12121510[[#This Row],[Chassis Name]])</f>
        <v/>
      </c>
      <c r="D211" s="25" t="n"/>
      <c r="F211" s="27" t="n"/>
      <c r="I211" s="18">
        <f>IF($B211="","FALSE","TRUE")</f>
        <v/>
      </c>
      <c r="J211">
        <f t="array" ref="J211">IsURL(Table_12121510[[#This Row],[Data Source]])</f>
        <v/>
      </c>
      <c r="K211">
        <f t="array" ref="K211">IsURL(Table_12121510[[#This Row],[DOI]])</f>
        <v/>
      </c>
      <c r="L211">
        <f t="array" ref="L211">IsURL(Table_12121510[[#This Row],[Data Source]])</f>
        <v/>
      </c>
      <c r="M211">
        <f t="array" ref="M211">IsURL(Table_12121510[[#This Row],[Data Source]])</f>
        <v/>
      </c>
    </row>
    <row r="212" ht="15.75" customHeight="1">
      <c r="A212">
        <f>IF(Table_12121510[[#This Row],[Chassis Name]]=0,"",Table_12121510[[#This Row],[Chassis Name]])</f>
        <v/>
      </c>
      <c r="D212" s="25" t="n"/>
      <c r="F212" s="27" t="n"/>
      <c r="I212" s="18">
        <f>IF($B212="","FALSE","TRUE")</f>
        <v/>
      </c>
      <c r="J212">
        <f t="array" ref="J212">IsURL(Table_12121510[[#This Row],[Data Source]])</f>
        <v/>
      </c>
      <c r="K212">
        <f t="array" ref="K212">IsURL(Table_12121510[[#This Row],[DOI]])</f>
        <v/>
      </c>
      <c r="L212">
        <f t="array" ref="L212">IsURL(Table_12121510[[#This Row],[Data Source]])</f>
        <v/>
      </c>
      <c r="M212">
        <f t="array" ref="M212">IsURL(Table_12121510[[#This Row],[Data Source]])</f>
        <v/>
      </c>
    </row>
    <row r="213" ht="15.75" customHeight="1">
      <c r="A213">
        <f>IF(Table_12121510[[#This Row],[Chassis Name]]=0,"",Table_12121510[[#This Row],[Chassis Name]])</f>
        <v/>
      </c>
      <c r="D213" s="25" t="n"/>
      <c r="F213" s="27" t="n"/>
      <c r="I213" s="18">
        <f>IF($B213="","FALSE","TRUE")</f>
        <v/>
      </c>
      <c r="J213">
        <f t="array" ref="J213">IsURL(Table_12121510[[#This Row],[Data Source]])</f>
        <v/>
      </c>
      <c r="K213">
        <f t="array" ref="K213">IsURL(Table_12121510[[#This Row],[DOI]])</f>
        <v/>
      </c>
      <c r="L213">
        <f t="array" ref="L213">IsURL(Table_12121510[[#This Row],[Data Source]])</f>
        <v/>
      </c>
      <c r="M213">
        <f t="array" ref="M213">IsURL(Table_12121510[[#This Row],[Data Source]])</f>
        <v/>
      </c>
    </row>
    <row r="214" ht="15.75" customHeight="1">
      <c r="A214">
        <f>IF(Table_12121510[[#This Row],[Chassis Name]]=0,"",Table_12121510[[#This Row],[Chassis Name]])</f>
        <v/>
      </c>
      <c r="D214" s="25" t="n"/>
      <c r="F214" s="27" t="n"/>
      <c r="I214" s="18">
        <f>IF($B214="","FALSE","TRUE")</f>
        <v/>
      </c>
      <c r="J214">
        <f t="array" ref="J214">IsURL(Table_12121510[[#This Row],[Data Source]])</f>
        <v/>
      </c>
      <c r="K214">
        <f t="array" ref="K214">IsURL(Table_12121510[[#This Row],[DOI]])</f>
        <v/>
      </c>
      <c r="L214">
        <f t="array" ref="L214">IsURL(Table_12121510[[#This Row],[Data Source]])</f>
        <v/>
      </c>
      <c r="M214">
        <f t="array" ref="M214">IsURL(Table_12121510[[#This Row],[Data Source]])</f>
        <v/>
      </c>
    </row>
    <row r="215" ht="15.75" customHeight="1">
      <c r="A215">
        <f>IF(Table_12121510[[#This Row],[Chassis Name]]=0,"",Table_12121510[[#This Row],[Chassis Name]])</f>
        <v/>
      </c>
      <c r="D215" s="25" t="n"/>
      <c r="F215" s="27" t="n"/>
      <c r="I215" s="18">
        <f>IF($B215="","FALSE","TRUE")</f>
        <v/>
      </c>
      <c r="J215">
        <f t="array" ref="J215">IsURL(Table_12121510[[#This Row],[Data Source]])</f>
        <v/>
      </c>
      <c r="K215">
        <f t="array" ref="K215">IsURL(Table_12121510[[#This Row],[DOI]])</f>
        <v/>
      </c>
      <c r="L215">
        <f t="array" ref="L215">IsURL(Table_12121510[[#This Row],[Data Source]])</f>
        <v/>
      </c>
      <c r="M215">
        <f t="array" ref="M215">IsURL(Table_12121510[[#This Row],[Data Source]])</f>
        <v/>
      </c>
    </row>
    <row r="216" ht="15.75" customHeight="1">
      <c r="A216">
        <f>IF(Table_12121510[[#This Row],[Chassis Name]]=0,"",Table_12121510[[#This Row],[Chassis Name]])</f>
        <v/>
      </c>
      <c r="D216" s="25" t="n"/>
      <c r="F216" s="27" t="n"/>
      <c r="I216" s="18">
        <f>IF($B216="","FALSE","TRUE")</f>
        <v/>
      </c>
      <c r="J216">
        <f t="array" ref="J216">IsURL(Table_12121510[[#This Row],[Data Source]])</f>
        <v/>
      </c>
      <c r="K216">
        <f t="array" ref="K216">IsURL(Table_12121510[[#This Row],[DOI]])</f>
        <v/>
      </c>
      <c r="L216">
        <f t="array" ref="L216">IsURL(Table_12121510[[#This Row],[Data Source]])</f>
        <v/>
      </c>
      <c r="M216">
        <f t="array" ref="M216">IsURL(Table_12121510[[#This Row],[Data Source]])</f>
        <v/>
      </c>
    </row>
    <row r="217" ht="15.75" customHeight="1">
      <c r="A217">
        <f>IF(Table_12121510[[#This Row],[Chassis Name]]=0,"",Table_12121510[[#This Row],[Chassis Name]])</f>
        <v/>
      </c>
      <c r="D217" s="25" t="n"/>
      <c r="F217" s="27" t="n"/>
      <c r="I217" s="18">
        <f>IF($B217="","FALSE","TRUE")</f>
        <v/>
      </c>
      <c r="J217">
        <f t="array" ref="J217">IsURL(Table_12121510[[#This Row],[Data Source]])</f>
        <v/>
      </c>
      <c r="K217">
        <f t="array" ref="K217">IsURL(Table_12121510[[#This Row],[DOI]])</f>
        <v/>
      </c>
      <c r="L217">
        <f t="array" ref="L217">IsURL(Table_12121510[[#This Row],[Data Source]])</f>
        <v/>
      </c>
      <c r="M217">
        <f t="array" ref="M217">IsURL(Table_12121510[[#This Row],[Data Source]])</f>
        <v/>
      </c>
    </row>
    <row r="218" ht="15.75" customHeight="1">
      <c r="A218">
        <f>IF(Table_12121510[[#This Row],[Chassis Name]]=0,"",Table_12121510[[#This Row],[Chassis Name]])</f>
        <v/>
      </c>
      <c r="D218" s="25" t="n"/>
      <c r="F218" s="27" t="n"/>
      <c r="I218" s="18">
        <f>IF($B218="","FALSE","TRUE")</f>
        <v/>
      </c>
      <c r="J218">
        <f t="array" ref="J218">IsURL(Table_12121510[[#This Row],[Data Source]])</f>
        <v/>
      </c>
      <c r="K218">
        <f t="array" ref="K218">IsURL(Table_12121510[[#This Row],[DOI]])</f>
        <v/>
      </c>
      <c r="L218">
        <f t="array" ref="L218">IsURL(Table_12121510[[#This Row],[Data Source]])</f>
        <v/>
      </c>
      <c r="M218">
        <f t="array" ref="M218">IsURL(Table_12121510[[#This Row],[Data Source]])</f>
        <v/>
      </c>
    </row>
    <row r="219" ht="15.75" customHeight="1">
      <c r="A219">
        <f>IF(Table_12121510[[#This Row],[Chassis Name]]=0,"",Table_12121510[[#This Row],[Chassis Name]])</f>
        <v/>
      </c>
      <c r="D219" s="25" t="n"/>
      <c r="F219" s="27" t="n"/>
      <c r="I219" s="18">
        <f>IF($B219="","FALSE","TRUE")</f>
        <v/>
      </c>
      <c r="J219">
        <f t="array" ref="J219">IsURL(Table_12121510[[#This Row],[Data Source]])</f>
        <v/>
      </c>
      <c r="K219">
        <f t="array" ref="K219">IsURL(Table_12121510[[#This Row],[DOI]])</f>
        <v/>
      </c>
      <c r="L219">
        <f t="array" ref="L219">IsURL(Table_12121510[[#This Row],[Data Source]])</f>
        <v/>
      </c>
      <c r="M219">
        <f t="array" ref="M219">IsURL(Table_12121510[[#This Row],[Data Source]])</f>
        <v/>
      </c>
    </row>
    <row r="220" ht="15.75" customHeight="1">
      <c r="A220">
        <f>IF(Table_12121510[[#This Row],[Chassis Name]]=0,"",Table_12121510[[#This Row],[Chassis Name]])</f>
        <v/>
      </c>
      <c r="D220" s="25" t="n"/>
      <c r="F220" s="27" t="n"/>
      <c r="I220" s="18">
        <f>IF($B220="","FALSE","TRUE")</f>
        <v/>
      </c>
      <c r="J220">
        <f t="array" ref="J220">IsURL(Table_12121510[[#This Row],[Data Source]])</f>
        <v/>
      </c>
      <c r="K220">
        <f t="array" ref="K220">IsURL(Table_12121510[[#This Row],[DOI]])</f>
        <v/>
      </c>
      <c r="L220">
        <f t="array" ref="L220">IsURL(Table_12121510[[#This Row],[Data Source]])</f>
        <v/>
      </c>
      <c r="M220">
        <f t="array" ref="M220">IsURL(Table_12121510[[#This Row],[Data Source]])</f>
        <v/>
      </c>
    </row>
    <row r="221" ht="15.75" customHeight="1">
      <c r="A221">
        <f>IF(Table_12121510[[#This Row],[Chassis Name]]=0,"",Table_12121510[[#This Row],[Chassis Name]])</f>
        <v/>
      </c>
      <c r="D221" s="25" t="n"/>
      <c r="F221" s="27" t="n"/>
      <c r="I221" s="18">
        <f>IF($B221="","FALSE","TRUE")</f>
        <v/>
      </c>
      <c r="J221">
        <f t="array" ref="J221">IsURL(Table_12121510[[#This Row],[Data Source]])</f>
        <v/>
      </c>
      <c r="K221">
        <f t="array" ref="K221">IsURL(Table_12121510[[#This Row],[DOI]])</f>
        <v/>
      </c>
      <c r="L221">
        <f t="array" ref="L221">IsURL(Table_12121510[[#This Row],[Data Source]])</f>
        <v/>
      </c>
      <c r="M221">
        <f t="array" ref="M221">IsURL(Table_12121510[[#This Row],[Data Source]])</f>
        <v/>
      </c>
    </row>
    <row r="222" ht="15.75" customHeight="1">
      <c r="A222">
        <f>IF(Table_12121510[[#This Row],[Chassis Name]]=0,"",Table_12121510[[#This Row],[Chassis Name]])</f>
        <v/>
      </c>
      <c r="D222" s="25" t="n"/>
      <c r="F222" s="27" t="n"/>
      <c r="I222" s="18">
        <f>IF($B222="","FALSE","TRUE")</f>
        <v/>
      </c>
      <c r="J222">
        <f t="array" ref="J222">IsURL(Table_12121510[[#This Row],[Data Source]])</f>
        <v/>
      </c>
      <c r="K222">
        <f t="array" ref="K222">IsURL(Table_12121510[[#This Row],[DOI]])</f>
        <v/>
      </c>
      <c r="L222">
        <f t="array" ref="L222">IsURL(Table_12121510[[#This Row],[Data Source]])</f>
        <v/>
      </c>
      <c r="M222">
        <f t="array" ref="M222">IsURL(Table_12121510[[#This Row],[Data Source]])</f>
        <v/>
      </c>
    </row>
    <row r="223" ht="15.75" customHeight="1">
      <c r="A223">
        <f>IF(Table_12121510[[#This Row],[Chassis Name]]=0,"",Table_12121510[[#This Row],[Chassis Name]])</f>
        <v/>
      </c>
      <c r="D223" s="25" t="n"/>
      <c r="F223" s="27" t="n"/>
      <c r="I223" s="18">
        <f>IF($B223="","FALSE","TRUE")</f>
        <v/>
      </c>
      <c r="J223">
        <f t="array" ref="J223">IsURL(Table_12121510[[#This Row],[Data Source]])</f>
        <v/>
      </c>
      <c r="K223">
        <f t="array" ref="K223">IsURL(Table_12121510[[#This Row],[DOI]])</f>
        <v/>
      </c>
      <c r="L223">
        <f t="array" ref="L223">IsURL(Table_12121510[[#This Row],[Data Source]])</f>
        <v/>
      </c>
      <c r="M223">
        <f t="array" ref="M223">IsURL(Table_12121510[[#This Row],[Data Source]])</f>
        <v/>
      </c>
    </row>
    <row r="224" ht="15.75" customHeight="1">
      <c r="A224">
        <f>IF(Table_12121510[[#This Row],[Chassis Name]]=0,"",Table_12121510[[#This Row],[Chassis Name]])</f>
        <v/>
      </c>
      <c r="D224" s="25" t="n"/>
      <c r="F224" s="27" t="n"/>
      <c r="I224" s="18">
        <f>IF($B224="","FALSE","TRUE")</f>
        <v/>
      </c>
      <c r="J224">
        <f t="array" ref="J224">IsURL(Table_12121510[[#This Row],[Data Source]])</f>
        <v/>
      </c>
      <c r="K224">
        <f t="array" ref="K224">IsURL(Table_12121510[[#This Row],[DOI]])</f>
        <v/>
      </c>
      <c r="L224">
        <f t="array" ref="L224">IsURL(Table_12121510[[#This Row],[Data Source]])</f>
        <v/>
      </c>
      <c r="M224">
        <f t="array" ref="M224">IsURL(Table_12121510[[#This Row],[Data Source]])</f>
        <v/>
      </c>
    </row>
    <row r="225" ht="15.75" customHeight="1">
      <c r="A225">
        <f>IF(Table_12121510[[#This Row],[Chassis Name]]=0,"",Table_12121510[[#This Row],[Chassis Name]])</f>
        <v/>
      </c>
      <c r="D225" s="25" t="n"/>
      <c r="F225" s="27" t="n"/>
      <c r="I225" s="18">
        <f>IF($B225="","FALSE","TRUE")</f>
        <v/>
      </c>
      <c r="J225">
        <f t="array" ref="J225">IsURL(Table_12121510[[#This Row],[Data Source]])</f>
        <v/>
      </c>
      <c r="K225">
        <f t="array" ref="K225">IsURL(Table_12121510[[#This Row],[DOI]])</f>
        <v/>
      </c>
      <c r="L225">
        <f t="array" ref="L225">IsURL(Table_12121510[[#This Row],[Data Source]])</f>
        <v/>
      </c>
      <c r="M225">
        <f t="array" ref="M225">IsURL(Table_12121510[[#This Row],[Data Source]])</f>
        <v/>
      </c>
    </row>
    <row r="226" ht="15.75" customHeight="1">
      <c r="A226">
        <f>IF(Table_12121510[[#This Row],[Chassis Name]]=0,"",Table_12121510[[#This Row],[Chassis Name]])</f>
        <v/>
      </c>
      <c r="D226" s="25" t="n"/>
      <c r="F226" s="27" t="n"/>
      <c r="I226" s="18">
        <f>IF($B226="","FALSE","TRUE")</f>
        <v/>
      </c>
      <c r="J226">
        <f t="array" ref="J226">IsURL(Table_12121510[[#This Row],[Data Source]])</f>
        <v/>
      </c>
      <c r="K226">
        <f t="array" ref="K226">IsURL(Table_12121510[[#This Row],[DOI]])</f>
        <v/>
      </c>
      <c r="L226">
        <f t="array" ref="L226">IsURL(Table_12121510[[#This Row],[Data Source]])</f>
        <v/>
      </c>
      <c r="M226">
        <f t="array" ref="M226">IsURL(Table_12121510[[#This Row],[Data Source]])</f>
        <v/>
      </c>
    </row>
    <row r="227" ht="15.75" customHeight="1">
      <c r="A227">
        <f>IF(Table_12121510[[#This Row],[Chassis Name]]=0,"",Table_12121510[[#This Row],[Chassis Name]])</f>
        <v/>
      </c>
      <c r="D227" s="25" t="n"/>
      <c r="F227" s="27" t="n"/>
      <c r="I227" s="18">
        <f>IF($B227="","FALSE","TRUE")</f>
        <v/>
      </c>
      <c r="J227">
        <f t="array" ref="J227">IsURL(Table_12121510[[#This Row],[Data Source]])</f>
        <v/>
      </c>
      <c r="K227">
        <f t="array" ref="K227">IsURL(Table_12121510[[#This Row],[DOI]])</f>
        <v/>
      </c>
      <c r="L227">
        <f t="array" ref="L227">IsURL(Table_12121510[[#This Row],[Data Source]])</f>
        <v/>
      </c>
      <c r="M227">
        <f t="array" ref="M227">IsURL(Table_12121510[[#This Row],[Data Source]])</f>
        <v/>
      </c>
    </row>
    <row r="228" ht="15.75" customHeight="1">
      <c r="A228">
        <f>IF(Table_12121510[[#This Row],[Chassis Name]]=0,"",Table_12121510[[#This Row],[Chassis Name]])</f>
        <v/>
      </c>
      <c r="D228" s="25" t="n"/>
      <c r="F228" s="27" t="n"/>
      <c r="I228" s="18">
        <f>IF($B228="","FALSE","TRUE")</f>
        <v/>
      </c>
      <c r="J228">
        <f t="array" ref="J228">IsURL(Table_12121510[[#This Row],[Data Source]])</f>
        <v/>
      </c>
      <c r="K228">
        <f t="array" ref="K228">IsURL(Table_12121510[[#This Row],[DOI]])</f>
        <v/>
      </c>
      <c r="L228">
        <f t="array" ref="L228">IsURL(Table_12121510[[#This Row],[Data Source]])</f>
        <v/>
      </c>
      <c r="M228">
        <f t="array" ref="M228">IsURL(Table_12121510[[#This Row],[Data Source]])</f>
        <v/>
      </c>
    </row>
    <row r="229" ht="15.75" customHeight="1">
      <c r="A229">
        <f>IF(Table_12121510[[#This Row],[Chassis Name]]=0,"",Table_12121510[[#This Row],[Chassis Name]])</f>
        <v/>
      </c>
      <c r="D229" s="25" t="n"/>
      <c r="F229" s="27" t="n"/>
      <c r="I229" s="18">
        <f>IF($B229="","FALSE","TRUE")</f>
        <v/>
      </c>
      <c r="J229">
        <f t="array" ref="J229">IsURL(Table_12121510[[#This Row],[Data Source]])</f>
        <v/>
      </c>
      <c r="K229">
        <f t="array" ref="K229">IsURL(Table_12121510[[#This Row],[DOI]])</f>
        <v/>
      </c>
      <c r="L229">
        <f t="array" ref="L229">IsURL(Table_12121510[[#This Row],[Data Source]])</f>
        <v/>
      </c>
      <c r="M229">
        <f t="array" ref="M229">IsURL(Table_12121510[[#This Row],[Data Source]])</f>
        <v/>
      </c>
    </row>
    <row r="230" ht="15.75" customHeight="1">
      <c r="A230">
        <f>IF(Table_12121510[[#This Row],[Chassis Name]]=0,"",Table_12121510[[#This Row],[Chassis Name]])</f>
        <v/>
      </c>
      <c r="D230" s="25" t="n"/>
      <c r="F230" s="27" t="n"/>
      <c r="I230" s="18">
        <f>IF($B230="","FALSE","TRUE")</f>
        <v/>
      </c>
      <c r="J230">
        <f t="array" ref="J230">IsURL(Table_12121510[[#This Row],[Data Source]])</f>
        <v/>
      </c>
      <c r="K230">
        <f t="array" ref="K230">IsURL(Table_12121510[[#This Row],[DOI]])</f>
        <v/>
      </c>
      <c r="L230">
        <f t="array" ref="L230">IsURL(Table_12121510[[#This Row],[Data Source]])</f>
        <v/>
      </c>
      <c r="M230">
        <f t="array" ref="M230">IsURL(Table_12121510[[#This Row],[Data Source]])</f>
        <v/>
      </c>
    </row>
    <row r="231" ht="15.75" customHeight="1">
      <c r="A231">
        <f>IF(Table_12121510[[#This Row],[Chassis Name]]=0,"",Table_12121510[[#This Row],[Chassis Name]])</f>
        <v/>
      </c>
      <c r="D231" s="25" t="n"/>
      <c r="F231" s="27" t="n"/>
      <c r="I231" s="18">
        <f>IF($B231="","FALSE","TRUE")</f>
        <v/>
      </c>
      <c r="J231">
        <f t="array" ref="J231">IsURL(Table_12121510[[#This Row],[Data Source]])</f>
        <v/>
      </c>
      <c r="K231">
        <f t="array" ref="K231">IsURL(Table_12121510[[#This Row],[DOI]])</f>
        <v/>
      </c>
      <c r="L231">
        <f t="array" ref="L231">IsURL(Table_12121510[[#This Row],[Data Source]])</f>
        <v/>
      </c>
      <c r="M231">
        <f t="array" ref="M231">IsURL(Table_12121510[[#This Row],[Data Source]])</f>
        <v/>
      </c>
    </row>
    <row r="232" ht="15.75" customHeight="1">
      <c r="A232">
        <f>IF(Table_12121510[[#This Row],[Chassis Name]]=0,"",Table_12121510[[#This Row],[Chassis Name]])</f>
        <v/>
      </c>
      <c r="D232" s="25" t="n"/>
      <c r="F232" s="27" t="n"/>
      <c r="I232" s="18">
        <f>IF($B232="","FALSE","TRUE")</f>
        <v/>
      </c>
      <c r="J232">
        <f t="array" ref="J232">IsURL(Table_12121510[[#This Row],[Data Source]])</f>
        <v/>
      </c>
      <c r="K232">
        <f t="array" ref="K232">IsURL(Table_12121510[[#This Row],[DOI]])</f>
        <v/>
      </c>
      <c r="L232">
        <f t="array" ref="L232">IsURL(Table_12121510[[#This Row],[Data Source]])</f>
        <v/>
      </c>
      <c r="M232">
        <f t="array" ref="M232">IsURL(Table_12121510[[#This Row],[Data Source]])</f>
        <v/>
      </c>
    </row>
    <row r="233" ht="15.75" customHeight="1">
      <c r="A233">
        <f>IF(Table_12121510[[#This Row],[Chassis Name]]=0,"",Table_12121510[[#This Row],[Chassis Name]])</f>
        <v/>
      </c>
      <c r="D233" s="25" t="n"/>
      <c r="F233" s="27" t="n"/>
      <c r="I233" s="18">
        <f>IF($B233="","FALSE","TRUE")</f>
        <v/>
      </c>
      <c r="J233">
        <f t="array" ref="J233">IsURL(Table_12121510[[#This Row],[Data Source]])</f>
        <v/>
      </c>
      <c r="K233">
        <f t="array" ref="K233">IsURL(Table_12121510[[#This Row],[DOI]])</f>
        <v/>
      </c>
      <c r="L233">
        <f t="array" ref="L233">IsURL(Table_12121510[[#This Row],[Data Source]])</f>
        <v/>
      </c>
      <c r="M233">
        <f t="array" ref="M233">IsURL(Table_12121510[[#This Row],[Data Source]])</f>
        <v/>
      </c>
    </row>
    <row r="234" ht="15.75" customHeight="1">
      <c r="A234">
        <f>IF(Table_12121510[[#This Row],[Chassis Name]]=0,"",Table_12121510[[#This Row],[Chassis Name]])</f>
        <v/>
      </c>
      <c r="D234" s="25" t="n"/>
      <c r="F234" s="27" t="n"/>
      <c r="I234" s="18">
        <f>IF($B234="","FALSE","TRUE")</f>
        <v/>
      </c>
      <c r="J234">
        <f t="array" ref="J234">IsURL(Table_12121510[[#This Row],[Data Source]])</f>
        <v/>
      </c>
      <c r="K234">
        <f t="array" ref="K234">IsURL(Table_12121510[[#This Row],[DOI]])</f>
        <v/>
      </c>
      <c r="L234">
        <f t="array" ref="L234">IsURL(Table_12121510[[#This Row],[Data Source]])</f>
        <v/>
      </c>
      <c r="M234">
        <f t="array" ref="M234">IsURL(Table_12121510[[#This Row],[Data Source]])</f>
        <v/>
      </c>
    </row>
    <row r="235" ht="15.75" customHeight="1">
      <c r="A235">
        <f>IF(Table_12121510[[#This Row],[Chassis Name]]=0,"",Table_12121510[[#This Row],[Chassis Name]])</f>
        <v/>
      </c>
      <c r="D235" s="25" t="n"/>
      <c r="F235" s="27" t="n"/>
      <c r="I235" s="18">
        <f>IF($B235="","FALSE","TRUE")</f>
        <v/>
      </c>
      <c r="J235">
        <f t="array" ref="J235">IsURL(Table_12121510[[#This Row],[Data Source]])</f>
        <v/>
      </c>
      <c r="K235">
        <f t="array" ref="K235">IsURL(Table_12121510[[#This Row],[DOI]])</f>
        <v/>
      </c>
      <c r="L235">
        <f t="array" ref="L235">IsURL(Table_12121510[[#This Row],[Data Source]])</f>
        <v/>
      </c>
      <c r="M235">
        <f t="array" ref="M235">IsURL(Table_12121510[[#This Row],[Data Source]])</f>
        <v/>
      </c>
    </row>
    <row r="236" ht="15.75" customHeight="1">
      <c r="A236">
        <f>IF(Table_12121510[[#This Row],[Chassis Name]]=0,"",Table_12121510[[#This Row],[Chassis Name]])</f>
        <v/>
      </c>
      <c r="D236" s="25" t="n"/>
      <c r="F236" s="27" t="n"/>
      <c r="I236" s="18">
        <f>IF($B236="","FALSE","TRUE")</f>
        <v/>
      </c>
      <c r="J236">
        <f t="array" ref="J236">IsURL(Table_12121510[[#This Row],[Data Source]])</f>
        <v/>
      </c>
      <c r="K236">
        <f t="array" ref="K236">IsURL(Table_12121510[[#This Row],[DOI]])</f>
        <v/>
      </c>
      <c r="L236">
        <f t="array" ref="L236">IsURL(Table_12121510[[#This Row],[Data Source]])</f>
        <v/>
      </c>
      <c r="M236">
        <f t="array" ref="M236">IsURL(Table_12121510[[#This Row],[Data Source]])</f>
        <v/>
      </c>
    </row>
    <row r="237" ht="15.75" customHeight="1">
      <c r="A237">
        <f>IF(Table_12121510[[#This Row],[Chassis Name]]=0,"",Table_12121510[[#This Row],[Chassis Name]])</f>
        <v/>
      </c>
      <c r="D237" s="25" t="n"/>
      <c r="F237" s="27" t="n"/>
      <c r="I237" s="18">
        <f>IF($B237="","FALSE","TRUE")</f>
        <v/>
      </c>
      <c r="J237">
        <f t="array" ref="J237">IsURL(Table_12121510[[#This Row],[Data Source]])</f>
        <v/>
      </c>
      <c r="K237">
        <f t="array" ref="K237">IsURL(Table_12121510[[#This Row],[DOI]])</f>
        <v/>
      </c>
      <c r="L237">
        <f t="array" ref="L237">IsURL(Table_12121510[[#This Row],[Data Source]])</f>
        <v/>
      </c>
      <c r="M237">
        <f t="array" ref="M237">IsURL(Table_12121510[[#This Row],[Data Source]])</f>
        <v/>
      </c>
    </row>
    <row r="238" ht="15.75" customHeight="1">
      <c r="A238">
        <f>IF(Table_12121510[[#This Row],[Chassis Name]]=0,"",Table_12121510[[#This Row],[Chassis Name]])</f>
        <v/>
      </c>
      <c r="D238" s="25" t="n"/>
      <c r="F238" s="27" t="n"/>
      <c r="I238" s="18">
        <f>IF($B238="","FALSE","TRUE")</f>
        <v/>
      </c>
      <c r="J238">
        <f t="array" ref="J238">IsURL(Table_12121510[[#This Row],[Data Source]])</f>
        <v/>
      </c>
      <c r="K238">
        <f t="array" ref="K238">IsURL(Table_12121510[[#This Row],[DOI]])</f>
        <v/>
      </c>
      <c r="L238">
        <f t="array" ref="L238">IsURL(Table_12121510[[#This Row],[Data Source]])</f>
        <v/>
      </c>
      <c r="M238">
        <f t="array" ref="M238">IsURL(Table_12121510[[#This Row],[Data Source]])</f>
        <v/>
      </c>
    </row>
    <row r="239" ht="15.75" customHeight="1">
      <c r="A239">
        <f>IF(Table_12121510[[#This Row],[Chassis Name]]=0,"",Table_12121510[[#This Row],[Chassis Name]])</f>
        <v/>
      </c>
      <c r="D239" s="25" t="n"/>
      <c r="F239" s="27" t="n"/>
      <c r="I239" s="18">
        <f>IF($B239="","FALSE","TRUE")</f>
        <v/>
      </c>
      <c r="J239">
        <f t="array" ref="J239">IsURL(Table_12121510[[#This Row],[Data Source]])</f>
        <v/>
      </c>
      <c r="K239">
        <f t="array" ref="K239">IsURL(Table_12121510[[#This Row],[DOI]])</f>
        <v/>
      </c>
      <c r="L239">
        <f t="array" ref="L239">IsURL(Table_12121510[[#This Row],[Data Source]])</f>
        <v/>
      </c>
      <c r="M239">
        <f t="array" ref="M239">IsURL(Table_12121510[[#This Row],[Data Source]])</f>
        <v/>
      </c>
    </row>
    <row r="240" ht="15.75" customHeight="1">
      <c r="A240">
        <f>IF(Table_12121510[[#This Row],[Chassis Name]]=0,"",Table_12121510[[#This Row],[Chassis Name]])</f>
        <v/>
      </c>
      <c r="D240" s="25" t="n"/>
      <c r="F240" s="27" t="n"/>
      <c r="I240" s="18">
        <f>IF($B240="","FALSE","TRUE")</f>
        <v/>
      </c>
      <c r="J240">
        <f t="array" ref="J240">IsURL(Table_12121510[[#This Row],[Data Source]])</f>
        <v/>
      </c>
      <c r="K240">
        <f t="array" ref="K240">IsURL(Table_12121510[[#This Row],[DOI]])</f>
        <v/>
      </c>
      <c r="L240">
        <f t="array" ref="L240">IsURL(Table_12121510[[#This Row],[Data Source]])</f>
        <v/>
      </c>
      <c r="M240">
        <f t="array" ref="M240">IsURL(Table_12121510[[#This Row],[Data Source]])</f>
        <v/>
      </c>
    </row>
    <row r="241" ht="15.75" customHeight="1">
      <c r="A241">
        <f>IF(Table_12121510[[#This Row],[Chassis Name]]=0,"",Table_12121510[[#This Row],[Chassis Name]])</f>
        <v/>
      </c>
      <c r="D241" s="25" t="n"/>
      <c r="F241" s="27" t="n"/>
      <c r="I241" s="18">
        <f>IF($B241="","FALSE","TRUE")</f>
        <v/>
      </c>
      <c r="J241">
        <f t="array" ref="J241">IsURL(Table_12121510[[#This Row],[Data Source]])</f>
        <v/>
      </c>
      <c r="K241">
        <f t="array" ref="K241">IsURL(Table_12121510[[#This Row],[DOI]])</f>
        <v/>
      </c>
      <c r="L241">
        <f t="array" ref="L241">IsURL(Table_12121510[[#This Row],[Data Source]])</f>
        <v/>
      </c>
      <c r="M241">
        <f t="array" ref="M241">IsURL(Table_12121510[[#This Row],[Data Source]])</f>
        <v/>
      </c>
    </row>
    <row r="242" ht="15.75" customHeight="1">
      <c r="A242">
        <f>IF(Table_12121510[[#This Row],[Chassis Name]]=0,"",Table_12121510[[#This Row],[Chassis Name]])</f>
        <v/>
      </c>
      <c r="D242" s="25" t="n"/>
      <c r="F242" s="27" t="n"/>
      <c r="I242" s="18">
        <f>IF($B242="","FALSE","TRUE")</f>
        <v/>
      </c>
      <c r="J242">
        <f t="array" ref="J242">IsURL(Table_12121510[[#This Row],[Data Source]])</f>
        <v/>
      </c>
      <c r="K242">
        <f t="array" ref="K242">IsURL(Table_12121510[[#This Row],[DOI]])</f>
        <v/>
      </c>
      <c r="L242">
        <f t="array" ref="L242">IsURL(Table_12121510[[#This Row],[Data Source]])</f>
        <v/>
      </c>
      <c r="M242">
        <f t="array" ref="M242">IsURL(Table_12121510[[#This Row],[Data Source]])</f>
        <v/>
      </c>
    </row>
    <row r="243" ht="15.75" customHeight="1">
      <c r="A243">
        <f>IF(Table_12121510[[#This Row],[Chassis Name]]=0,"",Table_12121510[[#This Row],[Chassis Name]])</f>
        <v/>
      </c>
      <c r="D243" s="25" t="n"/>
      <c r="F243" s="27" t="n"/>
      <c r="I243" s="18">
        <f>IF($B243="","FALSE","TRUE")</f>
        <v/>
      </c>
      <c r="J243">
        <f t="array" ref="J243">IsURL(Table_12121510[[#This Row],[Data Source]])</f>
        <v/>
      </c>
      <c r="K243">
        <f t="array" ref="K243">IsURL(Table_12121510[[#This Row],[DOI]])</f>
        <v/>
      </c>
      <c r="L243">
        <f t="array" ref="L243">IsURL(Table_12121510[[#This Row],[Data Source]])</f>
        <v/>
      </c>
      <c r="M243">
        <f t="array" ref="M243">IsURL(Table_12121510[[#This Row],[Data Source]])</f>
        <v/>
      </c>
    </row>
    <row r="244" ht="15.75" customHeight="1">
      <c r="A244">
        <f>IF(Table_12121510[[#This Row],[Chassis Name]]=0,"",Table_12121510[[#This Row],[Chassis Name]])</f>
        <v/>
      </c>
      <c r="D244" s="25" t="n"/>
      <c r="F244" s="27" t="n"/>
      <c r="I244" s="18">
        <f>IF($B244="","FALSE","TRUE")</f>
        <v/>
      </c>
      <c r="J244">
        <f t="array" ref="J244">IsURL(Table_12121510[[#This Row],[Data Source]])</f>
        <v/>
      </c>
      <c r="K244">
        <f t="array" ref="K244">IsURL(Table_12121510[[#This Row],[DOI]])</f>
        <v/>
      </c>
      <c r="L244">
        <f t="array" ref="L244">IsURL(Table_12121510[[#This Row],[Data Source]])</f>
        <v/>
      </c>
      <c r="M244">
        <f t="array" ref="M244">IsURL(Table_12121510[[#This Row],[Data Source]])</f>
        <v/>
      </c>
    </row>
    <row r="245" ht="15.75" customHeight="1">
      <c r="A245">
        <f>IF(Table_12121510[[#This Row],[Chassis Name]]=0,"",Table_12121510[[#This Row],[Chassis Name]])</f>
        <v/>
      </c>
      <c r="D245" s="25" t="n"/>
      <c r="F245" s="27" t="n"/>
      <c r="I245" s="18">
        <f>IF($B245="","FALSE","TRUE")</f>
        <v/>
      </c>
      <c r="J245">
        <f t="array" ref="J245">IsURL(Table_12121510[[#This Row],[Data Source]])</f>
        <v/>
      </c>
      <c r="K245">
        <f t="array" ref="K245">IsURL(Table_12121510[[#This Row],[DOI]])</f>
        <v/>
      </c>
      <c r="L245">
        <f t="array" ref="L245">IsURL(Table_12121510[[#This Row],[Data Source]])</f>
        <v/>
      </c>
      <c r="M245">
        <f t="array" ref="M245">IsURL(Table_12121510[[#This Row],[Data Source]])</f>
        <v/>
      </c>
    </row>
    <row r="246" ht="15.75" customHeight="1">
      <c r="A246">
        <f>IF(Table_12121510[[#This Row],[Chassis Name]]=0,"",Table_12121510[[#This Row],[Chassis Name]])</f>
        <v/>
      </c>
      <c r="D246" s="25" t="n"/>
      <c r="F246" s="27" t="n"/>
      <c r="I246" s="18">
        <f>IF($B246="","FALSE","TRUE")</f>
        <v/>
      </c>
      <c r="J246">
        <f t="array" ref="J246">IsURL(Table_12121510[[#This Row],[Data Source]])</f>
        <v/>
      </c>
      <c r="K246">
        <f t="array" ref="K246">IsURL(Table_12121510[[#This Row],[DOI]])</f>
        <v/>
      </c>
      <c r="L246">
        <f t="array" ref="L246">IsURL(Table_12121510[[#This Row],[Data Source]])</f>
        <v/>
      </c>
      <c r="M246">
        <f t="array" ref="M246">IsURL(Table_12121510[[#This Row],[Data Source]])</f>
        <v/>
      </c>
    </row>
    <row r="247" ht="15.75" customHeight="1">
      <c r="A247">
        <f>IF(Table_12121510[[#This Row],[Chassis Name]]=0,"",Table_12121510[[#This Row],[Chassis Name]])</f>
        <v/>
      </c>
      <c r="D247" s="25" t="n"/>
      <c r="F247" s="27" t="n"/>
      <c r="I247" s="18">
        <f>IF($B247="","FALSE","TRUE")</f>
        <v/>
      </c>
      <c r="J247">
        <f t="array" ref="J247">IsURL(Table_12121510[[#This Row],[Data Source]])</f>
        <v/>
      </c>
      <c r="K247">
        <f t="array" ref="K247">IsURL(Table_12121510[[#This Row],[DOI]])</f>
        <v/>
      </c>
      <c r="L247">
        <f t="array" ref="L247">IsURL(Table_12121510[[#This Row],[Data Source]])</f>
        <v/>
      </c>
      <c r="M247">
        <f t="array" ref="M247">IsURL(Table_12121510[[#This Row],[Data Source]])</f>
        <v/>
      </c>
    </row>
    <row r="248" ht="15.75" customHeight="1">
      <c r="A248">
        <f>IF(Table_12121510[[#This Row],[Chassis Name]]=0,"",Table_12121510[[#This Row],[Chassis Name]])</f>
        <v/>
      </c>
      <c r="D248" s="25" t="n"/>
      <c r="F248" s="27" t="n"/>
      <c r="I248" s="18">
        <f>IF($B248="","FALSE","TRUE")</f>
        <v/>
      </c>
      <c r="J248">
        <f t="array" ref="J248">IsURL(Table_12121510[[#This Row],[Data Source]])</f>
        <v/>
      </c>
      <c r="K248">
        <f t="array" ref="K248">IsURL(Table_12121510[[#This Row],[DOI]])</f>
        <v/>
      </c>
      <c r="L248">
        <f t="array" ref="L248">IsURL(Table_12121510[[#This Row],[Data Source]])</f>
        <v/>
      </c>
      <c r="M248">
        <f t="array" ref="M248">IsURL(Table_12121510[[#This Row],[Data Source]])</f>
        <v/>
      </c>
    </row>
    <row r="249" ht="15.75" customHeight="1">
      <c r="A249">
        <f>IF(Table_12121510[[#This Row],[Chassis Name]]=0,"",Table_12121510[[#This Row],[Chassis Name]])</f>
        <v/>
      </c>
      <c r="D249" s="25" t="n"/>
      <c r="F249" s="27" t="n"/>
      <c r="I249" s="18">
        <f>IF($B249="","FALSE","TRUE")</f>
        <v/>
      </c>
      <c r="J249">
        <f t="array" ref="J249">IsURL(Table_12121510[[#This Row],[Data Source]])</f>
        <v/>
      </c>
      <c r="K249">
        <f t="array" ref="K249">IsURL(Table_12121510[[#This Row],[DOI]])</f>
        <v/>
      </c>
      <c r="L249">
        <f t="array" ref="L249">IsURL(Table_12121510[[#This Row],[Data Source]])</f>
        <v/>
      </c>
      <c r="M249">
        <f t="array" ref="M249">IsURL(Table_12121510[[#This Row],[Data Source]])</f>
        <v/>
      </c>
    </row>
    <row r="250" ht="15.75" customHeight="1">
      <c r="A250">
        <f>IF(Table_12121510[[#This Row],[Chassis Name]]=0,"",Table_12121510[[#This Row],[Chassis Name]])</f>
        <v/>
      </c>
      <c r="D250" s="25" t="n"/>
      <c r="F250" s="27" t="n"/>
      <c r="I250" s="18">
        <f>IF($B250="","FALSE","TRUE")</f>
        <v/>
      </c>
      <c r="J250">
        <f t="array" ref="J250">IsURL(Table_12121510[[#This Row],[Data Source]])</f>
        <v/>
      </c>
      <c r="K250">
        <f t="array" ref="K250">IsURL(Table_12121510[[#This Row],[DOI]])</f>
        <v/>
      </c>
      <c r="L250">
        <f t="array" ref="L250">IsURL(Table_12121510[[#This Row],[Data Source]])</f>
        <v/>
      </c>
      <c r="M250">
        <f t="array" ref="M250">IsURL(Table_12121510[[#This Row],[Data Source]])</f>
        <v/>
      </c>
    </row>
    <row r="251" ht="15.75" customHeight="1">
      <c r="A251">
        <f>IF(Table_12121510[[#This Row],[Chassis Name]]=0,"",Table_12121510[[#This Row],[Chassis Name]])</f>
        <v/>
      </c>
      <c r="D251" s="25" t="n"/>
      <c r="F251" s="27" t="n"/>
      <c r="I251" s="18">
        <f>IF($B251="","FALSE","TRUE")</f>
        <v/>
      </c>
      <c r="J251">
        <f t="array" ref="J251">IsURL(Table_12121510[[#This Row],[Data Source]])</f>
        <v/>
      </c>
      <c r="K251">
        <f t="array" ref="K251">IsURL(Table_12121510[[#This Row],[DOI]])</f>
        <v/>
      </c>
      <c r="L251">
        <f t="array" ref="L251">IsURL(Table_12121510[[#This Row],[Data Source]])</f>
        <v/>
      </c>
      <c r="M251">
        <f t="array" ref="M251">IsURL(Table_12121510[[#This Row],[Data Source]])</f>
        <v/>
      </c>
    </row>
    <row r="252" ht="15.75" customHeight="1">
      <c r="A252">
        <f>IF(Table_12121510[[#This Row],[Chassis Name]]=0,"",Table_12121510[[#This Row],[Chassis Name]])</f>
        <v/>
      </c>
      <c r="D252" s="25" t="n"/>
      <c r="F252" s="27" t="n"/>
      <c r="I252" s="18">
        <f>IF($B252="","FALSE","TRUE")</f>
        <v/>
      </c>
      <c r="J252">
        <f t="array" ref="J252">IsURL(Table_12121510[[#This Row],[Data Source]])</f>
        <v/>
      </c>
      <c r="K252">
        <f t="array" ref="K252">IsURL(Table_12121510[[#This Row],[DOI]])</f>
        <v/>
      </c>
      <c r="L252">
        <f t="array" ref="L252">IsURL(Table_12121510[[#This Row],[Data Source]])</f>
        <v/>
      </c>
      <c r="M252">
        <f t="array" ref="M252">IsURL(Table_12121510[[#This Row],[Data Source]])</f>
        <v/>
      </c>
    </row>
    <row r="253" ht="15.75" customHeight="1">
      <c r="A253">
        <f>IF(Table_12121510[[#This Row],[Chassis Name]]=0,"",Table_12121510[[#This Row],[Chassis Name]])</f>
        <v/>
      </c>
      <c r="D253" s="25" t="n"/>
      <c r="F253" s="27" t="n"/>
      <c r="I253" s="18">
        <f>IF($B253="","FALSE","TRUE")</f>
        <v/>
      </c>
      <c r="J253">
        <f t="array" ref="J253">IsURL(Table_12121510[[#This Row],[Data Source]])</f>
        <v/>
      </c>
      <c r="K253">
        <f t="array" ref="K253">IsURL(Table_12121510[[#This Row],[DOI]])</f>
        <v/>
      </c>
      <c r="L253">
        <f t="array" ref="L253">IsURL(Table_12121510[[#This Row],[Data Source]])</f>
        <v/>
      </c>
      <c r="M253">
        <f t="array" ref="M253">IsURL(Table_12121510[[#This Row],[Data Source]])</f>
        <v/>
      </c>
    </row>
    <row r="254" ht="15.75" customHeight="1">
      <c r="A254">
        <f>IF(Table_12121510[[#This Row],[Chassis Name]]=0,"",Table_12121510[[#This Row],[Chassis Name]])</f>
        <v/>
      </c>
      <c r="D254" s="25" t="n"/>
      <c r="F254" s="27" t="n"/>
      <c r="I254" s="18">
        <f>IF($B254="","FALSE","TRUE")</f>
        <v/>
      </c>
      <c r="J254">
        <f t="array" ref="J254">IsURL(Table_12121510[[#This Row],[Data Source]])</f>
        <v/>
      </c>
      <c r="K254">
        <f t="array" ref="K254">IsURL(Table_12121510[[#This Row],[DOI]])</f>
        <v/>
      </c>
      <c r="L254">
        <f t="array" ref="L254">IsURL(Table_12121510[[#This Row],[Data Source]])</f>
        <v/>
      </c>
      <c r="M254">
        <f t="array" ref="M254">IsURL(Table_12121510[[#This Row],[Data Source]])</f>
        <v/>
      </c>
    </row>
    <row r="255" ht="15.75" customHeight="1">
      <c r="A255">
        <f>IF(Table_12121510[[#This Row],[Chassis Name]]=0,"",Table_12121510[[#This Row],[Chassis Name]])</f>
        <v/>
      </c>
      <c r="D255" s="25" t="n"/>
      <c r="F255" s="27" t="n"/>
      <c r="I255" s="18">
        <f>IF($B255="","FALSE","TRUE")</f>
        <v/>
      </c>
      <c r="J255">
        <f t="array" ref="J255">IsURL(Table_12121510[[#This Row],[Data Source]])</f>
        <v/>
      </c>
      <c r="K255">
        <f t="array" ref="K255">IsURL(Table_12121510[[#This Row],[DOI]])</f>
        <v/>
      </c>
      <c r="L255">
        <f t="array" ref="L255">IsURL(Table_12121510[[#This Row],[Data Source]])</f>
        <v/>
      </c>
      <c r="M255">
        <f t="array" ref="M255">IsURL(Table_12121510[[#This Row],[Data Source]])</f>
        <v/>
      </c>
    </row>
    <row r="256" ht="15.75" customHeight="1">
      <c r="A256">
        <f>IF(Table_12121510[[#This Row],[Chassis Name]]=0,"",Table_12121510[[#This Row],[Chassis Name]])</f>
        <v/>
      </c>
      <c r="D256" s="25" t="n"/>
      <c r="F256" s="27" t="n"/>
      <c r="I256" s="18">
        <f>IF($B256="","FALSE","TRUE")</f>
        <v/>
      </c>
      <c r="J256">
        <f t="array" ref="J256">IsURL(Table_12121510[[#This Row],[Data Source]])</f>
        <v/>
      </c>
      <c r="K256">
        <f t="array" ref="K256">IsURL(Table_12121510[[#This Row],[DOI]])</f>
        <v/>
      </c>
      <c r="L256">
        <f t="array" ref="L256">IsURL(Table_12121510[[#This Row],[Data Source]])</f>
        <v/>
      </c>
      <c r="M256">
        <f t="array" ref="M256">IsURL(Table_12121510[[#This Row],[Data Source]])</f>
        <v/>
      </c>
    </row>
    <row r="257" ht="15.75" customHeight="1">
      <c r="A257">
        <f>IF(Table_12121510[[#This Row],[Chassis Name]]=0,"",Table_12121510[[#This Row],[Chassis Name]])</f>
        <v/>
      </c>
      <c r="D257" s="25" t="n"/>
      <c r="F257" s="27" t="n"/>
      <c r="I257" s="18">
        <f>IF($B257="","FALSE","TRUE")</f>
        <v/>
      </c>
      <c r="J257">
        <f t="array" ref="J257">IsURL(Table_12121510[[#This Row],[Data Source]])</f>
        <v/>
      </c>
      <c r="K257">
        <f t="array" ref="K257">IsURL(Table_12121510[[#This Row],[DOI]])</f>
        <v/>
      </c>
      <c r="L257">
        <f t="array" ref="L257">IsURL(Table_12121510[[#This Row],[Data Source]])</f>
        <v/>
      </c>
      <c r="M257">
        <f t="array" ref="M257">IsURL(Table_12121510[[#This Row],[Data Source]])</f>
        <v/>
      </c>
    </row>
    <row r="258" ht="15.75" customHeight="1">
      <c r="A258">
        <f>IF(Table_12121510[[#This Row],[Chassis Name]]=0,"",Table_12121510[[#This Row],[Chassis Name]])</f>
        <v/>
      </c>
      <c r="D258" s="25" t="n"/>
      <c r="F258" s="27" t="n"/>
      <c r="I258" s="18">
        <f>IF($B258="","FALSE","TRUE")</f>
        <v/>
      </c>
      <c r="J258">
        <f t="array" ref="J258">IsURL(Table_12121510[[#This Row],[Data Source]])</f>
        <v/>
      </c>
      <c r="K258">
        <f t="array" ref="K258">IsURL(Table_12121510[[#This Row],[DOI]])</f>
        <v/>
      </c>
      <c r="L258">
        <f t="array" ref="L258">IsURL(Table_12121510[[#This Row],[Data Source]])</f>
        <v/>
      </c>
      <c r="M258">
        <f t="array" ref="M258">IsURL(Table_12121510[[#This Row],[Data Source]])</f>
        <v/>
      </c>
    </row>
    <row r="259" ht="15.75" customHeight="1">
      <c r="A259">
        <f>IF(Table_12121510[[#This Row],[Chassis Name]]=0,"",Table_12121510[[#This Row],[Chassis Name]])</f>
        <v/>
      </c>
      <c r="D259" s="25" t="n"/>
      <c r="F259" s="27" t="n"/>
      <c r="I259" s="18">
        <f>IF($B259="","FALSE","TRUE")</f>
        <v/>
      </c>
      <c r="J259">
        <f t="array" ref="J259">IsURL(Table_12121510[[#This Row],[Data Source]])</f>
        <v/>
      </c>
      <c r="K259">
        <f t="array" ref="K259">IsURL(Table_12121510[[#This Row],[DOI]])</f>
        <v/>
      </c>
      <c r="L259">
        <f t="array" ref="L259">IsURL(Table_12121510[[#This Row],[Data Source]])</f>
        <v/>
      </c>
      <c r="M259">
        <f t="array" ref="M259">IsURL(Table_12121510[[#This Row],[Data Source]])</f>
        <v/>
      </c>
    </row>
    <row r="260" ht="15.75" customHeight="1">
      <c r="A260">
        <f>IF(Table_12121510[[#This Row],[Chassis Name]]=0,"",Table_12121510[[#This Row],[Chassis Name]])</f>
        <v/>
      </c>
      <c r="D260" s="25" t="n"/>
      <c r="F260" s="27" t="n"/>
      <c r="I260" s="18">
        <f>IF($B260="","FALSE","TRUE")</f>
        <v/>
      </c>
      <c r="J260">
        <f t="array" ref="J260">IsURL(Table_12121510[[#This Row],[Data Source]])</f>
        <v/>
      </c>
      <c r="K260">
        <f t="array" ref="K260">IsURL(Table_12121510[[#This Row],[DOI]])</f>
        <v/>
      </c>
      <c r="L260">
        <f t="array" ref="L260">IsURL(Table_12121510[[#This Row],[Data Source]])</f>
        <v/>
      </c>
      <c r="M260">
        <f t="array" ref="M260">IsURL(Table_12121510[[#This Row],[Data Source]])</f>
        <v/>
      </c>
    </row>
    <row r="261" ht="15.75" customHeight="1">
      <c r="A261">
        <f>IF(Table_12121510[[#This Row],[Chassis Name]]=0,"",Table_12121510[[#This Row],[Chassis Name]])</f>
        <v/>
      </c>
      <c r="D261" s="25" t="n"/>
      <c r="F261" s="27" t="n"/>
      <c r="I261" s="18">
        <f>IF($B261="","FALSE","TRUE")</f>
        <v/>
      </c>
      <c r="J261">
        <f t="array" ref="J261">IsURL(Table_12121510[[#This Row],[Data Source]])</f>
        <v/>
      </c>
      <c r="K261">
        <f t="array" ref="K261">IsURL(Table_12121510[[#This Row],[DOI]])</f>
        <v/>
      </c>
      <c r="L261">
        <f t="array" ref="L261">IsURL(Table_12121510[[#This Row],[Data Source]])</f>
        <v/>
      </c>
      <c r="M261">
        <f t="array" ref="M261">IsURL(Table_12121510[[#This Row],[Data Source]])</f>
        <v/>
      </c>
    </row>
    <row r="262" ht="15.75" customHeight="1">
      <c r="A262">
        <f>IF(Table_12121510[[#This Row],[Chassis Name]]=0,"",Table_12121510[[#This Row],[Chassis Name]])</f>
        <v/>
      </c>
      <c r="D262" s="25" t="n"/>
      <c r="F262" s="27" t="n"/>
      <c r="I262" s="18">
        <f>IF($B262="","FALSE","TRUE")</f>
        <v/>
      </c>
      <c r="J262">
        <f t="array" ref="J262">IsURL(Table_12121510[[#This Row],[Data Source]])</f>
        <v/>
      </c>
      <c r="K262">
        <f t="array" ref="K262">IsURL(Table_12121510[[#This Row],[DOI]])</f>
        <v/>
      </c>
      <c r="L262">
        <f t="array" ref="L262">IsURL(Table_12121510[[#This Row],[Data Source]])</f>
        <v/>
      </c>
      <c r="M262">
        <f t="array" ref="M262">IsURL(Table_12121510[[#This Row],[Data Source]])</f>
        <v/>
      </c>
    </row>
    <row r="263" ht="15.75" customHeight="1">
      <c r="A263">
        <f>IF(Table_12121510[[#This Row],[Chassis Name]]=0,"",Table_12121510[[#This Row],[Chassis Name]])</f>
        <v/>
      </c>
      <c r="D263" s="25" t="n"/>
      <c r="F263" s="27" t="n"/>
      <c r="I263" s="18">
        <f>IF($B263="","FALSE","TRUE")</f>
        <v/>
      </c>
      <c r="J263">
        <f t="array" ref="J263">IsURL(Table_12121510[[#This Row],[Data Source]])</f>
        <v/>
      </c>
      <c r="K263">
        <f t="array" ref="K263">IsURL(Table_12121510[[#This Row],[DOI]])</f>
        <v/>
      </c>
      <c r="L263">
        <f t="array" ref="L263">IsURL(Table_12121510[[#This Row],[Data Source]])</f>
        <v/>
      </c>
      <c r="M263">
        <f t="array" ref="M263">IsURL(Table_12121510[[#This Row],[Data Source]])</f>
        <v/>
      </c>
    </row>
    <row r="264" ht="15.75" customHeight="1">
      <c r="A264">
        <f>IF(Table_12121510[[#This Row],[Chassis Name]]=0,"",Table_12121510[[#This Row],[Chassis Name]])</f>
        <v/>
      </c>
      <c r="D264" s="25" t="n"/>
      <c r="F264" s="27" t="n"/>
      <c r="I264" s="18">
        <f>IF($B264="","FALSE","TRUE")</f>
        <v/>
      </c>
      <c r="J264">
        <f t="array" ref="J264">IsURL(Table_12121510[[#This Row],[Data Source]])</f>
        <v/>
      </c>
      <c r="K264">
        <f t="array" ref="K264">IsURL(Table_12121510[[#This Row],[DOI]])</f>
        <v/>
      </c>
      <c r="L264">
        <f t="array" ref="L264">IsURL(Table_12121510[[#This Row],[Data Source]])</f>
        <v/>
      </c>
      <c r="M264">
        <f t="array" ref="M264">IsURL(Table_12121510[[#This Row],[Data Source]])</f>
        <v/>
      </c>
    </row>
    <row r="265" ht="15.75" customHeight="1">
      <c r="A265">
        <f>IF(Table_12121510[[#This Row],[Chassis Name]]=0,"",Table_12121510[[#This Row],[Chassis Name]])</f>
        <v/>
      </c>
      <c r="D265" s="25" t="n"/>
      <c r="F265" s="27" t="n"/>
      <c r="I265" s="18">
        <f>IF($B265="","FALSE","TRUE")</f>
        <v/>
      </c>
      <c r="J265">
        <f t="array" ref="J265">IsURL(Table_12121510[[#This Row],[Data Source]])</f>
        <v/>
      </c>
      <c r="K265">
        <f t="array" ref="K265">IsURL(Table_12121510[[#This Row],[DOI]])</f>
        <v/>
      </c>
      <c r="L265">
        <f t="array" ref="L265">IsURL(Table_12121510[[#This Row],[Data Source]])</f>
        <v/>
      </c>
      <c r="M265">
        <f t="array" ref="M265">IsURL(Table_12121510[[#This Row],[Data Source]])</f>
        <v/>
      </c>
    </row>
    <row r="266" ht="15.75" customHeight="1">
      <c r="A266">
        <f>IF(Table_12121510[[#This Row],[Chassis Name]]=0,"",Table_12121510[[#This Row],[Chassis Name]])</f>
        <v/>
      </c>
      <c r="D266" s="25" t="n"/>
      <c r="F266" s="27" t="n"/>
      <c r="I266" s="18">
        <f>IF($B266="","FALSE","TRUE")</f>
        <v/>
      </c>
      <c r="J266">
        <f t="array" ref="J266">IsURL(Table_12121510[[#This Row],[Data Source]])</f>
        <v/>
      </c>
      <c r="K266">
        <f t="array" ref="K266">IsURL(Table_12121510[[#This Row],[DOI]])</f>
        <v/>
      </c>
      <c r="L266">
        <f t="array" ref="L266">IsURL(Table_12121510[[#This Row],[Data Source]])</f>
        <v/>
      </c>
      <c r="M266">
        <f t="array" ref="M266">IsURL(Table_12121510[[#This Row],[Data Source]])</f>
        <v/>
      </c>
    </row>
    <row r="267" ht="15.75" customHeight="1">
      <c r="A267">
        <f>IF(Table_12121510[[#This Row],[Chassis Name]]=0,"",Table_12121510[[#This Row],[Chassis Name]])</f>
        <v/>
      </c>
      <c r="D267" s="25" t="n"/>
      <c r="F267" s="27" t="n"/>
      <c r="I267" s="18">
        <f>IF($B267="","FALSE","TRUE")</f>
        <v/>
      </c>
      <c r="J267">
        <f t="array" ref="J267">IsURL(Table_12121510[[#This Row],[Data Source]])</f>
        <v/>
      </c>
      <c r="K267">
        <f t="array" ref="K267">IsURL(Table_12121510[[#This Row],[DOI]])</f>
        <v/>
      </c>
      <c r="L267">
        <f t="array" ref="L267">IsURL(Table_12121510[[#This Row],[Data Source]])</f>
        <v/>
      </c>
      <c r="M267">
        <f t="array" ref="M267">IsURL(Table_12121510[[#This Row],[Data Source]])</f>
        <v/>
      </c>
    </row>
    <row r="268" ht="15.75" customHeight="1">
      <c r="A268">
        <f>IF(Table_12121510[[#This Row],[Chassis Name]]=0,"",Table_12121510[[#This Row],[Chassis Name]])</f>
        <v/>
      </c>
      <c r="D268" s="25" t="n"/>
      <c r="F268" s="27" t="n"/>
      <c r="I268" s="18">
        <f>IF($B268="","FALSE","TRUE")</f>
        <v/>
      </c>
      <c r="J268">
        <f t="array" ref="J268">IsURL(Table_12121510[[#This Row],[Data Source]])</f>
        <v/>
      </c>
      <c r="K268">
        <f t="array" ref="K268">IsURL(Table_12121510[[#This Row],[DOI]])</f>
        <v/>
      </c>
      <c r="L268">
        <f t="array" ref="L268">IsURL(Table_12121510[[#This Row],[Data Source]])</f>
        <v/>
      </c>
      <c r="M268">
        <f t="array" ref="M268">IsURL(Table_12121510[[#This Row],[Data Source]])</f>
        <v/>
      </c>
    </row>
    <row r="269" ht="15.75" customHeight="1">
      <c r="A269">
        <f>IF(Table_12121510[[#This Row],[Chassis Name]]=0,"",Table_12121510[[#This Row],[Chassis Name]])</f>
        <v/>
      </c>
      <c r="D269" s="25" t="n"/>
      <c r="F269" s="27" t="n"/>
      <c r="I269" s="18">
        <f>IF($B269="","FALSE","TRUE")</f>
        <v/>
      </c>
      <c r="J269">
        <f t="array" ref="J269">IsURL(Table_12121510[[#This Row],[Data Source]])</f>
        <v/>
      </c>
      <c r="K269">
        <f t="array" ref="K269">IsURL(Table_12121510[[#This Row],[DOI]])</f>
        <v/>
      </c>
      <c r="L269">
        <f t="array" ref="L269">IsURL(Table_12121510[[#This Row],[Data Source]])</f>
        <v/>
      </c>
      <c r="M269">
        <f t="array" ref="M269">IsURL(Table_12121510[[#This Row],[Data Source]])</f>
        <v/>
      </c>
    </row>
    <row r="270" ht="15.75" customHeight="1">
      <c r="A270">
        <f>IF(Table_12121510[[#This Row],[Chassis Name]]=0,"",Table_12121510[[#This Row],[Chassis Name]])</f>
        <v/>
      </c>
      <c r="D270" s="25" t="n"/>
      <c r="F270" s="27" t="n"/>
      <c r="I270" s="18">
        <f>IF($B270="","FALSE","TRUE")</f>
        <v/>
      </c>
      <c r="J270">
        <f t="array" ref="J270">IsURL(Table_12121510[[#This Row],[Data Source]])</f>
        <v/>
      </c>
      <c r="K270">
        <f t="array" ref="K270">IsURL(Table_12121510[[#This Row],[DOI]])</f>
        <v/>
      </c>
      <c r="L270">
        <f t="array" ref="L270">IsURL(Table_12121510[[#This Row],[Data Source]])</f>
        <v/>
      </c>
      <c r="M270">
        <f t="array" ref="M270">IsURL(Table_12121510[[#This Row],[Data Source]])</f>
        <v/>
      </c>
    </row>
    <row r="271" ht="15.75" customHeight="1">
      <c r="A271">
        <f>IF(Table_12121510[[#This Row],[Chassis Name]]=0,"",Table_12121510[[#This Row],[Chassis Name]])</f>
        <v/>
      </c>
      <c r="D271" s="25" t="n"/>
      <c r="F271" s="27" t="n"/>
      <c r="I271" s="18">
        <f>IF($B271="","FALSE","TRUE")</f>
        <v/>
      </c>
      <c r="J271">
        <f t="array" ref="J271">IsURL(Table_12121510[[#This Row],[Data Source]])</f>
        <v/>
      </c>
      <c r="K271">
        <f t="array" ref="K271">IsURL(Table_12121510[[#This Row],[DOI]])</f>
        <v/>
      </c>
      <c r="L271">
        <f t="array" ref="L271">IsURL(Table_12121510[[#This Row],[Data Source]])</f>
        <v/>
      </c>
      <c r="M271">
        <f t="array" ref="M271">IsURL(Table_12121510[[#This Row],[Data Source]])</f>
        <v/>
      </c>
    </row>
    <row r="272" ht="15.75" customHeight="1">
      <c r="A272">
        <f>IF(Table_12121510[[#This Row],[Chassis Name]]=0,"",Table_12121510[[#This Row],[Chassis Name]])</f>
        <v/>
      </c>
      <c r="D272" s="25" t="n"/>
      <c r="F272" s="27" t="n"/>
      <c r="I272" s="18">
        <f>IF($B272="","FALSE","TRUE")</f>
        <v/>
      </c>
      <c r="J272">
        <f t="array" ref="J272">IsURL(Table_12121510[[#This Row],[Data Source]])</f>
        <v/>
      </c>
      <c r="K272">
        <f t="array" ref="K272">IsURL(Table_12121510[[#This Row],[DOI]])</f>
        <v/>
      </c>
      <c r="L272">
        <f t="array" ref="L272">IsURL(Table_12121510[[#This Row],[Data Source]])</f>
        <v/>
      </c>
      <c r="M272">
        <f t="array" ref="M272">IsURL(Table_12121510[[#This Row],[Data Source]])</f>
        <v/>
      </c>
    </row>
    <row r="273" ht="15.75" customHeight="1">
      <c r="A273">
        <f>IF(Table_12121510[[#This Row],[Chassis Name]]=0,"",Table_12121510[[#This Row],[Chassis Name]])</f>
        <v/>
      </c>
      <c r="D273" s="25" t="n"/>
      <c r="F273" s="27" t="n"/>
      <c r="I273" s="18">
        <f>IF($B273="","FALSE","TRUE")</f>
        <v/>
      </c>
      <c r="J273">
        <f t="array" ref="J273">IsURL(Table_12121510[[#This Row],[Data Source]])</f>
        <v/>
      </c>
      <c r="K273">
        <f t="array" ref="K273">IsURL(Table_12121510[[#This Row],[DOI]])</f>
        <v/>
      </c>
      <c r="L273">
        <f t="array" ref="L273">IsURL(Table_12121510[[#This Row],[Data Source]])</f>
        <v/>
      </c>
      <c r="M273">
        <f t="array" ref="M273">IsURL(Table_12121510[[#This Row],[Data Source]])</f>
        <v/>
      </c>
    </row>
    <row r="274" ht="15.75" customHeight="1">
      <c r="A274">
        <f>IF(Table_12121510[[#This Row],[Chassis Name]]=0,"",Table_12121510[[#This Row],[Chassis Name]])</f>
        <v/>
      </c>
      <c r="D274" s="25" t="n"/>
      <c r="F274" s="27" t="n"/>
      <c r="I274" s="18">
        <f>IF($B274="","FALSE","TRUE")</f>
        <v/>
      </c>
      <c r="J274">
        <f t="array" ref="J274">IsURL(Table_12121510[[#This Row],[Data Source]])</f>
        <v/>
      </c>
      <c r="K274">
        <f t="array" ref="K274">IsURL(Table_12121510[[#This Row],[DOI]])</f>
        <v/>
      </c>
      <c r="L274">
        <f t="array" ref="L274">IsURL(Table_12121510[[#This Row],[Data Source]])</f>
        <v/>
      </c>
      <c r="M274">
        <f t="array" ref="M274">IsURL(Table_12121510[[#This Row],[Data Source]])</f>
        <v/>
      </c>
    </row>
    <row r="275" ht="15.75" customHeight="1">
      <c r="A275">
        <f>IF(Table_12121510[[#This Row],[Chassis Name]]=0,"",Table_12121510[[#This Row],[Chassis Name]])</f>
        <v/>
      </c>
      <c r="D275" s="25" t="n"/>
      <c r="F275" s="27" t="n"/>
      <c r="I275" s="18">
        <f>IF($B275="","FALSE","TRUE")</f>
        <v/>
      </c>
      <c r="J275">
        <f t="array" ref="J275">IsURL(Table_12121510[[#This Row],[Data Source]])</f>
        <v/>
      </c>
      <c r="K275">
        <f t="array" ref="K275">IsURL(Table_12121510[[#This Row],[DOI]])</f>
        <v/>
      </c>
      <c r="L275">
        <f t="array" ref="L275">IsURL(Table_12121510[[#This Row],[Data Source]])</f>
        <v/>
      </c>
      <c r="M275">
        <f t="array" ref="M275">IsURL(Table_12121510[[#This Row],[Data Source]])</f>
        <v/>
      </c>
    </row>
    <row r="276" ht="15.75" customHeight="1">
      <c r="A276">
        <f>IF(Table_12121510[[#This Row],[Chassis Name]]=0,"",Table_12121510[[#This Row],[Chassis Name]])</f>
        <v/>
      </c>
      <c r="D276" s="25" t="n"/>
      <c r="F276" s="27" t="n"/>
      <c r="I276" s="18">
        <f>IF($B276="","FALSE","TRUE")</f>
        <v/>
      </c>
      <c r="J276">
        <f t="array" ref="J276">IsURL(Table_12121510[[#This Row],[Data Source]])</f>
        <v/>
      </c>
      <c r="K276">
        <f t="array" ref="K276">IsURL(Table_12121510[[#This Row],[DOI]])</f>
        <v/>
      </c>
      <c r="L276">
        <f t="array" ref="L276">IsURL(Table_12121510[[#This Row],[Data Source]])</f>
        <v/>
      </c>
      <c r="M276">
        <f t="array" ref="M276">IsURL(Table_12121510[[#This Row],[Data Source]])</f>
        <v/>
      </c>
    </row>
    <row r="277" ht="15.75" customHeight="1">
      <c r="A277">
        <f>IF(Table_12121510[[#This Row],[Chassis Name]]=0,"",Table_12121510[[#This Row],[Chassis Name]])</f>
        <v/>
      </c>
      <c r="D277" s="25" t="n"/>
      <c r="F277" s="27" t="n"/>
      <c r="I277" s="18">
        <f>IF($B277="","FALSE","TRUE")</f>
        <v/>
      </c>
      <c r="J277">
        <f t="array" ref="J277">IsURL(Table_12121510[[#This Row],[Data Source]])</f>
        <v/>
      </c>
      <c r="K277">
        <f t="array" ref="K277">IsURL(Table_12121510[[#This Row],[DOI]])</f>
        <v/>
      </c>
      <c r="L277">
        <f t="array" ref="L277">IsURL(Table_12121510[[#This Row],[Data Source]])</f>
        <v/>
      </c>
      <c r="M277">
        <f t="array" ref="M277">IsURL(Table_12121510[[#This Row],[Data Source]])</f>
        <v/>
      </c>
    </row>
    <row r="278" ht="15.75" customHeight="1">
      <c r="A278">
        <f>IF(Table_12121510[[#This Row],[Chassis Name]]=0,"",Table_12121510[[#This Row],[Chassis Name]])</f>
        <v/>
      </c>
      <c r="D278" s="25" t="n"/>
      <c r="F278" s="27" t="n"/>
      <c r="I278" s="18">
        <f>IF($B278="","FALSE","TRUE")</f>
        <v/>
      </c>
      <c r="J278">
        <f t="array" ref="J278">IsURL(Table_12121510[[#This Row],[Data Source]])</f>
        <v/>
      </c>
      <c r="K278">
        <f t="array" ref="K278">IsURL(Table_12121510[[#This Row],[DOI]])</f>
        <v/>
      </c>
      <c r="L278">
        <f t="array" ref="L278">IsURL(Table_12121510[[#This Row],[Data Source]])</f>
        <v/>
      </c>
      <c r="M278">
        <f t="array" ref="M278">IsURL(Table_12121510[[#This Row],[Data Source]])</f>
        <v/>
      </c>
    </row>
    <row r="279" ht="15.75" customHeight="1">
      <c r="A279">
        <f>IF(Table_12121510[[#This Row],[Chassis Name]]=0,"",Table_12121510[[#This Row],[Chassis Name]])</f>
        <v/>
      </c>
      <c r="D279" s="25" t="n"/>
      <c r="F279" s="27" t="n"/>
      <c r="I279" s="18">
        <f>IF($B279="","FALSE","TRUE")</f>
        <v/>
      </c>
      <c r="J279">
        <f t="array" ref="J279">IsURL(Table_12121510[[#This Row],[Data Source]])</f>
        <v/>
      </c>
      <c r="K279">
        <f t="array" ref="K279">IsURL(Table_12121510[[#This Row],[DOI]])</f>
        <v/>
      </c>
      <c r="L279">
        <f t="array" ref="L279">IsURL(Table_12121510[[#This Row],[Data Source]])</f>
        <v/>
      </c>
      <c r="M279">
        <f t="array" ref="M279">IsURL(Table_12121510[[#This Row],[Data Source]])</f>
        <v/>
      </c>
    </row>
    <row r="280" ht="15.75" customHeight="1">
      <c r="A280">
        <f>IF(Table_12121510[[#This Row],[Chassis Name]]=0,"",Table_12121510[[#This Row],[Chassis Name]])</f>
        <v/>
      </c>
      <c r="D280" s="25" t="n"/>
      <c r="F280" s="27" t="n"/>
      <c r="I280" s="18">
        <f>IF($B280="","FALSE","TRUE")</f>
        <v/>
      </c>
      <c r="J280">
        <f t="array" ref="J280">IsURL(Table_12121510[[#This Row],[Data Source]])</f>
        <v/>
      </c>
      <c r="K280">
        <f t="array" ref="K280">IsURL(Table_12121510[[#This Row],[DOI]])</f>
        <v/>
      </c>
      <c r="L280">
        <f t="array" ref="L280">IsURL(Table_12121510[[#This Row],[Data Source]])</f>
        <v/>
      </c>
      <c r="M280">
        <f t="array" ref="M280">IsURL(Table_12121510[[#This Row],[Data Source]])</f>
        <v/>
      </c>
    </row>
    <row r="281" ht="15.75" customHeight="1">
      <c r="A281">
        <f>IF(Table_12121510[[#This Row],[Chassis Name]]=0,"",Table_12121510[[#This Row],[Chassis Name]])</f>
        <v/>
      </c>
      <c r="D281" s="25" t="n"/>
      <c r="F281" s="27" t="n"/>
      <c r="I281" s="18">
        <f>IF($B281="","FALSE","TRUE")</f>
        <v/>
      </c>
      <c r="J281">
        <f t="array" ref="J281">IsURL(Table_12121510[[#This Row],[Data Source]])</f>
        <v/>
      </c>
      <c r="K281">
        <f t="array" ref="K281">IsURL(Table_12121510[[#This Row],[DOI]])</f>
        <v/>
      </c>
      <c r="L281">
        <f t="array" ref="L281">IsURL(Table_12121510[[#This Row],[Data Source]])</f>
        <v/>
      </c>
      <c r="M281">
        <f t="array" ref="M281">IsURL(Table_12121510[[#This Row],[Data Source]])</f>
        <v/>
      </c>
    </row>
    <row r="282" ht="15.75" customHeight="1">
      <c r="A282">
        <f>IF(Table_12121510[[#This Row],[Chassis Name]]=0,"",Table_12121510[[#This Row],[Chassis Name]])</f>
        <v/>
      </c>
      <c r="D282" s="25" t="n"/>
      <c r="F282" s="27" t="n"/>
      <c r="I282" s="18">
        <f>IF($B282="","FALSE","TRUE")</f>
        <v/>
      </c>
      <c r="J282">
        <f t="array" ref="J282">IsURL(Table_12121510[[#This Row],[Data Source]])</f>
        <v/>
      </c>
      <c r="K282">
        <f t="array" ref="K282">IsURL(Table_12121510[[#This Row],[DOI]])</f>
        <v/>
      </c>
      <c r="L282">
        <f t="array" ref="L282">IsURL(Table_12121510[[#This Row],[Data Source]])</f>
        <v/>
      </c>
      <c r="M282">
        <f t="array" ref="M282">IsURL(Table_12121510[[#This Row],[Data Source]])</f>
        <v/>
      </c>
    </row>
    <row r="283" ht="15.75" customHeight="1">
      <c r="A283">
        <f>IF(Table_12121510[[#This Row],[Chassis Name]]=0,"",Table_12121510[[#This Row],[Chassis Name]])</f>
        <v/>
      </c>
      <c r="D283" s="25" t="n"/>
      <c r="F283" s="27" t="n"/>
      <c r="I283" s="18">
        <f>IF($B283="","FALSE","TRUE")</f>
        <v/>
      </c>
      <c r="J283">
        <f t="array" ref="J283">IsURL(Table_12121510[[#This Row],[Data Source]])</f>
        <v/>
      </c>
      <c r="K283">
        <f t="array" ref="K283">IsURL(Table_12121510[[#This Row],[DOI]])</f>
        <v/>
      </c>
      <c r="L283">
        <f t="array" ref="L283">IsURL(Table_12121510[[#This Row],[Data Source]])</f>
        <v/>
      </c>
      <c r="M283">
        <f t="array" ref="M283">IsURL(Table_12121510[[#This Row],[Data Source]])</f>
        <v/>
      </c>
    </row>
    <row r="284" ht="15.75" customHeight="1">
      <c r="A284">
        <f>IF(Table_12121510[[#This Row],[Chassis Name]]=0,"",Table_12121510[[#This Row],[Chassis Name]])</f>
        <v/>
      </c>
      <c r="D284" s="25" t="n"/>
      <c r="F284" s="27" t="n"/>
      <c r="I284" s="18">
        <f>IF($B284="","FALSE","TRUE")</f>
        <v/>
      </c>
      <c r="J284">
        <f t="array" ref="J284">IsURL(Table_12121510[[#This Row],[Data Source]])</f>
        <v/>
      </c>
      <c r="K284">
        <f t="array" ref="K284">IsURL(Table_12121510[[#This Row],[DOI]])</f>
        <v/>
      </c>
      <c r="L284">
        <f t="array" ref="L284">IsURL(Table_12121510[[#This Row],[Data Source]])</f>
        <v/>
      </c>
      <c r="M284">
        <f t="array" ref="M284">IsURL(Table_12121510[[#This Row],[Data Source]])</f>
        <v/>
      </c>
    </row>
    <row r="285" ht="15.75" customHeight="1">
      <c r="A285">
        <f>IF(Table_12121510[[#This Row],[Chassis Name]]=0,"",Table_12121510[[#This Row],[Chassis Name]])</f>
        <v/>
      </c>
      <c r="D285" s="25" t="n"/>
      <c r="F285" s="27" t="n"/>
      <c r="I285" s="18">
        <f>IF($B285="","FALSE","TRUE")</f>
        <v/>
      </c>
      <c r="J285">
        <f t="array" ref="J285">IsURL(Table_12121510[[#This Row],[Data Source]])</f>
        <v/>
      </c>
      <c r="K285">
        <f t="array" ref="K285">IsURL(Table_12121510[[#This Row],[DOI]])</f>
        <v/>
      </c>
      <c r="L285">
        <f t="array" ref="L285">IsURL(Table_12121510[[#This Row],[Data Source]])</f>
        <v/>
      </c>
      <c r="M285">
        <f t="array" ref="M285">IsURL(Table_12121510[[#This Row],[Data Source]])</f>
        <v/>
      </c>
    </row>
    <row r="286" ht="15.75" customHeight="1">
      <c r="A286">
        <f>IF(Table_12121510[[#This Row],[Chassis Name]]=0,"",Table_12121510[[#This Row],[Chassis Name]])</f>
        <v/>
      </c>
      <c r="D286" s="25" t="n"/>
      <c r="F286" s="27" t="n"/>
      <c r="I286" s="18">
        <f>IF($B286="","FALSE","TRUE")</f>
        <v/>
      </c>
      <c r="J286">
        <f t="array" ref="J286">IsURL(Table_12121510[[#This Row],[Data Source]])</f>
        <v/>
      </c>
      <c r="K286">
        <f t="array" ref="K286">IsURL(Table_12121510[[#This Row],[DOI]])</f>
        <v/>
      </c>
      <c r="L286">
        <f t="array" ref="L286">IsURL(Table_12121510[[#This Row],[Data Source]])</f>
        <v/>
      </c>
      <c r="M286">
        <f t="array" ref="M286">IsURL(Table_12121510[[#This Row],[Data Source]])</f>
        <v/>
      </c>
    </row>
    <row r="287" ht="15.75" customHeight="1">
      <c r="A287">
        <f>IF(Table_12121510[[#This Row],[Chassis Name]]=0,"",Table_12121510[[#This Row],[Chassis Name]])</f>
        <v/>
      </c>
      <c r="D287" s="25" t="n"/>
      <c r="F287" s="27" t="n"/>
      <c r="I287" s="18">
        <f>IF($B287="","FALSE","TRUE")</f>
        <v/>
      </c>
      <c r="J287">
        <f t="array" ref="J287">IsURL(Table_12121510[[#This Row],[Data Source]])</f>
        <v/>
      </c>
      <c r="K287">
        <f t="array" ref="K287">IsURL(Table_12121510[[#This Row],[DOI]])</f>
        <v/>
      </c>
      <c r="L287">
        <f t="array" ref="L287">IsURL(Table_12121510[[#This Row],[Data Source]])</f>
        <v/>
      </c>
      <c r="M287">
        <f t="array" ref="M287">IsURL(Table_12121510[[#This Row],[Data Source]])</f>
        <v/>
      </c>
    </row>
    <row r="288" ht="15.75" customHeight="1">
      <c r="A288">
        <f>IF(Table_12121510[[#This Row],[Chassis Name]]=0,"",Table_12121510[[#This Row],[Chassis Name]])</f>
        <v/>
      </c>
      <c r="D288" s="25" t="n"/>
      <c r="F288" s="27" t="n"/>
      <c r="I288" s="18">
        <f>IF($B288="","FALSE","TRUE")</f>
        <v/>
      </c>
      <c r="J288">
        <f t="array" ref="J288">IsURL(Table_12121510[[#This Row],[Data Source]])</f>
        <v/>
      </c>
      <c r="K288">
        <f t="array" ref="K288">IsURL(Table_12121510[[#This Row],[DOI]])</f>
        <v/>
      </c>
      <c r="L288">
        <f t="array" ref="L288">IsURL(Table_12121510[[#This Row],[Data Source]])</f>
        <v/>
      </c>
      <c r="M288">
        <f t="array" ref="M288">IsURL(Table_12121510[[#This Row],[Data Source]])</f>
        <v/>
      </c>
    </row>
    <row r="289" ht="15.75" customHeight="1">
      <c r="A289">
        <f>IF(Table_12121510[[#This Row],[Chassis Name]]=0,"",Table_12121510[[#This Row],[Chassis Name]])</f>
        <v/>
      </c>
      <c r="D289" s="25" t="n"/>
      <c r="F289" s="27" t="n"/>
      <c r="I289" s="18">
        <f>IF($B289="","FALSE","TRUE")</f>
        <v/>
      </c>
      <c r="J289">
        <f t="array" ref="J289">IsURL(Table_12121510[[#This Row],[Data Source]])</f>
        <v/>
      </c>
      <c r="K289">
        <f t="array" ref="K289">IsURL(Table_12121510[[#This Row],[DOI]])</f>
        <v/>
      </c>
      <c r="L289">
        <f t="array" ref="L289">IsURL(Table_12121510[[#This Row],[Data Source]])</f>
        <v/>
      </c>
      <c r="M289">
        <f t="array" ref="M289">IsURL(Table_12121510[[#This Row],[Data Source]])</f>
        <v/>
      </c>
    </row>
    <row r="290" ht="15.75" customHeight="1">
      <c r="A290">
        <f>IF(Table_12121510[[#This Row],[Chassis Name]]=0,"",Table_12121510[[#This Row],[Chassis Name]])</f>
        <v/>
      </c>
      <c r="D290" s="25" t="n"/>
      <c r="F290" s="27" t="n"/>
      <c r="I290" s="18">
        <f>IF($B290="","FALSE","TRUE")</f>
        <v/>
      </c>
      <c r="J290">
        <f t="array" ref="J290">IsURL(Table_12121510[[#This Row],[Data Source]])</f>
        <v/>
      </c>
      <c r="K290">
        <f t="array" ref="K290">IsURL(Table_12121510[[#This Row],[DOI]])</f>
        <v/>
      </c>
      <c r="L290">
        <f t="array" ref="L290">IsURL(Table_12121510[[#This Row],[Data Source]])</f>
        <v/>
      </c>
      <c r="M290">
        <f t="array" ref="M290">IsURL(Table_12121510[[#This Row],[Data Source]])</f>
        <v/>
      </c>
    </row>
    <row r="291" ht="15.75" customHeight="1">
      <c r="A291">
        <f>IF(Table_12121510[[#This Row],[Chassis Name]]=0,"",Table_12121510[[#This Row],[Chassis Name]])</f>
        <v/>
      </c>
      <c r="D291" s="25" t="n"/>
      <c r="F291" s="27" t="n"/>
      <c r="I291" s="18">
        <f>IF($B291="","FALSE","TRUE")</f>
        <v/>
      </c>
      <c r="J291">
        <f t="array" ref="J291">IsURL(Table_12121510[[#This Row],[Data Source]])</f>
        <v/>
      </c>
      <c r="K291">
        <f t="array" ref="K291">IsURL(Table_12121510[[#This Row],[DOI]])</f>
        <v/>
      </c>
      <c r="L291">
        <f t="array" ref="L291">IsURL(Table_12121510[[#This Row],[Data Source]])</f>
        <v/>
      </c>
      <c r="M291">
        <f t="array" ref="M291">IsURL(Table_12121510[[#This Row],[Data Source]])</f>
        <v/>
      </c>
    </row>
    <row r="292" ht="15.75" customHeight="1">
      <c r="A292">
        <f>IF(Table_12121510[[#This Row],[Chassis Name]]=0,"",Table_12121510[[#This Row],[Chassis Name]])</f>
        <v/>
      </c>
      <c r="D292" s="25" t="n"/>
      <c r="F292" s="27" t="n"/>
      <c r="I292" s="18">
        <f>IF($B292="","FALSE","TRUE")</f>
        <v/>
      </c>
      <c r="J292">
        <f t="array" ref="J292">IsURL(Table_12121510[[#This Row],[Data Source]])</f>
        <v/>
      </c>
      <c r="K292">
        <f t="array" ref="K292">IsURL(Table_12121510[[#This Row],[DOI]])</f>
        <v/>
      </c>
      <c r="L292">
        <f t="array" ref="L292">IsURL(Table_12121510[[#This Row],[Data Source]])</f>
        <v/>
      </c>
      <c r="M292">
        <f t="array" ref="M292">IsURL(Table_12121510[[#This Row],[Data Source]])</f>
        <v/>
      </c>
    </row>
    <row r="293" ht="15.75" customHeight="1">
      <c r="A293">
        <f>IF(Table_12121510[[#This Row],[Chassis Name]]=0,"",Table_12121510[[#This Row],[Chassis Name]])</f>
        <v/>
      </c>
      <c r="D293" s="25" t="n"/>
      <c r="F293" s="27" t="n"/>
      <c r="I293" s="18">
        <f>IF($B293="","FALSE","TRUE")</f>
        <v/>
      </c>
      <c r="J293">
        <f t="array" ref="J293">IsURL(Table_12121510[[#This Row],[Data Source]])</f>
        <v/>
      </c>
      <c r="K293">
        <f t="array" ref="K293">IsURL(Table_12121510[[#This Row],[DOI]])</f>
        <v/>
      </c>
      <c r="L293">
        <f t="array" ref="L293">IsURL(Table_12121510[[#This Row],[Data Source]])</f>
        <v/>
      </c>
      <c r="M293">
        <f t="array" ref="M293">IsURL(Table_12121510[[#This Row],[Data Source]])</f>
        <v/>
      </c>
    </row>
    <row r="294" ht="15.75" customHeight="1">
      <c r="A294">
        <f>IF(Table_12121510[[#This Row],[Chassis Name]]=0,"",Table_12121510[[#This Row],[Chassis Name]])</f>
        <v/>
      </c>
      <c r="D294" s="25" t="n"/>
      <c r="F294" s="27" t="n"/>
      <c r="I294" s="18">
        <f>IF($B294="","FALSE","TRUE")</f>
        <v/>
      </c>
      <c r="J294">
        <f t="array" ref="J294">IsURL(Table_12121510[[#This Row],[Data Source]])</f>
        <v/>
      </c>
      <c r="K294">
        <f t="array" ref="K294">IsURL(Table_12121510[[#This Row],[DOI]])</f>
        <v/>
      </c>
      <c r="L294">
        <f t="array" ref="L294">IsURL(Table_12121510[[#This Row],[Data Source]])</f>
        <v/>
      </c>
      <c r="M294">
        <f t="array" ref="M294">IsURL(Table_12121510[[#This Row],[Data Source]])</f>
        <v/>
      </c>
    </row>
    <row r="295" ht="15.75" customHeight="1">
      <c r="A295">
        <f>IF(Table_12121510[[#This Row],[Chassis Name]]=0,"",Table_12121510[[#This Row],[Chassis Name]])</f>
        <v/>
      </c>
      <c r="D295" s="25" t="n"/>
      <c r="F295" s="27" t="n"/>
      <c r="I295" s="18">
        <f>IF($B295="","FALSE","TRUE")</f>
        <v/>
      </c>
      <c r="J295">
        <f t="array" ref="J295">IsURL(Table_12121510[[#This Row],[Data Source]])</f>
        <v/>
      </c>
      <c r="K295">
        <f t="array" ref="K295">IsURL(Table_12121510[[#This Row],[DOI]])</f>
        <v/>
      </c>
      <c r="L295">
        <f t="array" ref="L295">IsURL(Table_12121510[[#This Row],[Data Source]])</f>
        <v/>
      </c>
      <c r="M295">
        <f t="array" ref="M295">IsURL(Table_12121510[[#This Row],[Data Source]])</f>
        <v/>
      </c>
    </row>
    <row r="296" ht="15.75" customHeight="1">
      <c r="A296">
        <f>IF(Table_12121510[[#This Row],[Chassis Name]]=0,"",Table_12121510[[#This Row],[Chassis Name]])</f>
        <v/>
      </c>
      <c r="D296" s="25" t="n"/>
      <c r="F296" s="27" t="n"/>
      <c r="I296" s="18">
        <f>IF($B296="","FALSE","TRUE")</f>
        <v/>
      </c>
      <c r="J296">
        <f t="array" ref="J296">IsURL(Table_12121510[[#This Row],[Data Source]])</f>
        <v/>
      </c>
      <c r="K296">
        <f t="array" ref="K296">IsURL(Table_12121510[[#This Row],[DOI]])</f>
        <v/>
      </c>
      <c r="L296">
        <f t="array" ref="L296">IsURL(Table_12121510[[#This Row],[Data Source]])</f>
        <v/>
      </c>
      <c r="M296">
        <f t="array" ref="M296">IsURL(Table_12121510[[#This Row],[Data Source]])</f>
        <v/>
      </c>
    </row>
    <row r="297" ht="15.75" customHeight="1">
      <c r="A297">
        <f>IF(Table_12121510[[#This Row],[Chassis Name]]=0,"",Table_12121510[[#This Row],[Chassis Name]])</f>
        <v/>
      </c>
      <c r="D297" s="25" t="n"/>
      <c r="F297" s="27" t="n"/>
      <c r="I297" s="18">
        <f>IF($B297="","FALSE","TRUE")</f>
        <v/>
      </c>
      <c r="J297">
        <f t="array" ref="J297">IsURL(Table_12121510[[#This Row],[Data Source]])</f>
        <v/>
      </c>
      <c r="K297">
        <f t="array" ref="K297">IsURL(Table_12121510[[#This Row],[DOI]])</f>
        <v/>
      </c>
      <c r="L297">
        <f t="array" ref="L297">IsURL(Table_12121510[[#This Row],[Data Source]])</f>
        <v/>
      </c>
      <c r="M297">
        <f t="array" ref="M297">IsURL(Table_12121510[[#This Row],[Data Source]])</f>
        <v/>
      </c>
    </row>
    <row r="298" ht="15.75" customHeight="1">
      <c r="A298">
        <f>IF(Table_12121510[[#This Row],[Chassis Name]]=0,"",Table_12121510[[#This Row],[Chassis Name]])</f>
        <v/>
      </c>
      <c r="D298" s="25" t="n"/>
      <c r="F298" s="27" t="n"/>
      <c r="I298" s="18">
        <f>IF($B298="","FALSE","TRUE")</f>
        <v/>
      </c>
      <c r="J298">
        <f t="array" ref="J298">IsURL(Table_12121510[[#This Row],[Data Source]])</f>
        <v/>
      </c>
      <c r="K298">
        <f t="array" ref="K298">IsURL(Table_12121510[[#This Row],[DOI]])</f>
        <v/>
      </c>
      <c r="L298">
        <f t="array" ref="L298">IsURL(Table_12121510[[#This Row],[Data Source]])</f>
        <v/>
      </c>
      <c r="M298">
        <f t="array" ref="M298">IsURL(Table_12121510[[#This Row],[Data Source]])</f>
        <v/>
      </c>
    </row>
    <row r="299" ht="15.75" customHeight="1">
      <c r="A299">
        <f>IF(Table_12121510[[#This Row],[Chassis Name]]=0,"",Table_12121510[[#This Row],[Chassis Name]])</f>
        <v/>
      </c>
      <c r="D299" s="25" t="n"/>
      <c r="F299" s="27" t="n"/>
      <c r="I299" s="18">
        <f>IF($B299="","FALSE","TRUE")</f>
        <v/>
      </c>
      <c r="J299">
        <f t="array" ref="J299">IsURL(Table_12121510[[#This Row],[Data Source]])</f>
        <v/>
      </c>
      <c r="K299">
        <f t="array" ref="K299">IsURL(Table_12121510[[#This Row],[DOI]])</f>
        <v/>
      </c>
      <c r="L299">
        <f t="array" ref="L299">IsURL(Table_12121510[[#This Row],[Data Source]])</f>
        <v/>
      </c>
      <c r="M299">
        <f t="array" ref="M299">IsURL(Table_12121510[[#This Row],[Data Source]])</f>
        <v/>
      </c>
    </row>
    <row r="300" ht="15.75" customHeight="1">
      <c r="A300">
        <f>IF(Table_12121510[[#This Row],[Chassis Name]]=0,"",Table_12121510[[#This Row],[Chassis Name]])</f>
        <v/>
      </c>
      <c r="D300" s="25" t="n"/>
      <c r="F300" s="27" t="n"/>
      <c r="I300" s="18">
        <f>IF($B300="","FALSE","TRUE")</f>
        <v/>
      </c>
      <c r="J300">
        <f t="array" ref="J300">IsURL(Table_12121510[[#This Row],[Data Source]])</f>
        <v/>
      </c>
      <c r="K300">
        <f t="array" ref="K300">IsURL(Table_12121510[[#This Row],[DOI]])</f>
        <v/>
      </c>
      <c r="L300">
        <f t="array" ref="L300">IsURL(Table_12121510[[#This Row],[Data Source]])</f>
        <v/>
      </c>
      <c r="M300">
        <f t="array" ref="M300">IsURL(Table_12121510[[#This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sheetData>
  <conditionalFormatting sqref="B5:B300">
    <cfRule type="expression" priority="1" dxfId="6" stopIfTrue="1">
      <formula>ISBLANK(B5)</formula>
    </cfRule>
  </conditionalFormatting>
  <dataValidations count="2">
    <dataValidation sqref="I5:I300" showErrorMessage="1" showInputMessage="1" allowBlank="0" type="list">
      <formula1>"TRUE, FALSE"</formula1>
    </dataValidation>
    <dataValidation sqref="E5:E300" showErrorMessage="1" showInputMessage="1" allowBlank="0" errorTitle="Invalid URL" error="The URL entered seems to be invalid, please check again." type="custom">
      <formula1>#REF!</formula1>
    </dataValidation>
  </dataValidations>
  <pageMargins left="0.7" right="0.7" top="0.75" bottom="0.75" header="0.3" footer="0.3"/>
  <tableParts count="1">
    <tablePart xmlns:r="http://schemas.openxmlformats.org/officeDocument/2006/relationships" r:id="rId1"/>
  </tableParts>
</worksheet>
</file>

<file path=xl/worksheets/sheet3.xml><?xml version="1.0" encoding="utf-8"?>
<worksheet xmlns="http://schemas.openxmlformats.org/spreadsheetml/2006/main">
  <sheetPr codeName="Sheet20">
    <outlinePr summaryBelow="1" summaryRight="1"/>
    <pageSetUpPr/>
  </sheetPr>
  <dimension ref="A3:M300"/>
  <sheetViews>
    <sheetView topLeftCell="B1" workbookViewId="0">
      <selection activeCell="J1" sqref="J1:M1048576"/>
    </sheetView>
  </sheetViews>
  <sheetFormatPr baseColWidth="10" defaultColWidth="8.83203125" defaultRowHeight="15"/>
  <cols>
    <col hidden="1" width="11.1640625" customWidth="1" min="1" max="1"/>
    <col width="14.33203125" bestFit="1" customWidth="1" min="2" max="2"/>
    <col width="23.6640625" bestFit="1" customWidth="1" min="3" max="3"/>
    <col width="19.6640625" bestFit="1" customWidth="1" min="4" max="4"/>
    <col width="14.33203125" bestFit="1" customWidth="1" min="5" max="5"/>
    <col width="13.1640625" bestFit="1" customWidth="1" min="6" max="6"/>
    <col width="7" bestFit="1" customWidth="1" min="7" max="7"/>
    <col width="6.83203125" bestFit="1" customWidth="1" min="8" max="8"/>
    <col width="10" bestFit="1" customWidth="1" min="9" max="9"/>
    <col hidden="1" width="27.83203125" customWidth="1" min="10" max="10"/>
    <col hidden="1" width="20.33203125" customWidth="1" min="11" max="11"/>
    <col hidden="1" width="27.83203125" customWidth="1" min="12" max="13"/>
    <col width="8.5" bestFit="1" customWidth="1" min="14" max="24"/>
    <col width="12.5" bestFit="1" customWidth="1" min="25" max="25"/>
  </cols>
  <sheetData>
    <row r="1" ht="15.75" customHeight="1"/>
    <row r="2" ht="15.75" customHeight="1"/>
    <row r="3" ht="15.75" customHeight="1">
      <c r="A3" t="inlineStr">
        <is>
          <t>This ID is used to reference the proteins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J3" s="22" t="inlineStr">
        <is>
          <t>DO NOT CHANGE</t>
        </is>
      </c>
      <c r="K3" s="22" t="inlineStr">
        <is>
          <t>DO NOT CHANGE</t>
        </is>
      </c>
      <c r="L3" s="22" t="inlineStr">
        <is>
          <t>DO NOT CHANGE</t>
        </is>
      </c>
      <c r="M3" s="22" t="inlineStr">
        <is>
          <t>DO NOT CHANGE</t>
        </is>
      </c>
    </row>
    <row r="4" ht="15.75" customHeight="1">
      <c r="A4" t="inlineStr">
        <is>
          <t>Media ID</t>
        </is>
      </c>
      <c r="B4" t="inlineStr">
        <is>
          <t>Media Name</t>
        </is>
      </c>
      <c r="C4" t="inlineStr">
        <is>
          <t>Previous Version (URI)</t>
        </is>
      </c>
      <c r="D4" t="inlineStr">
        <is>
          <t>Media Description</t>
        </is>
      </c>
      <c r="E4" t="inlineStr">
        <is>
          <t>Data Source</t>
        </is>
      </c>
      <c r="F4" t="inlineStr">
        <is>
          <t>PubMed ID</t>
        </is>
      </c>
      <c r="G4" t="inlineStr">
        <is>
          <t>DOI</t>
        </is>
      </c>
      <c r="H4" s="20" t="inlineStr">
        <is>
          <t>URI</t>
        </is>
      </c>
      <c r="I4" s="20" t="inlineStr">
        <is>
          <t>Update</t>
        </is>
      </c>
      <c r="J4" s="23" t="inlineStr">
        <is>
          <t>URL Checker - Data Source</t>
        </is>
      </c>
      <c r="K4" s="24" t="inlineStr">
        <is>
          <t>URL Checker - DOI</t>
        </is>
      </c>
      <c r="L4" s="23" t="inlineStr">
        <is>
          <t>URL Checker - Previous Version</t>
        </is>
      </c>
      <c r="M4" s="23" t="inlineStr">
        <is>
          <t>URL Checker - URI</t>
        </is>
      </c>
    </row>
    <row r="5" ht="15.75" customHeight="1">
      <c r="A5">
        <f>IF(Table_121215[[#This Row],[Media Name]]=0,"",Table_121215[[#This Row],[Media Name]])</f>
        <v/>
      </c>
      <c r="D5" s="25" t="n"/>
      <c r="F5" s="26" t="n"/>
      <c r="H5" s="18" t="n"/>
      <c r="I5" s="18">
        <f>IF($B5="","FALSE","TRUE")</f>
        <v/>
      </c>
      <c r="J5">
        <f t="array" ref="J5">IsURL(Table_121215[[#This Row],[Data Source]])</f>
        <v/>
      </c>
      <c r="K5">
        <f t="array" ref="K5">IsURL(Table_121215[[#This Row],[DOI]])</f>
        <v/>
      </c>
      <c r="L5">
        <f t="array" ref="L5">IsURL(Table_121215[[#This Row],[Data Source]])</f>
        <v/>
      </c>
      <c r="M5">
        <f t="array" ref="M5">IsURL(Table_121215[[#This Row],[Data Source]])</f>
        <v/>
      </c>
    </row>
    <row r="6" ht="15.75" customHeight="1">
      <c r="A6">
        <f>IF(Table_121215[[#This Row],[Media Name]]=0,"",Table_121215[[#This Row],[Media Name]])</f>
        <v/>
      </c>
      <c r="E6" s="11" t="n"/>
      <c r="F6" s="26" t="n"/>
      <c r="H6" s="18" t="n"/>
      <c r="I6" s="18">
        <f>IF($B6="","FALSE","TRUE")</f>
        <v/>
      </c>
      <c r="J6">
        <f t="array" ref="J6">IsURL(Table_121215[[#This Row],[Data Source]])</f>
        <v/>
      </c>
      <c r="K6">
        <f t="array" ref="K6">IsURL(Table_121215[[#This Row],[DOI]])</f>
        <v/>
      </c>
      <c r="L6">
        <f t="array" ref="L6">IsURL(Table_121215[[#This Row],[Data Source]])</f>
        <v/>
      </c>
      <c r="M6">
        <f t="array" ref="M6">IsURL(Table_121215[[#This Row],[Data Source]])</f>
        <v/>
      </c>
    </row>
    <row r="7" ht="15.75" customHeight="1">
      <c r="A7">
        <f>IF(Table_121215[[#This Row],[Media Name]]=0,"",Table_121215[[#This Row],[Media Name]])</f>
        <v/>
      </c>
      <c r="F7" s="26" t="n"/>
      <c r="I7" s="18">
        <f>IF($B7="","FALSE","TRUE")</f>
        <v/>
      </c>
      <c r="J7">
        <f t="array" ref="J7">IsURL(Table_121215[[#This Row],[Data Source]])</f>
        <v/>
      </c>
      <c r="K7">
        <f t="array" ref="K7">IsURL(Table_121215[[#This Row],[DOI]])</f>
        <v/>
      </c>
      <c r="L7">
        <f t="array" ref="L7">IsURL(Table_121215[[#This Row],[Data Source]])</f>
        <v/>
      </c>
      <c r="M7">
        <f t="array" ref="M7">IsURL(Table_121215[[#This Row],[Data Source]])</f>
        <v/>
      </c>
    </row>
    <row r="8" ht="15.75" customHeight="1">
      <c r="A8">
        <f>IF(Table_121215[[#This Row],[Media Name]]=0,"",Table_121215[[#This Row],[Media Name]])</f>
        <v/>
      </c>
      <c r="D8" s="25" t="n"/>
      <c r="F8" s="27" t="n"/>
      <c r="I8" s="18">
        <f>IF($B8="","FALSE","TRUE")</f>
        <v/>
      </c>
      <c r="J8">
        <f t="array" ref="J8">IsURL(Table_121215[[#This Row],[Data Source]])</f>
        <v/>
      </c>
      <c r="K8">
        <f t="array" ref="K8">IsURL(Table_121215[[#This Row],[DOI]])</f>
        <v/>
      </c>
      <c r="L8">
        <f t="array" ref="L8">IsURL(Table_121215[[#This Row],[Data Source]])</f>
        <v/>
      </c>
      <c r="M8">
        <f t="array" ref="M8">IsURL(Table_121215[[#This Row],[Data Source]])</f>
        <v/>
      </c>
    </row>
    <row r="9" ht="15.75" customHeight="1">
      <c r="A9">
        <f>IF(Table_121215[[#This Row],[Media Name]]=0,"",Table_121215[[#This Row],[Media Name]])</f>
        <v/>
      </c>
      <c r="D9" s="25" t="n"/>
      <c r="F9" s="27" t="n"/>
      <c r="I9" s="18">
        <f>IF($B9="","FALSE","TRUE")</f>
        <v/>
      </c>
      <c r="J9">
        <f t="array" ref="J9">IsURL(Table_121215[[#This Row],[Data Source]])</f>
        <v/>
      </c>
      <c r="K9">
        <f t="array" ref="K9">IsURL(Table_121215[[#This Row],[DOI]])</f>
        <v/>
      </c>
      <c r="L9">
        <f t="array" ref="L9">IsURL(Table_121215[[#This Row],[Data Source]])</f>
        <v/>
      </c>
      <c r="M9">
        <f t="array" ref="M9">IsURL(Table_121215[[#This Row],[Data Source]])</f>
        <v/>
      </c>
    </row>
    <row r="10" ht="15.75" customHeight="1">
      <c r="A10">
        <f>IF(Table_121215[[#This Row],[Media Name]]=0,"",Table_121215[[#This Row],[Media Name]])</f>
        <v/>
      </c>
      <c r="D10" s="25" t="n"/>
      <c r="F10" s="27" t="n"/>
      <c r="I10" s="18">
        <f>IF($B10="","FALSE","TRUE")</f>
        <v/>
      </c>
      <c r="J10">
        <f t="array" ref="J10">IsURL(Table_121215[[#This Row],[Data Source]])</f>
        <v/>
      </c>
      <c r="K10">
        <f t="array" ref="K10">IsURL(Table_121215[[#This Row],[DOI]])</f>
        <v/>
      </c>
      <c r="L10">
        <f t="array" ref="L10">IsURL(Table_121215[[#This Row],[Data Source]])</f>
        <v/>
      </c>
      <c r="M10">
        <f t="array" ref="M10">IsURL(Table_121215[[#This Row],[Data Source]])</f>
        <v/>
      </c>
    </row>
    <row r="11" ht="15.75" customHeight="1">
      <c r="A11">
        <f>IF(Table_121215[[#This Row],[Media Name]]=0,"",Table_121215[[#This Row],[Media Name]])</f>
        <v/>
      </c>
      <c r="D11" s="25" t="n"/>
      <c r="F11" s="27" t="n"/>
      <c r="I11" s="18">
        <f>IF($B11="","FALSE","TRUE")</f>
        <v/>
      </c>
      <c r="J11">
        <f t="array" ref="J11">IsURL(Table_121215[[#This Row],[Data Source]])</f>
        <v/>
      </c>
      <c r="K11">
        <f t="array" ref="K11">IsURL(Table_121215[[#This Row],[DOI]])</f>
        <v/>
      </c>
      <c r="L11">
        <f t="array" ref="L11">IsURL(Table_121215[[#This Row],[Data Source]])</f>
        <v/>
      </c>
      <c r="M11">
        <f t="array" ref="M11">IsURL(Table_121215[[#This Row],[Data Source]])</f>
        <v/>
      </c>
    </row>
    <row r="12" ht="15.75" customHeight="1">
      <c r="A12">
        <f>IF(Table_121215[[#This Row],[Media Name]]=0,"",Table_121215[[#This Row],[Media Name]])</f>
        <v/>
      </c>
      <c r="D12" s="25" t="n"/>
      <c r="F12" s="27" t="n"/>
      <c r="I12" s="18">
        <f>IF($B12="","FALSE","TRUE")</f>
        <v/>
      </c>
      <c r="J12">
        <f t="array" ref="J12">IsURL(Table_121215[[#This Row],[Data Source]])</f>
        <v/>
      </c>
      <c r="K12">
        <f t="array" ref="K12">IsURL(Table_121215[[#This Row],[DOI]])</f>
        <v/>
      </c>
      <c r="L12">
        <f t="array" ref="L12">IsURL(Table_121215[[#This Row],[Data Source]])</f>
        <v/>
      </c>
      <c r="M12">
        <f t="array" ref="M12">IsURL(Table_121215[[#This Row],[Data Source]])</f>
        <v/>
      </c>
    </row>
    <row r="13" ht="15.75" customHeight="1">
      <c r="A13">
        <f>IF(Table_121215[[#This Row],[Media Name]]=0,"",Table_121215[[#This Row],[Media Name]])</f>
        <v/>
      </c>
      <c r="D13" s="25" t="n"/>
      <c r="F13" s="27" t="n"/>
      <c r="I13" s="18">
        <f>IF($B13="","FALSE","TRUE")</f>
        <v/>
      </c>
      <c r="J13">
        <f t="array" ref="J13">IsURL(Table_121215[[#This Row],[Data Source]])</f>
        <v/>
      </c>
      <c r="K13">
        <f t="array" ref="K13">IsURL(Table_121215[[#This Row],[DOI]])</f>
        <v/>
      </c>
      <c r="L13">
        <f t="array" ref="L13">IsURL(Table_121215[[#This Row],[Data Source]])</f>
        <v/>
      </c>
      <c r="M13">
        <f t="array" ref="M13">IsURL(Table_121215[[#This Row],[Data Source]])</f>
        <v/>
      </c>
    </row>
    <row r="14" ht="15.75" customHeight="1">
      <c r="A14">
        <f>IF(Table_121215[[#This Row],[Media Name]]=0,"",Table_121215[[#This Row],[Media Name]])</f>
        <v/>
      </c>
      <c r="D14" s="25" t="n"/>
      <c r="F14" s="27" t="n"/>
      <c r="I14" s="18">
        <f>IF($B14="","FALSE","TRUE")</f>
        <v/>
      </c>
      <c r="J14">
        <f t="array" ref="J14">IsURL(Table_121215[[#This Row],[Data Source]])</f>
        <v/>
      </c>
      <c r="K14">
        <f t="array" ref="K14">IsURL(Table_121215[[#This Row],[DOI]])</f>
        <v/>
      </c>
      <c r="L14">
        <f t="array" ref="L14">IsURL(Table_121215[[#This Row],[Data Source]])</f>
        <v/>
      </c>
      <c r="M14">
        <f t="array" ref="M14">IsURL(Table_121215[[#This Row],[Data Source]])</f>
        <v/>
      </c>
    </row>
    <row r="15" ht="15.75" customHeight="1">
      <c r="A15">
        <f>IF(Table_121215[[#This Row],[Media Name]]=0,"",Table_121215[[#This Row],[Media Name]])</f>
        <v/>
      </c>
      <c r="D15" s="25" t="n"/>
      <c r="F15" s="27" t="n"/>
      <c r="I15" s="18">
        <f>IF($B15="","FALSE","TRUE")</f>
        <v/>
      </c>
      <c r="J15">
        <f t="array" ref="J15">IsURL(Table_121215[[#This Row],[Data Source]])</f>
        <v/>
      </c>
      <c r="K15">
        <f t="array" ref="K15">IsURL(Table_121215[[#This Row],[DOI]])</f>
        <v/>
      </c>
      <c r="L15">
        <f t="array" ref="L15">IsURL(Table_121215[[#This Row],[Data Source]])</f>
        <v/>
      </c>
      <c r="M15">
        <f t="array" ref="M15">IsURL(Table_121215[[#This Row],[Data Source]])</f>
        <v/>
      </c>
    </row>
    <row r="16" ht="15.75" customHeight="1">
      <c r="A16">
        <f>IF(Table_121215[[#This Row],[Media Name]]=0,"",Table_121215[[#This Row],[Media Name]])</f>
        <v/>
      </c>
      <c r="D16" s="25" t="n"/>
      <c r="F16" s="27" t="n"/>
      <c r="I16" s="18">
        <f>IF($B16="","FALSE","TRUE")</f>
        <v/>
      </c>
      <c r="J16">
        <f t="array" ref="J16">IsURL(Table_121215[[#This Row],[Data Source]])</f>
        <v/>
      </c>
      <c r="K16">
        <f t="array" ref="K16">IsURL(Table_121215[[#This Row],[DOI]])</f>
        <v/>
      </c>
      <c r="L16">
        <f t="array" ref="L16">IsURL(Table_121215[[#This Row],[Data Source]])</f>
        <v/>
      </c>
      <c r="M16">
        <f t="array" ref="M16">IsURL(Table_121215[[#This Row],[Data Source]])</f>
        <v/>
      </c>
    </row>
    <row r="17" ht="15.75" customHeight="1">
      <c r="A17">
        <f>IF(Table_121215[[#This Row],[Media Name]]=0,"",Table_121215[[#This Row],[Media Name]])</f>
        <v/>
      </c>
      <c r="D17" s="25" t="n"/>
      <c r="F17" s="27" t="n"/>
      <c r="I17" s="18">
        <f>IF($B17="","FALSE","TRUE")</f>
        <v/>
      </c>
      <c r="J17">
        <f t="array" ref="J17">IsURL(Table_121215[[#This Row],[Data Source]])</f>
        <v/>
      </c>
      <c r="K17">
        <f t="array" ref="K17">IsURL(Table_121215[[#This Row],[DOI]])</f>
        <v/>
      </c>
      <c r="L17">
        <f t="array" ref="L17">IsURL(Table_121215[[#This Row],[Data Source]])</f>
        <v/>
      </c>
      <c r="M17">
        <f t="array" ref="M17">IsURL(Table_121215[[#This Row],[Data Source]])</f>
        <v/>
      </c>
    </row>
    <row r="18" ht="15.75" customHeight="1">
      <c r="A18">
        <f>IF(Table_121215[[#This Row],[Media Name]]=0,"",Table_121215[[#This Row],[Media Name]])</f>
        <v/>
      </c>
      <c r="D18" s="25" t="n"/>
      <c r="F18" s="27" t="n"/>
      <c r="I18" s="18">
        <f>IF($B18="","FALSE","TRUE")</f>
        <v/>
      </c>
      <c r="J18">
        <f t="array" ref="J18">IsURL(Table_121215[[#This Row],[Data Source]])</f>
        <v/>
      </c>
      <c r="K18">
        <f t="array" ref="K18">IsURL(Table_121215[[#This Row],[DOI]])</f>
        <v/>
      </c>
      <c r="L18">
        <f t="array" ref="L18">IsURL(Table_121215[[#This Row],[Data Source]])</f>
        <v/>
      </c>
      <c r="M18">
        <f t="array" ref="M18">IsURL(Table_121215[[#This Row],[Data Source]])</f>
        <v/>
      </c>
    </row>
    <row r="19" ht="15.75" customHeight="1">
      <c r="A19">
        <f>IF(Table_121215[[#This Row],[Media Name]]=0,"",Table_121215[[#This Row],[Media Name]])</f>
        <v/>
      </c>
      <c r="D19" s="25" t="n"/>
      <c r="F19" s="27" t="n"/>
      <c r="I19" s="18">
        <f>IF($B19="","FALSE","TRUE")</f>
        <v/>
      </c>
      <c r="J19">
        <f t="array" ref="J19">IsURL(Table_121215[[#This Row],[Data Source]])</f>
        <v/>
      </c>
      <c r="K19">
        <f t="array" ref="K19">IsURL(Table_121215[[#This Row],[DOI]])</f>
        <v/>
      </c>
      <c r="L19">
        <f t="array" ref="L19">IsURL(Table_121215[[#This Row],[Data Source]])</f>
        <v/>
      </c>
      <c r="M19">
        <f t="array" ref="M19">IsURL(Table_121215[[#This Row],[Data Source]])</f>
        <v/>
      </c>
    </row>
    <row r="20" ht="15.75" customHeight="1">
      <c r="A20">
        <f>IF(Table_121215[[#This Row],[Media Name]]=0,"",Table_121215[[#This Row],[Media Name]])</f>
        <v/>
      </c>
      <c r="D20" s="25" t="n"/>
      <c r="F20" s="27" t="n"/>
      <c r="I20" s="18">
        <f>IF($B20="","FALSE","TRUE")</f>
        <v/>
      </c>
      <c r="J20">
        <f t="array" ref="J20">IsURL(Table_121215[[#This Row],[Data Source]])</f>
        <v/>
      </c>
      <c r="K20">
        <f t="array" ref="K20">IsURL(Table_121215[[#This Row],[DOI]])</f>
        <v/>
      </c>
      <c r="L20">
        <f t="array" ref="L20">IsURL(Table_121215[[#This Row],[Data Source]])</f>
        <v/>
      </c>
      <c r="M20">
        <f t="array" ref="M20">IsURL(Table_121215[[#This Row],[Data Source]])</f>
        <v/>
      </c>
    </row>
    <row r="21" ht="15.75" customHeight="1">
      <c r="A21">
        <f>IF(Table_121215[[#This Row],[Media Name]]=0,"",Table_121215[[#This Row],[Media Name]])</f>
        <v/>
      </c>
      <c r="D21" s="25" t="n"/>
      <c r="F21" s="27" t="n"/>
      <c r="I21" s="18">
        <f>IF($B21="","FALSE","TRUE")</f>
        <v/>
      </c>
      <c r="J21">
        <f t="array" ref="J21">IsURL(Table_121215[[#This Row],[Data Source]])</f>
        <v/>
      </c>
      <c r="K21">
        <f t="array" ref="K21">IsURL(Table_121215[[#This Row],[DOI]])</f>
        <v/>
      </c>
      <c r="L21">
        <f t="array" ref="L21">IsURL(Table_121215[[#This Row],[Data Source]])</f>
        <v/>
      </c>
      <c r="M21">
        <f t="array" ref="M21">IsURL(Table_121215[[#This Row],[Data Source]])</f>
        <v/>
      </c>
    </row>
    <row r="22" ht="15.75" customHeight="1">
      <c r="A22">
        <f>IF(Table_121215[[#This Row],[Media Name]]=0,"",Table_121215[[#This Row],[Media Name]])</f>
        <v/>
      </c>
      <c r="D22" s="25" t="n"/>
      <c r="F22" s="27" t="n"/>
      <c r="I22" s="18">
        <f>IF($B22="","FALSE","TRUE")</f>
        <v/>
      </c>
      <c r="J22">
        <f t="array" ref="J22">IsURL(Table_121215[[#This Row],[Data Source]])</f>
        <v/>
      </c>
      <c r="K22">
        <f t="array" ref="K22">IsURL(Table_121215[[#This Row],[DOI]])</f>
        <v/>
      </c>
      <c r="L22">
        <f t="array" ref="L22">IsURL(Table_121215[[#This Row],[Data Source]])</f>
        <v/>
      </c>
      <c r="M22">
        <f t="array" ref="M22">IsURL(Table_121215[[#This Row],[Data Source]])</f>
        <v/>
      </c>
    </row>
    <row r="23" ht="15.75" customHeight="1">
      <c r="A23">
        <f>IF(Table_121215[[#This Row],[Media Name]]=0,"",Table_121215[[#This Row],[Media Name]])</f>
        <v/>
      </c>
      <c r="D23" s="25" t="n"/>
      <c r="F23" s="27" t="n"/>
      <c r="I23" s="18">
        <f>IF($B23="","FALSE","TRUE")</f>
        <v/>
      </c>
      <c r="J23">
        <f t="array" ref="J23">IsURL(Table_121215[[#This Row],[Data Source]])</f>
        <v/>
      </c>
      <c r="K23">
        <f t="array" ref="K23">IsURL(Table_121215[[#This Row],[DOI]])</f>
        <v/>
      </c>
      <c r="L23">
        <f t="array" ref="L23">IsURL(Table_121215[[#This Row],[Data Source]])</f>
        <v/>
      </c>
      <c r="M23">
        <f t="array" ref="M23">IsURL(Table_121215[[#This Row],[Data Source]])</f>
        <v/>
      </c>
    </row>
    <row r="24" ht="15.75" customHeight="1">
      <c r="A24">
        <f>IF(Table_121215[[#This Row],[Media Name]]=0,"",Table_121215[[#This Row],[Media Name]])</f>
        <v/>
      </c>
      <c r="D24" s="25" t="n"/>
      <c r="F24" s="27" t="n"/>
      <c r="I24" s="18">
        <f>IF($B24="","FALSE","TRUE")</f>
        <v/>
      </c>
      <c r="J24">
        <f t="array" ref="J24">IsURL(Table_121215[[#This Row],[Data Source]])</f>
        <v/>
      </c>
      <c r="K24">
        <f t="array" ref="K24">IsURL(Table_121215[[#This Row],[DOI]])</f>
        <v/>
      </c>
      <c r="L24">
        <f t="array" ref="L24">IsURL(Table_121215[[#This Row],[Data Source]])</f>
        <v/>
      </c>
      <c r="M24">
        <f t="array" ref="M24">IsURL(Table_121215[[#This Row],[Data Source]])</f>
        <v/>
      </c>
    </row>
    <row r="25" ht="15.75" customHeight="1">
      <c r="A25">
        <f>IF(Table_121215[[#This Row],[Media Name]]=0,"",Table_121215[[#This Row],[Media Name]])</f>
        <v/>
      </c>
      <c r="D25" s="25" t="n"/>
      <c r="F25" s="27" t="n"/>
      <c r="I25" s="18">
        <f>IF($B25="","FALSE","TRUE")</f>
        <v/>
      </c>
      <c r="J25">
        <f t="array" ref="J25">IsURL(Table_121215[[#This Row],[Data Source]])</f>
        <v/>
      </c>
      <c r="K25">
        <f t="array" ref="K25">IsURL(Table_121215[[#This Row],[DOI]])</f>
        <v/>
      </c>
      <c r="L25">
        <f t="array" ref="L25">IsURL(Table_121215[[#This Row],[Data Source]])</f>
        <v/>
      </c>
      <c r="M25">
        <f t="array" ref="M25">IsURL(Table_121215[[#This Row],[Data Source]])</f>
        <v/>
      </c>
    </row>
    <row r="26" ht="15.75" customHeight="1">
      <c r="A26">
        <f>IF(Table_121215[[#This Row],[Media Name]]=0,"",Table_121215[[#This Row],[Media Name]])</f>
        <v/>
      </c>
      <c r="D26" s="25" t="n"/>
      <c r="F26" s="27" t="n"/>
      <c r="I26" s="18">
        <f>IF($B26="","FALSE","TRUE")</f>
        <v/>
      </c>
      <c r="J26">
        <f t="array" ref="J26">IsURL(Table_121215[[#This Row],[Data Source]])</f>
        <v/>
      </c>
      <c r="K26">
        <f t="array" ref="K26">IsURL(Table_121215[[#This Row],[DOI]])</f>
        <v/>
      </c>
      <c r="L26">
        <f t="array" ref="L26">IsURL(Table_121215[[#This Row],[Data Source]])</f>
        <v/>
      </c>
      <c r="M26">
        <f t="array" ref="M26">IsURL(Table_121215[[#This Row],[Data Source]])</f>
        <v/>
      </c>
    </row>
    <row r="27" ht="15.75" customHeight="1">
      <c r="A27">
        <f>IF(Table_121215[[#This Row],[Media Name]]=0,"",Table_121215[[#This Row],[Media Name]])</f>
        <v/>
      </c>
      <c r="D27" s="25" t="n"/>
      <c r="F27" s="27" t="n"/>
      <c r="I27" s="18">
        <f>IF($B27="","FALSE","TRUE")</f>
        <v/>
      </c>
      <c r="J27">
        <f t="array" ref="J27">IsURL(Table_121215[[#This Row],[Data Source]])</f>
        <v/>
      </c>
      <c r="K27">
        <f t="array" ref="K27">IsURL(Table_121215[[#This Row],[DOI]])</f>
        <v/>
      </c>
      <c r="L27">
        <f t="array" ref="L27">IsURL(Table_121215[[#This Row],[Data Source]])</f>
        <v/>
      </c>
      <c r="M27">
        <f t="array" ref="M27">IsURL(Table_121215[[#This Row],[Data Source]])</f>
        <v/>
      </c>
    </row>
    <row r="28" ht="15.75" customHeight="1">
      <c r="A28">
        <f>IF(Table_121215[[#This Row],[Media Name]]=0,"",Table_121215[[#This Row],[Media Name]])</f>
        <v/>
      </c>
      <c r="D28" s="25" t="n"/>
      <c r="F28" s="27" t="n"/>
      <c r="I28" s="18">
        <f>IF($B28="","FALSE","TRUE")</f>
        <v/>
      </c>
      <c r="J28">
        <f t="array" ref="J28">IsURL(Table_121215[[#This Row],[Data Source]])</f>
        <v/>
      </c>
      <c r="K28">
        <f t="array" ref="K28">IsURL(Table_121215[[#This Row],[DOI]])</f>
        <v/>
      </c>
      <c r="L28">
        <f t="array" ref="L28">IsURL(Table_121215[[#This Row],[Data Source]])</f>
        <v/>
      </c>
      <c r="M28">
        <f t="array" ref="M28">IsURL(Table_121215[[#This Row],[Data Source]])</f>
        <v/>
      </c>
    </row>
    <row r="29" ht="15.75" customHeight="1">
      <c r="A29">
        <f>IF(Table_121215[[#This Row],[Media Name]]=0,"",Table_121215[[#This Row],[Media Name]])</f>
        <v/>
      </c>
      <c r="D29" s="25" t="n"/>
      <c r="F29" s="27" t="n"/>
      <c r="I29" s="18">
        <f>IF($B29="","FALSE","TRUE")</f>
        <v/>
      </c>
      <c r="J29">
        <f t="array" ref="J29">IsURL(Table_121215[[#This Row],[Data Source]])</f>
        <v/>
      </c>
      <c r="K29">
        <f t="array" ref="K29">IsURL(Table_121215[[#This Row],[DOI]])</f>
        <v/>
      </c>
      <c r="L29">
        <f t="array" ref="L29">IsURL(Table_121215[[#This Row],[Data Source]])</f>
        <v/>
      </c>
      <c r="M29">
        <f t="array" ref="M29">IsURL(Table_121215[[#This Row],[Data Source]])</f>
        <v/>
      </c>
    </row>
    <row r="30" ht="15.75" customHeight="1">
      <c r="A30">
        <f>IF(Table_121215[[#This Row],[Media Name]]=0,"",Table_121215[[#This Row],[Media Name]])</f>
        <v/>
      </c>
      <c r="D30" s="25" t="n"/>
      <c r="F30" s="27" t="n"/>
      <c r="I30" s="18">
        <f>IF($B30="","FALSE","TRUE")</f>
        <v/>
      </c>
      <c r="J30">
        <f t="array" ref="J30">IsURL(Table_121215[[#This Row],[Data Source]])</f>
        <v/>
      </c>
      <c r="K30">
        <f t="array" ref="K30">IsURL(Table_121215[[#This Row],[DOI]])</f>
        <v/>
      </c>
      <c r="L30">
        <f t="array" ref="L30">IsURL(Table_121215[[#This Row],[Data Source]])</f>
        <v/>
      </c>
      <c r="M30">
        <f t="array" ref="M30">IsURL(Table_121215[[#This Row],[Data Source]])</f>
        <v/>
      </c>
    </row>
    <row r="31" ht="15.75" customHeight="1">
      <c r="A31">
        <f>IF(Table_121215[[#This Row],[Media Name]]=0,"",Table_121215[[#This Row],[Media Name]])</f>
        <v/>
      </c>
      <c r="D31" s="25" t="n"/>
      <c r="F31" s="27" t="n"/>
      <c r="I31" s="18">
        <f>IF($B31="","FALSE","TRUE")</f>
        <v/>
      </c>
      <c r="J31">
        <f t="array" ref="J31">IsURL(Table_121215[[#This Row],[Data Source]])</f>
        <v/>
      </c>
      <c r="K31">
        <f t="array" ref="K31">IsURL(Table_121215[[#This Row],[DOI]])</f>
        <v/>
      </c>
      <c r="L31">
        <f t="array" ref="L31">IsURL(Table_121215[[#This Row],[Data Source]])</f>
        <v/>
      </c>
      <c r="M31">
        <f t="array" ref="M31">IsURL(Table_121215[[#This Row],[Data Source]])</f>
        <v/>
      </c>
    </row>
    <row r="32" ht="15.75" customHeight="1">
      <c r="A32">
        <f>IF(Table_121215[[#This Row],[Media Name]]=0,"",Table_121215[[#This Row],[Media Name]])</f>
        <v/>
      </c>
      <c r="D32" s="25" t="n"/>
      <c r="F32" s="27" t="n"/>
      <c r="I32" s="18">
        <f>IF($B32="","FALSE","TRUE")</f>
        <v/>
      </c>
      <c r="J32">
        <f t="array" ref="J32">IsURL(Table_121215[[#This Row],[Data Source]])</f>
        <v/>
      </c>
      <c r="K32">
        <f t="array" ref="K32">IsURL(Table_121215[[#This Row],[DOI]])</f>
        <v/>
      </c>
      <c r="L32">
        <f t="array" ref="L32">IsURL(Table_121215[[#This Row],[Data Source]])</f>
        <v/>
      </c>
      <c r="M32">
        <f t="array" ref="M32">IsURL(Table_121215[[#This Row],[Data Source]])</f>
        <v/>
      </c>
    </row>
    <row r="33" ht="15.75" customHeight="1">
      <c r="A33">
        <f>IF(Table_121215[[#This Row],[Media Name]]=0,"",Table_121215[[#This Row],[Media Name]])</f>
        <v/>
      </c>
      <c r="D33" s="25" t="n"/>
      <c r="F33" s="27" t="n"/>
      <c r="I33" s="18">
        <f>IF($B33="","FALSE","TRUE")</f>
        <v/>
      </c>
      <c r="J33">
        <f t="array" ref="J33">IsURL(Table_121215[[#This Row],[Data Source]])</f>
        <v/>
      </c>
      <c r="K33">
        <f t="array" ref="K33">IsURL(Table_121215[[#This Row],[DOI]])</f>
        <v/>
      </c>
      <c r="L33">
        <f t="array" ref="L33">IsURL(Table_121215[[#This Row],[Data Source]])</f>
        <v/>
      </c>
      <c r="M33">
        <f t="array" ref="M33">IsURL(Table_121215[[#This Row],[Data Source]])</f>
        <v/>
      </c>
    </row>
    <row r="34" ht="15.75" customHeight="1">
      <c r="A34">
        <f>IF(Table_121215[[#This Row],[Media Name]]=0,"",Table_121215[[#This Row],[Media Name]])</f>
        <v/>
      </c>
      <c r="D34" s="25" t="n"/>
      <c r="F34" s="27" t="n"/>
      <c r="I34" s="18">
        <f>IF($B34="","FALSE","TRUE")</f>
        <v/>
      </c>
      <c r="J34">
        <f t="array" ref="J34">IsURL(Table_121215[[#This Row],[Data Source]])</f>
        <v/>
      </c>
      <c r="K34">
        <f t="array" ref="K34">IsURL(Table_121215[[#This Row],[DOI]])</f>
        <v/>
      </c>
      <c r="L34">
        <f t="array" ref="L34">IsURL(Table_121215[[#This Row],[Data Source]])</f>
        <v/>
      </c>
      <c r="M34">
        <f t="array" ref="M34">IsURL(Table_121215[[#This Row],[Data Source]])</f>
        <v/>
      </c>
    </row>
    <row r="35" ht="15.75" customHeight="1">
      <c r="A35">
        <f>IF(Table_121215[[#This Row],[Media Name]]=0,"",Table_121215[[#This Row],[Media Name]])</f>
        <v/>
      </c>
      <c r="D35" s="25" t="n"/>
      <c r="F35" s="27" t="n"/>
      <c r="I35" s="18">
        <f>IF($B35="","FALSE","TRUE")</f>
        <v/>
      </c>
      <c r="J35">
        <f t="array" ref="J35">IsURL(Table_121215[[#This Row],[Data Source]])</f>
        <v/>
      </c>
      <c r="K35">
        <f t="array" ref="K35">IsURL(Table_121215[[#This Row],[DOI]])</f>
        <v/>
      </c>
      <c r="L35">
        <f t="array" ref="L35">IsURL(Table_121215[[#This Row],[Data Source]])</f>
        <v/>
      </c>
      <c r="M35">
        <f t="array" ref="M35">IsURL(Table_121215[[#This Row],[Data Source]])</f>
        <v/>
      </c>
    </row>
    <row r="36" ht="15.75" customHeight="1">
      <c r="A36">
        <f>IF(Table_121215[[#This Row],[Media Name]]=0,"",Table_121215[[#This Row],[Media Name]])</f>
        <v/>
      </c>
      <c r="D36" s="25" t="n"/>
      <c r="F36" s="27" t="n"/>
      <c r="I36" s="18">
        <f>IF($B36="","FALSE","TRUE")</f>
        <v/>
      </c>
      <c r="J36">
        <f t="array" ref="J36">IsURL(Table_121215[[#This Row],[Data Source]])</f>
        <v/>
      </c>
      <c r="K36">
        <f t="array" ref="K36">IsURL(Table_121215[[#This Row],[DOI]])</f>
        <v/>
      </c>
      <c r="L36">
        <f t="array" ref="L36">IsURL(Table_121215[[#This Row],[Data Source]])</f>
        <v/>
      </c>
      <c r="M36">
        <f t="array" ref="M36">IsURL(Table_121215[[#This Row],[Data Source]])</f>
        <v/>
      </c>
    </row>
    <row r="37" ht="15.75" customHeight="1">
      <c r="A37">
        <f>IF(Table_121215[[#This Row],[Media Name]]=0,"",Table_121215[[#This Row],[Media Name]])</f>
        <v/>
      </c>
      <c r="D37" s="25" t="n"/>
      <c r="F37" s="27" t="n"/>
      <c r="I37" s="18">
        <f>IF($B37="","FALSE","TRUE")</f>
        <v/>
      </c>
      <c r="J37">
        <f t="array" ref="J37">IsURL(Table_121215[[#This Row],[Data Source]])</f>
        <v/>
      </c>
      <c r="K37">
        <f t="array" ref="K37">IsURL(Table_121215[[#This Row],[DOI]])</f>
        <v/>
      </c>
      <c r="L37">
        <f t="array" ref="L37">IsURL(Table_121215[[#This Row],[Data Source]])</f>
        <v/>
      </c>
      <c r="M37">
        <f t="array" ref="M37">IsURL(Table_121215[[#This Row],[Data Source]])</f>
        <v/>
      </c>
    </row>
    <row r="38" ht="15.75" customHeight="1">
      <c r="A38">
        <f>IF(Table_121215[[#This Row],[Media Name]]=0,"",Table_121215[[#This Row],[Media Name]])</f>
        <v/>
      </c>
      <c r="D38" s="25" t="n"/>
      <c r="F38" s="27" t="n"/>
      <c r="I38" s="18">
        <f>IF($B38="","FALSE","TRUE")</f>
        <v/>
      </c>
      <c r="J38">
        <f t="array" ref="J38">IsURL(Table_121215[[#This Row],[Data Source]])</f>
        <v/>
      </c>
      <c r="K38">
        <f t="array" ref="K38">IsURL(Table_121215[[#This Row],[DOI]])</f>
        <v/>
      </c>
      <c r="L38">
        <f t="array" ref="L38">IsURL(Table_121215[[#This Row],[Data Source]])</f>
        <v/>
      </c>
      <c r="M38">
        <f t="array" ref="M38">IsURL(Table_121215[[#This Row],[Data Source]])</f>
        <v/>
      </c>
    </row>
    <row r="39" ht="15.75" customHeight="1">
      <c r="A39">
        <f>IF(Table_121215[[#This Row],[Media Name]]=0,"",Table_121215[[#This Row],[Media Name]])</f>
        <v/>
      </c>
      <c r="D39" s="25" t="n"/>
      <c r="F39" s="27" t="n"/>
      <c r="I39" s="18">
        <f>IF($B39="","FALSE","TRUE")</f>
        <v/>
      </c>
      <c r="J39">
        <f t="array" ref="J39">IsURL(Table_121215[[#This Row],[Data Source]])</f>
        <v/>
      </c>
      <c r="K39">
        <f t="array" ref="K39">IsURL(Table_121215[[#This Row],[DOI]])</f>
        <v/>
      </c>
      <c r="L39">
        <f t="array" ref="L39">IsURL(Table_121215[[#This Row],[Data Source]])</f>
        <v/>
      </c>
      <c r="M39">
        <f t="array" ref="M39">IsURL(Table_121215[[#This Row],[Data Source]])</f>
        <v/>
      </c>
    </row>
    <row r="40" ht="15.75" customHeight="1">
      <c r="A40">
        <f>IF(Table_121215[[#This Row],[Media Name]]=0,"",Table_121215[[#This Row],[Media Name]])</f>
        <v/>
      </c>
      <c r="D40" s="25" t="n"/>
      <c r="F40" s="27" t="n"/>
      <c r="I40" s="18">
        <f>IF($B40="","FALSE","TRUE")</f>
        <v/>
      </c>
      <c r="J40">
        <f t="array" ref="J40">IsURL(Table_121215[[#This Row],[Data Source]])</f>
        <v/>
      </c>
      <c r="K40">
        <f t="array" ref="K40">IsURL(Table_121215[[#This Row],[DOI]])</f>
        <v/>
      </c>
      <c r="L40">
        <f t="array" ref="L40">IsURL(Table_121215[[#This Row],[Data Source]])</f>
        <v/>
      </c>
      <c r="M40">
        <f t="array" ref="M40">IsURL(Table_121215[[#This Row],[Data Source]])</f>
        <v/>
      </c>
    </row>
    <row r="41" ht="15.75" customHeight="1">
      <c r="A41">
        <f>IF(Table_121215[[#This Row],[Media Name]]=0,"",Table_121215[[#This Row],[Media Name]])</f>
        <v/>
      </c>
      <c r="D41" s="25" t="n"/>
      <c r="F41" s="27" t="n"/>
      <c r="I41" s="18">
        <f>IF($B41="","FALSE","TRUE")</f>
        <v/>
      </c>
      <c r="J41">
        <f t="array" ref="J41">IsURL(Table_121215[[#This Row],[Data Source]])</f>
        <v/>
      </c>
      <c r="K41">
        <f t="array" ref="K41">IsURL(Table_121215[[#This Row],[DOI]])</f>
        <v/>
      </c>
      <c r="L41">
        <f t="array" ref="L41">IsURL(Table_121215[[#This Row],[Data Source]])</f>
        <v/>
      </c>
      <c r="M41">
        <f t="array" ref="M41">IsURL(Table_121215[[#This Row],[Data Source]])</f>
        <v/>
      </c>
    </row>
    <row r="42" ht="15.75" customHeight="1">
      <c r="A42">
        <f>IF(Table_121215[[#This Row],[Media Name]]=0,"",Table_121215[[#This Row],[Media Name]])</f>
        <v/>
      </c>
      <c r="D42" s="25" t="n"/>
      <c r="F42" s="27" t="n"/>
      <c r="I42" s="18">
        <f>IF($B42="","FALSE","TRUE")</f>
        <v/>
      </c>
      <c r="J42">
        <f t="array" ref="J42">IsURL(Table_121215[[#This Row],[Data Source]])</f>
        <v/>
      </c>
      <c r="K42">
        <f t="array" ref="K42">IsURL(Table_121215[[#This Row],[DOI]])</f>
        <v/>
      </c>
      <c r="L42">
        <f t="array" ref="L42">IsURL(Table_121215[[#This Row],[Data Source]])</f>
        <v/>
      </c>
      <c r="M42">
        <f t="array" ref="M42">IsURL(Table_121215[[#This Row],[Data Source]])</f>
        <v/>
      </c>
    </row>
    <row r="43" ht="15.75" customHeight="1">
      <c r="A43">
        <f>IF(Table_121215[[#This Row],[Media Name]]=0,"",Table_121215[[#This Row],[Media Name]])</f>
        <v/>
      </c>
      <c r="D43" s="25" t="n"/>
      <c r="F43" s="27" t="n"/>
      <c r="I43" s="18">
        <f>IF($B43="","FALSE","TRUE")</f>
        <v/>
      </c>
      <c r="J43">
        <f t="array" ref="J43">IsURL(Table_121215[[#This Row],[Data Source]])</f>
        <v/>
      </c>
      <c r="K43">
        <f t="array" ref="K43">IsURL(Table_121215[[#This Row],[DOI]])</f>
        <v/>
      </c>
      <c r="L43">
        <f t="array" ref="L43">IsURL(Table_121215[[#This Row],[Data Source]])</f>
        <v/>
      </c>
      <c r="M43">
        <f t="array" ref="M43">IsURL(Table_121215[[#This Row],[Data Source]])</f>
        <v/>
      </c>
    </row>
    <row r="44" ht="15.75" customHeight="1">
      <c r="A44">
        <f>IF(Table_121215[[#This Row],[Media Name]]=0,"",Table_121215[[#This Row],[Media Name]])</f>
        <v/>
      </c>
      <c r="D44" s="25" t="n"/>
      <c r="F44" s="27" t="n"/>
      <c r="I44" s="18">
        <f>IF($B44="","FALSE","TRUE")</f>
        <v/>
      </c>
      <c r="J44">
        <f t="array" ref="J44">IsURL(Table_121215[[#This Row],[Data Source]])</f>
        <v/>
      </c>
      <c r="K44">
        <f t="array" ref="K44">IsURL(Table_121215[[#This Row],[DOI]])</f>
        <v/>
      </c>
      <c r="L44">
        <f t="array" ref="L44">IsURL(Table_121215[[#This Row],[Data Source]])</f>
        <v/>
      </c>
      <c r="M44">
        <f t="array" ref="M44">IsURL(Table_121215[[#This Row],[Data Source]])</f>
        <v/>
      </c>
    </row>
    <row r="45" ht="15.75" customHeight="1">
      <c r="A45">
        <f>IF(Table_121215[[#This Row],[Media Name]]=0,"",Table_121215[[#This Row],[Media Name]])</f>
        <v/>
      </c>
      <c r="D45" s="25" t="n"/>
      <c r="F45" s="27" t="n"/>
      <c r="I45" s="18">
        <f>IF($B45="","FALSE","TRUE")</f>
        <v/>
      </c>
      <c r="J45">
        <f t="array" ref="J45">IsURL(Table_121215[[#This Row],[Data Source]])</f>
        <v/>
      </c>
      <c r="K45">
        <f t="array" ref="K45">IsURL(Table_121215[[#This Row],[DOI]])</f>
        <v/>
      </c>
      <c r="L45">
        <f t="array" ref="L45">IsURL(Table_121215[[#This Row],[Data Source]])</f>
        <v/>
      </c>
      <c r="M45">
        <f t="array" ref="M45">IsURL(Table_121215[[#This Row],[Data Source]])</f>
        <v/>
      </c>
    </row>
    <row r="46" ht="15.75" customHeight="1">
      <c r="A46">
        <f>IF(Table_121215[[#This Row],[Media Name]]=0,"",Table_121215[[#This Row],[Media Name]])</f>
        <v/>
      </c>
      <c r="D46" s="25" t="n"/>
      <c r="F46" s="27" t="n"/>
      <c r="I46" s="18">
        <f>IF($B46="","FALSE","TRUE")</f>
        <v/>
      </c>
      <c r="J46">
        <f t="array" ref="J46">IsURL(Table_121215[[#This Row],[Data Source]])</f>
        <v/>
      </c>
      <c r="K46">
        <f t="array" ref="K46">IsURL(Table_121215[[#This Row],[DOI]])</f>
        <v/>
      </c>
      <c r="L46">
        <f t="array" ref="L46">IsURL(Table_121215[[#This Row],[Data Source]])</f>
        <v/>
      </c>
      <c r="M46">
        <f t="array" ref="M46">IsURL(Table_121215[[#This Row],[Data Source]])</f>
        <v/>
      </c>
    </row>
    <row r="47" ht="15.75" customHeight="1">
      <c r="A47">
        <f>IF(Table_121215[[#This Row],[Media Name]]=0,"",Table_121215[[#This Row],[Media Name]])</f>
        <v/>
      </c>
      <c r="D47" s="25" t="n"/>
      <c r="F47" s="27" t="n"/>
      <c r="I47" s="18">
        <f>IF($B47="","FALSE","TRUE")</f>
        <v/>
      </c>
      <c r="J47">
        <f t="array" ref="J47">IsURL(Table_121215[[#This Row],[Data Source]])</f>
        <v/>
      </c>
      <c r="K47">
        <f t="array" ref="K47">IsURL(Table_121215[[#This Row],[DOI]])</f>
        <v/>
      </c>
      <c r="L47">
        <f t="array" ref="L47">IsURL(Table_121215[[#This Row],[Data Source]])</f>
        <v/>
      </c>
      <c r="M47">
        <f t="array" ref="M47">IsURL(Table_121215[[#This Row],[Data Source]])</f>
        <v/>
      </c>
    </row>
    <row r="48" ht="15.75" customHeight="1">
      <c r="A48">
        <f>IF(Table_121215[[#This Row],[Media Name]]=0,"",Table_121215[[#This Row],[Media Name]])</f>
        <v/>
      </c>
      <c r="D48" s="25" t="n"/>
      <c r="F48" s="27" t="n"/>
      <c r="I48" s="18">
        <f>IF($B48="","FALSE","TRUE")</f>
        <v/>
      </c>
      <c r="J48">
        <f t="array" ref="J48">IsURL(Table_121215[[#This Row],[Data Source]])</f>
        <v/>
      </c>
      <c r="K48">
        <f t="array" ref="K48">IsURL(Table_121215[[#This Row],[DOI]])</f>
        <v/>
      </c>
      <c r="L48">
        <f t="array" ref="L48">IsURL(Table_121215[[#This Row],[Data Source]])</f>
        <v/>
      </c>
      <c r="M48">
        <f t="array" ref="M48">IsURL(Table_121215[[#This Row],[Data Source]])</f>
        <v/>
      </c>
    </row>
    <row r="49" ht="15.75" customHeight="1">
      <c r="A49">
        <f>IF(Table_121215[[#This Row],[Media Name]]=0,"",Table_121215[[#This Row],[Media Name]])</f>
        <v/>
      </c>
      <c r="D49" s="25" t="n"/>
      <c r="F49" s="27" t="n"/>
      <c r="I49" s="18">
        <f>IF($B49="","FALSE","TRUE")</f>
        <v/>
      </c>
      <c r="J49">
        <f t="array" ref="J49">IsURL(Table_121215[[#This Row],[Data Source]])</f>
        <v/>
      </c>
      <c r="K49">
        <f t="array" ref="K49">IsURL(Table_121215[[#This Row],[DOI]])</f>
        <v/>
      </c>
      <c r="L49">
        <f t="array" ref="L49">IsURL(Table_121215[[#This Row],[Data Source]])</f>
        <v/>
      </c>
      <c r="M49">
        <f t="array" ref="M49">IsURL(Table_121215[[#This Row],[Data Source]])</f>
        <v/>
      </c>
    </row>
    <row r="50" ht="15.75" customHeight="1">
      <c r="A50">
        <f>IF(Table_121215[[#This Row],[Media Name]]=0,"",Table_121215[[#This Row],[Media Name]])</f>
        <v/>
      </c>
      <c r="D50" s="25" t="n"/>
      <c r="F50" s="27" t="n"/>
      <c r="I50" s="18">
        <f>IF($B50="","FALSE","TRUE")</f>
        <v/>
      </c>
      <c r="J50">
        <f t="array" ref="J50">IsURL(Table_121215[[#This Row],[Data Source]])</f>
        <v/>
      </c>
      <c r="K50">
        <f t="array" ref="K50">IsURL(Table_121215[[#This Row],[DOI]])</f>
        <v/>
      </c>
      <c r="L50">
        <f t="array" ref="L50">IsURL(Table_121215[[#This Row],[Data Source]])</f>
        <v/>
      </c>
      <c r="M50">
        <f t="array" ref="M50">IsURL(Table_121215[[#This Row],[Data Source]])</f>
        <v/>
      </c>
    </row>
    <row r="51" ht="15.75" customHeight="1">
      <c r="A51">
        <f>IF(Table_121215[[#This Row],[Media Name]]=0,"",Table_121215[[#This Row],[Media Name]])</f>
        <v/>
      </c>
      <c r="D51" s="25" t="n"/>
      <c r="F51" s="27" t="n"/>
      <c r="I51" s="18">
        <f>IF($B51="","FALSE","TRUE")</f>
        <v/>
      </c>
      <c r="J51">
        <f t="array" ref="J51">IsURL(Table_121215[[#This Row],[Data Source]])</f>
        <v/>
      </c>
      <c r="K51">
        <f t="array" ref="K51">IsURL(Table_121215[[#This Row],[DOI]])</f>
        <v/>
      </c>
      <c r="L51">
        <f t="array" ref="L51">IsURL(Table_121215[[#This Row],[Data Source]])</f>
        <v/>
      </c>
      <c r="M51">
        <f t="array" ref="M51">IsURL(Table_121215[[#This Row],[Data Source]])</f>
        <v/>
      </c>
    </row>
    <row r="52" ht="15.75" customHeight="1">
      <c r="A52">
        <f>IF(Table_121215[[#This Row],[Media Name]]=0,"",Table_121215[[#This Row],[Media Name]])</f>
        <v/>
      </c>
      <c r="D52" s="25" t="n"/>
      <c r="F52" s="27" t="n"/>
      <c r="I52" s="18">
        <f>IF($B52="","FALSE","TRUE")</f>
        <v/>
      </c>
      <c r="J52">
        <f t="array" ref="J52">IsURL(Table_121215[[#This Row],[Data Source]])</f>
        <v/>
      </c>
      <c r="K52">
        <f t="array" ref="K52">IsURL(Table_121215[[#This Row],[DOI]])</f>
        <v/>
      </c>
      <c r="L52">
        <f t="array" ref="L52">IsURL(Table_121215[[#This Row],[Data Source]])</f>
        <v/>
      </c>
      <c r="M52">
        <f t="array" ref="M52">IsURL(Table_121215[[#This Row],[Data Source]])</f>
        <v/>
      </c>
    </row>
    <row r="53" ht="15.75" customHeight="1">
      <c r="A53">
        <f>IF(Table_121215[[#This Row],[Media Name]]=0,"",Table_121215[[#This Row],[Media Name]])</f>
        <v/>
      </c>
      <c r="D53" s="25" t="n"/>
      <c r="F53" s="27" t="n"/>
      <c r="I53" s="18">
        <f>IF($B53="","FALSE","TRUE")</f>
        <v/>
      </c>
      <c r="J53">
        <f t="array" ref="J53">IsURL(Table_121215[[#This Row],[Data Source]])</f>
        <v/>
      </c>
      <c r="K53">
        <f t="array" ref="K53">IsURL(Table_121215[[#This Row],[DOI]])</f>
        <v/>
      </c>
      <c r="L53">
        <f t="array" ref="L53">IsURL(Table_121215[[#This Row],[Data Source]])</f>
        <v/>
      </c>
      <c r="M53">
        <f t="array" ref="M53">IsURL(Table_121215[[#This Row],[Data Source]])</f>
        <v/>
      </c>
    </row>
    <row r="54" ht="15.75" customHeight="1">
      <c r="A54">
        <f>IF(Table_121215[[#This Row],[Media Name]]=0,"",Table_121215[[#This Row],[Media Name]])</f>
        <v/>
      </c>
      <c r="D54" s="25" t="n"/>
      <c r="F54" s="27" t="n"/>
      <c r="I54" s="18">
        <f>IF($B54="","FALSE","TRUE")</f>
        <v/>
      </c>
      <c r="J54">
        <f t="array" ref="J54">IsURL(Table_121215[[#This Row],[Data Source]])</f>
        <v/>
      </c>
      <c r="K54">
        <f t="array" ref="K54">IsURL(Table_121215[[#This Row],[DOI]])</f>
        <v/>
      </c>
      <c r="L54">
        <f t="array" ref="L54">IsURL(Table_121215[[#This Row],[Data Source]])</f>
        <v/>
      </c>
      <c r="M54">
        <f t="array" ref="M54">IsURL(Table_121215[[#This Row],[Data Source]])</f>
        <v/>
      </c>
    </row>
    <row r="55" ht="15.75" customHeight="1">
      <c r="A55">
        <f>IF(Table_121215[[#This Row],[Media Name]]=0,"",Table_121215[[#This Row],[Media Name]])</f>
        <v/>
      </c>
      <c r="D55" s="25" t="n"/>
      <c r="F55" s="27" t="n"/>
      <c r="I55" s="18">
        <f>IF($B55="","FALSE","TRUE")</f>
        <v/>
      </c>
      <c r="J55">
        <f t="array" ref="J55">IsURL(Table_121215[[#This Row],[Data Source]])</f>
        <v/>
      </c>
      <c r="K55">
        <f t="array" ref="K55">IsURL(Table_121215[[#This Row],[DOI]])</f>
        <v/>
      </c>
      <c r="L55">
        <f t="array" ref="L55">IsURL(Table_121215[[#This Row],[Data Source]])</f>
        <v/>
      </c>
      <c r="M55">
        <f t="array" ref="M55">IsURL(Table_121215[[#This Row],[Data Source]])</f>
        <v/>
      </c>
    </row>
    <row r="56" ht="15.75" customHeight="1">
      <c r="A56">
        <f>IF(Table_121215[[#This Row],[Media Name]]=0,"",Table_121215[[#This Row],[Media Name]])</f>
        <v/>
      </c>
      <c r="D56" s="25" t="n"/>
      <c r="F56" s="27" t="n"/>
      <c r="I56" s="18">
        <f>IF($B56="","FALSE","TRUE")</f>
        <v/>
      </c>
      <c r="J56">
        <f t="array" ref="J56">IsURL(Table_121215[[#This Row],[Data Source]])</f>
        <v/>
      </c>
      <c r="K56">
        <f t="array" ref="K56">IsURL(Table_121215[[#This Row],[DOI]])</f>
        <v/>
      </c>
      <c r="L56">
        <f t="array" ref="L56">IsURL(Table_121215[[#This Row],[Data Source]])</f>
        <v/>
      </c>
      <c r="M56">
        <f t="array" ref="M56">IsURL(Table_121215[[#This Row],[Data Source]])</f>
        <v/>
      </c>
    </row>
    <row r="57" ht="15.75" customHeight="1">
      <c r="A57">
        <f>IF(Table_121215[[#This Row],[Media Name]]=0,"",Table_121215[[#This Row],[Media Name]])</f>
        <v/>
      </c>
      <c r="D57" s="25" t="n"/>
      <c r="F57" s="27" t="n"/>
      <c r="I57" s="18">
        <f>IF($B57="","FALSE","TRUE")</f>
        <v/>
      </c>
      <c r="J57">
        <f t="array" ref="J57">IsURL(Table_121215[[#This Row],[Data Source]])</f>
        <v/>
      </c>
      <c r="K57">
        <f t="array" ref="K57">IsURL(Table_121215[[#This Row],[DOI]])</f>
        <v/>
      </c>
      <c r="L57">
        <f t="array" ref="L57">IsURL(Table_121215[[#This Row],[Data Source]])</f>
        <v/>
      </c>
      <c r="M57">
        <f t="array" ref="M57">IsURL(Table_121215[[#This Row],[Data Source]])</f>
        <v/>
      </c>
    </row>
    <row r="58" ht="15.75" customHeight="1">
      <c r="A58">
        <f>IF(Table_121215[[#This Row],[Media Name]]=0,"",Table_121215[[#This Row],[Media Name]])</f>
        <v/>
      </c>
      <c r="D58" s="25" t="n"/>
      <c r="F58" s="27" t="n"/>
      <c r="I58" s="18">
        <f>IF($B58="","FALSE","TRUE")</f>
        <v/>
      </c>
      <c r="J58">
        <f t="array" ref="J58">IsURL(Table_121215[[#This Row],[Data Source]])</f>
        <v/>
      </c>
      <c r="K58">
        <f t="array" ref="K58">IsURL(Table_121215[[#This Row],[DOI]])</f>
        <v/>
      </c>
      <c r="L58">
        <f t="array" ref="L58">IsURL(Table_121215[[#This Row],[Data Source]])</f>
        <v/>
      </c>
      <c r="M58">
        <f t="array" ref="M58">IsURL(Table_121215[[#This Row],[Data Source]])</f>
        <v/>
      </c>
    </row>
    <row r="59" ht="15.75" customHeight="1">
      <c r="A59">
        <f>IF(Table_121215[[#This Row],[Media Name]]=0,"",Table_121215[[#This Row],[Media Name]])</f>
        <v/>
      </c>
      <c r="D59" s="25" t="n"/>
      <c r="F59" s="27" t="n"/>
      <c r="I59" s="18">
        <f>IF($B59="","FALSE","TRUE")</f>
        <v/>
      </c>
      <c r="J59">
        <f t="array" ref="J59">IsURL(Table_121215[[#This Row],[Data Source]])</f>
        <v/>
      </c>
      <c r="K59">
        <f t="array" ref="K59">IsURL(Table_121215[[#This Row],[DOI]])</f>
        <v/>
      </c>
      <c r="L59">
        <f t="array" ref="L59">IsURL(Table_121215[[#This Row],[Data Source]])</f>
        <v/>
      </c>
      <c r="M59">
        <f t="array" ref="M59">IsURL(Table_121215[[#This Row],[Data Source]])</f>
        <v/>
      </c>
    </row>
    <row r="60" ht="15.75" customHeight="1">
      <c r="A60">
        <f>IF(Table_121215[[#This Row],[Media Name]]=0,"",Table_121215[[#This Row],[Media Name]])</f>
        <v/>
      </c>
      <c r="D60" s="25" t="n"/>
      <c r="F60" s="27" t="n"/>
      <c r="I60" s="18">
        <f>IF($B60="","FALSE","TRUE")</f>
        <v/>
      </c>
      <c r="J60">
        <f t="array" ref="J60">IsURL(Table_121215[[#This Row],[Data Source]])</f>
        <v/>
      </c>
      <c r="K60">
        <f t="array" ref="K60">IsURL(Table_121215[[#This Row],[DOI]])</f>
        <v/>
      </c>
      <c r="L60">
        <f t="array" ref="L60">IsURL(Table_121215[[#This Row],[Data Source]])</f>
        <v/>
      </c>
      <c r="M60">
        <f t="array" ref="M60">IsURL(Table_121215[[#This Row],[Data Source]])</f>
        <v/>
      </c>
    </row>
    <row r="61" ht="15.75" customHeight="1">
      <c r="A61">
        <f>IF(Table_121215[[#This Row],[Media Name]]=0,"",Table_121215[[#This Row],[Media Name]])</f>
        <v/>
      </c>
      <c r="D61" s="25" t="n"/>
      <c r="F61" s="27" t="n"/>
      <c r="I61" s="18">
        <f>IF($B61="","FALSE","TRUE")</f>
        <v/>
      </c>
      <c r="J61">
        <f t="array" ref="J61">IsURL(Table_121215[[#This Row],[Data Source]])</f>
        <v/>
      </c>
      <c r="K61">
        <f t="array" ref="K61">IsURL(Table_121215[[#This Row],[DOI]])</f>
        <v/>
      </c>
      <c r="L61">
        <f t="array" ref="L61">IsURL(Table_121215[[#This Row],[Data Source]])</f>
        <v/>
      </c>
      <c r="M61">
        <f t="array" ref="M61">IsURL(Table_121215[[#This Row],[Data Source]])</f>
        <v/>
      </c>
    </row>
    <row r="62" ht="15.75" customHeight="1">
      <c r="A62">
        <f>IF(Table_121215[[#This Row],[Media Name]]=0,"",Table_121215[[#This Row],[Media Name]])</f>
        <v/>
      </c>
      <c r="D62" s="25" t="n"/>
      <c r="F62" s="27" t="n"/>
      <c r="I62" s="18">
        <f>IF($B62="","FALSE","TRUE")</f>
        <v/>
      </c>
      <c r="J62">
        <f t="array" ref="J62">IsURL(Table_121215[[#This Row],[Data Source]])</f>
        <v/>
      </c>
      <c r="K62">
        <f t="array" ref="K62">IsURL(Table_121215[[#This Row],[DOI]])</f>
        <v/>
      </c>
      <c r="L62">
        <f t="array" ref="L62">IsURL(Table_121215[[#This Row],[Data Source]])</f>
        <v/>
      </c>
      <c r="M62">
        <f t="array" ref="M62">IsURL(Table_121215[[#This Row],[Data Source]])</f>
        <v/>
      </c>
    </row>
    <row r="63" ht="15.75" customHeight="1">
      <c r="A63">
        <f>IF(Table_121215[[#This Row],[Media Name]]=0,"",Table_121215[[#This Row],[Media Name]])</f>
        <v/>
      </c>
      <c r="D63" s="25" t="n"/>
      <c r="F63" s="27" t="n"/>
      <c r="I63" s="18">
        <f>IF($B63="","FALSE","TRUE")</f>
        <v/>
      </c>
      <c r="J63">
        <f t="array" ref="J63">IsURL(Table_121215[[#This Row],[Data Source]])</f>
        <v/>
      </c>
      <c r="K63">
        <f t="array" ref="K63">IsURL(Table_121215[[#This Row],[DOI]])</f>
        <v/>
      </c>
      <c r="L63">
        <f t="array" ref="L63">IsURL(Table_121215[[#This Row],[Data Source]])</f>
        <v/>
      </c>
      <c r="M63">
        <f t="array" ref="M63">IsURL(Table_121215[[#This Row],[Data Source]])</f>
        <v/>
      </c>
    </row>
    <row r="64" ht="15.75" customHeight="1">
      <c r="A64">
        <f>IF(Table_121215[[#This Row],[Media Name]]=0,"",Table_121215[[#This Row],[Media Name]])</f>
        <v/>
      </c>
      <c r="D64" s="25" t="n"/>
      <c r="F64" s="27" t="n"/>
      <c r="I64" s="18">
        <f>IF($B64="","FALSE","TRUE")</f>
        <v/>
      </c>
      <c r="J64">
        <f t="array" ref="J64">IsURL(Table_121215[[#This Row],[Data Source]])</f>
        <v/>
      </c>
      <c r="K64">
        <f t="array" ref="K64">IsURL(Table_121215[[#This Row],[DOI]])</f>
        <v/>
      </c>
      <c r="L64">
        <f t="array" ref="L64">IsURL(Table_121215[[#This Row],[Data Source]])</f>
        <v/>
      </c>
      <c r="M64">
        <f t="array" ref="M64">IsURL(Table_121215[[#This Row],[Data Source]])</f>
        <v/>
      </c>
    </row>
    <row r="65" ht="15.75" customHeight="1">
      <c r="A65">
        <f>IF(Table_121215[[#This Row],[Media Name]]=0,"",Table_121215[[#This Row],[Media Name]])</f>
        <v/>
      </c>
      <c r="D65" s="25" t="n"/>
      <c r="F65" s="27" t="n"/>
      <c r="I65" s="18">
        <f>IF($B65="","FALSE","TRUE")</f>
        <v/>
      </c>
      <c r="J65">
        <f t="array" ref="J65">IsURL(Table_121215[[#This Row],[Data Source]])</f>
        <v/>
      </c>
      <c r="K65">
        <f t="array" ref="K65">IsURL(Table_121215[[#This Row],[DOI]])</f>
        <v/>
      </c>
      <c r="L65">
        <f t="array" ref="L65">IsURL(Table_121215[[#This Row],[Data Source]])</f>
        <v/>
      </c>
      <c r="M65">
        <f t="array" ref="M65">IsURL(Table_121215[[#This Row],[Data Source]])</f>
        <v/>
      </c>
    </row>
    <row r="66" ht="15.75" customHeight="1">
      <c r="A66">
        <f>IF(Table_121215[[#This Row],[Media Name]]=0,"",Table_121215[[#This Row],[Media Name]])</f>
        <v/>
      </c>
      <c r="D66" s="25" t="n"/>
      <c r="F66" s="27" t="n"/>
      <c r="I66" s="18">
        <f>IF($B66="","FALSE","TRUE")</f>
        <v/>
      </c>
      <c r="J66">
        <f t="array" ref="J66">IsURL(Table_121215[[#This Row],[Data Source]])</f>
        <v/>
      </c>
      <c r="K66">
        <f t="array" ref="K66">IsURL(Table_121215[[#This Row],[DOI]])</f>
        <v/>
      </c>
      <c r="L66">
        <f t="array" ref="L66">IsURL(Table_121215[[#This Row],[Data Source]])</f>
        <v/>
      </c>
      <c r="M66">
        <f t="array" ref="M66">IsURL(Table_121215[[#This Row],[Data Source]])</f>
        <v/>
      </c>
    </row>
    <row r="67" ht="15.75" customHeight="1">
      <c r="A67">
        <f>IF(Table_121215[[#This Row],[Media Name]]=0,"",Table_121215[[#This Row],[Media Name]])</f>
        <v/>
      </c>
      <c r="D67" s="25" t="n"/>
      <c r="F67" s="27" t="n"/>
      <c r="I67" s="18">
        <f>IF($B67="","FALSE","TRUE")</f>
        <v/>
      </c>
      <c r="J67">
        <f t="array" ref="J67">IsURL(Table_121215[[#This Row],[Data Source]])</f>
        <v/>
      </c>
      <c r="K67">
        <f t="array" ref="K67">IsURL(Table_121215[[#This Row],[DOI]])</f>
        <v/>
      </c>
      <c r="L67">
        <f t="array" ref="L67">IsURL(Table_121215[[#This Row],[Data Source]])</f>
        <v/>
      </c>
      <c r="M67">
        <f t="array" ref="M67">IsURL(Table_121215[[#This Row],[Data Source]])</f>
        <v/>
      </c>
    </row>
    <row r="68" ht="15.75" customHeight="1">
      <c r="A68">
        <f>IF(Table_121215[[#This Row],[Media Name]]=0,"",Table_121215[[#This Row],[Media Name]])</f>
        <v/>
      </c>
      <c r="D68" s="25" t="n"/>
      <c r="F68" s="27" t="n"/>
      <c r="I68" s="18">
        <f>IF($B68="","FALSE","TRUE")</f>
        <v/>
      </c>
      <c r="J68">
        <f t="array" ref="J68">IsURL(Table_121215[[#This Row],[Data Source]])</f>
        <v/>
      </c>
      <c r="K68">
        <f t="array" ref="K68">IsURL(Table_121215[[#This Row],[DOI]])</f>
        <v/>
      </c>
      <c r="L68">
        <f t="array" ref="L68">IsURL(Table_121215[[#This Row],[Data Source]])</f>
        <v/>
      </c>
      <c r="M68">
        <f t="array" ref="M68">IsURL(Table_121215[[#This Row],[Data Source]])</f>
        <v/>
      </c>
    </row>
    <row r="69" ht="15.75" customHeight="1">
      <c r="A69">
        <f>IF(Table_121215[[#This Row],[Media Name]]=0,"",Table_121215[[#This Row],[Media Name]])</f>
        <v/>
      </c>
      <c r="D69" s="25" t="n"/>
      <c r="F69" s="27" t="n"/>
      <c r="I69" s="18">
        <f>IF($B69="","FALSE","TRUE")</f>
        <v/>
      </c>
      <c r="J69">
        <f t="array" ref="J69">IsURL(Table_121215[[#This Row],[Data Source]])</f>
        <v/>
      </c>
      <c r="K69">
        <f t="array" ref="K69">IsURL(Table_121215[[#This Row],[DOI]])</f>
        <v/>
      </c>
      <c r="L69">
        <f t="array" ref="L69">IsURL(Table_121215[[#This Row],[Data Source]])</f>
        <v/>
      </c>
      <c r="M69">
        <f t="array" ref="M69">IsURL(Table_121215[[#This Row],[Data Source]])</f>
        <v/>
      </c>
    </row>
    <row r="70" ht="15.75" customHeight="1">
      <c r="A70">
        <f>IF(Table_121215[[#This Row],[Media Name]]=0,"",Table_121215[[#This Row],[Media Name]])</f>
        <v/>
      </c>
      <c r="D70" s="25" t="n"/>
      <c r="F70" s="27" t="n"/>
      <c r="I70" s="18">
        <f>IF($B70="","FALSE","TRUE")</f>
        <v/>
      </c>
      <c r="J70">
        <f t="array" ref="J70">IsURL(Table_121215[[#This Row],[Data Source]])</f>
        <v/>
      </c>
      <c r="K70">
        <f t="array" ref="K70">IsURL(Table_121215[[#This Row],[DOI]])</f>
        <v/>
      </c>
      <c r="L70">
        <f t="array" ref="L70">IsURL(Table_121215[[#This Row],[Data Source]])</f>
        <v/>
      </c>
      <c r="M70">
        <f t="array" ref="M70">IsURL(Table_121215[[#This Row],[Data Source]])</f>
        <v/>
      </c>
    </row>
    <row r="71" ht="15.75" customHeight="1">
      <c r="A71">
        <f>IF(Table_121215[[#This Row],[Media Name]]=0,"",Table_121215[[#This Row],[Media Name]])</f>
        <v/>
      </c>
      <c r="D71" s="25" t="n"/>
      <c r="F71" s="27" t="n"/>
      <c r="I71" s="18">
        <f>IF($B71="","FALSE","TRUE")</f>
        <v/>
      </c>
      <c r="J71">
        <f t="array" ref="J71">IsURL(Table_121215[[#This Row],[Data Source]])</f>
        <v/>
      </c>
      <c r="K71">
        <f t="array" ref="K71">IsURL(Table_121215[[#This Row],[DOI]])</f>
        <v/>
      </c>
      <c r="L71">
        <f t="array" ref="L71">IsURL(Table_121215[[#This Row],[Data Source]])</f>
        <v/>
      </c>
      <c r="M71">
        <f t="array" ref="M71">IsURL(Table_121215[[#This Row],[Data Source]])</f>
        <v/>
      </c>
    </row>
    <row r="72" ht="15.75" customHeight="1">
      <c r="A72">
        <f>IF(Table_121215[[#This Row],[Media Name]]=0,"",Table_121215[[#This Row],[Media Name]])</f>
        <v/>
      </c>
      <c r="D72" s="25" t="n"/>
      <c r="F72" s="27" t="n"/>
      <c r="I72" s="18">
        <f>IF($B72="","FALSE","TRUE")</f>
        <v/>
      </c>
      <c r="J72">
        <f t="array" ref="J72">IsURL(Table_121215[[#This Row],[Data Source]])</f>
        <v/>
      </c>
      <c r="K72">
        <f t="array" ref="K72">IsURL(Table_121215[[#This Row],[DOI]])</f>
        <v/>
      </c>
      <c r="L72">
        <f t="array" ref="L72">IsURL(Table_121215[[#This Row],[Data Source]])</f>
        <v/>
      </c>
      <c r="M72">
        <f t="array" ref="M72">IsURL(Table_121215[[#This Row],[Data Source]])</f>
        <v/>
      </c>
    </row>
    <row r="73" ht="15.75" customHeight="1">
      <c r="A73">
        <f>IF(Table_121215[[#This Row],[Media Name]]=0,"",Table_121215[[#This Row],[Media Name]])</f>
        <v/>
      </c>
      <c r="D73" s="25" t="n"/>
      <c r="F73" s="27" t="n"/>
      <c r="I73" s="18">
        <f>IF($B73="","FALSE","TRUE")</f>
        <v/>
      </c>
      <c r="J73">
        <f t="array" ref="J73">IsURL(Table_121215[[#This Row],[Data Source]])</f>
        <v/>
      </c>
      <c r="K73">
        <f t="array" ref="K73">IsURL(Table_121215[[#This Row],[DOI]])</f>
        <v/>
      </c>
      <c r="L73">
        <f t="array" ref="L73">IsURL(Table_121215[[#This Row],[Data Source]])</f>
        <v/>
      </c>
      <c r="M73">
        <f t="array" ref="M73">IsURL(Table_121215[[#This Row],[Data Source]])</f>
        <v/>
      </c>
    </row>
    <row r="74" ht="15.75" customHeight="1">
      <c r="A74">
        <f>IF(Table_121215[[#This Row],[Media Name]]=0,"",Table_121215[[#This Row],[Media Name]])</f>
        <v/>
      </c>
      <c r="D74" s="25" t="n"/>
      <c r="F74" s="27" t="n"/>
      <c r="I74" s="18">
        <f>IF($B74="","FALSE","TRUE")</f>
        <v/>
      </c>
      <c r="J74">
        <f t="array" ref="J74">IsURL(Table_121215[[#This Row],[Data Source]])</f>
        <v/>
      </c>
      <c r="K74">
        <f t="array" ref="K74">IsURL(Table_121215[[#This Row],[DOI]])</f>
        <v/>
      </c>
      <c r="L74">
        <f t="array" ref="L74">IsURL(Table_121215[[#This Row],[Data Source]])</f>
        <v/>
      </c>
      <c r="M74">
        <f t="array" ref="M74">IsURL(Table_121215[[#This Row],[Data Source]])</f>
        <v/>
      </c>
    </row>
    <row r="75" ht="15.75" customHeight="1">
      <c r="A75">
        <f>IF(Table_121215[[#This Row],[Media Name]]=0,"",Table_121215[[#This Row],[Media Name]])</f>
        <v/>
      </c>
      <c r="D75" s="25" t="n"/>
      <c r="F75" s="27" t="n"/>
      <c r="I75" s="18">
        <f>IF($B75="","FALSE","TRUE")</f>
        <v/>
      </c>
      <c r="J75">
        <f t="array" ref="J75">IsURL(Table_121215[[#This Row],[Data Source]])</f>
        <v/>
      </c>
      <c r="K75">
        <f t="array" ref="K75">IsURL(Table_121215[[#This Row],[DOI]])</f>
        <v/>
      </c>
      <c r="L75">
        <f t="array" ref="L75">IsURL(Table_121215[[#This Row],[Data Source]])</f>
        <v/>
      </c>
      <c r="M75">
        <f t="array" ref="M75">IsURL(Table_121215[[#This Row],[Data Source]])</f>
        <v/>
      </c>
    </row>
    <row r="76" ht="15.75" customHeight="1">
      <c r="A76">
        <f>IF(Table_121215[[#This Row],[Media Name]]=0,"",Table_121215[[#This Row],[Media Name]])</f>
        <v/>
      </c>
      <c r="D76" s="25" t="n"/>
      <c r="F76" s="27" t="n"/>
      <c r="I76" s="18">
        <f>IF($B76="","FALSE","TRUE")</f>
        <v/>
      </c>
      <c r="J76">
        <f t="array" ref="J76">IsURL(Table_121215[[#This Row],[Data Source]])</f>
        <v/>
      </c>
      <c r="K76">
        <f t="array" ref="K76">IsURL(Table_121215[[#This Row],[DOI]])</f>
        <v/>
      </c>
      <c r="L76">
        <f t="array" ref="L76">IsURL(Table_121215[[#This Row],[Data Source]])</f>
        <v/>
      </c>
      <c r="M76">
        <f t="array" ref="M76">IsURL(Table_121215[[#This Row],[Data Source]])</f>
        <v/>
      </c>
    </row>
    <row r="77" ht="15.75" customHeight="1">
      <c r="A77">
        <f>IF(Table_121215[[#This Row],[Media Name]]=0,"",Table_121215[[#This Row],[Media Name]])</f>
        <v/>
      </c>
      <c r="D77" s="25" t="n"/>
      <c r="F77" s="27" t="n"/>
      <c r="I77" s="18">
        <f>IF($B77="","FALSE","TRUE")</f>
        <v/>
      </c>
      <c r="J77">
        <f t="array" ref="J77">IsURL(Table_121215[[#This Row],[Data Source]])</f>
        <v/>
      </c>
      <c r="K77">
        <f t="array" ref="K77">IsURL(Table_121215[[#This Row],[DOI]])</f>
        <v/>
      </c>
      <c r="L77">
        <f t="array" ref="L77">IsURL(Table_121215[[#This Row],[Data Source]])</f>
        <v/>
      </c>
      <c r="M77">
        <f t="array" ref="M77">IsURL(Table_121215[[#This Row],[Data Source]])</f>
        <v/>
      </c>
    </row>
    <row r="78" ht="15.75" customHeight="1">
      <c r="A78">
        <f>IF(Table_121215[[#This Row],[Media Name]]=0,"",Table_121215[[#This Row],[Media Name]])</f>
        <v/>
      </c>
      <c r="D78" s="25" t="n"/>
      <c r="F78" s="27" t="n"/>
      <c r="I78" s="18">
        <f>IF($B78="","FALSE","TRUE")</f>
        <v/>
      </c>
      <c r="J78">
        <f t="array" ref="J78">IsURL(Table_121215[[#This Row],[Data Source]])</f>
        <v/>
      </c>
      <c r="K78">
        <f t="array" ref="K78">IsURL(Table_121215[[#This Row],[DOI]])</f>
        <v/>
      </c>
      <c r="L78">
        <f t="array" ref="L78">IsURL(Table_121215[[#This Row],[Data Source]])</f>
        <v/>
      </c>
      <c r="M78">
        <f t="array" ref="M78">IsURL(Table_121215[[#This Row],[Data Source]])</f>
        <v/>
      </c>
    </row>
    <row r="79" ht="15.75" customHeight="1">
      <c r="A79">
        <f>IF(Table_121215[[#This Row],[Media Name]]=0,"",Table_121215[[#This Row],[Media Name]])</f>
        <v/>
      </c>
      <c r="D79" s="25" t="n"/>
      <c r="F79" s="27" t="n"/>
      <c r="I79" s="18">
        <f>IF($B79="","FALSE","TRUE")</f>
        <v/>
      </c>
      <c r="J79">
        <f t="array" ref="J79">IsURL(Table_121215[[#This Row],[Data Source]])</f>
        <v/>
      </c>
      <c r="K79">
        <f t="array" ref="K79">IsURL(Table_121215[[#This Row],[DOI]])</f>
        <v/>
      </c>
      <c r="L79">
        <f t="array" ref="L79">IsURL(Table_121215[[#This Row],[Data Source]])</f>
        <v/>
      </c>
      <c r="M79">
        <f t="array" ref="M79">IsURL(Table_121215[[#This Row],[Data Source]])</f>
        <v/>
      </c>
    </row>
    <row r="80" ht="15.75" customHeight="1">
      <c r="A80">
        <f>IF(Table_121215[[#This Row],[Media Name]]=0,"",Table_121215[[#This Row],[Media Name]])</f>
        <v/>
      </c>
      <c r="D80" s="25" t="n"/>
      <c r="F80" s="27" t="n"/>
      <c r="I80" s="18">
        <f>IF($B80="","FALSE","TRUE")</f>
        <v/>
      </c>
      <c r="J80">
        <f t="array" ref="J80">IsURL(Table_121215[[#This Row],[Data Source]])</f>
        <v/>
      </c>
      <c r="K80">
        <f t="array" ref="K80">IsURL(Table_121215[[#This Row],[DOI]])</f>
        <v/>
      </c>
      <c r="L80">
        <f t="array" ref="L80">IsURL(Table_121215[[#This Row],[Data Source]])</f>
        <v/>
      </c>
      <c r="M80">
        <f t="array" ref="M80">IsURL(Table_121215[[#This Row],[Data Source]])</f>
        <v/>
      </c>
    </row>
    <row r="81" ht="15.75" customHeight="1">
      <c r="A81">
        <f>IF(Table_121215[[#This Row],[Media Name]]=0,"",Table_121215[[#This Row],[Media Name]])</f>
        <v/>
      </c>
      <c r="D81" s="25" t="n"/>
      <c r="F81" s="27" t="n"/>
      <c r="I81" s="18">
        <f>IF($B81="","FALSE","TRUE")</f>
        <v/>
      </c>
      <c r="J81">
        <f t="array" ref="J81">IsURL(Table_121215[[#This Row],[Data Source]])</f>
        <v/>
      </c>
      <c r="K81">
        <f t="array" ref="K81">IsURL(Table_121215[[#This Row],[DOI]])</f>
        <v/>
      </c>
      <c r="L81">
        <f t="array" ref="L81">IsURL(Table_121215[[#This Row],[Data Source]])</f>
        <v/>
      </c>
      <c r="M81">
        <f t="array" ref="M81">IsURL(Table_121215[[#This Row],[Data Source]])</f>
        <v/>
      </c>
    </row>
    <row r="82" ht="15.75" customHeight="1">
      <c r="A82">
        <f>IF(Table_121215[[#This Row],[Media Name]]=0,"",Table_121215[[#This Row],[Media Name]])</f>
        <v/>
      </c>
      <c r="D82" s="25" t="n"/>
      <c r="F82" s="27" t="n"/>
      <c r="I82" s="18">
        <f>IF($B82="","FALSE","TRUE")</f>
        <v/>
      </c>
      <c r="J82">
        <f t="array" ref="J82">IsURL(Table_121215[[#This Row],[Data Source]])</f>
        <v/>
      </c>
      <c r="K82">
        <f t="array" ref="K82">IsURL(Table_121215[[#This Row],[DOI]])</f>
        <v/>
      </c>
      <c r="L82">
        <f t="array" ref="L82">IsURL(Table_121215[[#This Row],[Data Source]])</f>
        <v/>
      </c>
      <c r="M82">
        <f t="array" ref="M82">IsURL(Table_121215[[#This Row],[Data Source]])</f>
        <v/>
      </c>
    </row>
    <row r="83" ht="15.75" customHeight="1">
      <c r="A83">
        <f>IF(Table_121215[[#This Row],[Media Name]]=0,"",Table_121215[[#This Row],[Media Name]])</f>
        <v/>
      </c>
      <c r="D83" s="25" t="n"/>
      <c r="F83" s="27" t="n"/>
      <c r="I83" s="18">
        <f>IF($B83="","FALSE","TRUE")</f>
        <v/>
      </c>
      <c r="J83">
        <f t="array" ref="J83">IsURL(Table_121215[[#This Row],[Data Source]])</f>
        <v/>
      </c>
      <c r="K83">
        <f t="array" ref="K83">IsURL(Table_121215[[#This Row],[DOI]])</f>
        <v/>
      </c>
      <c r="L83">
        <f t="array" ref="L83">IsURL(Table_121215[[#This Row],[Data Source]])</f>
        <v/>
      </c>
      <c r="M83">
        <f t="array" ref="M83">IsURL(Table_121215[[#This Row],[Data Source]])</f>
        <v/>
      </c>
    </row>
    <row r="84" ht="15.75" customHeight="1">
      <c r="A84">
        <f>IF(Table_121215[[#This Row],[Media Name]]=0,"",Table_121215[[#This Row],[Media Name]])</f>
        <v/>
      </c>
      <c r="D84" s="25" t="n"/>
      <c r="F84" s="27" t="n"/>
      <c r="I84" s="18">
        <f>IF($B84="","FALSE","TRUE")</f>
        <v/>
      </c>
      <c r="J84">
        <f t="array" ref="J84">IsURL(Table_121215[[#This Row],[Data Source]])</f>
        <v/>
      </c>
      <c r="K84">
        <f t="array" ref="K84">IsURL(Table_121215[[#This Row],[DOI]])</f>
        <v/>
      </c>
      <c r="L84">
        <f t="array" ref="L84">IsURL(Table_121215[[#This Row],[Data Source]])</f>
        <v/>
      </c>
      <c r="M84">
        <f t="array" ref="M84">IsURL(Table_121215[[#This Row],[Data Source]])</f>
        <v/>
      </c>
    </row>
    <row r="85" ht="15.75" customHeight="1">
      <c r="A85">
        <f>IF(Table_121215[[#This Row],[Media Name]]=0,"",Table_121215[[#This Row],[Media Name]])</f>
        <v/>
      </c>
      <c r="D85" s="25" t="n"/>
      <c r="F85" s="27" t="n"/>
      <c r="I85" s="18">
        <f>IF($B85="","FALSE","TRUE")</f>
        <v/>
      </c>
      <c r="J85">
        <f t="array" ref="J85">IsURL(Table_121215[[#This Row],[Data Source]])</f>
        <v/>
      </c>
      <c r="K85">
        <f t="array" ref="K85">IsURL(Table_121215[[#This Row],[DOI]])</f>
        <v/>
      </c>
      <c r="L85">
        <f t="array" ref="L85">IsURL(Table_121215[[#This Row],[Data Source]])</f>
        <v/>
      </c>
      <c r="M85">
        <f t="array" ref="M85">IsURL(Table_121215[[#This Row],[Data Source]])</f>
        <v/>
      </c>
    </row>
    <row r="86" ht="15.75" customHeight="1">
      <c r="A86">
        <f>IF(Table_121215[[#This Row],[Media Name]]=0,"",Table_121215[[#This Row],[Media Name]])</f>
        <v/>
      </c>
      <c r="D86" s="25" t="n"/>
      <c r="F86" s="27" t="n"/>
      <c r="I86" s="18">
        <f>IF($B86="","FALSE","TRUE")</f>
        <v/>
      </c>
      <c r="J86">
        <f t="array" ref="J86">IsURL(Table_121215[[#This Row],[Data Source]])</f>
        <v/>
      </c>
      <c r="K86">
        <f t="array" ref="K86">IsURL(Table_121215[[#This Row],[DOI]])</f>
        <v/>
      </c>
      <c r="L86">
        <f t="array" ref="L86">IsURL(Table_121215[[#This Row],[Data Source]])</f>
        <v/>
      </c>
      <c r="M86">
        <f t="array" ref="M86">IsURL(Table_121215[[#This Row],[Data Source]])</f>
        <v/>
      </c>
    </row>
    <row r="87" ht="15.75" customHeight="1">
      <c r="A87">
        <f>IF(Table_121215[[#This Row],[Media Name]]=0,"",Table_121215[[#This Row],[Media Name]])</f>
        <v/>
      </c>
      <c r="D87" s="25" t="n"/>
      <c r="F87" s="27" t="n"/>
      <c r="I87" s="18">
        <f>IF($B87="","FALSE","TRUE")</f>
        <v/>
      </c>
      <c r="J87">
        <f t="array" ref="J87">IsURL(Table_121215[[#This Row],[Data Source]])</f>
        <v/>
      </c>
      <c r="K87">
        <f t="array" ref="K87">IsURL(Table_121215[[#This Row],[DOI]])</f>
        <v/>
      </c>
      <c r="L87">
        <f t="array" ref="L87">IsURL(Table_121215[[#This Row],[Data Source]])</f>
        <v/>
      </c>
      <c r="M87">
        <f t="array" ref="M87">IsURL(Table_121215[[#This Row],[Data Source]])</f>
        <v/>
      </c>
    </row>
    <row r="88" ht="15.75" customHeight="1">
      <c r="A88">
        <f>IF(Table_121215[[#This Row],[Media Name]]=0,"",Table_121215[[#This Row],[Media Name]])</f>
        <v/>
      </c>
      <c r="D88" s="25" t="n"/>
      <c r="F88" s="27" t="n"/>
      <c r="I88" s="18">
        <f>IF($B88="","FALSE","TRUE")</f>
        <v/>
      </c>
      <c r="J88">
        <f t="array" ref="J88">IsURL(Table_121215[[#This Row],[Data Source]])</f>
        <v/>
      </c>
      <c r="K88">
        <f t="array" ref="K88">IsURL(Table_121215[[#This Row],[DOI]])</f>
        <v/>
      </c>
      <c r="L88">
        <f t="array" ref="L88">IsURL(Table_121215[[#This Row],[Data Source]])</f>
        <v/>
      </c>
      <c r="M88">
        <f t="array" ref="M88">IsURL(Table_121215[[#This Row],[Data Source]])</f>
        <v/>
      </c>
    </row>
    <row r="89" ht="15.75" customHeight="1">
      <c r="A89">
        <f>IF(Table_121215[[#This Row],[Media Name]]=0,"",Table_121215[[#This Row],[Media Name]])</f>
        <v/>
      </c>
      <c r="D89" s="25" t="n"/>
      <c r="F89" s="27" t="n"/>
      <c r="I89" s="18">
        <f>IF($B89="","FALSE","TRUE")</f>
        <v/>
      </c>
      <c r="J89">
        <f t="array" ref="J89">IsURL(Table_121215[[#This Row],[Data Source]])</f>
        <v/>
      </c>
      <c r="K89">
        <f t="array" ref="K89">IsURL(Table_121215[[#This Row],[DOI]])</f>
        <v/>
      </c>
      <c r="L89">
        <f t="array" ref="L89">IsURL(Table_121215[[#This Row],[Data Source]])</f>
        <v/>
      </c>
      <c r="M89">
        <f t="array" ref="M89">IsURL(Table_121215[[#This Row],[Data Source]])</f>
        <v/>
      </c>
    </row>
    <row r="90" ht="15.75" customHeight="1">
      <c r="A90">
        <f>IF(Table_121215[[#This Row],[Media Name]]=0,"",Table_121215[[#This Row],[Media Name]])</f>
        <v/>
      </c>
      <c r="D90" s="25" t="n"/>
      <c r="F90" s="27" t="n"/>
      <c r="I90" s="18">
        <f>IF($B90="","FALSE","TRUE")</f>
        <v/>
      </c>
      <c r="J90">
        <f t="array" ref="J90">IsURL(Table_121215[[#This Row],[Data Source]])</f>
        <v/>
      </c>
      <c r="K90">
        <f t="array" ref="K90">IsURL(Table_121215[[#This Row],[DOI]])</f>
        <v/>
      </c>
      <c r="L90">
        <f t="array" ref="L90">IsURL(Table_121215[[#This Row],[Data Source]])</f>
        <v/>
      </c>
      <c r="M90">
        <f t="array" ref="M90">IsURL(Table_121215[[#This Row],[Data Source]])</f>
        <v/>
      </c>
    </row>
    <row r="91" ht="15.75" customHeight="1">
      <c r="A91">
        <f>IF(Table_121215[[#This Row],[Media Name]]=0,"",Table_121215[[#This Row],[Media Name]])</f>
        <v/>
      </c>
      <c r="D91" s="25" t="n"/>
      <c r="F91" s="27" t="n"/>
      <c r="I91" s="18">
        <f>IF($B91="","FALSE","TRUE")</f>
        <v/>
      </c>
      <c r="J91">
        <f t="array" ref="J91">IsURL(Table_121215[[#This Row],[Data Source]])</f>
        <v/>
      </c>
      <c r="K91">
        <f t="array" ref="K91">IsURL(Table_121215[[#This Row],[DOI]])</f>
        <v/>
      </c>
      <c r="L91">
        <f t="array" ref="L91">IsURL(Table_121215[[#This Row],[Data Source]])</f>
        <v/>
      </c>
      <c r="M91">
        <f t="array" ref="M91">IsURL(Table_121215[[#This Row],[Data Source]])</f>
        <v/>
      </c>
    </row>
    <row r="92" ht="15.75" customHeight="1">
      <c r="A92">
        <f>IF(Table_121215[[#This Row],[Media Name]]=0,"",Table_121215[[#This Row],[Media Name]])</f>
        <v/>
      </c>
      <c r="D92" s="25" t="n"/>
      <c r="F92" s="27" t="n"/>
      <c r="I92" s="18">
        <f>IF($B92="","FALSE","TRUE")</f>
        <v/>
      </c>
      <c r="J92">
        <f t="array" ref="J92">IsURL(Table_121215[[#This Row],[Data Source]])</f>
        <v/>
      </c>
      <c r="K92">
        <f t="array" ref="K92">IsURL(Table_121215[[#This Row],[DOI]])</f>
        <v/>
      </c>
      <c r="L92">
        <f t="array" ref="L92">IsURL(Table_121215[[#This Row],[Data Source]])</f>
        <v/>
      </c>
      <c r="M92">
        <f t="array" ref="M92">IsURL(Table_121215[[#This Row],[Data Source]])</f>
        <v/>
      </c>
    </row>
    <row r="93" ht="15.75" customHeight="1">
      <c r="A93">
        <f>IF(Table_121215[[#This Row],[Media Name]]=0,"",Table_121215[[#This Row],[Media Name]])</f>
        <v/>
      </c>
      <c r="D93" s="25" t="n"/>
      <c r="F93" s="27" t="n"/>
      <c r="I93" s="18">
        <f>IF($B93="","FALSE","TRUE")</f>
        <v/>
      </c>
      <c r="J93">
        <f t="array" ref="J93">IsURL(Table_121215[[#This Row],[Data Source]])</f>
        <v/>
      </c>
      <c r="K93">
        <f t="array" ref="K93">IsURL(Table_121215[[#This Row],[DOI]])</f>
        <v/>
      </c>
      <c r="L93">
        <f t="array" ref="L93">IsURL(Table_121215[[#This Row],[Data Source]])</f>
        <v/>
      </c>
      <c r="M93">
        <f t="array" ref="M93">IsURL(Table_121215[[#This Row],[Data Source]])</f>
        <v/>
      </c>
    </row>
    <row r="94" ht="15.75" customHeight="1">
      <c r="A94">
        <f>IF(Table_121215[[#This Row],[Media Name]]=0,"",Table_121215[[#This Row],[Media Name]])</f>
        <v/>
      </c>
      <c r="D94" s="25" t="n"/>
      <c r="F94" s="27" t="n"/>
      <c r="I94" s="18">
        <f>IF($B94="","FALSE","TRUE")</f>
        <v/>
      </c>
      <c r="J94">
        <f t="array" ref="J94">IsURL(Table_121215[[#This Row],[Data Source]])</f>
        <v/>
      </c>
      <c r="K94">
        <f t="array" ref="K94">IsURL(Table_121215[[#This Row],[DOI]])</f>
        <v/>
      </c>
      <c r="L94">
        <f t="array" ref="L94">IsURL(Table_121215[[#This Row],[Data Source]])</f>
        <v/>
      </c>
      <c r="M94">
        <f t="array" ref="M94">IsURL(Table_121215[[#This Row],[Data Source]])</f>
        <v/>
      </c>
    </row>
    <row r="95" ht="15.75" customHeight="1">
      <c r="A95">
        <f>IF(Table_121215[[#This Row],[Media Name]]=0,"",Table_121215[[#This Row],[Media Name]])</f>
        <v/>
      </c>
      <c r="D95" s="25" t="n"/>
      <c r="F95" s="27" t="n"/>
      <c r="I95" s="18">
        <f>IF($B95="","FALSE","TRUE")</f>
        <v/>
      </c>
      <c r="J95">
        <f t="array" ref="J95">IsURL(Table_121215[[#This Row],[Data Source]])</f>
        <v/>
      </c>
      <c r="K95">
        <f t="array" ref="K95">IsURL(Table_121215[[#This Row],[DOI]])</f>
        <v/>
      </c>
      <c r="L95">
        <f t="array" ref="L95">IsURL(Table_121215[[#This Row],[Data Source]])</f>
        <v/>
      </c>
      <c r="M95">
        <f t="array" ref="M95">IsURL(Table_121215[[#This Row],[Data Source]])</f>
        <v/>
      </c>
    </row>
    <row r="96" ht="15.75" customHeight="1">
      <c r="A96">
        <f>IF(Table_121215[[#This Row],[Media Name]]=0,"",Table_121215[[#This Row],[Media Name]])</f>
        <v/>
      </c>
      <c r="D96" s="25" t="n"/>
      <c r="F96" s="27" t="n"/>
      <c r="I96" s="18">
        <f>IF($B96="","FALSE","TRUE")</f>
        <v/>
      </c>
      <c r="J96">
        <f t="array" ref="J96">IsURL(Table_121215[[#This Row],[Data Source]])</f>
        <v/>
      </c>
      <c r="K96">
        <f t="array" ref="K96">IsURL(Table_121215[[#This Row],[DOI]])</f>
        <v/>
      </c>
      <c r="L96">
        <f t="array" ref="L96">IsURL(Table_121215[[#This Row],[Data Source]])</f>
        <v/>
      </c>
      <c r="M96">
        <f t="array" ref="M96">IsURL(Table_121215[[#This Row],[Data Source]])</f>
        <v/>
      </c>
    </row>
    <row r="97" ht="15.75" customHeight="1">
      <c r="A97">
        <f>IF(Table_121215[[#This Row],[Media Name]]=0,"",Table_121215[[#This Row],[Media Name]])</f>
        <v/>
      </c>
      <c r="D97" s="25" t="n"/>
      <c r="F97" s="27" t="n"/>
      <c r="I97" s="18">
        <f>IF($B97="","FALSE","TRUE")</f>
        <v/>
      </c>
      <c r="J97">
        <f t="array" ref="J97">IsURL(Table_121215[[#This Row],[Data Source]])</f>
        <v/>
      </c>
      <c r="K97">
        <f t="array" ref="K97">IsURL(Table_121215[[#This Row],[DOI]])</f>
        <v/>
      </c>
      <c r="L97">
        <f t="array" ref="L97">IsURL(Table_121215[[#This Row],[Data Source]])</f>
        <v/>
      </c>
      <c r="M97">
        <f t="array" ref="M97">IsURL(Table_121215[[#This Row],[Data Source]])</f>
        <v/>
      </c>
    </row>
    <row r="98" ht="15.75" customHeight="1">
      <c r="A98">
        <f>IF(Table_121215[[#This Row],[Media Name]]=0,"",Table_121215[[#This Row],[Media Name]])</f>
        <v/>
      </c>
      <c r="D98" s="25" t="n"/>
      <c r="F98" s="27" t="n"/>
      <c r="I98" s="18">
        <f>IF($B98="","FALSE","TRUE")</f>
        <v/>
      </c>
      <c r="J98">
        <f t="array" ref="J98">IsURL(Table_121215[[#This Row],[Data Source]])</f>
        <v/>
      </c>
      <c r="K98">
        <f t="array" ref="K98">IsURL(Table_121215[[#This Row],[DOI]])</f>
        <v/>
      </c>
      <c r="L98">
        <f t="array" ref="L98">IsURL(Table_121215[[#This Row],[Data Source]])</f>
        <v/>
      </c>
      <c r="M98">
        <f t="array" ref="M98">IsURL(Table_121215[[#This Row],[Data Source]])</f>
        <v/>
      </c>
    </row>
    <row r="99" ht="15.75" customHeight="1">
      <c r="A99">
        <f>IF(Table_121215[[#This Row],[Media Name]]=0,"",Table_121215[[#This Row],[Media Name]])</f>
        <v/>
      </c>
      <c r="D99" s="25" t="n"/>
      <c r="F99" s="27" t="n"/>
      <c r="I99" s="18">
        <f>IF($B99="","FALSE","TRUE")</f>
        <v/>
      </c>
      <c r="J99">
        <f t="array" ref="J99">IsURL(Table_121215[[#This Row],[Data Source]])</f>
        <v/>
      </c>
      <c r="K99">
        <f t="array" ref="K99">IsURL(Table_121215[[#This Row],[DOI]])</f>
        <v/>
      </c>
      <c r="L99">
        <f t="array" ref="L99">IsURL(Table_121215[[#This Row],[Data Source]])</f>
        <v/>
      </c>
      <c r="M99">
        <f t="array" ref="M99">IsURL(Table_121215[[#This Row],[Data Source]])</f>
        <v/>
      </c>
    </row>
    <row r="100" ht="15.75" customHeight="1">
      <c r="A100">
        <f>IF(Table_121215[[#This Row],[Media Name]]=0,"",Table_121215[[#This Row],[Media Name]])</f>
        <v/>
      </c>
      <c r="D100" s="25" t="n"/>
      <c r="F100" s="27" t="n"/>
      <c r="I100" s="18">
        <f>IF($B100="","FALSE","TRUE")</f>
        <v/>
      </c>
      <c r="J100">
        <f t="array" ref="J100">IsURL(Table_121215[[#This Row],[Data Source]])</f>
        <v/>
      </c>
      <c r="K100">
        <f t="array" ref="K100">IsURL(Table_121215[[#This Row],[DOI]])</f>
        <v/>
      </c>
      <c r="L100">
        <f t="array" ref="L100">IsURL(Table_121215[[#This Row],[Data Source]])</f>
        <v/>
      </c>
      <c r="M100">
        <f t="array" ref="M100">IsURL(Table_121215[[#This Row],[Data Source]])</f>
        <v/>
      </c>
    </row>
    <row r="101" ht="15.75" customHeight="1">
      <c r="A101">
        <f>IF(Table_121215[[#This Row],[Media Name]]=0,"",Table_121215[[#This Row],[Media Name]])</f>
        <v/>
      </c>
      <c r="D101" s="25" t="n"/>
      <c r="F101" s="27" t="n"/>
      <c r="I101" s="18">
        <f>IF($B101="","FALSE","TRUE")</f>
        <v/>
      </c>
      <c r="J101">
        <f t="array" ref="J101">IsURL(Table_121215[[#This Row],[Data Source]])</f>
        <v/>
      </c>
      <c r="K101">
        <f t="array" ref="K101">IsURL(Table_121215[[#This Row],[DOI]])</f>
        <v/>
      </c>
      <c r="L101">
        <f t="array" ref="L101">IsURL(Table_121215[[#This Row],[Data Source]])</f>
        <v/>
      </c>
      <c r="M101">
        <f t="array" ref="M101">IsURL(Table_121215[[#This Row],[Data Source]])</f>
        <v/>
      </c>
    </row>
    <row r="102" ht="15.75" customHeight="1">
      <c r="A102">
        <f>IF(Table_121215[[#This Row],[Media Name]]=0,"",Table_121215[[#This Row],[Media Name]])</f>
        <v/>
      </c>
      <c r="D102" s="25" t="n"/>
      <c r="F102" s="27" t="n"/>
      <c r="I102" s="18">
        <f>IF($B102="","FALSE","TRUE")</f>
        <v/>
      </c>
      <c r="J102">
        <f t="array" ref="J102">IsURL(Table_121215[[#This Row],[Data Source]])</f>
        <v/>
      </c>
      <c r="K102">
        <f t="array" ref="K102">IsURL(Table_121215[[#This Row],[DOI]])</f>
        <v/>
      </c>
      <c r="L102">
        <f t="array" ref="L102">IsURL(Table_121215[[#This Row],[Data Source]])</f>
        <v/>
      </c>
      <c r="M102">
        <f t="array" ref="M102">IsURL(Table_121215[[#This Row],[Data Source]])</f>
        <v/>
      </c>
    </row>
    <row r="103" ht="15.75" customHeight="1">
      <c r="A103">
        <f>IF(Table_121215[[#This Row],[Media Name]]=0,"",Table_121215[[#This Row],[Media Name]])</f>
        <v/>
      </c>
      <c r="D103" s="25" t="n"/>
      <c r="F103" s="27" t="n"/>
      <c r="I103" s="18">
        <f>IF($B103="","FALSE","TRUE")</f>
        <v/>
      </c>
      <c r="J103">
        <f t="array" ref="J103">IsURL(Table_121215[[#This Row],[Data Source]])</f>
        <v/>
      </c>
      <c r="K103">
        <f t="array" ref="K103">IsURL(Table_121215[[#This Row],[DOI]])</f>
        <v/>
      </c>
      <c r="L103">
        <f t="array" ref="L103">IsURL(Table_121215[[#This Row],[Data Source]])</f>
        <v/>
      </c>
      <c r="M103">
        <f t="array" ref="M103">IsURL(Table_121215[[#This Row],[Data Source]])</f>
        <v/>
      </c>
    </row>
    <row r="104" ht="15.75" customHeight="1">
      <c r="A104">
        <f>IF(Table_121215[[#This Row],[Media Name]]=0,"",Table_121215[[#This Row],[Media Name]])</f>
        <v/>
      </c>
      <c r="D104" s="25" t="n"/>
      <c r="F104" s="27" t="n"/>
      <c r="I104" s="18">
        <f>IF($B104="","FALSE","TRUE")</f>
        <v/>
      </c>
      <c r="J104">
        <f t="array" ref="J104">IsURL(Table_121215[[#This Row],[Data Source]])</f>
        <v/>
      </c>
      <c r="K104">
        <f t="array" ref="K104">IsURL(Table_121215[[#This Row],[DOI]])</f>
        <v/>
      </c>
      <c r="L104">
        <f t="array" ref="L104">IsURL(Table_121215[[#This Row],[Data Source]])</f>
        <v/>
      </c>
      <c r="M104">
        <f t="array" ref="M104">IsURL(Table_121215[[#This Row],[Data Source]])</f>
        <v/>
      </c>
    </row>
    <row r="105" ht="15.75" customHeight="1">
      <c r="A105">
        <f>IF(Table_121215[[#This Row],[Media Name]]=0,"",Table_121215[[#This Row],[Media Name]])</f>
        <v/>
      </c>
      <c r="D105" s="25" t="n"/>
      <c r="F105" s="27" t="n"/>
      <c r="I105" s="18">
        <f>IF($B105="","FALSE","TRUE")</f>
        <v/>
      </c>
      <c r="J105">
        <f t="array" ref="J105">IsURL(Table_121215[[#This Row],[Data Source]])</f>
        <v/>
      </c>
      <c r="K105">
        <f t="array" ref="K105">IsURL(Table_121215[[#This Row],[DOI]])</f>
        <v/>
      </c>
      <c r="L105">
        <f t="array" ref="L105">IsURL(Table_121215[[#This Row],[Data Source]])</f>
        <v/>
      </c>
      <c r="M105">
        <f t="array" ref="M105">IsURL(Table_121215[[#This Row],[Data Source]])</f>
        <v/>
      </c>
    </row>
    <row r="106" ht="15.75" customHeight="1">
      <c r="A106">
        <f>IF(Table_121215[[#This Row],[Media Name]]=0,"",Table_121215[[#This Row],[Media Name]])</f>
        <v/>
      </c>
      <c r="D106" s="25" t="n"/>
      <c r="F106" s="27" t="n"/>
      <c r="I106" s="18">
        <f>IF($B106="","FALSE","TRUE")</f>
        <v/>
      </c>
      <c r="J106">
        <f t="array" ref="J106">IsURL(Table_121215[[#This Row],[Data Source]])</f>
        <v/>
      </c>
      <c r="K106">
        <f t="array" ref="K106">IsURL(Table_121215[[#This Row],[DOI]])</f>
        <v/>
      </c>
      <c r="L106">
        <f t="array" ref="L106">IsURL(Table_121215[[#This Row],[Data Source]])</f>
        <v/>
      </c>
      <c r="M106">
        <f t="array" ref="M106">IsURL(Table_121215[[#This Row],[Data Source]])</f>
        <v/>
      </c>
    </row>
    <row r="107" ht="15.75" customHeight="1">
      <c r="A107">
        <f>IF(Table_121215[[#This Row],[Media Name]]=0,"",Table_121215[[#This Row],[Media Name]])</f>
        <v/>
      </c>
      <c r="D107" s="25" t="n"/>
      <c r="F107" s="27" t="n"/>
      <c r="I107" s="18">
        <f>IF($B107="","FALSE","TRUE")</f>
        <v/>
      </c>
      <c r="J107">
        <f t="array" ref="J107">IsURL(Table_121215[[#This Row],[Data Source]])</f>
        <v/>
      </c>
      <c r="K107">
        <f t="array" ref="K107">IsURL(Table_121215[[#This Row],[DOI]])</f>
        <v/>
      </c>
      <c r="L107">
        <f t="array" ref="L107">IsURL(Table_121215[[#This Row],[Data Source]])</f>
        <v/>
      </c>
      <c r="M107">
        <f t="array" ref="M107">IsURL(Table_121215[[#This Row],[Data Source]])</f>
        <v/>
      </c>
    </row>
    <row r="108" ht="15.75" customHeight="1">
      <c r="A108">
        <f>IF(Table_121215[[#This Row],[Media Name]]=0,"",Table_121215[[#This Row],[Media Name]])</f>
        <v/>
      </c>
      <c r="D108" s="25" t="n"/>
      <c r="F108" s="27" t="n"/>
      <c r="I108" s="18">
        <f>IF($B108="","FALSE","TRUE")</f>
        <v/>
      </c>
      <c r="J108">
        <f t="array" ref="J108">IsURL(Table_121215[[#This Row],[Data Source]])</f>
        <v/>
      </c>
      <c r="K108">
        <f t="array" ref="K108">IsURL(Table_121215[[#This Row],[DOI]])</f>
        <v/>
      </c>
      <c r="L108">
        <f t="array" ref="L108">IsURL(Table_121215[[#This Row],[Data Source]])</f>
        <v/>
      </c>
      <c r="M108">
        <f t="array" ref="M108">IsURL(Table_121215[[#This Row],[Data Source]])</f>
        <v/>
      </c>
    </row>
    <row r="109" ht="15.75" customHeight="1">
      <c r="A109">
        <f>IF(Table_121215[[#This Row],[Media Name]]=0,"",Table_121215[[#This Row],[Media Name]])</f>
        <v/>
      </c>
      <c r="D109" s="25" t="n"/>
      <c r="F109" s="27" t="n"/>
      <c r="I109" s="18">
        <f>IF($B109="","FALSE","TRUE")</f>
        <v/>
      </c>
      <c r="J109">
        <f t="array" ref="J109">IsURL(Table_121215[[#This Row],[Data Source]])</f>
        <v/>
      </c>
      <c r="K109">
        <f t="array" ref="K109">IsURL(Table_121215[[#This Row],[DOI]])</f>
        <v/>
      </c>
      <c r="L109">
        <f t="array" ref="L109">IsURL(Table_121215[[#This Row],[Data Source]])</f>
        <v/>
      </c>
      <c r="M109">
        <f t="array" ref="M109">IsURL(Table_121215[[#This Row],[Data Source]])</f>
        <v/>
      </c>
    </row>
    <row r="110" ht="15.75" customHeight="1">
      <c r="A110">
        <f>IF(Table_121215[[#This Row],[Media Name]]=0,"",Table_121215[[#This Row],[Media Name]])</f>
        <v/>
      </c>
      <c r="D110" s="25" t="n"/>
      <c r="F110" s="27" t="n"/>
      <c r="I110" s="18">
        <f>IF($B110="","FALSE","TRUE")</f>
        <v/>
      </c>
      <c r="J110">
        <f t="array" ref="J110">IsURL(Table_121215[[#This Row],[Data Source]])</f>
        <v/>
      </c>
      <c r="K110">
        <f t="array" ref="K110">IsURL(Table_121215[[#This Row],[DOI]])</f>
        <v/>
      </c>
      <c r="L110">
        <f t="array" ref="L110">IsURL(Table_121215[[#This Row],[Data Source]])</f>
        <v/>
      </c>
      <c r="M110">
        <f t="array" ref="M110">IsURL(Table_121215[[#This Row],[Data Source]])</f>
        <v/>
      </c>
    </row>
    <row r="111" ht="15.75" customHeight="1">
      <c r="A111">
        <f>IF(Table_121215[[#This Row],[Media Name]]=0,"",Table_121215[[#This Row],[Media Name]])</f>
        <v/>
      </c>
      <c r="D111" s="25" t="n"/>
      <c r="F111" s="27" t="n"/>
      <c r="I111" s="18">
        <f>IF($B111="","FALSE","TRUE")</f>
        <v/>
      </c>
      <c r="J111">
        <f t="array" ref="J111">IsURL(Table_121215[[#This Row],[Data Source]])</f>
        <v/>
      </c>
      <c r="K111">
        <f t="array" ref="K111">IsURL(Table_121215[[#This Row],[DOI]])</f>
        <v/>
      </c>
      <c r="L111">
        <f t="array" ref="L111">IsURL(Table_121215[[#This Row],[Data Source]])</f>
        <v/>
      </c>
      <c r="M111">
        <f t="array" ref="M111">IsURL(Table_121215[[#This Row],[Data Source]])</f>
        <v/>
      </c>
    </row>
    <row r="112" ht="15.75" customHeight="1">
      <c r="A112">
        <f>IF(Table_121215[[#This Row],[Media Name]]=0,"",Table_121215[[#This Row],[Media Name]])</f>
        <v/>
      </c>
      <c r="D112" s="25" t="n"/>
      <c r="F112" s="27" t="n"/>
      <c r="I112" s="18">
        <f>IF($B112="","FALSE","TRUE")</f>
        <v/>
      </c>
      <c r="J112">
        <f t="array" ref="J112">IsURL(Table_121215[[#This Row],[Data Source]])</f>
        <v/>
      </c>
      <c r="K112">
        <f t="array" ref="K112">IsURL(Table_121215[[#This Row],[DOI]])</f>
        <v/>
      </c>
      <c r="L112">
        <f t="array" ref="L112">IsURL(Table_121215[[#This Row],[Data Source]])</f>
        <v/>
      </c>
      <c r="M112">
        <f t="array" ref="M112">IsURL(Table_121215[[#This Row],[Data Source]])</f>
        <v/>
      </c>
    </row>
    <row r="113" ht="15.75" customHeight="1">
      <c r="A113">
        <f>IF(Table_121215[[#This Row],[Media Name]]=0,"",Table_121215[[#This Row],[Media Name]])</f>
        <v/>
      </c>
      <c r="D113" s="25" t="n"/>
      <c r="F113" s="27" t="n"/>
      <c r="I113" s="18">
        <f>IF($B113="","FALSE","TRUE")</f>
        <v/>
      </c>
      <c r="J113">
        <f t="array" ref="J113">IsURL(Table_121215[[#This Row],[Data Source]])</f>
        <v/>
      </c>
      <c r="K113">
        <f t="array" ref="K113">IsURL(Table_121215[[#This Row],[DOI]])</f>
        <v/>
      </c>
      <c r="L113">
        <f t="array" ref="L113">IsURL(Table_121215[[#This Row],[Data Source]])</f>
        <v/>
      </c>
      <c r="M113">
        <f t="array" ref="M113">IsURL(Table_121215[[#This Row],[Data Source]])</f>
        <v/>
      </c>
    </row>
    <row r="114" ht="15.75" customHeight="1">
      <c r="A114">
        <f>IF(Table_121215[[#This Row],[Media Name]]=0,"",Table_121215[[#This Row],[Media Name]])</f>
        <v/>
      </c>
      <c r="D114" s="25" t="n"/>
      <c r="F114" s="27" t="n"/>
      <c r="I114" s="18">
        <f>IF($B114="","FALSE","TRUE")</f>
        <v/>
      </c>
      <c r="J114">
        <f t="array" ref="J114">IsURL(Table_121215[[#This Row],[Data Source]])</f>
        <v/>
      </c>
      <c r="K114">
        <f t="array" ref="K114">IsURL(Table_121215[[#This Row],[DOI]])</f>
        <v/>
      </c>
      <c r="L114">
        <f t="array" ref="L114">IsURL(Table_121215[[#This Row],[Data Source]])</f>
        <v/>
      </c>
      <c r="M114">
        <f t="array" ref="M114">IsURL(Table_121215[[#This Row],[Data Source]])</f>
        <v/>
      </c>
    </row>
    <row r="115" ht="15.75" customHeight="1">
      <c r="A115">
        <f>IF(Table_121215[[#This Row],[Media Name]]=0,"",Table_121215[[#This Row],[Media Name]])</f>
        <v/>
      </c>
      <c r="D115" s="25" t="n"/>
      <c r="F115" s="27" t="n"/>
      <c r="I115" s="18">
        <f>IF($B115="","FALSE","TRUE")</f>
        <v/>
      </c>
      <c r="J115">
        <f t="array" ref="J115">IsURL(Table_121215[[#This Row],[Data Source]])</f>
        <v/>
      </c>
      <c r="K115">
        <f t="array" ref="K115">IsURL(Table_121215[[#This Row],[DOI]])</f>
        <v/>
      </c>
      <c r="L115">
        <f t="array" ref="L115">IsURL(Table_121215[[#This Row],[Data Source]])</f>
        <v/>
      </c>
      <c r="M115">
        <f t="array" ref="M115">IsURL(Table_121215[[#This Row],[Data Source]])</f>
        <v/>
      </c>
    </row>
    <row r="116" ht="15.75" customHeight="1">
      <c r="A116">
        <f>IF(Table_121215[[#This Row],[Media Name]]=0,"",Table_121215[[#This Row],[Media Name]])</f>
        <v/>
      </c>
      <c r="D116" s="25" t="n"/>
      <c r="F116" s="27" t="n"/>
      <c r="I116" s="18">
        <f>IF($B116="","FALSE","TRUE")</f>
        <v/>
      </c>
      <c r="J116">
        <f t="array" ref="J116">IsURL(Table_121215[[#This Row],[Data Source]])</f>
        <v/>
      </c>
      <c r="K116">
        <f t="array" ref="K116">IsURL(Table_121215[[#This Row],[DOI]])</f>
        <v/>
      </c>
      <c r="L116">
        <f t="array" ref="L116">IsURL(Table_121215[[#This Row],[Data Source]])</f>
        <v/>
      </c>
      <c r="M116">
        <f t="array" ref="M116">IsURL(Table_121215[[#This Row],[Data Source]])</f>
        <v/>
      </c>
    </row>
    <row r="117" ht="15.75" customHeight="1">
      <c r="A117">
        <f>IF(Table_121215[[#This Row],[Media Name]]=0,"",Table_121215[[#This Row],[Media Name]])</f>
        <v/>
      </c>
      <c r="D117" s="25" t="n"/>
      <c r="F117" s="27" t="n"/>
      <c r="I117" s="18">
        <f>IF($B117="","FALSE","TRUE")</f>
        <v/>
      </c>
      <c r="J117">
        <f t="array" ref="J117">IsURL(Table_121215[[#This Row],[Data Source]])</f>
        <v/>
      </c>
      <c r="K117">
        <f t="array" ref="K117">IsURL(Table_121215[[#This Row],[DOI]])</f>
        <v/>
      </c>
      <c r="L117">
        <f t="array" ref="L117">IsURL(Table_121215[[#This Row],[Data Source]])</f>
        <v/>
      </c>
      <c r="M117">
        <f t="array" ref="M117">IsURL(Table_121215[[#This Row],[Data Source]])</f>
        <v/>
      </c>
    </row>
    <row r="118" ht="15.75" customHeight="1">
      <c r="A118">
        <f>IF(Table_121215[[#This Row],[Media Name]]=0,"",Table_121215[[#This Row],[Media Name]])</f>
        <v/>
      </c>
      <c r="D118" s="25" t="n"/>
      <c r="F118" s="27" t="n"/>
      <c r="I118" s="18">
        <f>IF($B118="","FALSE","TRUE")</f>
        <v/>
      </c>
      <c r="J118">
        <f t="array" ref="J118">IsURL(Table_121215[[#This Row],[Data Source]])</f>
        <v/>
      </c>
      <c r="K118">
        <f t="array" ref="K118">IsURL(Table_121215[[#This Row],[DOI]])</f>
        <v/>
      </c>
      <c r="L118">
        <f t="array" ref="L118">IsURL(Table_121215[[#This Row],[Data Source]])</f>
        <v/>
      </c>
      <c r="M118">
        <f t="array" ref="M118">IsURL(Table_121215[[#This Row],[Data Source]])</f>
        <v/>
      </c>
    </row>
    <row r="119" ht="15.75" customHeight="1">
      <c r="A119">
        <f>IF(Table_121215[[#This Row],[Media Name]]=0,"",Table_121215[[#This Row],[Media Name]])</f>
        <v/>
      </c>
      <c r="D119" s="25" t="n"/>
      <c r="F119" s="27" t="n"/>
      <c r="I119" s="18">
        <f>IF($B119="","FALSE","TRUE")</f>
        <v/>
      </c>
      <c r="J119">
        <f t="array" ref="J119">IsURL(Table_121215[[#This Row],[Data Source]])</f>
        <v/>
      </c>
      <c r="K119">
        <f t="array" ref="K119">IsURL(Table_121215[[#This Row],[DOI]])</f>
        <v/>
      </c>
      <c r="L119">
        <f t="array" ref="L119">IsURL(Table_121215[[#This Row],[Data Source]])</f>
        <v/>
      </c>
      <c r="M119">
        <f t="array" ref="M119">IsURL(Table_121215[[#This Row],[Data Source]])</f>
        <v/>
      </c>
    </row>
    <row r="120" ht="15.75" customHeight="1">
      <c r="A120">
        <f>IF(Table_121215[[#This Row],[Media Name]]=0,"",Table_121215[[#This Row],[Media Name]])</f>
        <v/>
      </c>
      <c r="D120" s="25" t="n"/>
      <c r="F120" s="27" t="n"/>
      <c r="I120" s="18">
        <f>IF($B120="","FALSE","TRUE")</f>
        <v/>
      </c>
      <c r="J120">
        <f t="array" ref="J120">IsURL(Table_121215[[#This Row],[Data Source]])</f>
        <v/>
      </c>
      <c r="K120">
        <f t="array" ref="K120">IsURL(Table_121215[[#This Row],[DOI]])</f>
        <v/>
      </c>
      <c r="L120">
        <f t="array" ref="L120">IsURL(Table_121215[[#This Row],[Data Source]])</f>
        <v/>
      </c>
      <c r="M120">
        <f t="array" ref="M120">IsURL(Table_121215[[#This Row],[Data Source]])</f>
        <v/>
      </c>
    </row>
    <row r="121" ht="15.75" customHeight="1">
      <c r="A121">
        <f>IF(Table_121215[[#This Row],[Media Name]]=0,"",Table_121215[[#This Row],[Media Name]])</f>
        <v/>
      </c>
      <c r="D121" s="25" t="n"/>
      <c r="F121" s="27" t="n"/>
      <c r="I121" s="18">
        <f>IF($B121="","FALSE","TRUE")</f>
        <v/>
      </c>
      <c r="J121">
        <f t="array" ref="J121">IsURL(Table_121215[[#This Row],[Data Source]])</f>
        <v/>
      </c>
      <c r="K121">
        <f t="array" ref="K121">IsURL(Table_121215[[#This Row],[DOI]])</f>
        <v/>
      </c>
      <c r="L121">
        <f t="array" ref="L121">IsURL(Table_121215[[#This Row],[Data Source]])</f>
        <v/>
      </c>
      <c r="M121">
        <f t="array" ref="M121">IsURL(Table_121215[[#This Row],[Data Source]])</f>
        <v/>
      </c>
    </row>
    <row r="122" ht="15.75" customHeight="1">
      <c r="A122">
        <f>IF(Table_121215[[#This Row],[Media Name]]=0,"",Table_121215[[#This Row],[Media Name]])</f>
        <v/>
      </c>
      <c r="D122" s="25" t="n"/>
      <c r="F122" s="27" t="n"/>
      <c r="I122" s="18">
        <f>IF($B122="","FALSE","TRUE")</f>
        <v/>
      </c>
      <c r="J122">
        <f t="array" ref="J122">IsURL(Table_121215[[#This Row],[Data Source]])</f>
        <v/>
      </c>
      <c r="K122">
        <f t="array" ref="K122">IsURL(Table_121215[[#This Row],[DOI]])</f>
        <v/>
      </c>
      <c r="L122">
        <f t="array" ref="L122">IsURL(Table_121215[[#This Row],[Data Source]])</f>
        <v/>
      </c>
      <c r="M122">
        <f t="array" ref="M122">IsURL(Table_121215[[#This Row],[Data Source]])</f>
        <v/>
      </c>
    </row>
    <row r="123" ht="15.75" customHeight="1">
      <c r="A123">
        <f>IF(Table_121215[[#This Row],[Media Name]]=0,"",Table_121215[[#This Row],[Media Name]])</f>
        <v/>
      </c>
      <c r="D123" s="25" t="n"/>
      <c r="F123" s="27" t="n"/>
      <c r="I123" s="18">
        <f>IF($B123="","FALSE","TRUE")</f>
        <v/>
      </c>
      <c r="J123">
        <f t="array" ref="J123">IsURL(Table_121215[[#This Row],[Data Source]])</f>
        <v/>
      </c>
      <c r="K123">
        <f t="array" ref="K123">IsURL(Table_121215[[#This Row],[DOI]])</f>
        <v/>
      </c>
      <c r="L123">
        <f t="array" ref="L123">IsURL(Table_121215[[#This Row],[Data Source]])</f>
        <v/>
      </c>
      <c r="M123">
        <f t="array" ref="M123">IsURL(Table_121215[[#This Row],[Data Source]])</f>
        <v/>
      </c>
    </row>
    <row r="124" ht="15.75" customHeight="1">
      <c r="A124">
        <f>IF(Table_121215[[#This Row],[Media Name]]=0,"",Table_121215[[#This Row],[Media Name]])</f>
        <v/>
      </c>
      <c r="D124" s="25" t="n"/>
      <c r="F124" s="27" t="n"/>
      <c r="I124" s="18">
        <f>IF($B124="","FALSE","TRUE")</f>
        <v/>
      </c>
      <c r="J124">
        <f t="array" ref="J124">IsURL(Table_121215[[#This Row],[Data Source]])</f>
        <v/>
      </c>
      <c r="K124">
        <f t="array" ref="K124">IsURL(Table_121215[[#This Row],[DOI]])</f>
        <v/>
      </c>
      <c r="L124">
        <f t="array" ref="L124">IsURL(Table_121215[[#This Row],[Data Source]])</f>
        <v/>
      </c>
      <c r="M124">
        <f t="array" ref="M124">IsURL(Table_121215[[#This Row],[Data Source]])</f>
        <v/>
      </c>
    </row>
    <row r="125" ht="15.75" customHeight="1">
      <c r="A125">
        <f>IF(Table_121215[[#This Row],[Media Name]]=0,"",Table_121215[[#This Row],[Media Name]])</f>
        <v/>
      </c>
      <c r="D125" s="25" t="n"/>
      <c r="F125" s="27" t="n"/>
      <c r="I125" s="18">
        <f>IF($B125="","FALSE","TRUE")</f>
        <v/>
      </c>
      <c r="J125">
        <f t="array" ref="J125">IsURL(Table_121215[[#This Row],[Data Source]])</f>
        <v/>
      </c>
      <c r="K125">
        <f t="array" ref="K125">IsURL(Table_121215[[#This Row],[DOI]])</f>
        <v/>
      </c>
      <c r="L125">
        <f t="array" ref="L125">IsURL(Table_121215[[#This Row],[Data Source]])</f>
        <v/>
      </c>
      <c r="M125">
        <f t="array" ref="M125">IsURL(Table_121215[[#This Row],[Data Source]])</f>
        <v/>
      </c>
    </row>
    <row r="126" ht="15.75" customHeight="1">
      <c r="A126">
        <f>IF(Table_121215[[#This Row],[Media Name]]=0,"",Table_121215[[#This Row],[Media Name]])</f>
        <v/>
      </c>
      <c r="D126" s="25" t="n"/>
      <c r="F126" s="27" t="n"/>
      <c r="I126" s="18">
        <f>IF($B126="","FALSE","TRUE")</f>
        <v/>
      </c>
      <c r="J126">
        <f t="array" ref="J126">IsURL(Table_121215[[#This Row],[Data Source]])</f>
        <v/>
      </c>
      <c r="K126">
        <f t="array" ref="K126">IsURL(Table_121215[[#This Row],[DOI]])</f>
        <v/>
      </c>
      <c r="L126">
        <f t="array" ref="L126">IsURL(Table_121215[[#This Row],[Data Source]])</f>
        <v/>
      </c>
      <c r="M126">
        <f t="array" ref="M126">IsURL(Table_121215[[#This Row],[Data Source]])</f>
        <v/>
      </c>
    </row>
    <row r="127" ht="15.75" customHeight="1">
      <c r="A127">
        <f>IF(Table_121215[[#This Row],[Media Name]]=0,"",Table_121215[[#This Row],[Media Name]])</f>
        <v/>
      </c>
      <c r="D127" s="25" t="n"/>
      <c r="F127" s="27" t="n"/>
      <c r="I127" s="18">
        <f>IF($B127="","FALSE","TRUE")</f>
        <v/>
      </c>
      <c r="J127">
        <f t="array" ref="J127">IsURL(Table_121215[[#This Row],[Data Source]])</f>
        <v/>
      </c>
      <c r="K127">
        <f t="array" ref="K127">IsURL(Table_121215[[#This Row],[DOI]])</f>
        <v/>
      </c>
      <c r="L127">
        <f t="array" ref="L127">IsURL(Table_121215[[#This Row],[Data Source]])</f>
        <v/>
      </c>
      <c r="M127">
        <f t="array" ref="M127">IsURL(Table_121215[[#This Row],[Data Source]])</f>
        <v/>
      </c>
    </row>
    <row r="128" ht="15.75" customHeight="1">
      <c r="A128">
        <f>IF(Table_121215[[#This Row],[Media Name]]=0,"",Table_121215[[#This Row],[Media Name]])</f>
        <v/>
      </c>
      <c r="D128" s="25" t="n"/>
      <c r="F128" s="27" t="n"/>
      <c r="I128" s="18">
        <f>IF($B128="","FALSE","TRUE")</f>
        <v/>
      </c>
      <c r="J128">
        <f t="array" ref="J128">IsURL(Table_121215[[#This Row],[Data Source]])</f>
        <v/>
      </c>
      <c r="K128">
        <f t="array" ref="K128">IsURL(Table_121215[[#This Row],[DOI]])</f>
        <v/>
      </c>
      <c r="L128">
        <f t="array" ref="L128">IsURL(Table_121215[[#This Row],[Data Source]])</f>
        <v/>
      </c>
      <c r="M128">
        <f t="array" ref="M128">IsURL(Table_121215[[#This Row],[Data Source]])</f>
        <v/>
      </c>
    </row>
    <row r="129" ht="15.75" customHeight="1">
      <c r="A129">
        <f>IF(Table_121215[[#This Row],[Media Name]]=0,"",Table_121215[[#This Row],[Media Name]])</f>
        <v/>
      </c>
      <c r="D129" s="25" t="n"/>
      <c r="F129" s="27" t="n"/>
      <c r="I129" s="18">
        <f>IF($B129="","FALSE","TRUE")</f>
        <v/>
      </c>
      <c r="J129">
        <f t="array" ref="J129">IsURL(Table_121215[[#This Row],[Data Source]])</f>
        <v/>
      </c>
      <c r="K129">
        <f t="array" ref="K129">IsURL(Table_121215[[#This Row],[DOI]])</f>
        <v/>
      </c>
      <c r="L129">
        <f t="array" ref="L129">IsURL(Table_121215[[#This Row],[Data Source]])</f>
        <v/>
      </c>
      <c r="M129">
        <f t="array" ref="M129">IsURL(Table_121215[[#This Row],[Data Source]])</f>
        <v/>
      </c>
    </row>
    <row r="130" ht="15.75" customHeight="1">
      <c r="A130">
        <f>IF(Table_121215[[#This Row],[Media Name]]=0,"",Table_121215[[#This Row],[Media Name]])</f>
        <v/>
      </c>
      <c r="D130" s="25" t="n"/>
      <c r="F130" s="27" t="n"/>
      <c r="I130" s="18">
        <f>IF($B130="","FALSE","TRUE")</f>
        <v/>
      </c>
      <c r="J130">
        <f t="array" ref="J130">IsURL(Table_121215[[#This Row],[Data Source]])</f>
        <v/>
      </c>
      <c r="K130">
        <f t="array" ref="K130">IsURL(Table_121215[[#This Row],[DOI]])</f>
        <v/>
      </c>
      <c r="L130">
        <f t="array" ref="L130">IsURL(Table_121215[[#This Row],[Data Source]])</f>
        <v/>
      </c>
      <c r="M130">
        <f t="array" ref="M130">IsURL(Table_121215[[#This Row],[Data Source]])</f>
        <v/>
      </c>
    </row>
    <row r="131" ht="15.75" customHeight="1">
      <c r="A131">
        <f>IF(Table_121215[[#This Row],[Media Name]]=0,"",Table_121215[[#This Row],[Media Name]])</f>
        <v/>
      </c>
      <c r="D131" s="25" t="n"/>
      <c r="F131" s="27" t="n"/>
      <c r="I131" s="18">
        <f>IF($B131="","FALSE","TRUE")</f>
        <v/>
      </c>
      <c r="J131">
        <f t="array" ref="J131">IsURL(Table_121215[[#This Row],[Data Source]])</f>
        <v/>
      </c>
      <c r="K131">
        <f t="array" ref="K131">IsURL(Table_121215[[#This Row],[DOI]])</f>
        <v/>
      </c>
      <c r="L131">
        <f t="array" ref="L131">IsURL(Table_121215[[#This Row],[Data Source]])</f>
        <v/>
      </c>
      <c r="M131">
        <f t="array" ref="M131">IsURL(Table_121215[[#This Row],[Data Source]])</f>
        <v/>
      </c>
    </row>
    <row r="132" ht="15.75" customHeight="1">
      <c r="A132">
        <f>IF(Table_121215[[#This Row],[Media Name]]=0,"",Table_121215[[#This Row],[Media Name]])</f>
        <v/>
      </c>
      <c r="D132" s="25" t="n"/>
      <c r="F132" s="27" t="n"/>
      <c r="I132" s="18">
        <f>IF($B132="","FALSE","TRUE")</f>
        <v/>
      </c>
      <c r="J132">
        <f t="array" ref="J132">IsURL(Table_121215[[#This Row],[Data Source]])</f>
        <v/>
      </c>
      <c r="K132">
        <f t="array" ref="K132">IsURL(Table_121215[[#This Row],[DOI]])</f>
        <v/>
      </c>
      <c r="L132">
        <f t="array" ref="L132">IsURL(Table_121215[[#This Row],[Data Source]])</f>
        <v/>
      </c>
      <c r="M132">
        <f t="array" ref="M132">IsURL(Table_121215[[#This Row],[Data Source]])</f>
        <v/>
      </c>
    </row>
    <row r="133" ht="15.75" customHeight="1">
      <c r="A133">
        <f>IF(Table_121215[[#This Row],[Media Name]]=0,"",Table_121215[[#This Row],[Media Name]])</f>
        <v/>
      </c>
      <c r="D133" s="25" t="n"/>
      <c r="F133" s="27" t="n"/>
      <c r="I133" s="18">
        <f>IF($B133="","FALSE","TRUE")</f>
        <v/>
      </c>
      <c r="J133">
        <f t="array" ref="J133">IsURL(Table_121215[[#This Row],[Data Source]])</f>
        <v/>
      </c>
      <c r="K133">
        <f t="array" ref="K133">IsURL(Table_121215[[#This Row],[DOI]])</f>
        <v/>
      </c>
      <c r="L133">
        <f t="array" ref="L133">IsURL(Table_121215[[#This Row],[Data Source]])</f>
        <v/>
      </c>
      <c r="M133">
        <f t="array" ref="M133">IsURL(Table_121215[[#This Row],[Data Source]])</f>
        <v/>
      </c>
    </row>
    <row r="134" ht="15.75" customHeight="1">
      <c r="A134">
        <f>IF(Table_121215[[#This Row],[Media Name]]=0,"",Table_121215[[#This Row],[Media Name]])</f>
        <v/>
      </c>
      <c r="D134" s="25" t="n"/>
      <c r="F134" s="27" t="n"/>
      <c r="I134" s="18">
        <f>IF($B134="","FALSE","TRUE")</f>
        <v/>
      </c>
      <c r="J134">
        <f t="array" ref="J134">IsURL(Table_121215[[#This Row],[Data Source]])</f>
        <v/>
      </c>
      <c r="K134">
        <f t="array" ref="K134">IsURL(Table_121215[[#This Row],[DOI]])</f>
        <v/>
      </c>
      <c r="L134">
        <f t="array" ref="L134">IsURL(Table_121215[[#This Row],[Data Source]])</f>
        <v/>
      </c>
      <c r="M134">
        <f t="array" ref="M134">IsURL(Table_121215[[#This Row],[Data Source]])</f>
        <v/>
      </c>
    </row>
    <row r="135" ht="15.75" customHeight="1">
      <c r="A135">
        <f>IF(Table_121215[[#This Row],[Media Name]]=0,"",Table_121215[[#This Row],[Media Name]])</f>
        <v/>
      </c>
      <c r="D135" s="25" t="n"/>
      <c r="F135" s="27" t="n"/>
      <c r="I135" s="18">
        <f>IF($B135="","FALSE","TRUE")</f>
        <v/>
      </c>
      <c r="J135">
        <f t="array" ref="J135">IsURL(Table_121215[[#This Row],[Data Source]])</f>
        <v/>
      </c>
      <c r="K135">
        <f t="array" ref="K135">IsURL(Table_121215[[#This Row],[DOI]])</f>
        <v/>
      </c>
      <c r="L135">
        <f t="array" ref="L135">IsURL(Table_121215[[#This Row],[Data Source]])</f>
        <v/>
      </c>
      <c r="M135">
        <f t="array" ref="M135">IsURL(Table_121215[[#This Row],[Data Source]])</f>
        <v/>
      </c>
    </row>
    <row r="136" ht="15.75" customHeight="1">
      <c r="A136">
        <f>IF(Table_121215[[#This Row],[Media Name]]=0,"",Table_121215[[#This Row],[Media Name]])</f>
        <v/>
      </c>
      <c r="D136" s="25" t="n"/>
      <c r="F136" s="27" t="n"/>
      <c r="I136" s="18">
        <f>IF($B136="","FALSE","TRUE")</f>
        <v/>
      </c>
      <c r="J136">
        <f t="array" ref="J136">IsURL(Table_121215[[#This Row],[Data Source]])</f>
        <v/>
      </c>
      <c r="K136">
        <f t="array" ref="K136">IsURL(Table_121215[[#This Row],[DOI]])</f>
        <v/>
      </c>
      <c r="L136">
        <f t="array" ref="L136">IsURL(Table_121215[[#This Row],[Data Source]])</f>
        <v/>
      </c>
      <c r="M136">
        <f t="array" ref="M136">IsURL(Table_121215[[#This Row],[Data Source]])</f>
        <v/>
      </c>
    </row>
    <row r="137" ht="15.75" customHeight="1">
      <c r="A137">
        <f>IF(Table_121215[[#This Row],[Media Name]]=0,"",Table_121215[[#This Row],[Media Name]])</f>
        <v/>
      </c>
      <c r="D137" s="25" t="n"/>
      <c r="F137" s="27" t="n"/>
      <c r="I137" s="18">
        <f>IF($B137="","FALSE","TRUE")</f>
        <v/>
      </c>
      <c r="J137">
        <f t="array" ref="J137">IsURL(Table_121215[[#This Row],[Data Source]])</f>
        <v/>
      </c>
      <c r="K137">
        <f t="array" ref="K137">IsURL(Table_121215[[#This Row],[DOI]])</f>
        <v/>
      </c>
      <c r="L137">
        <f t="array" ref="L137">IsURL(Table_121215[[#This Row],[Data Source]])</f>
        <v/>
      </c>
      <c r="M137">
        <f t="array" ref="M137">IsURL(Table_121215[[#This Row],[Data Source]])</f>
        <v/>
      </c>
    </row>
    <row r="138" ht="15.75" customHeight="1">
      <c r="A138">
        <f>IF(Table_121215[[#This Row],[Media Name]]=0,"",Table_121215[[#This Row],[Media Name]])</f>
        <v/>
      </c>
      <c r="D138" s="25" t="n"/>
      <c r="F138" s="27" t="n"/>
      <c r="I138" s="18">
        <f>IF($B138="","FALSE","TRUE")</f>
        <v/>
      </c>
      <c r="J138">
        <f t="array" ref="J138">IsURL(Table_121215[[#This Row],[Data Source]])</f>
        <v/>
      </c>
      <c r="K138">
        <f t="array" ref="K138">IsURL(Table_121215[[#This Row],[DOI]])</f>
        <v/>
      </c>
      <c r="L138">
        <f t="array" ref="L138">IsURL(Table_121215[[#This Row],[Data Source]])</f>
        <v/>
      </c>
      <c r="M138">
        <f t="array" ref="M138">IsURL(Table_121215[[#This Row],[Data Source]])</f>
        <v/>
      </c>
    </row>
    <row r="139" ht="15.75" customHeight="1">
      <c r="A139">
        <f>IF(Table_121215[[#This Row],[Media Name]]=0,"",Table_121215[[#This Row],[Media Name]])</f>
        <v/>
      </c>
      <c r="D139" s="25" t="n"/>
      <c r="F139" s="27" t="n"/>
      <c r="I139" s="18">
        <f>IF($B139="","FALSE","TRUE")</f>
        <v/>
      </c>
      <c r="J139">
        <f t="array" ref="J139">IsURL(Table_121215[[#This Row],[Data Source]])</f>
        <v/>
      </c>
      <c r="K139">
        <f t="array" ref="K139">IsURL(Table_121215[[#This Row],[DOI]])</f>
        <v/>
      </c>
      <c r="L139">
        <f t="array" ref="L139">IsURL(Table_121215[[#This Row],[Data Source]])</f>
        <v/>
      </c>
      <c r="M139">
        <f t="array" ref="M139">IsURL(Table_121215[[#This Row],[Data Source]])</f>
        <v/>
      </c>
    </row>
    <row r="140" ht="15.75" customHeight="1">
      <c r="A140">
        <f>IF(Table_121215[[#This Row],[Media Name]]=0,"",Table_121215[[#This Row],[Media Name]])</f>
        <v/>
      </c>
      <c r="D140" s="25" t="n"/>
      <c r="F140" s="27" t="n"/>
      <c r="I140" s="18">
        <f>IF($B140="","FALSE","TRUE")</f>
        <v/>
      </c>
      <c r="J140">
        <f t="array" ref="J140">IsURL(Table_121215[[#This Row],[Data Source]])</f>
        <v/>
      </c>
      <c r="K140">
        <f t="array" ref="K140">IsURL(Table_121215[[#This Row],[DOI]])</f>
        <v/>
      </c>
      <c r="L140">
        <f t="array" ref="L140">IsURL(Table_121215[[#This Row],[Data Source]])</f>
        <v/>
      </c>
      <c r="M140">
        <f t="array" ref="M140">IsURL(Table_121215[[#This Row],[Data Source]])</f>
        <v/>
      </c>
    </row>
    <row r="141" ht="15.75" customHeight="1">
      <c r="A141">
        <f>IF(Table_121215[[#This Row],[Media Name]]=0,"",Table_121215[[#This Row],[Media Name]])</f>
        <v/>
      </c>
      <c r="D141" s="25" t="n"/>
      <c r="F141" s="27" t="n"/>
      <c r="I141" s="18">
        <f>IF($B141="","FALSE","TRUE")</f>
        <v/>
      </c>
      <c r="J141">
        <f t="array" ref="J141">IsURL(Table_121215[[#This Row],[Data Source]])</f>
        <v/>
      </c>
      <c r="K141">
        <f t="array" ref="K141">IsURL(Table_121215[[#This Row],[DOI]])</f>
        <v/>
      </c>
      <c r="L141">
        <f t="array" ref="L141">IsURL(Table_121215[[#This Row],[Data Source]])</f>
        <v/>
      </c>
      <c r="M141">
        <f t="array" ref="M141">IsURL(Table_121215[[#This Row],[Data Source]])</f>
        <v/>
      </c>
    </row>
    <row r="142" ht="15.75" customHeight="1">
      <c r="A142">
        <f>IF(Table_121215[[#This Row],[Media Name]]=0,"",Table_121215[[#This Row],[Media Name]])</f>
        <v/>
      </c>
      <c r="D142" s="25" t="n"/>
      <c r="F142" s="27" t="n"/>
      <c r="I142" s="18">
        <f>IF($B142="","FALSE","TRUE")</f>
        <v/>
      </c>
      <c r="J142">
        <f t="array" ref="J142">IsURL(Table_121215[[#This Row],[Data Source]])</f>
        <v/>
      </c>
      <c r="K142">
        <f t="array" ref="K142">IsURL(Table_121215[[#This Row],[DOI]])</f>
        <v/>
      </c>
      <c r="L142">
        <f t="array" ref="L142">IsURL(Table_121215[[#This Row],[Data Source]])</f>
        <v/>
      </c>
      <c r="M142">
        <f t="array" ref="M142">IsURL(Table_121215[[#This Row],[Data Source]])</f>
        <v/>
      </c>
    </row>
    <row r="143" ht="15.75" customHeight="1">
      <c r="A143">
        <f>IF(Table_121215[[#This Row],[Media Name]]=0,"",Table_121215[[#This Row],[Media Name]])</f>
        <v/>
      </c>
      <c r="D143" s="25" t="n"/>
      <c r="F143" s="27" t="n"/>
      <c r="I143" s="18">
        <f>IF($B143="","FALSE","TRUE")</f>
        <v/>
      </c>
      <c r="J143">
        <f t="array" ref="J143">IsURL(Table_121215[[#This Row],[Data Source]])</f>
        <v/>
      </c>
      <c r="K143">
        <f t="array" ref="K143">IsURL(Table_121215[[#This Row],[DOI]])</f>
        <v/>
      </c>
      <c r="L143">
        <f t="array" ref="L143">IsURL(Table_121215[[#This Row],[Data Source]])</f>
        <v/>
      </c>
      <c r="M143">
        <f t="array" ref="M143">IsURL(Table_121215[[#This Row],[Data Source]])</f>
        <v/>
      </c>
    </row>
    <row r="144" ht="15.75" customHeight="1">
      <c r="A144">
        <f>IF(Table_121215[[#This Row],[Media Name]]=0,"",Table_121215[[#This Row],[Media Name]])</f>
        <v/>
      </c>
      <c r="D144" s="25" t="n"/>
      <c r="F144" s="27" t="n"/>
      <c r="I144" s="18">
        <f>IF($B144="","FALSE","TRUE")</f>
        <v/>
      </c>
      <c r="J144">
        <f t="array" ref="J144">IsURL(Table_121215[[#This Row],[Data Source]])</f>
        <v/>
      </c>
      <c r="K144">
        <f t="array" ref="K144">IsURL(Table_121215[[#This Row],[DOI]])</f>
        <v/>
      </c>
      <c r="L144">
        <f t="array" ref="L144">IsURL(Table_121215[[#This Row],[Data Source]])</f>
        <v/>
      </c>
      <c r="M144">
        <f t="array" ref="M144">IsURL(Table_121215[[#This Row],[Data Source]])</f>
        <v/>
      </c>
    </row>
    <row r="145" ht="15.75" customHeight="1">
      <c r="A145">
        <f>IF(Table_121215[[#This Row],[Media Name]]=0,"",Table_121215[[#This Row],[Media Name]])</f>
        <v/>
      </c>
      <c r="D145" s="25" t="n"/>
      <c r="F145" s="27" t="n"/>
      <c r="I145" s="18">
        <f>IF($B145="","FALSE","TRUE")</f>
        <v/>
      </c>
      <c r="J145">
        <f t="array" ref="J145">IsURL(Table_121215[[#This Row],[Data Source]])</f>
        <v/>
      </c>
      <c r="K145">
        <f t="array" ref="K145">IsURL(Table_121215[[#This Row],[DOI]])</f>
        <v/>
      </c>
      <c r="L145">
        <f t="array" ref="L145">IsURL(Table_121215[[#This Row],[Data Source]])</f>
        <v/>
      </c>
      <c r="M145">
        <f t="array" ref="M145">IsURL(Table_121215[[#This Row],[Data Source]])</f>
        <v/>
      </c>
    </row>
    <row r="146" ht="15.75" customHeight="1">
      <c r="A146">
        <f>IF(Table_121215[[#This Row],[Media Name]]=0,"",Table_121215[[#This Row],[Media Name]])</f>
        <v/>
      </c>
      <c r="D146" s="25" t="n"/>
      <c r="F146" s="27" t="n"/>
      <c r="I146" s="18">
        <f>IF($B146="","FALSE","TRUE")</f>
        <v/>
      </c>
      <c r="J146">
        <f t="array" ref="J146">IsURL(Table_121215[[#This Row],[Data Source]])</f>
        <v/>
      </c>
      <c r="K146">
        <f t="array" ref="K146">IsURL(Table_121215[[#This Row],[DOI]])</f>
        <v/>
      </c>
      <c r="L146">
        <f t="array" ref="L146">IsURL(Table_121215[[#This Row],[Data Source]])</f>
        <v/>
      </c>
      <c r="M146">
        <f t="array" ref="M146">IsURL(Table_121215[[#This Row],[Data Source]])</f>
        <v/>
      </c>
    </row>
    <row r="147" ht="15.75" customHeight="1">
      <c r="A147">
        <f>IF(Table_121215[[#This Row],[Media Name]]=0,"",Table_121215[[#This Row],[Media Name]])</f>
        <v/>
      </c>
      <c r="D147" s="25" t="n"/>
      <c r="F147" s="27" t="n"/>
      <c r="I147" s="18">
        <f>IF($B147="","FALSE","TRUE")</f>
        <v/>
      </c>
      <c r="J147">
        <f t="array" ref="J147">IsURL(Table_121215[[#This Row],[Data Source]])</f>
        <v/>
      </c>
      <c r="K147">
        <f t="array" ref="K147">IsURL(Table_121215[[#This Row],[DOI]])</f>
        <v/>
      </c>
      <c r="L147">
        <f t="array" ref="L147">IsURL(Table_121215[[#This Row],[Data Source]])</f>
        <v/>
      </c>
      <c r="M147">
        <f t="array" ref="M147">IsURL(Table_121215[[#This Row],[Data Source]])</f>
        <v/>
      </c>
    </row>
    <row r="148" ht="15.75" customHeight="1">
      <c r="A148">
        <f>IF(Table_121215[[#This Row],[Media Name]]=0,"",Table_121215[[#This Row],[Media Name]])</f>
        <v/>
      </c>
      <c r="D148" s="25" t="n"/>
      <c r="F148" s="27" t="n"/>
      <c r="I148" s="18">
        <f>IF($B148="","FALSE","TRUE")</f>
        <v/>
      </c>
      <c r="J148">
        <f t="array" ref="J148">IsURL(Table_121215[[#This Row],[Data Source]])</f>
        <v/>
      </c>
      <c r="K148">
        <f t="array" ref="K148">IsURL(Table_121215[[#This Row],[DOI]])</f>
        <v/>
      </c>
      <c r="L148">
        <f t="array" ref="L148">IsURL(Table_121215[[#This Row],[Data Source]])</f>
        <v/>
      </c>
      <c r="M148">
        <f t="array" ref="M148">IsURL(Table_121215[[#This Row],[Data Source]])</f>
        <v/>
      </c>
    </row>
    <row r="149" ht="15.75" customHeight="1">
      <c r="A149">
        <f>IF(Table_121215[[#This Row],[Media Name]]=0,"",Table_121215[[#This Row],[Media Name]])</f>
        <v/>
      </c>
      <c r="D149" s="25" t="n"/>
      <c r="F149" s="27" t="n"/>
      <c r="I149" s="18">
        <f>IF($B149="","FALSE","TRUE")</f>
        <v/>
      </c>
      <c r="J149">
        <f t="array" ref="J149">IsURL(Table_121215[[#This Row],[Data Source]])</f>
        <v/>
      </c>
      <c r="K149">
        <f t="array" ref="K149">IsURL(Table_121215[[#This Row],[DOI]])</f>
        <v/>
      </c>
      <c r="L149">
        <f t="array" ref="L149">IsURL(Table_121215[[#This Row],[Data Source]])</f>
        <v/>
      </c>
      <c r="M149">
        <f t="array" ref="M149">IsURL(Table_121215[[#This Row],[Data Source]])</f>
        <v/>
      </c>
    </row>
    <row r="150" ht="15.75" customHeight="1">
      <c r="A150">
        <f>IF(Table_121215[[#This Row],[Media Name]]=0,"",Table_121215[[#This Row],[Media Name]])</f>
        <v/>
      </c>
      <c r="D150" s="25" t="n"/>
      <c r="F150" s="27" t="n"/>
      <c r="I150" s="18">
        <f>IF($B150="","FALSE","TRUE")</f>
        <v/>
      </c>
      <c r="J150">
        <f t="array" ref="J150">IsURL(Table_121215[[#This Row],[Data Source]])</f>
        <v/>
      </c>
      <c r="K150">
        <f t="array" ref="K150">IsURL(Table_121215[[#This Row],[DOI]])</f>
        <v/>
      </c>
      <c r="L150">
        <f t="array" ref="L150">IsURL(Table_121215[[#This Row],[Data Source]])</f>
        <v/>
      </c>
      <c r="M150">
        <f t="array" ref="M150">IsURL(Table_121215[[#This Row],[Data Source]])</f>
        <v/>
      </c>
    </row>
    <row r="151" ht="15.75" customHeight="1">
      <c r="A151">
        <f>IF(Table_121215[[#This Row],[Media Name]]=0,"",Table_121215[[#This Row],[Media Name]])</f>
        <v/>
      </c>
      <c r="D151" s="25" t="n"/>
      <c r="F151" s="27" t="n"/>
      <c r="I151" s="18">
        <f>IF($B151="","FALSE","TRUE")</f>
        <v/>
      </c>
      <c r="J151">
        <f t="array" ref="J151">IsURL(Table_121215[[#This Row],[Data Source]])</f>
        <v/>
      </c>
      <c r="K151">
        <f t="array" ref="K151">IsURL(Table_121215[[#This Row],[DOI]])</f>
        <v/>
      </c>
      <c r="L151">
        <f t="array" ref="L151">IsURL(Table_121215[[#This Row],[Data Source]])</f>
        <v/>
      </c>
      <c r="M151">
        <f t="array" ref="M151">IsURL(Table_121215[[#This Row],[Data Source]])</f>
        <v/>
      </c>
    </row>
    <row r="152" ht="15.75" customHeight="1">
      <c r="A152">
        <f>IF(Table_121215[[#This Row],[Media Name]]=0,"",Table_121215[[#This Row],[Media Name]])</f>
        <v/>
      </c>
      <c r="D152" s="25" t="n"/>
      <c r="F152" s="27" t="n"/>
      <c r="I152" s="18">
        <f>IF($B152="","FALSE","TRUE")</f>
        <v/>
      </c>
      <c r="J152">
        <f t="array" ref="J152">IsURL(Table_121215[[#This Row],[Data Source]])</f>
        <v/>
      </c>
      <c r="K152">
        <f t="array" ref="K152">IsURL(Table_121215[[#This Row],[DOI]])</f>
        <v/>
      </c>
      <c r="L152">
        <f t="array" ref="L152">IsURL(Table_121215[[#This Row],[Data Source]])</f>
        <v/>
      </c>
      <c r="M152">
        <f t="array" ref="M152">IsURL(Table_121215[[#This Row],[Data Source]])</f>
        <v/>
      </c>
    </row>
    <row r="153" ht="15.75" customHeight="1">
      <c r="A153">
        <f>IF(Table_121215[[#This Row],[Media Name]]=0,"",Table_121215[[#This Row],[Media Name]])</f>
        <v/>
      </c>
      <c r="D153" s="25" t="n"/>
      <c r="F153" s="27" t="n"/>
      <c r="I153" s="18">
        <f>IF($B153="","FALSE","TRUE")</f>
        <v/>
      </c>
      <c r="J153">
        <f t="array" ref="J153">IsURL(Table_121215[[#This Row],[Data Source]])</f>
        <v/>
      </c>
      <c r="K153">
        <f t="array" ref="K153">IsURL(Table_121215[[#This Row],[DOI]])</f>
        <v/>
      </c>
      <c r="L153">
        <f t="array" ref="L153">IsURL(Table_121215[[#This Row],[Data Source]])</f>
        <v/>
      </c>
      <c r="M153">
        <f t="array" ref="M153">IsURL(Table_121215[[#This Row],[Data Source]])</f>
        <v/>
      </c>
    </row>
    <row r="154" ht="15.75" customHeight="1">
      <c r="A154">
        <f>IF(Table_121215[[#This Row],[Media Name]]=0,"",Table_121215[[#This Row],[Media Name]])</f>
        <v/>
      </c>
      <c r="D154" s="25" t="n"/>
      <c r="F154" s="27" t="n"/>
      <c r="I154" s="18">
        <f>IF($B154="","FALSE","TRUE")</f>
        <v/>
      </c>
      <c r="J154">
        <f t="array" ref="J154">IsURL(Table_121215[[#This Row],[Data Source]])</f>
        <v/>
      </c>
      <c r="K154">
        <f t="array" ref="K154">IsURL(Table_121215[[#This Row],[DOI]])</f>
        <v/>
      </c>
      <c r="L154">
        <f t="array" ref="L154">IsURL(Table_121215[[#This Row],[Data Source]])</f>
        <v/>
      </c>
      <c r="M154">
        <f t="array" ref="M154">IsURL(Table_121215[[#This Row],[Data Source]])</f>
        <v/>
      </c>
    </row>
    <row r="155" ht="15.75" customHeight="1">
      <c r="A155">
        <f>IF(Table_121215[[#This Row],[Media Name]]=0,"",Table_121215[[#This Row],[Media Name]])</f>
        <v/>
      </c>
      <c r="D155" s="25" t="n"/>
      <c r="F155" s="27" t="n"/>
      <c r="I155" s="18">
        <f>IF($B155="","FALSE","TRUE")</f>
        <v/>
      </c>
      <c r="J155">
        <f t="array" ref="J155">IsURL(Table_121215[[#This Row],[Data Source]])</f>
        <v/>
      </c>
      <c r="K155">
        <f t="array" ref="K155">IsURL(Table_121215[[#This Row],[DOI]])</f>
        <v/>
      </c>
      <c r="L155">
        <f t="array" ref="L155">IsURL(Table_121215[[#This Row],[Data Source]])</f>
        <v/>
      </c>
      <c r="M155">
        <f t="array" ref="M155">IsURL(Table_121215[[#This Row],[Data Source]])</f>
        <v/>
      </c>
    </row>
    <row r="156" ht="15.75" customHeight="1">
      <c r="A156">
        <f>IF(Table_121215[[#This Row],[Media Name]]=0,"",Table_121215[[#This Row],[Media Name]])</f>
        <v/>
      </c>
      <c r="D156" s="25" t="n"/>
      <c r="F156" s="27" t="n"/>
      <c r="I156" s="18">
        <f>IF($B156="","FALSE","TRUE")</f>
        <v/>
      </c>
      <c r="J156">
        <f t="array" ref="J156">IsURL(Table_121215[[#This Row],[Data Source]])</f>
        <v/>
      </c>
      <c r="K156">
        <f t="array" ref="K156">IsURL(Table_121215[[#This Row],[DOI]])</f>
        <v/>
      </c>
      <c r="L156">
        <f t="array" ref="L156">IsURL(Table_121215[[#This Row],[Data Source]])</f>
        <v/>
      </c>
      <c r="M156">
        <f t="array" ref="M156">IsURL(Table_121215[[#This Row],[Data Source]])</f>
        <v/>
      </c>
    </row>
    <row r="157" ht="15.75" customHeight="1">
      <c r="A157">
        <f>IF(Table_121215[[#This Row],[Media Name]]=0,"",Table_121215[[#This Row],[Media Name]])</f>
        <v/>
      </c>
      <c r="D157" s="25" t="n"/>
      <c r="F157" s="27" t="n"/>
      <c r="I157" s="18">
        <f>IF($B157="","FALSE","TRUE")</f>
        <v/>
      </c>
      <c r="J157">
        <f t="array" ref="J157">IsURL(Table_121215[[#This Row],[Data Source]])</f>
        <v/>
      </c>
      <c r="K157">
        <f t="array" ref="K157">IsURL(Table_121215[[#This Row],[DOI]])</f>
        <v/>
      </c>
      <c r="L157">
        <f t="array" ref="L157">IsURL(Table_121215[[#This Row],[Data Source]])</f>
        <v/>
      </c>
      <c r="M157">
        <f t="array" ref="M157">IsURL(Table_121215[[#This Row],[Data Source]])</f>
        <v/>
      </c>
    </row>
    <row r="158" ht="15.75" customHeight="1">
      <c r="A158">
        <f>IF(Table_121215[[#This Row],[Media Name]]=0,"",Table_121215[[#This Row],[Media Name]])</f>
        <v/>
      </c>
      <c r="D158" s="25" t="n"/>
      <c r="F158" s="27" t="n"/>
      <c r="I158" s="18">
        <f>IF($B158="","FALSE","TRUE")</f>
        <v/>
      </c>
      <c r="J158">
        <f t="array" ref="J158">IsURL(Table_121215[[#This Row],[Data Source]])</f>
        <v/>
      </c>
      <c r="K158">
        <f t="array" ref="K158">IsURL(Table_121215[[#This Row],[DOI]])</f>
        <v/>
      </c>
      <c r="L158">
        <f t="array" ref="L158">IsURL(Table_121215[[#This Row],[Data Source]])</f>
        <v/>
      </c>
      <c r="M158">
        <f t="array" ref="M158">IsURL(Table_121215[[#This Row],[Data Source]])</f>
        <v/>
      </c>
    </row>
    <row r="159" ht="15.75" customHeight="1">
      <c r="A159">
        <f>IF(Table_121215[[#This Row],[Media Name]]=0,"",Table_121215[[#This Row],[Media Name]])</f>
        <v/>
      </c>
      <c r="D159" s="25" t="n"/>
      <c r="F159" s="27" t="n"/>
      <c r="I159" s="18">
        <f>IF($B159="","FALSE","TRUE")</f>
        <v/>
      </c>
      <c r="J159">
        <f t="array" ref="J159">IsURL(Table_121215[[#This Row],[Data Source]])</f>
        <v/>
      </c>
      <c r="K159">
        <f t="array" ref="K159">IsURL(Table_121215[[#This Row],[DOI]])</f>
        <v/>
      </c>
      <c r="L159">
        <f t="array" ref="L159">IsURL(Table_121215[[#This Row],[Data Source]])</f>
        <v/>
      </c>
      <c r="M159">
        <f t="array" ref="M159">IsURL(Table_121215[[#This Row],[Data Source]])</f>
        <v/>
      </c>
    </row>
    <row r="160" ht="15.75" customHeight="1">
      <c r="A160">
        <f>IF(Table_121215[[#This Row],[Media Name]]=0,"",Table_121215[[#This Row],[Media Name]])</f>
        <v/>
      </c>
      <c r="D160" s="25" t="n"/>
      <c r="F160" s="27" t="n"/>
      <c r="I160" s="18">
        <f>IF($B160="","FALSE","TRUE")</f>
        <v/>
      </c>
      <c r="J160">
        <f t="array" ref="J160">IsURL(Table_121215[[#This Row],[Data Source]])</f>
        <v/>
      </c>
      <c r="K160">
        <f t="array" ref="K160">IsURL(Table_121215[[#This Row],[DOI]])</f>
        <v/>
      </c>
      <c r="L160">
        <f t="array" ref="L160">IsURL(Table_121215[[#This Row],[Data Source]])</f>
        <v/>
      </c>
      <c r="M160">
        <f t="array" ref="M160">IsURL(Table_121215[[#This Row],[Data Source]])</f>
        <v/>
      </c>
    </row>
    <row r="161" ht="15.75" customHeight="1">
      <c r="A161">
        <f>IF(Table_121215[[#This Row],[Media Name]]=0,"",Table_121215[[#This Row],[Media Name]])</f>
        <v/>
      </c>
      <c r="D161" s="25" t="n"/>
      <c r="F161" s="27" t="n"/>
      <c r="I161" s="18">
        <f>IF($B161="","FALSE","TRUE")</f>
        <v/>
      </c>
      <c r="J161">
        <f t="array" ref="J161">IsURL(Table_121215[[#This Row],[Data Source]])</f>
        <v/>
      </c>
      <c r="K161">
        <f t="array" ref="K161">IsURL(Table_121215[[#This Row],[DOI]])</f>
        <v/>
      </c>
      <c r="L161">
        <f t="array" ref="L161">IsURL(Table_121215[[#This Row],[Data Source]])</f>
        <v/>
      </c>
      <c r="M161">
        <f t="array" ref="M161">IsURL(Table_121215[[#This Row],[Data Source]])</f>
        <v/>
      </c>
    </row>
    <row r="162" ht="15.75" customHeight="1">
      <c r="A162">
        <f>IF(Table_121215[[#This Row],[Media Name]]=0,"",Table_121215[[#This Row],[Media Name]])</f>
        <v/>
      </c>
      <c r="D162" s="25" t="n"/>
      <c r="F162" s="27" t="n"/>
      <c r="I162" s="18">
        <f>IF($B162="","FALSE","TRUE")</f>
        <v/>
      </c>
      <c r="J162">
        <f t="array" ref="J162">IsURL(Table_121215[[#This Row],[Data Source]])</f>
        <v/>
      </c>
      <c r="K162">
        <f t="array" ref="K162">IsURL(Table_121215[[#This Row],[DOI]])</f>
        <v/>
      </c>
      <c r="L162">
        <f t="array" ref="L162">IsURL(Table_121215[[#This Row],[Data Source]])</f>
        <v/>
      </c>
      <c r="M162">
        <f t="array" ref="M162">IsURL(Table_121215[[#This Row],[Data Source]])</f>
        <v/>
      </c>
    </row>
    <row r="163" ht="15.75" customHeight="1">
      <c r="A163">
        <f>IF(Table_121215[[#This Row],[Media Name]]=0,"",Table_121215[[#This Row],[Media Name]])</f>
        <v/>
      </c>
      <c r="D163" s="25" t="n"/>
      <c r="F163" s="27" t="n"/>
      <c r="I163" s="18">
        <f>IF($B163="","FALSE","TRUE")</f>
        <v/>
      </c>
      <c r="J163">
        <f t="array" ref="J163">IsURL(Table_121215[[#This Row],[Data Source]])</f>
        <v/>
      </c>
      <c r="K163">
        <f t="array" ref="K163">IsURL(Table_121215[[#This Row],[DOI]])</f>
        <v/>
      </c>
      <c r="L163">
        <f t="array" ref="L163">IsURL(Table_121215[[#This Row],[Data Source]])</f>
        <v/>
      </c>
      <c r="M163">
        <f t="array" ref="M163">IsURL(Table_121215[[#This Row],[Data Source]])</f>
        <v/>
      </c>
    </row>
    <row r="164" ht="15.75" customHeight="1">
      <c r="A164">
        <f>IF(Table_121215[[#This Row],[Media Name]]=0,"",Table_121215[[#This Row],[Media Name]])</f>
        <v/>
      </c>
      <c r="D164" s="25" t="n"/>
      <c r="F164" s="27" t="n"/>
      <c r="I164" s="18">
        <f>IF($B164="","FALSE","TRUE")</f>
        <v/>
      </c>
      <c r="J164">
        <f t="array" ref="J164">IsURL(Table_121215[[#This Row],[Data Source]])</f>
        <v/>
      </c>
      <c r="K164">
        <f t="array" ref="K164">IsURL(Table_121215[[#This Row],[DOI]])</f>
        <v/>
      </c>
      <c r="L164">
        <f t="array" ref="L164">IsURL(Table_121215[[#This Row],[Data Source]])</f>
        <v/>
      </c>
      <c r="M164">
        <f t="array" ref="M164">IsURL(Table_121215[[#This Row],[Data Source]])</f>
        <v/>
      </c>
    </row>
    <row r="165" ht="15.75" customHeight="1">
      <c r="A165">
        <f>IF(Table_121215[[#This Row],[Media Name]]=0,"",Table_121215[[#This Row],[Media Name]])</f>
        <v/>
      </c>
      <c r="D165" s="25" t="n"/>
      <c r="F165" s="27" t="n"/>
      <c r="I165" s="18">
        <f>IF($B165="","FALSE","TRUE")</f>
        <v/>
      </c>
      <c r="J165">
        <f t="array" ref="J165">IsURL(Table_121215[[#This Row],[Data Source]])</f>
        <v/>
      </c>
      <c r="K165">
        <f t="array" ref="K165">IsURL(Table_121215[[#This Row],[DOI]])</f>
        <v/>
      </c>
      <c r="L165">
        <f t="array" ref="L165">IsURL(Table_121215[[#This Row],[Data Source]])</f>
        <v/>
      </c>
      <c r="M165">
        <f t="array" ref="M165">IsURL(Table_121215[[#This Row],[Data Source]])</f>
        <v/>
      </c>
    </row>
    <row r="166" ht="15.75" customHeight="1">
      <c r="A166">
        <f>IF(Table_121215[[#This Row],[Media Name]]=0,"",Table_121215[[#This Row],[Media Name]])</f>
        <v/>
      </c>
      <c r="D166" s="25" t="n"/>
      <c r="F166" s="27" t="n"/>
      <c r="I166" s="18">
        <f>IF($B166="","FALSE","TRUE")</f>
        <v/>
      </c>
      <c r="J166">
        <f t="array" ref="J166">IsURL(Table_121215[[#This Row],[Data Source]])</f>
        <v/>
      </c>
      <c r="K166">
        <f t="array" ref="K166">IsURL(Table_121215[[#This Row],[DOI]])</f>
        <v/>
      </c>
      <c r="L166">
        <f t="array" ref="L166">IsURL(Table_121215[[#This Row],[Data Source]])</f>
        <v/>
      </c>
      <c r="M166">
        <f t="array" ref="M166">IsURL(Table_121215[[#This Row],[Data Source]])</f>
        <v/>
      </c>
    </row>
    <row r="167" ht="15.75" customHeight="1">
      <c r="A167">
        <f>IF(Table_121215[[#This Row],[Media Name]]=0,"",Table_121215[[#This Row],[Media Name]])</f>
        <v/>
      </c>
      <c r="D167" s="25" t="n"/>
      <c r="F167" s="27" t="n"/>
      <c r="I167" s="18">
        <f>IF($B167="","FALSE","TRUE")</f>
        <v/>
      </c>
      <c r="J167">
        <f t="array" ref="J167">IsURL(Table_121215[[#This Row],[Data Source]])</f>
        <v/>
      </c>
      <c r="K167">
        <f t="array" ref="K167">IsURL(Table_121215[[#This Row],[DOI]])</f>
        <v/>
      </c>
      <c r="L167">
        <f t="array" ref="L167">IsURL(Table_121215[[#This Row],[Data Source]])</f>
        <v/>
      </c>
      <c r="M167">
        <f t="array" ref="M167">IsURL(Table_121215[[#This Row],[Data Source]])</f>
        <v/>
      </c>
    </row>
    <row r="168" ht="15.75" customHeight="1">
      <c r="A168">
        <f>IF(Table_121215[[#This Row],[Media Name]]=0,"",Table_121215[[#This Row],[Media Name]])</f>
        <v/>
      </c>
      <c r="D168" s="25" t="n"/>
      <c r="F168" s="27" t="n"/>
      <c r="I168" s="18">
        <f>IF($B168="","FALSE","TRUE")</f>
        <v/>
      </c>
      <c r="J168">
        <f t="array" ref="J168">IsURL(Table_121215[[#This Row],[Data Source]])</f>
        <v/>
      </c>
      <c r="K168">
        <f t="array" ref="K168">IsURL(Table_121215[[#This Row],[DOI]])</f>
        <v/>
      </c>
      <c r="L168">
        <f t="array" ref="L168">IsURL(Table_121215[[#This Row],[Data Source]])</f>
        <v/>
      </c>
      <c r="M168">
        <f t="array" ref="M168">IsURL(Table_121215[[#This Row],[Data Source]])</f>
        <v/>
      </c>
    </row>
    <row r="169" ht="15.75" customHeight="1">
      <c r="A169">
        <f>IF(Table_121215[[#This Row],[Media Name]]=0,"",Table_121215[[#This Row],[Media Name]])</f>
        <v/>
      </c>
      <c r="D169" s="25" t="n"/>
      <c r="F169" s="27" t="n"/>
      <c r="I169" s="18">
        <f>IF($B169="","FALSE","TRUE")</f>
        <v/>
      </c>
      <c r="J169">
        <f t="array" ref="J169">IsURL(Table_121215[[#This Row],[Data Source]])</f>
        <v/>
      </c>
      <c r="K169">
        <f t="array" ref="K169">IsURL(Table_121215[[#This Row],[DOI]])</f>
        <v/>
      </c>
      <c r="L169">
        <f t="array" ref="L169">IsURL(Table_121215[[#This Row],[Data Source]])</f>
        <v/>
      </c>
      <c r="M169">
        <f t="array" ref="M169">IsURL(Table_121215[[#This Row],[Data Source]])</f>
        <v/>
      </c>
    </row>
    <row r="170" ht="15.75" customHeight="1">
      <c r="A170">
        <f>IF(Table_121215[[#This Row],[Media Name]]=0,"",Table_121215[[#This Row],[Media Name]])</f>
        <v/>
      </c>
      <c r="D170" s="25" t="n"/>
      <c r="F170" s="27" t="n"/>
      <c r="I170" s="18">
        <f>IF($B170="","FALSE","TRUE")</f>
        <v/>
      </c>
      <c r="J170">
        <f t="array" ref="J170">IsURL(Table_121215[[#This Row],[Data Source]])</f>
        <v/>
      </c>
      <c r="K170">
        <f t="array" ref="K170">IsURL(Table_121215[[#This Row],[DOI]])</f>
        <v/>
      </c>
      <c r="L170">
        <f t="array" ref="L170">IsURL(Table_121215[[#This Row],[Data Source]])</f>
        <v/>
      </c>
      <c r="M170">
        <f t="array" ref="M170">IsURL(Table_121215[[#This Row],[Data Source]])</f>
        <v/>
      </c>
    </row>
    <row r="171" ht="15.75" customHeight="1">
      <c r="A171">
        <f>IF(Table_121215[[#This Row],[Media Name]]=0,"",Table_121215[[#This Row],[Media Name]])</f>
        <v/>
      </c>
      <c r="D171" s="25" t="n"/>
      <c r="F171" s="27" t="n"/>
      <c r="I171" s="18">
        <f>IF($B171="","FALSE","TRUE")</f>
        <v/>
      </c>
      <c r="J171">
        <f t="array" ref="J171">IsURL(Table_121215[[#This Row],[Data Source]])</f>
        <v/>
      </c>
      <c r="K171">
        <f t="array" ref="K171">IsURL(Table_121215[[#This Row],[DOI]])</f>
        <v/>
      </c>
      <c r="L171">
        <f t="array" ref="L171">IsURL(Table_121215[[#This Row],[Data Source]])</f>
        <v/>
      </c>
      <c r="M171">
        <f t="array" ref="M171">IsURL(Table_121215[[#This Row],[Data Source]])</f>
        <v/>
      </c>
    </row>
    <row r="172" ht="15.75" customHeight="1">
      <c r="A172">
        <f>IF(Table_121215[[#This Row],[Media Name]]=0,"",Table_121215[[#This Row],[Media Name]])</f>
        <v/>
      </c>
      <c r="D172" s="25" t="n"/>
      <c r="F172" s="27" t="n"/>
      <c r="I172" s="18">
        <f>IF($B172="","FALSE","TRUE")</f>
        <v/>
      </c>
      <c r="J172">
        <f t="array" ref="J172">IsURL(Table_121215[[#This Row],[Data Source]])</f>
        <v/>
      </c>
      <c r="K172">
        <f t="array" ref="K172">IsURL(Table_121215[[#This Row],[DOI]])</f>
        <v/>
      </c>
      <c r="L172">
        <f t="array" ref="L172">IsURL(Table_121215[[#This Row],[Data Source]])</f>
        <v/>
      </c>
      <c r="M172">
        <f t="array" ref="M172">IsURL(Table_121215[[#This Row],[Data Source]])</f>
        <v/>
      </c>
    </row>
    <row r="173" ht="15.75" customHeight="1">
      <c r="A173">
        <f>IF(Table_121215[[#This Row],[Media Name]]=0,"",Table_121215[[#This Row],[Media Name]])</f>
        <v/>
      </c>
      <c r="D173" s="25" t="n"/>
      <c r="F173" s="27" t="n"/>
      <c r="I173" s="18">
        <f>IF($B173="","FALSE","TRUE")</f>
        <v/>
      </c>
      <c r="J173">
        <f t="array" ref="J173">IsURL(Table_121215[[#This Row],[Data Source]])</f>
        <v/>
      </c>
      <c r="K173">
        <f t="array" ref="K173">IsURL(Table_121215[[#This Row],[DOI]])</f>
        <v/>
      </c>
      <c r="L173">
        <f t="array" ref="L173">IsURL(Table_121215[[#This Row],[Data Source]])</f>
        <v/>
      </c>
      <c r="M173">
        <f t="array" ref="M173">IsURL(Table_121215[[#This Row],[Data Source]])</f>
        <v/>
      </c>
    </row>
    <row r="174" ht="15.75" customHeight="1">
      <c r="A174">
        <f>IF(Table_121215[[#This Row],[Media Name]]=0,"",Table_121215[[#This Row],[Media Name]])</f>
        <v/>
      </c>
      <c r="D174" s="25" t="n"/>
      <c r="F174" s="27" t="n"/>
      <c r="I174" s="18">
        <f>IF($B174="","FALSE","TRUE")</f>
        <v/>
      </c>
      <c r="J174">
        <f t="array" ref="J174">IsURL(Table_121215[[#This Row],[Data Source]])</f>
        <v/>
      </c>
      <c r="K174">
        <f t="array" ref="K174">IsURL(Table_121215[[#This Row],[DOI]])</f>
        <v/>
      </c>
      <c r="L174">
        <f t="array" ref="L174">IsURL(Table_121215[[#This Row],[Data Source]])</f>
        <v/>
      </c>
      <c r="M174">
        <f t="array" ref="M174">IsURL(Table_121215[[#This Row],[Data Source]])</f>
        <v/>
      </c>
    </row>
    <row r="175" ht="15.75" customHeight="1">
      <c r="A175">
        <f>IF(Table_121215[[#This Row],[Media Name]]=0,"",Table_121215[[#This Row],[Media Name]])</f>
        <v/>
      </c>
      <c r="D175" s="25" t="n"/>
      <c r="F175" s="27" t="n"/>
      <c r="I175" s="18">
        <f>IF($B175="","FALSE","TRUE")</f>
        <v/>
      </c>
      <c r="J175">
        <f t="array" ref="J175">IsURL(Table_121215[[#This Row],[Data Source]])</f>
        <v/>
      </c>
      <c r="K175">
        <f t="array" ref="K175">IsURL(Table_121215[[#This Row],[DOI]])</f>
        <v/>
      </c>
      <c r="L175">
        <f t="array" ref="L175">IsURL(Table_121215[[#This Row],[Data Source]])</f>
        <v/>
      </c>
      <c r="M175">
        <f t="array" ref="M175">IsURL(Table_121215[[#This Row],[Data Source]])</f>
        <v/>
      </c>
    </row>
    <row r="176" ht="15.75" customHeight="1">
      <c r="A176">
        <f>IF(Table_121215[[#This Row],[Media Name]]=0,"",Table_121215[[#This Row],[Media Name]])</f>
        <v/>
      </c>
      <c r="D176" s="25" t="n"/>
      <c r="F176" s="27" t="n"/>
      <c r="I176" s="18">
        <f>IF($B176="","FALSE","TRUE")</f>
        <v/>
      </c>
      <c r="J176">
        <f t="array" ref="J176">IsURL(Table_121215[[#This Row],[Data Source]])</f>
        <v/>
      </c>
      <c r="K176">
        <f t="array" ref="K176">IsURL(Table_121215[[#This Row],[DOI]])</f>
        <v/>
      </c>
      <c r="L176">
        <f t="array" ref="L176">IsURL(Table_121215[[#This Row],[Data Source]])</f>
        <v/>
      </c>
      <c r="M176">
        <f t="array" ref="M176">IsURL(Table_121215[[#This Row],[Data Source]])</f>
        <v/>
      </c>
    </row>
    <row r="177" ht="15.75" customHeight="1">
      <c r="A177">
        <f>IF(Table_121215[[#This Row],[Media Name]]=0,"",Table_121215[[#This Row],[Media Name]])</f>
        <v/>
      </c>
      <c r="D177" s="25" t="n"/>
      <c r="F177" s="27" t="n"/>
      <c r="I177" s="18">
        <f>IF($B177="","FALSE","TRUE")</f>
        <v/>
      </c>
      <c r="J177">
        <f t="array" ref="J177">IsURL(Table_121215[[#This Row],[Data Source]])</f>
        <v/>
      </c>
      <c r="K177">
        <f t="array" ref="K177">IsURL(Table_121215[[#This Row],[DOI]])</f>
        <v/>
      </c>
      <c r="L177">
        <f t="array" ref="L177">IsURL(Table_121215[[#This Row],[Data Source]])</f>
        <v/>
      </c>
      <c r="M177">
        <f t="array" ref="M177">IsURL(Table_121215[[#This Row],[Data Source]])</f>
        <v/>
      </c>
    </row>
    <row r="178" ht="15.75" customHeight="1">
      <c r="A178">
        <f>IF(Table_121215[[#This Row],[Media Name]]=0,"",Table_121215[[#This Row],[Media Name]])</f>
        <v/>
      </c>
      <c r="D178" s="25" t="n"/>
      <c r="F178" s="27" t="n"/>
      <c r="I178" s="18">
        <f>IF($B178="","FALSE","TRUE")</f>
        <v/>
      </c>
      <c r="J178">
        <f t="array" ref="J178">IsURL(Table_121215[[#This Row],[Data Source]])</f>
        <v/>
      </c>
      <c r="K178">
        <f t="array" ref="K178">IsURL(Table_121215[[#This Row],[DOI]])</f>
        <v/>
      </c>
      <c r="L178">
        <f t="array" ref="L178">IsURL(Table_121215[[#This Row],[Data Source]])</f>
        <v/>
      </c>
      <c r="M178">
        <f t="array" ref="M178">IsURL(Table_121215[[#This Row],[Data Source]])</f>
        <v/>
      </c>
    </row>
    <row r="179" ht="15.75" customHeight="1">
      <c r="A179">
        <f>IF(Table_121215[[#This Row],[Media Name]]=0,"",Table_121215[[#This Row],[Media Name]])</f>
        <v/>
      </c>
      <c r="D179" s="25" t="n"/>
      <c r="F179" s="27" t="n"/>
      <c r="I179" s="18">
        <f>IF($B179="","FALSE","TRUE")</f>
        <v/>
      </c>
      <c r="J179">
        <f t="array" ref="J179">IsURL(Table_121215[[#This Row],[Data Source]])</f>
        <v/>
      </c>
      <c r="K179">
        <f t="array" ref="K179">IsURL(Table_121215[[#This Row],[DOI]])</f>
        <v/>
      </c>
      <c r="L179">
        <f t="array" ref="L179">IsURL(Table_121215[[#This Row],[Data Source]])</f>
        <v/>
      </c>
      <c r="M179">
        <f t="array" ref="M179">IsURL(Table_121215[[#This Row],[Data Source]])</f>
        <v/>
      </c>
    </row>
    <row r="180" ht="15.75" customHeight="1">
      <c r="A180">
        <f>IF(Table_121215[[#This Row],[Media Name]]=0,"",Table_121215[[#This Row],[Media Name]])</f>
        <v/>
      </c>
      <c r="D180" s="25" t="n"/>
      <c r="F180" s="27" t="n"/>
      <c r="I180" s="18">
        <f>IF($B180="","FALSE","TRUE")</f>
        <v/>
      </c>
      <c r="J180">
        <f t="array" ref="J180">IsURL(Table_121215[[#This Row],[Data Source]])</f>
        <v/>
      </c>
      <c r="K180">
        <f t="array" ref="K180">IsURL(Table_121215[[#This Row],[DOI]])</f>
        <v/>
      </c>
      <c r="L180">
        <f t="array" ref="L180">IsURL(Table_121215[[#This Row],[Data Source]])</f>
        <v/>
      </c>
      <c r="M180">
        <f t="array" ref="M180">IsURL(Table_121215[[#This Row],[Data Source]])</f>
        <v/>
      </c>
    </row>
    <row r="181" ht="15.75" customHeight="1">
      <c r="A181">
        <f>IF(Table_121215[[#This Row],[Media Name]]=0,"",Table_121215[[#This Row],[Media Name]])</f>
        <v/>
      </c>
      <c r="D181" s="25" t="n"/>
      <c r="F181" s="27" t="n"/>
      <c r="I181" s="18">
        <f>IF($B181="","FALSE","TRUE")</f>
        <v/>
      </c>
      <c r="J181">
        <f t="array" ref="J181">IsURL(Table_121215[[#This Row],[Data Source]])</f>
        <v/>
      </c>
      <c r="K181">
        <f t="array" ref="K181">IsURL(Table_121215[[#This Row],[DOI]])</f>
        <v/>
      </c>
      <c r="L181">
        <f t="array" ref="L181">IsURL(Table_121215[[#This Row],[Data Source]])</f>
        <v/>
      </c>
      <c r="M181">
        <f t="array" ref="M181">IsURL(Table_121215[[#This Row],[Data Source]])</f>
        <v/>
      </c>
    </row>
    <row r="182" ht="15.75" customHeight="1">
      <c r="A182">
        <f>IF(Table_121215[[#This Row],[Media Name]]=0,"",Table_121215[[#This Row],[Media Name]])</f>
        <v/>
      </c>
      <c r="D182" s="25" t="n"/>
      <c r="F182" s="27" t="n"/>
      <c r="I182" s="18">
        <f>IF($B182="","FALSE","TRUE")</f>
        <v/>
      </c>
      <c r="J182">
        <f t="array" ref="J182">IsURL(Table_121215[[#This Row],[Data Source]])</f>
        <v/>
      </c>
      <c r="K182">
        <f t="array" ref="K182">IsURL(Table_121215[[#This Row],[DOI]])</f>
        <v/>
      </c>
      <c r="L182">
        <f t="array" ref="L182">IsURL(Table_121215[[#This Row],[Data Source]])</f>
        <v/>
      </c>
      <c r="M182">
        <f t="array" ref="M182">IsURL(Table_121215[[#This Row],[Data Source]])</f>
        <v/>
      </c>
    </row>
    <row r="183" ht="15.75" customHeight="1">
      <c r="A183">
        <f>IF(Table_121215[[#This Row],[Media Name]]=0,"",Table_121215[[#This Row],[Media Name]])</f>
        <v/>
      </c>
      <c r="D183" s="25" t="n"/>
      <c r="F183" s="27" t="n"/>
      <c r="I183" s="18">
        <f>IF($B183="","FALSE","TRUE")</f>
        <v/>
      </c>
      <c r="J183">
        <f t="array" ref="J183">IsURL(Table_121215[[#This Row],[Data Source]])</f>
        <v/>
      </c>
      <c r="K183">
        <f t="array" ref="K183">IsURL(Table_121215[[#This Row],[DOI]])</f>
        <v/>
      </c>
      <c r="L183">
        <f t="array" ref="L183">IsURL(Table_121215[[#This Row],[Data Source]])</f>
        <v/>
      </c>
      <c r="M183">
        <f t="array" ref="M183">IsURL(Table_121215[[#This Row],[Data Source]])</f>
        <v/>
      </c>
    </row>
    <row r="184" ht="15.75" customHeight="1">
      <c r="A184">
        <f>IF(Table_121215[[#This Row],[Media Name]]=0,"",Table_121215[[#This Row],[Media Name]])</f>
        <v/>
      </c>
      <c r="D184" s="25" t="n"/>
      <c r="F184" s="27" t="n"/>
      <c r="I184" s="18">
        <f>IF($B184="","FALSE","TRUE")</f>
        <v/>
      </c>
      <c r="J184">
        <f t="array" ref="J184">IsURL(Table_121215[[#This Row],[Data Source]])</f>
        <v/>
      </c>
      <c r="K184">
        <f t="array" ref="K184">IsURL(Table_121215[[#This Row],[DOI]])</f>
        <v/>
      </c>
      <c r="L184">
        <f t="array" ref="L184">IsURL(Table_121215[[#This Row],[Data Source]])</f>
        <v/>
      </c>
      <c r="M184">
        <f t="array" ref="M184">IsURL(Table_121215[[#This Row],[Data Source]])</f>
        <v/>
      </c>
    </row>
    <row r="185" ht="15.75" customHeight="1">
      <c r="A185">
        <f>IF(Table_121215[[#This Row],[Media Name]]=0,"",Table_121215[[#This Row],[Media Name]])</f>
        <v/>
      </c>
      <c r="D185" s="25" t="n"/>
      <c r="F185" s="27" t="n"/>
      <c r="I185" s="18">
        <f>IF($B185="","FALSE","TRUE")</f>
        <v/>
      </c>
      <c r="J185">
        <f t="array" ref="J185">IsURL(Table_121215[[#This Row],[Data Source]])</f>
        <v/>
      </c>
      <c r="K185">
        <f t="array" ref="K185">IsURL(Table_121215[[#This Row],[DOI]])</f>
        <v/>
      </c>
      <c r="L185">
        <f t="array" ref="L185">IsURL(Table_121215[[#This Row],[Data Source]])</f>
        <v/>
      </c>
      <c r="M185">
        <f t="array" ref="M185">IsURL(Table_121215[[#This Row],[Data Source]])</f>
        <v/>
      </c>
    </row>
    <row r="186" ht="15.75" customHeight="1">
      <c r="A186">
        <f>IF(Table_121215[[#This Row],[Media Name]]=0,"",Table_121215[[#This Row],[Media Name]])</f>
        <v/>
      </c>
      <c r="D186" s="25" t="n"/>
      <c r="F186" s="27" t="n"/>
      <c r="I186" s="18">
        <f>IF($B186="","FALSE","TRUE")</f>
        <v/>
      </c>
      <c r="J186">
        <f t="array" ref="J186">IsURL(Table_121215[[#This Row],[Data Source]])</f>
        <v/>
      </c>
      <c r="K186">
        <f t="array" ref="K186">IsURL(Table_121215[[#This Row],[DOI]])</f>
        <v/>
      </c>
      <c r="L186">
        <f t="array" ref="L186">IsURL(Table_121215[[#This Row],[Data Source]])</f>
        <v/>
      </c>
      <c r="M186">
        <f t="array" ref="M186">IsURL(Table_121215[[#This Row],[Data Source]])</f>
        <v/>
      </c>
    </row>
    <row r="187" ht="15.75" customHeight="1">
      <c r="A187">
        <f>IF(Table_121215[[#This Row],[Media Name]]=0,"",Table_121215[[#This Row],[Media Name]])</f>
        <v/>
      </c>
      <c r="D187" s="25" t="n"/>
      <c r="F187" s="27" t="n"/>
      <c r="I187" s="18">
        <f>IF($B187="","FALSE","TRUE")</f>
        <v/>
      </c>
      <c r="J187">
        <f t="array" ref="J187">IsURL(Table_121215[[#This Row],[Data Source]])</f>
        <v/>
      </c>
      <c r="K187">
        <f t="array" ref="K187">IsURL(Table_121215[[#This Row],[DOI]])</f>
        <v/>
      </c>
      <c r="L187">
        <f t="array" ref="L187">IsURL(Table_121215[[#This Row],[Data Source]])</f>
        <v/>
      </c>
      <c r="M187">
        <f t="array" ref="M187">IsURL(Table_121215[[#This Row],[Data Source]])</f>
        <v/>
      </c>
    </row>
    <row r="188" ht="15.75" customHeight="1">
      <c r="A188">
        <f>IF(Table_121215[[#This Row],[Media Name]]=0,"",Table_121215[[#This Row],[Media Name]])</f>
        <v/>
      </c>
      <c r="D188" s="25" t="n"/>
      <c r="F188" s="27" t="n"/>
      <c r="I188" s="18">
        <f>IF($B188="","FALSE","TRUE")</f>
        <v/>
      </c>
      <c r="J188">
        <f t="array" ref="J188">IsURL(Table_121215[[#This Row],[Data Source]])</f>
        <v/>
      </c>
      <c r="K188">
        <f t="array" ref="K188">IsURL(Table_121215[[#This Row],[DOI]])</f>
        <v/>
      </c>
      <c r="L188">
        <f t="array" ref="L188">IsURL(Table_121215[[#This Row],[Data Source]])</f>
        <v/>
      </c>
      <c r="M188">
        <f t="array" ref="M188">IsURL(Table_121215[[#This Row],[Data Source]])</f>
        <v/>
      </c>
    </row>
    <row r="189" ht="15.75" customHeight="1">
      <c r="A189">
        <f>IF(Table_121215[[#This Row],[Media Name]]=0,"",Table_121215[[#This Row],[Media Name]])</f>
        <v/>
      </c>
      <c r="D189" s="25" t="n"/>
      <c r="F189" s="27" t="n"/>
      <c r="I189" s="18">
        <f>IF($B189="","FALSE","TRUE")</f>
        <v/>
      </c>
      <c r="J189">
        <f t="array" ref="J189">IsURL(Table_121215[[#This Row],[Data Source]])</f>
        <v/>
      </c>
      <c r="K189">
        <f t="array" ref="K189">IsURL(Table_121215[[#This Row],[DOI]])</f>
        <v/>
      </c>
      <c r="L189">
        <f t="array" ref="L189">IsURL(Table_121215[[#This Row],[Data Source]])</f>
        <v/>
      </c>
      <c r="M189">
        <f t="array" ref="M189">IsURL(Table_121215[[#This Row],[Data Source]])</f>
        <v/>
      </c>
    </row>
    <row r="190" ht="15.75" customHeight="1">
      <c r="A190">
        <f>IF(Table_121215[[#This Row],[Media Name]]=0,"",Table_121215[[#This Row],[Media Name]])</f>
        <v/>
      </c>
      <c r="D190" s="25" t="n"/>
      <c r="F190" s="27" t="n"/>
      <c r="I190" s="18">
        <f>IF($B190="","FALSE","TRUE")</f>
        <v/>
      </c>
      <c r="J190">
        <f t="array" ref="J190">IsURL(Table_121215[[#This Row],[Data Source]])</f>
        <v/>
      </c>
      <c r="K190">
        <f t="array" ref="K190">IsURL(Table_121215[[#This Row],[DOI]])</f>
        <v/>
      </c>
      <c r="L190">
        <f t="array" ref="L190">IsURL(Table_121215[[#This Row],[Data Source]])</f>
        <v/>
      </c>
      <c r="M190">
        <f t="array" ref="M190">IsURL(Table_121215[[#This Row],[Data Source]])</f>
        <v/>
      </c>
    </row>
    <row r="191" ht="15.75" customHeight="1">
      <c r="A191">
        <f>IF(Table_121215[[#This Row],[Media Name]]=0,"",Table_121215[[#This Row],[Media Name]])</f>
        <v/>
      </c>
      <c r="D191" s="25" t="n"/>
      <c r="F191" s="27" t="n"/>
      <c r="I191" s="18">
        <f>IF($B191="","FALSE","TRUE")</f>
        <v/>
      </c>
      <c r="J191">
        <f t="array" ref="J191">IsURL(Table_121215[[#This Row],[Data Source]])</f>
        <v/>
      </c>
      <c r="K191">
        <f t="array" ref="K191">IsURL(Table_121215[[#This Row],[DOI]])</f>
        <v/>
      </c>
      <c r="L191">
        <f t="array" ref="L191">IsURL(Table_121215[[#This Row],[Data Source]])</f>
        <v/>
      </c>
      <c r="M191">
        <f t="array" ref="M191">IsURL(Table_121215[[#This Row],[Data Source]])</f>
        <v/>
      </c>
    </row>
    <row r="192" ht="15.75" customHeight="1">
      <c r="A192">
        <f>IF(Table_121215[[#This Row],[Media Name]]=0,"",Table_121215[[#This Row],[Media Name]])</f>
        <v/>
      </c>
      <c r="D192" s="25" t="n"/>
      <c r="F192" s="27" t="n"/>
      <c r="I192" s="18">
        <f>IF($B192="","FALSE","TRUE")</f>
        <v/>
      </c>
      <c r="J192">
        <f t="array" ref="J192">IsURL(Table_121215[[#This Row],[Data Source]])</f>
        <v/>
      </c>
      <c r="K192">
        <f t="array" ref="K192">IsURL(Table_121215[[#This Row],[DOI]])</f>
        <v/>
      </c>
      <c r="L192">
        <f t="array" ref="L192">IsURL(Table_121215[[#This Row],[Data Source]])</f>
        <v/>
      </c>
      <c r="M192">
        <f t="array" ref="M192">IsURL(Table_121215[[#This Row],[Data Source]])</f>
        <v/>
      </c>
    </row>
    <row r="193" ht="15.75" customHeight="1">
      <c r="A193">
        <f>IF(Table_121215[[#This Row],[Media Name]]=0,"",Table_121215[[#This Row],[Media Name]])</f>
        <v/>
      </c>
      <c r="D193" s="25" t="n"/>
      <c r="F193" s="27" t="n"/>
      <c r="I193" s="18">
        <f>IF($B193="","FALSE","TRUE")</f>
        <v/>
      </c>
      <c r="J193">
        <f t="array" ref="J193">IsURL(Table_121215[[#This Row],[Data Source]])</f>
        <v/>
      </c>
      <c r="K193">
        <f t="array" ref="K193">IsURL(Table_121215[[#This Row],[DOI]])</f>
        <v/>
      </c>
      <c r="L193">
        <f t="array" ref="L193">IsURL(Table_121215[[#This Row],[Data Source]])</f>
        <v/>
      </c>
      <c r="M193">
        <f t="array" ref="M193">IsURL(Table_121215[[#This Row],[Data Source]])</f>
        <v/>
      </c>
    </row>
    <row r="194" ht="15.75" customHeight="1">
      <c r="A194">
        <f>IF(Table_121215[[#This Row],[Media Name]]=0,"",Table_121215[[#This Row],[Media Name]])</f>
        <v/>
      </c>
      <c r="D194" s="25" t="n"/>
      <c r="F194" s="27" t="n"/>
      <c r="I194" s="18">
        <f>IF($B194="","FALSE","TRUE")</f>
        <v/>
      </c>
      <c r="J194">
        <f t="array" ref="J194">IsURL(Table_121215[[#This Row],[Data Source]])</f>
        <v/>
      </c>
      <c r="K194">
        <f t="array" ref="K194">IsURL(Table_121215[[#This Row],[DOI]])</f>
        <v/>
      </c>
      <c r="L194">
        <f t="array" ref="L194">IsURL(Table_121215[[#This Row],[Data Source]])</f>
        <v/>
      </c>
      <c r="M194">
        <f t="array" ref="M194">IsURL(Table_121215[[#This Row],[Data Source]])</f>
        <v/>
      </c>
    </row>
    <row r="195" ht="15.75" customHeight="1">
      <c r="A195">
        <f>IF(Table_121215[[#This Row],[Media Name]]=0,"",Table_121215[[#This Row],[Media Name]])</f>
        <v/>
      </c>
      <c r="D195" s="25" t="n"/>
      <c r="F195" s="27" t="n"/>
      <c r="I195" s="18">
        <f>IF($B195="","FALSE","TRUE")</f>
        <v/>
      </c>
      <c r="J195">
        <f t="array" ref="J195">IsURL(Table_121215[[#This Row],[Data Source]])</f>
        <v/>
      </c>
      <c r="K195">
        <f t="array" ref="K195">IsURL(Table_121215[[#This Row],[DOI]])</f>
        <v/>
      </c>
      <c r="L195">
        <f t="array" ref="L195">IsURL(Table_121215[[#This Row],[Data Source]])</f>
        <v/>
      </c>
      <c r="M195">
        <f t="array" ref="M195">IsURL(Table_121215[[#This Row],[Data Source]])</f>
        <v/>
      </c>
    </row>
    <row r="196" ht="15.75" customHeight="1">
      <c r="A196">
        <f>IF(Table_121215[[#This Row],[Media Name]]=0,"",Table_121215[[#This Row],[Media Name]])</f>
        <v/>
      </c>
      <c r="D196" s="25" t="n"/>
      <c r="F196" s="27" t="n"/>
      <c r="I196" s="18">
        <f>IF($B196="","FALSE","TRUE")</f>
        <v/>
      </c>
      <c r="J196">
        <f t="array" ref="J196">IsURL(Table_121215[[#This Row],[Data Source]])</f>
        <v/>
      </c>
      <c r="K196">
        <f t="array" ref="K196">IsURL(Table_121215[[#This Row],[DOI]])</f>
        <v/>
      </c>
      <c r="L196">
        <f t="array" ref="L196">IsURL(Table_121215[[#This Row],[Data Source]])</f>
        <v/>
      </c>
      <c r="M196">
        <f t="array" ref="M196">IsURL(Table_121215[[#This Row],[Data Source]])</f>
        <v/>
      </c>
    </row>
    <row r="197" ht="15.75" customHeight="1">
      <c r="A197">
        <f>IF(Table_121215[[#This Row],[Media Name]]=0,"",Table_121215[[#This Row],[Media Name]])</f>
        <v/>
      </c>
      <c r="D197" s="25" t="n"/>
      <c r="F197" s="27" t="n"/>
      <c r="I197" s="18">
        <f>IF($B197="","FALSE","TRUE")</f>
        <v/>
      </c>
      <c r="J197">
        <f t="array" ref="J197">IsURL(Table_121215[[#This Row],[Data Source]])</f>
        <v/>
      </c>
      <c r="K197">
        <f t="array" ref="K197">IsURL(Table_121215[[#This Row],[DOI]])</f>
        <v/>
      </c>
      <c r="L197">
        <f t="array" ref="L197">IsURL(Table_121215[[#This Row],[Data Source]])</f>
        <v/>
      </c>
      <c r="M197">
        <f t="array" ref="M197">IsURL(Table_121215[[#This Row],[Data Source]])</f>
        <v/>
      </c>
    </row>
    <row r="198" ht="15.75" customHeight="1">
      <c r="A198">
        <f>IF(Table_121215[[#This Row],[Media Name]]=0,"",Table_121215[[#This Row],[Media Name]])</f>
        <v/>
      </c>
      <c r="D198" s="25" t="n"/>
      <c r="F198" s="27" t="n"/>
      <c r="I198" s="18">
        <f>IF($B198="","FALSE","TRUE")</f>
        <v/>
      </c>
      <c r="J198">
        <f t="array" ref="J198">IsURL(Table_121215[[#This Row],[Data Source]])</f>
        <v/>
      </c>
      <c r="K198">
        <f t="array" ref="K198">IsURL(Table_121215[[#This Row],[DOI]])</f>
        <v/>
      </c>
      <c r="L198">
        <f t="array" ref="L198">IsURL(Table_121215[[#This Row],[Data Source]])</f>
        <v/>
      </c>
      <c r="M198">
        <f t="array" ref="M198">IsURL(Table_121215[[#This Row],[Data Source]])</f>
        <v/>
      </c>
    </row>
    <row r="199" ht="15.75" customHeight="1">
      <c r="A199">
        <f>IF(Table_121215[[#This Row],[Media Name]]=0,"",Table_121215[[#This Row],[Media Name]])</f>
        <v/>
      </c>
      <c r="D199" s="25" t="n"/>
      <c r="F199" s="27" t="n"/>
      <c r="I199" s="18">
        <f>IF($B199="","FALSE","TRUE")</f>
        <v/>
      </c>
      <c r="J199">
        <f t="array" ref="J199">IsURL(Table_121215[[#This Row],[Data Source]])</f>
        <v/>
      </c>
      <c r="K199">
        <f t="array" ref="K199">IsURL(Table_121215[[#This Row],[DOI]])</f>
        <v/>
      </c>
      <c r="L199">
        <f t="array" ref="L199">IsURL(Table_121215[[#This Row],[Data Source]])</f>
        <v/>
      </c>
      <c r="M199">
        <f t="array" ref="M199">IsURL(Table_121215[[#This Row],[Data Source]])</f>
        <v/>
      </c>
    </row>
    <row r="200" ht="15.75" customHeight="1">
      <c r="A200">
        <f>IF(Table_121215[[#This Row],[Media Name]]=0,"",Table_121215[[#This Row],[Media Name]])</f>
        <v/>
      </c>
      <c r="D200" s="25" t="n"/>
      <c r="F200" s="27" t="n"/>
      <c r="I200" s="18">
        <f>IF($B200="","FALSE","TRUE")</f>
        <v/>
      </c>
      <c r="J200">
        <f t="array" ref="J200">IsURL(Table_121215[[#This Row],[Data Source]])</f>
        <v/>
      </c>
      <c r="K200">
        <f t="array" ref="K200">IsURL(Table_121215[[#This Row],[DOI]])</f>
        <v/>
      </c>
      <c r="L200">
        <f t="array" ref="L200">IsURL(Table_121215[[#This Row],[Data Source]])</f>
        <v/>
      </c>
      <c r="M200">
        <f t="array" ref="M200">IsURL(Table_121215[[#This Row],[Data Source]])</f>
        <v/>
      </c>
    </row>
    <row r="201" ht="15.75" customHeight="1">
      <c r="A201">
        <f>IF(Table_121215[[#This Row],[Media Name]]=0,"",Table_121215[[#This Row],[Media Name]])</f>
        <v/>
      </c>
      <c r="D201" s="25" t="n"/>
      <c r="F201" s="27" t="n"/>
      <c r="I201" s="18">
        <f>IF($B201="","FALSE","TRUE")</f>
        <v/>
      </c>
      <c r="J201">
        <f t="array" ref="J201">IsURL(Table_121215[[#This Row],[Data Source]])</f>
        <v/>
      </c>
      <c r="K201">
        <f t="array" ref="K201">IsURL(Table_121215[[#This Row],[DOI]])</f>
        <v/>
      </c>
      <c r="L201">
        <f t="array" ref="L201">IsURL(Table_121215[[#This Row],[Data Source]])</f>
        <v/>
      </c>
      <c r="M201">
        <f t="array" ref="M201">IsURL(Table_121215[[#This Row],[Data Source]])</f>
        <v/>
      </c>
    </row>
    <row r="202" ht="15.75" customHeight="1">
      <c r="A202">
        <f>IF(Table_121215[[#This Row],[Media Name]]=0,"",Table_121215[[#This Row],[Media Name]])</f>
        <v/>
      </c>
      <c r="D202" s="25" t="n"/>
      <c r="F202" s="27" t="n"/>
      <c r="I202" s="18">
        <f>IF($B202="","FALSE","TRUE")</f>
        <v/>
      </c>
      <c r="J202">
        <f t="array" ref="J202">IsURL(Table_121215[[#This Row],[Data Source]])</f>
        <v/>
      </c>
      <c r="K202">
        <f t="array" ref="K202">IsURL(Table_121215[[#This Row],[DOI]])</f>
        <v/>
      </c>
      <c r="L202">
        <f t="array" ref="L202">IsURL(Table_121215[[#This Row],[Data Source]])</f>
        <v/>
      </c>
      <c r="M202">
        <f t="array" ref="M202">IsURL(Table_121215[[#This Row],[Data Source]])</f>
        <v/>
      </c>
    </row>
    <row r="203" ht="15.75" customHeight="1">
      <c r="A203">
        <f>IF(Table_121215[[#This Row],[Media Name]]=0,"",Table_121215[[#This Row],[Media Name]])</f>
        <v/>
      </c>
      <c r="D203" s="25" t="n"/>
      <c r="F203" s="27" t="n"/>
      <c r="I203" s="18">
        <f>IF($B203="","FALSE","TRUE")</f>
        <v/>
      </c>
      <c r="J203">
        <f t="array" ref="J203">IsURL(Table_121215[[#This Row],[Data Source]])</f>
        <v/>
      </c>
      <c r="K203">
        <f t="array" ref="K203">IsURL(Table_121215[[#This Row],[DOI]])</f>
        <v/>
      </c>
      <c r="L203">
        <f t="array" ref="L203">IsURL(Table_121215[[#This Row],[Data Source]])</f>
        <v/>
      </c>
      <c r="M203">
        <f t="array" ref="M203">IsURL(Table_121215[[#This Row],[Data Source]])</f>
        <v/>
      </c>
    </row>
    <row r="204" ht="15.75" customHeight="1">
      <c r="A204">
        <f>IF(Table_121215[[#This Row],[Media Name]]=0,"",Table_121215[[#This Row],[Media Name]])</f>
        <v/>
      </c>
      <c r="D204" s="25" t="n"/>
      <c r="F204" s="27" t="n"/>
      <c r="I204" s="18">
        <f>IF($B204="","FALSE","TRUE")</f>
        <v/>
      </c>
      <c r="J204">
        <f t="array" ref="J204">IsURL(Table_121215[[#This Row],[Data Source]])</f>
        <v/>
      </c>
      <c r="K204">
        <f t="array" ref="K204">IsURL(Table_121215[[#This Row],[DOI]])</f>
        <v/>
      </c>
      <c r="L204">
        <f t="array" ref="L204">IsURL(Table_121215[[#This Row],[Data Source]])</f>
        <v/>
      </c>
      <c r="M204">
        <f t="array" ref="M204">IsURL(Table_121215[[#This Row],[Data Source]])</f>
        <v/>
      </c>
    </row>
    <row r="205" ht="15.75" customHeight="1">
      <c r="A205">
        <f>IF(Table_121215[[#This Row],[Media Name]]=0,"",Table_121215[[#This Row],[Media Name]])</f>
        <v/>
      </c>
      <c r="D205" s="25" t="n"/>
      <c r="F205" s="27" t="n"/>
      <c r="I205" s="18">
        <f>IF($B205="","FALSE","TRUE")</f>
        <v/>
      </c>
      <c r="J205">
        <f t="array" ref="J205">IsURL(Table_121215[[#This Row],[Data Source]])</f>
        <v/>
      </c>
      <c r="K205">
        <f t="array" ref="K205">IsURL(Table_121215[[#This Row],[DOI]])</f>
        <v/>
      </c>
      <c r="L205">
        <f t="array" ref="L205">IsURL(Table_121215[[#This Row],[Data Source]])</f>
        <v/>
      </c>
      <c r="M205">
        <f t="array" ref="M205">IsURL(Table_121215[[#This Row],[Data Source]])</f>
        <v/>
      </c>
    </row>
    <row r="206" ht="15.75" customHeight="1">
      <c r="A206">
        <f>IF(Table_121215[[#This Row],[Media Name]]=0,"",Table_121215[[#This Row],[Media Name]])</f>
        <v/>
      </c>
      <c r="D206" s="25" t="n"/>
      <c r="F206" s="27" t="n"/>
      <c r="I206" s="18">
        <f>IF($B206="","FALSE","TRUE")</f>
        <v/>
      </c>
      <c r="J206">
        <f t="array" ref="J206">IsURL(Table_121215[[#This Row],[Data Source]])</f>
        <v/>
      </c>
      <c r="K206">
        <f t="array" ref="K206">IsURL(Table_121215[[#This Row],[DOI]])</f>
        <v/>
      </c>
      <c r="L206">
        <f t="array" ref="L206">IsURL(Table_121215[[#This Row],[Data Source]])</f>
        <v/>
      </c>
      <c r="M206">
        <f t="array" ref="M206">IsURL(Table_121215[[#This Row],[Data Source]])</f>
        <v/>
      </c>
    </row>
    <row r="207" ht="15.75" customHeight="1">
      <c r="A207">
        <f>IF(Table_121215[[#This Row],[Media Name]]=0,"",Table_121215[[#This Row],[Media Name]])</f>
        <v/>
      </c>
      <c r="D207" s="25" t="n"/>
      <c r="F207" s="27" t="n"/>
      <c r="I207" s="18">
        <f>IF($B207="","FALSE","TRUE")</f>
        <v/>
      </c>
      <c r="J207">
        <f t="array" ref="J207">IsURL(Table_121215[[#This Row],[Data Source]])</f>
        <v/>
      </c>
      <c r="K207">
        <f t="array" ref="K207">IsURL(Table_121215[[#This Row],[DOI]])</f>
        <v/>
      </c>
      <c r="L207">
        <f t="array" ref="L207">IsURL(Table_121215[[#This Row],[Data Source]])</f>
        <v/>
      </c>
      <c r="M207">
        <f t="array" ref="M207">IsURL(Table_121215[[#This Row],[Data Source]])</f>
        <v/>
      </c>
    </row>
    <row r="208" ht="15.75" customHeight="1">
      <c r="A208">
        <f>IF(Table_121215[[#This Row],[Media Name]]=0,"",Table_121215[[#This Row],[Media Name]])</f>
        <v/>
      </c>
      <c r="D208" s="25" t="n"/>
      <c r="F208" s="27" t="n"/>
      <c r="I208" s="18">
        <f>IF($B208="","FALSE","TRUE")</f>
        <v/>
      </c>
      <c r="J208">
        <f t="array" ref="J208">IsURL(Table_121215[[#This Row],[Data Source]])</f>
        <v/>
      </c>
      <c r="K208">
        <f t="array" ref="K208">IsURL(Table_121215[[#This Row],[DOI]])</f>
        <v/>
      </c>
      <c r="L208">
        <f t="array" ref="L208">IsURL(Table_121215[[#This Row],[Data Source]])</f>
        <v/>
      </c>
      <c r="M208">
        <f t="array" ref="M208">IsURL(Table_121215[[#This Row],[Data Source]])</f>
        <v/>
      </c>
    </row>
    <row r="209" ht="15.75" customHeight="1">
      <c r="A209">
        <f>IF(Table_121215[[#This Row],[Media Name]]=0,"",Table_121215[[#This Row],[Media Name]])</f>
        <v/>
      </c>
      <c r="D209" s="25" t="n"/>
      <c r="F209" s="27" t="n"/>
      <c r="I209" s="18">
        <f>IF($B209="","FALSE","TRUE")</f>
        <v/>
      </c>
      <c r="J209">
        <f t="array" ref="J209">IsURL(Table_121215[[#This Row],[Data Source]])</f>
        <v/>
      </c>
      <c r="K209">
        <f t="array" ref="K209">IsURL(Table_121215[[#This Row],[DOI]])</f>
        <v/>
      </c>
      <c r="L209">
        <f t="array" ref="L209">IsURL(Table_121215[[#This Row],[Data Source]])</f>
        <v/>
      </c>
      <c r="M209">
        <f t="array" ref="M209">IsURL(Table_121215[[#This Row],[Data Source]])</f>
        <v/>
      </c>
    </row>
    <row r="210" ht="15.75" customHeight="1">
      <c r="A210">
        <f>IF(Table_121215[[#This Row],[Media Name]]=0,"",Table_121215[[#This Row],[Media Name]])</f>
        <v/>
      </c>
      <c r="D210" s="25" t="n"/>
      <c r="F210" s="27" t="n"/>
      <c r="I210" s="18">
        <f>IF($B210="","FALSE","TRUE")</f>
        <v/>
      </c>
      <c r="J210">
        <f t="array" ref="J210">IsURL(Table_121215[[#This Row],[Data Source]])</f>
        <v/>
      </c>
      <c r="K210">
        <f t="array" ref="K210">IsURL(Table_121215[[#This Row],[DOI]])</f>
        <v/>
      </c>
      <c r="L210">
        <f t="array" ref="L210">IsURL(Table_121215[[#This Row],[Data Source]])</f>
        <v/>
      </c>
      <c r="M210">
        <f t="array" ref="M210">IsURL(Table_121215[[#This Row],[Data Source]])</f>
        <v/>
      </c>
    </row>
    <row r="211" ht="15.75" customHeight="1">
      <c r="A211">
        <f>IF(Table_121215[[#This Row],[Media Name]]=0,"",Table_121215[[#This Row],[Media Name]])</f>
        <v/>
      </c>
      <c r="D211" s="25" t="n"/>
      <c r="F211" s="27" t="n"/>
      <c r="I211" s="18">
        <f>IF($B211="","FALSE","TRUE")</f>
        <v/>
      </c>
      <c r="J211">
        <f t="array" ref="J211">IsURL(Table_121215[[#This Row],[Data Source]])</f>
        <v/>
      </c>
      <c r="K211">
        <f t="array" ref="K211">IsURL(Table_121215[[#This Row],[DOI]])</f>
        <v/>
      </c>
      <c r="L211">
        <f t="array" ref="L211">IsURL(Table_121215[[#This Row],[Data Source]])</f>
        <v/>
      </c>
      <c r="M211">
        <f t="array" ref="M211">IsURL(Table_121215[[#This Row],[Data Source]])</f>
        <v/>
      </c>
    </row>
    <row r="212" ht="15.75" customHeight="1">
      <c r="A212">
        <f>IF(Table_121215[[#This Row],[Media Name]]=0,"",Table_121215[[#This Row],[Media Name]])</f>
        <v/>
      </c>
      <c r="D212" s="25" t="n"/>
      <c r="F212" s="27" t="n"/>
      <c r="I212" s="18">
        <f>IF($B212="","FALSE","TRUE")</f>
        <v/>
      </c>
      <c r="J212">
        <f t="array" ref="J212">IsURL(Table_121215[[#This Row],[Data Source]])</f>
        <v/>
      </c>
      <c r="K212">
        <f t="array" ref="K212">IsURL(Table_121215[[#This Row],[DOI]])</f>
        <v/>
      </c>
      <c r="L212">
        <f t="array" ref="L212">IsURL(Table_121215[[#This Row],[Data Source]])</f>
        <v/>
      </c>
      <c r="M212">
        <f t="array" ref="M212">IsURL(Table_121215[[#This Row],[Data Source]])</f>
        <v/>
      </c>
    </row>
    <row r="213" ht="15.75" customHeight="1">
      <c r="A213">
        <f>IF(Table_121215[[#This Row],[Media Name]]=0,"",Table_121215[[#This Row],[Media Name]])</f>
        <v/>
      </c>
      <c r="D213" s="25" t="n"/>
      <c r="F213" s="27" t="n"/>
      <c r="I213" s="18">
        <f>IF($B213="","FALSE","TRUE")</f>
        <v/>
      </c>
      <c r="J213">
        <f t="array" ref="J213">IsURL(Table_121215[[#This Row],[Data Source]])</f>
        <v/>
      </c>
      <c r="K213">
        <f t="array" ref="K213">IsURL(Table_121215[[#This Row],[DOI]])</f>
        <v/>
      </c>
      <c r="L213">
        <f t="array" ref="L213">IsURL(Table_121215[[#This Row],[Data Source]])</f>
        <v/>
      </c>
      <c r="M213">
        <f t="array" ref="M213">IsURL(Table_121215[[#This Row],[Data Source]])</f>
        <v/>
      </c>
    </row>
    <row r="214" ht="15.75" customHeight="1">
      <c r="A214">
        <f>IF(Table_121215[[#This Row],[Media Name]]=0,"",Table_121215[[#This Row],[Media Name]])</f>
        <v/>
      </c>
      <c r="D214" s="25" t="n"/>
      <c r="F214" s="27" t="n"/>
      <c r="I214" s="18">
        <f>IF($B214="","FALSE","TRUE")</f>
        <v/>
      </c>
      <c r="J214">
        <f t="array" ref="J214">IsURL(Table_121215[[#This Row],[Data Source]])</f>
        <v/>
      </c>
      <c r="K214">
        <f t="array" ref="K214">IsURL(Table_121215[[#This Row],[DOI]])</f>
        <v/>
      </c>
      <c r="L214">
        <f t="array" ref="L214">IsURL(Table_121215[[#This Row],[Data Source]])</f>
        <v/>
      </c>
      <c r="M214">
        <f t="array" ref="M214">IsURL(Table_121215[[#This Row],[Data Source]])</f>
        <v/>
      </c>
    </row>
    <row r="215" ht="15.75" customHeight="1">
      <c r="A215">
        <f>IF(Table_121215[[#This Row],[Media Name]]=0,"",Table_121215[[#This Row],[Media Name]])</f>
        <v/>
      </c>
      <c r="D215" s="25" t="n"/>
      <c r="F215" s="27" t="n"/>
      <c r="I215" s="18">
        <f>IF($B215="","FALSE","TRUE")</f>
        <v/>
      </c>
      <c r="J215">
        <f t="array" ref="J215">IsURL(Table_121215[[#This Row],[Data Source]])</f>
        <v/>
      </c>
      <c r="K215">
        <f t="array" ref="K215">IsURL(Table_121215[[#This Row],[DOI]])</f>
        <v/>
      </c>
      <c r="L215">
        <f t="array" ref="L215">IsURL(Table_121215[[#This Row],[Data Source]])</f>
        <v/>
      </c>
      <c r="M215">
        <f t="array" ref="M215">IsURL(Table_121215[[#This Row],[Data Source]])</f>
        <v/>
      </c>
    </row>
    <row r="216" ht="15.75" customHeight="1">
      <c r="A216">
        <f>IF(Table_121215[[#This Row],[Media Name]]=0,"",Table_121215[[#This Row],[Media Name]])</f>
        <v/>
      </c>
      <c r="D216" s="25" t="n"/>
      <c r="F216" s="27" t="n"/>
      <c r="I216" s="18">
        <f>IF($B216="","FALSE","TRUE")</f>
        <v/>
      </c>
      <c r="J216">
        <f t="array" ref="J216">IsURL(Table_121215[[#This Row],[Data Source]])</f>
        <v/>
      </c>
      <c r="K216">
        <f t="array" ref="K216">IsURL(Table_121215[[#This Row],[DOI]])</f>
        <v/>
      </c>
      <c r="L216">
        <f t="array" ref="L216">IsURL(Table_121215[[#This Row],[Data Source]])</f>
        <v/>
      </c>
      <c r="M216">
        <f t="array" ref="M216">IsURL(Table_121215[[#This Row],[Data Source]])</f>
        <v/>
      </c>
    </row>
    <row r="217" ht="15.75" customHeight="1">
      <c r="A217">
        <f>IF(Table_121215[[#This Row],[Media Name]]=0,"",Table_121215[[#This Row],[Media Name]])</f>
        <v/>
      </c>
      <c r="D217" s="25" t="n"/>
      <c r="F217" s="27" t="n"/>
      <c r="I217" s="18">
        <f>IF($B217="","FALSE","TRUE")</f>
        <v/>
      </c>
      <c r="J217">
        <f t="array" ref="J217">IsURL(Table_121215[[#This Row],[Data Source]])</f>
        <v/>
      </c>
      <c r="K217">
        <f t="array" ref="K217">IsURL(Table_121215[[#This Row],[DOI]])</f>
        <v/>
      </c>
      <c r="L217">
        <f t="array" ref="L217">IsURL(Table_121215[[#This Row],[Data Source]])</f>
        <v/>
      </c>
      <c r="M217">
        <f t="array" ref="M217">IsURL(Table_121215[[#This Row],[Data Source]])</f>
        <v/>
      </c>
    </row>
    <row r="218" ht="15.75" customHeight="1">
      <c r="A218">
        <f>IF(Table_121215[[#This Row],[Media Name]]=0,"",Table_121215[[#This Row],[Media Name]])</f>
        <v/>
      </c>
      <c r="D218" s="25" t="n"/>
      <c r="F218" s="27" t="n"/>
      <c r="I218" s="18">
        <f>IF($B218="","FALSE","TRUE")</f>
        <v/>
      </c>
      <c r="J218">
        <f t="array" ref="J218">IsURL(Table_121215[[#This Row],[Data Source]])</f>
        <v/>
      </c>
      <c r="K218">
        <f t="array" ref="K218">IsURL(Table_121215[[#This Row],[DOI]])</f>
        <v/>
      </c>
      <c r="L218">
        <f t="array" ref="L218">IsURL(Table_121215[[#This Row],[Data Source]])</f>
        <v/>
      </c>
      <c r="M218">
        <f t="array" ref="M218">IsURL(Table_121215[[#This Row],[Data Source]])</f>
        <v/>
      </c>
    </row>
    <row r="219" ht="15.75" customHeight="1">
      <c r="A219">
        <f>IF(Table_121215[[#This Row],[Media Name]]=0,"",Table_121215[[#This Row],[Media Name]])</f>
        <v/>
      </c>
      <c r="D219" s="25" t="n"/>
      <c r="F219" s="27" t="n"/>
      <c r="I219" s="18">
        <f>IF($B219="","FALSE","TRUE")</f>
        <v/>
      </c>
      <c r="J219">
        <f t="array" ref="J219">IsURL(Table_121215[[#This Row],[Data Source]])</f>
        <v/>
      </c>
      <c r="K219">
        <f t="array" ref="K219">IsURL(Table_121215[[#This Row],[DOI]])</f>
        <v/>
      </c>
      <c r="L219">
        <f t="array" ref="L219">IsURL(Table_121215[[#This Row],[Data Source]])</f>
        <v/>
      </c>
      <c r="M219">
        <f t="array" ref="M219">IsURL(Table_121215[[#This Row],[Data Source]])</f>
        <v/>
      </c>
    </row>
    <row r="220" ht="15.75" customHeight="1">
      <c r="A220">
        <f>IF(Table_121215[[#This Row],[Media Name]]=0,"",Table_121215[[#This Row],[Media Name]])</f>
        <v/>
      </c>
      <c r="D220" s="25" t="n"/>
      <c r="F220" s="27" t="n"/>
      <c r="I220" s="18">
        <f>IF($B220="","FALSE","TRUE")</f>
        <v/>
      </c>
      <c r="J220">
        <f t="array" ref="J220">IsURL(Table_121215[[#This Row],[Data Source]])</f>
        <v/>
      </c>
      <c r="K220">
        <f t="array" ref="K220">IsURL(Table_121215[[#This Row],[DOI]])</f>
        <v/>
      </c>
      <c r="L220">
        <f t="array" ref="L220">IsURL(Table_121215[[#This Row],[Data Source]])</f>
        <v/>
      </c>
      <c r="M220">
        <f t="array" ref="M220">IsURL(Table_121215[[#This Row],[Data Source]])</f>
        <v/>
      </c>
    </row>
    <row r="221" ht="15.75" customHeight="1">
      <c r="A221">
        <f>IF(Table_121215[[#This Row],[Media Name]]=0,"",Table_121215[[#This Row],[Media Name]])</f>
        <v/>
      </c>
      <c r="D221" s="25" t="n"/>
      <c r="F221" s="27" t="n"/>
      <c r="I221" s="18">
        <f>IF($B221="","FALSE","TRUE")</f>
        <v/>
      </c>
      <c r="J221">
        <f t="array" ref="J221">IsURL(Table_121215[[#This Row],[Data Source]])</f>
        <v/>
      </c>
      <c r="K221">
        <f t="array" ref="K221">IsURL(Table_121215[[#This Row],[DOI]])</f>
        <v/>
      </c>
      <c r="L221">
        <f t="array" ref="L221">IsURL(Table_121215[[#This Row],[Data Source]])</f>
        <v/>
      </c>
      <c r="M221">
        <f t="array" ref="M221">IsURL(Table_121215[[#This Row],[Data Source]])</f>
        <v/>
      </c>
    </row>
    <row r="222" ht="15.75" customHeight="1">
      <c r="A222">
        <f>IF(Table_121215[[#This Row],[Media Name]]=0,"",Table_121215[[#This Row],[Media Name]])</f>
        <v/>
      </c>
      <c r="D222" s="25" t="n"/>
      <c r="F222" s="27" t="n"/>
      <c r="I222" s="18">
        <f>IF($B222="","FALSE","TRUE")</f>
        <v/>
      </c>
      <c r="J222">
        <f t="array" ref="J222">IsURL(Table_121215[[#This Row],[Data Source]])</f>
        <v/>
      </c>
      <c r="K222">
        <f t="array" ref="K222">IsURL(Table_121215[[#This Row],[DOI]])</f>
        <v/>
      </c>
      <c r="L222">
        <f t="array" ref="L222">IsURL(Table_121215[[#This Row],[Data Source]])</f>
        <v/>
      </c>
      <c r="M222">
        <f t="array" ref="M222">IsURL(Table_121215[[#This Row],[Data Source]])</f>
        <v/>
      </c>
    </row>
    <row r="223" ht="15.75" customHeight="1">
      <c r="A223">
        <f>IF(Table_121215[[#This Row],[Media Name]]=0,"",Table_121215[[#This Row],[Media Name]])</f>
        <v/>
      </c>
      <c r="D223" s="25" t="n"/>
      <c r="F223" s="27" t="n"/>
      <c r="I223" s="18">
        <f>IF($B223="","FALSE","TRUE")</f>
        <v/>
      </c>
      <c r="J223">
        <f t="array" ref="J223">IsURL(Table_121215[[#This Row],[Data Source]])</f>
        <v/>
      </c>
      <c r="K223">
        <f t="array" ref="K223">IsURL(Table_121215[[#This Row],[DOI]])</f>
        <v/>
      </c>
      <c r="L223">
        <f t="array" ref="L223">IsURL(Table_121215[[#This Row],[Data Source]])</f>
        <v/>
      </c>
      <c r="M223">
        <f t="array" ref="M223">IsURL(Table_121215[[#This Row],[Data Source]])</f>
        <v/>
      </c>
    </row>
    <row r="224" ht="15.75" customHeight="1">
      <c r="A224">
        <f>IF(Table_121215[[#This Row],[Media Name]]=0,"",Table_121215[[#This Row],[Media Name]])</f>
        <v/>
      </c>
      <c r="D224" s="25" t="n"/>
      <c r="F224" s="27" t="n"/>
      <c r="I224" s="18">
        <f>IF($B224="","FALSE","TRUE")</f>
        <v/>
      </c>
      <c r="J224">
        <f t="array" ref="J224">IsURL(Table_121215[[#This Row],[Data Source]])</f>
        <v/>
      </c>
      <c r="K224">
        <f t="array" ref="K224">IsURL(Table_121215[[#This Row],[DOI]])</f>
        <v/>
      </c>
      <c r="L224">
        <f t="array" ref="L224">IsURL(Table_121215[[#This Row],[Data Source]])</f>
        <v/>
      </c>
      <c r="M224">
        <f t="array" ref="M224">IsURL(Table_121215[[#This Row],[Data Source]])</f>
        <v/>
      </c>
    </row>
    <row r="225" ht="15.75" customHeight="1">
      <c r="A225">
        <f>IF(Table_121215[[#This Row],[Media Name]]=0,"",Table_121215[[#This Row],[Media Name]])</f>
        <v/>
      </c>
      <c r="D225" s="25" t="n"/>
      <c r="F225" s="27" t="n"/>
      <c r="I225" s="18">
        <f>IF($B225="","FALSE","TRUE")</f>
        <v/>
      </c>
      <c r="J225">
        <f t="array" ref="J225">IsURL(Table_121215[[#This Row],[Data Source]])</f>
        <v/>
      </c>
      <c r="K225">
        <f t="array" ref="K225">IsURL(Table_121215[[#This Row],[DOI]])</f>
        <v/>
      </c>
      <c r="L225">
        <f t="array" ref="L225">IsURL(Table_121215[[#This Row],[Data Source]])</f>
        <v/>
      </c>
      <c r="M225">
        <f t="array" ref="M225">IsURL(Table_121215[[#This Row],[Data Source]])</f>
        <v/>
      </c>
    </row>
    <row r="226" ht="15.75" customHeight="1">
      <c r="A226">
        <f>IF(Table_121215[[#This Row],[Media Name]]=0,"",Table_121215[[#This Row],[Media Name]])</f>
        <v/>
      </c>
      <c r="D226" s="25" t="n"/>
      <c r="F226" s="27" t="n"/>
      <c r="I226" s="18">
        <f>IF($B226="","FALSE","TRUE")</f>
        <v/>
      </c>
      <c r="J226">
        <f t="array" ref="J226">IsURL(Table_121215[[#This Row],[Data Source]])</f>
        <v/>
      </c>
      <c r="K226">
        <f t="array" ref="K226">IsURL(Table_121215[[#This Row],[DOI]])</f>
        <v/>
      </c>
      <c r="L226">
        <f t="array" ref="L226">IsURL(Table_121215[[#This Row],[Data Source]])</f>
        <v/>
      </c>
      <c r="M226">
        <f t="array" ref="M226">IsURL(Table_121215[[#This Row],[Data Source]])</f>
        <v/>
      </c>
    </row>
    <row r="227" ht="15.75" customHeight="1">
      <c r="A227">
        <f>IF(Table_121215[[#This Row],[Media Name]]=0,"",Table_121215[[#This Row],[Media Name]])</f>
        <v/>
      </c>
      <c r="D227" s="25" t="n"/>
      <c r="F227" s="27" t="n"/>
      <c r="I227" s="18">
        <f>IF($B227="","FALSE","TRUE")</f>
        <v/>
      </c>
      <c r="J227">
        <f t="array" ref="J227">IsURL(Table_121215[[#This Row],[Data Source]])</f>
        <v/>
      </c>
      <c r="K227">
        <f t="array" ref="K227">IsURL(Table_121215[[#This Row],[DOI]])</f>
        <v/>
      </c>
      <c r="L227">
        <f t="array" ref="L227">IsURL(Table_121215[[#This Row],[Data Source]])</f>
        <v/>
      </c>
      <c r="M227">
        <f t="array" ref="M227">IsURL(Table_121215[[#This Row],[Data Source]])</f>
        <v/>
      </c>
    </row>
    <row r="228" ht="15.75" customHeight="1">
      <c r="A228">
        <f>IF(Table_121215[[#This Row],[Media Name]]=0,"",Table_121215[[#This Row],[Media Name]])</f>
        <v/>
      </c>
      <c r="D228" s="25" t="n"/>
      <c r="F228" s="27" t="n"/>
      <c r="I228" s="18">
        <f>IF($B228="","FALSE","TRUE")</f>
        <v/>
      </c>
      <c r="J228">
        <f t="array" ref="J228">IsURL(Table_121215[[#This Row],[Data Source]])</f>
        <v/>
      </c>
      <c r="K228">
        <f t="array" ref="K228">IsURL(Table_121215[[#This Row],[DOI]])</f>
        <v/>
      </c>
      <c r="L228">
        <f t="array" ref="L228">IsURL(Table_121215[[#This Row],[Data Source]])</f>
        <v/>
      </c>
      <c r="M228">
        <f t="array" ref="M228">IsURL(Table_121215[[#This Row],[Data Source]])</f>
        <v/>
      </c>
    </row>
    <row r="229" ht="15.75" customHeight="1">
      <c r="A229">
        <f>IF(Table_121215[[#This Row],[Media Name]]=0,"",Table_121215[[#This Row],[Media Name]])</f>
        <v/>
      </c>
      <c r="D229" s="25" t="n"/>
      <c r="F229" s="27" t="n"/>
      <c r="I229" s="18">
        <f>IF($B229="","FALSE","TRUE")</f>
        <v/>
      </c>
      <c r="J229">
        <f t="array" ref="J229">IsURL(Table_121215[[#This Row],[Data Source]])</f>
        <v/>
      </c>
      <c r="K229">
        <f t="array" ref="K229">IsURL(Table_121215[[#This Row],[DOI]])</f>
        <v/>
      </c>
      <c r="L229">
        <f t="array" ref="L229">IsURL(Table_121215[[#This Row],[Data Source]])</f>
        <v/>
      </c>
      <c r="M229">
        <f t="array" ref="M229">IsURL(Table_121215[[#This Row],[Data Source]])</f>
        <v/>
      </c>
    </row>
    <row r="230" ht="15.75" customHeight="1">
      <c r="A230">
        <f>IF(Table_121215[[#This Row],[Media Name]]=0,"",Table_121215[[#This Row],[Media Name]])</f>
        <v/>
      </c>
      <c r="D230" s="25" t="n"/>
      <c r="F230" s="27" t="n"/>
      <c r="I230" s="18">
        <f>IF($B230="","FALSE","TRUE")</f>
        <v/>
      </c>
      <c r="J230">
        <f t="array" ref="J230">IsURL(Table_121215[[#This Row],[Data Source]])</f>
        <v/>
      </c>
      <c r="K230">
        <f t="array" ref="K230">IsURL(Table_121215[[#This Row],[DOI]])</f>
        <v/>
      </c>
      <c r="L230">
        <f t="array" ref="L230">IsURL(Table_121215[[#This Row],[Data Source]])</f>
        <v/>
      </c>
      <c r="M230">
        <f t="array" ref="M230">IsURL(Table_121215[[#This Row],[Data Source]])</f>
        <v/>
      </c>
    </row>
    <row r="231" ht="15.75" customHeight="1">
      <c r="A231">
        <f>IF(Table_121215[[#This Row],[Media Name]]=0,"",Table_121215[[#This Row],[Media Name]])</f>
        <v/>
      </c>
      <c r="D231" s="25" t="n"/>
      <c r="F231" s="27" t="n"/>
      <c r="I231" s="18">
        <f>IF($B231="","FALSE","TRUE")</f>
        <v/>
      </c>
      <c r="J231">
        <f t="array" ref="J231">IsURL(Table_121215[[#This Row],[Data Source]])</f>
        <v/>
      </c>
      <c r="K231">
        <f t="array" ref="K231">IsURL(Table_121215[[#This Row],[DOI]])</f>
        <v/>
      </c>
      <c r="L231">
        <f t="array" ref="L231">IsURL(Table_121215[[#This Row],[Data Source]])</f>
        <v/>
      </c>
      <c r="M231">
        <f t="array" ref="M231">IsURL(Table_121215[[#This Row],[Data Source]])</f>
        <v/>
      </c>
    </row>
    <row r="232" ht="15.75" customHeight="1">
      <c r="A232">
        <f>IF(Table_121215[[#This Row],[Media Name]]=0,"",Table_121215[[#This Row],[Media Name]])</f>
        <v/>
      </c>
      <c r="D232" s="25" t="n"/>
      <c r="F232" s="27" t="n"/>
      <c r="I232" s="18">
        <f>IF($B232="","FALSE","TRUE")</f>
        <v/>
      </c>
      <c r="J232">
        <f t="array" ref="J232">IsURL(Table_121215[[#This Row],[Data Source]])</f>
        <v/>
      </c>
      <c r="K232">
        <f t="array" ref="K232">IsURL(Table_121215[[#This Row],[DOI]])</f>
        <v/>
      </c>
      <c r="L232">
        <f t="array" ref="L232">IsURL(Table_121215[[#This Row],[Data Source]])</f>
        <v/>
      </c>
      <c r="M232">
        <f t="array" ref="M232">IsURL(Table_121215[[#This Row],[Data Source]])</f>
        <v/>
      </c>
    </row>
    <row r="233" ht="15.75" customHeight="1">
      <c r="A233">
        <f>IF(Table_121215[[#This Row],[Media Name]]=0,"",Table_121215[[#This Row],[Media Name]])</f>
        <v/>
      </c>
      <c r="D233" s="25" t="n"/>
      <c r="F233" s="27" t="n"/>
      <c r="I233" s="18">
        <f>IF($B233="","FALSE","TRUE")</f>
        <v/>
      </c>
      <c r="J233">
        <f t="array" ref="J233">IsURL(Table_121215[[#This Row],[Data Source]])</f>
        <v/>
      </c>
      <c r="K233">
        <f t="array" ref="K233">IsURL(Table_121215[[#This Row],[DOI]])</f>
        <v/>
      </c>
      <c r="L233">
        <f t="array" ref="L233">IsURL(Table_121215[[#This Row],[Data Source]])</f>
        <v/>
      </c>
      <c r="M233">
        <f t="array" ref="M233">IsURL(Table_121215[[#This Row],[Data Source]])</f>
        <v/>
      </c>
    </row>
    <row r="234" ht="15.75" customHeight="1">
      <c r="A234">
        <f>IF(Table_121215[[#This Row],[Media Name]]=0,"",Table_121215[[#This Row],[Media Name]])</f>
        <v/>
      </c>
      <c r="D234" s="25" t="n"/>
      <c r="F234" s="27" t="n"/>
      <c r="I234" s="18">
        <f>IF($B234="","FALSE","TRUE")</f>
        <v/>
      </c>
      <c r="J234">
        <f t="array" ref="J234">IsURL(Table_121215[[#This Row],[Data Source]])</f>
        <v/>
      </c>
      <c r="K234">
        <f t="array" ref="K234">IsURL(Table_121215[[#This Row],[DOI]])</f>
        <v/>
      </c>
      <c r="L234">
        <f t="array" ref="L234">IsURL(Table_121215[[#This Row],[Data Source]])</f>
        <v/>
      </c>
      <c r="M234">
        <f t="array" ref="M234">IsURL(Table_121215[[#This Row],[Data Source]])</f>
        <v/>
      </c>
    </row>
    <row r="235" ht="15.75" customHeight="1">
      <c r="A235">
        <f>IF(Table_121215[[#This Row],[Media Name]]=0,"",Table_121215[[#This Row],[Media Name]])</f>
        <v/>
      </c>
      <c r="D235" s="25" t="n"/>
      <c r="F235" s="27" t="n"/>
      <c r="I235" s="18">
        <f>IF($B235="","FALSE","TRUE")</f>
        <v/>
      </c>
      <c r="J235">
        <f t="array" ref="J235">IsURL(Table_121215[[#This Row],[Data Source]])</f>
        <v/>
      </c>
      <c r="K235">
        <f t="array" ref="K235">IsURL(Table_121215[[#This Row],[DOI]])</f>
        <v/>
      </c>
      <c r="L235">
        <f t="array" ref="L235">IsURL(Table_121215[[#This Row],[Data Source]])</f>
        <v/>
      </c>
      <c r="M235">
        <f t="array" ref="M235">IsURL(Table_121215[[#This Row],[Data Source]])</f>
        <v/>
      </c>
    </row>
    <row r="236" ht="15.75" customHeight="1">
      <c r="A236">
        <f>IF(Table_121215[[#This Row],[Media Name]]=0,"",Table_121215[[#This Row],[Media Name]])</f>
        <v/>
      </c>
      <c r="D236" s="25" t="n"/>
      <c r="F236" s="27" t="n"/>
      <c r="I236" s="18">
        <f>IF($B236="","FALSE","TRUE")</f>
        <v/>
      </c>
      <c r="J236">
        <f t="array" ref="J236">IsURL(Table_121215[[#This Row],[Data Source]])</f>
        <v/>
      </c>
      <c r="K236">
        <f t="array" ref="K236">IsURL(Table_121215[[#This Row],[DOI]])</f>
        <v/>
      </c>
      <c r="L236">
        <f t="array" ref="L236">IsURL(Table_121215[[#This Row],[Data Source]])</f>
        <v/>
      </c>
      <c r="M236">
        <f t="array" ref="M236">IsURL(Table_121215[[#This Row],[Data Source]])</f>
        <v/>
      </c>
    </row>
    <row r="237" ht="15.75" customHeight="1">
      <c r="A237">
        <f>IF(Table_121215[[#This Row],[Media Name]]=0,"",Table_121215[[#This Row],[Media Name]])</f>
        <v/>
      </c>
      <c r="D237" s="25" t="n"/>
      <c r="F237" s="27" t="n"/>
      <c r="I237" s="18">
        <f>IF($B237="","FALSE","TRUE")</f>
        <v/>
      </c>
      <c r="J237">
        <f t="array" ref="J237">IsURL(Table_121215[[#This Row],[Data Source]])</f>
        <v/>
      </c>
      <c r="K237">
        <f t="array" ref="K237">IsURL(Table_121215[[#This Row],[DOI]])</f>
        <v/>
      </c>
      <c r="L237">
        <f t="array" ref="L237">IsURL(Table_121215[[#This Row],[Data Source]])</f>
        <v/>
      </c>
      <c r="M237">
        <f t="array" ref="M237">IsURL(Table_121215[[#This Row],[Data Source]])</f>
        <v/>
      </c>
    </row>
    <row r="238" ht="15.75" customHeight="1">
      <c r="A238">
        <f>IF(Table_121215[[#This Row],[Media Name]]=0,"",Table_121215[[#This Row],[Media Name]])</f>
        <v/>
      </c>
      <c r="D238" s="25" t="n"/>
      <c r="F238" s="27" t="n"/>
      <c r="I238" s="18">
        <f>IF($B238="","FALSE","TRUE")</f>
        <v/>
      </c>
      <c r="J238">
        <f t="array" ref="J238">IsURL(Table_121215[[#This Row],[Data Source]])</f>
        <v/>
      </c>
      <c r="K238">
        <f t="array" ref="K238">IsURL(Table_121215[[#This Row],[DOI]])</f>
        <v/>
      </c>
      <c r="L238">
        <f t="array" ref="L238">IsURL(Table_121215[[#This Row],[Data Source]])</f>
        <v/>
      </c>
      <c r="M238">
        <f t="array" ref="M238">IsURL(Table_121215[[#This Row],[Data Source]])</f>
        <v/>
      </c>
    </row>
    <row r="239" ht="15.75" customHeight="1">
      <c r="A239">
        <f>IF(Table_121215[[#This Row],[Media Name]]=0,"",Table_121215[[#This Row],[Media Name]])</f>
        <v/>
      </c>
      <c r="D239" s="25" t="n"/>
      <c r="F239" s="27" t="n"/>
      <c r="I239" s="18">
        <f>IF($B239="","FALSE","TRUE")</f>
        <v/>
      </c>
      <c r="J239">
        <f t="array" ref="J239">IsURL(Table_121215[[#This Row],[Data Source]])</f>
        <v/>
      </c>
      <c r="K239">
        <f t="array" ref="K239">IsURL(Table_121215[[#This Row],[DOI]])</f>
        <v/>
      </c>
      <c r="L239">
        <f t="array" ref="L239">IsURL(Table_121215[[#This Row],[Data Source]])</f>
        <v/>
      </c>
      <c r="M239">
        <f t="array" ref="M239">IsURL(Table_121215[[#This Row],[Data Source]])</f>
        <v/>
      </c>
    </row>
    <row r="240" ht="15.75" customHeight="1">
      <c r="A240">
        <f>IF(Table_121215[[#This Row],[Media Name]]=0,"",Table_121215[[#This Row],[Media Name]])</f>
        <v/>
      </c>
      <c r="D240" s="25" t="n"/>
      <c r="F240" s="27" t="n"/>
      <c r="I240" s="18">
        <f>IF($B240="","FALSE","TRUE")</f>
        <v/>
      </c>
      <c r="J240">
        <f t="array" ref="J240">IsURL(Table_121215[[#This Row],[Data Source]])</f>
        <v/>
      </c>
      <c r="K240">
        <f t="array" ref="K240">IsURL(Table_121215[[#This Row],[DOI]])</f>
        <v/>
      </c>
      <c r="L240">
        <f t="array" ref="L240">IsURL(Table_121215[[#This Row],[Data Source]])</f>
        <v/>
      </c>
      <c r="M240">
        <f t="array" ref="M240">IsURL(Table_121215[[#This Row],[Data Source]])</f>
        <v/>
      </c>
    </row>
    <row r="241" ht="15.75" customHeight="1">
      <c r="A241">
        <f>IF(Table_121215[[#This Row],[Media Name]]=0,"",Table_121215[[#This Row],[Media Name]])</f>
        <v/>
      </c>
      <c r="D241" s="25" t="n"/>
      <c r="F241" s="27" t="n"/>
      <c r="I241" s="18">
        <f>IF($B241="","FALSE","TRUE")</f>
        <v/>
      </c>
      <c r="J241">
        <f t="array" ref="J241">IsURL(Table_121215[[#This Row],[Data Source]])</f>
        <v/>
      </c>
      <c r="K241">
        <f t="array" ref="K241">IsURL(Table_121215[[#This Row],[DOI]])</f>
        <v/>
      </c>
      <c r="L241">
        <f t="array" ref="L241">IsURL(Table_121215[[#This Row],[Data Source]])</f>
        <v/>
      </c>
      <c r="M241">
        <f t="array" ref="M241">IsURL(Table_121215[[#This Row],[Data Source]])</f>
        <v/>
      </c>
    </row>
    <row r="242" ht="15.75" customHeight="1">
      <c r="A242">
        <f>IF(Table_121215[[#This Row],[Media Name]]=0,"",Table_121215[[#This Row],[Media Name]])</f>
        <v/>
      </c>
      <c r="D242" s="25" t="n"/>
      <c r="F242" s="27" t="n"/>
      <c r="I242" s="18">
        <f>IF($B242="","FALSE","TRUE")</f>
        <v/>
      </c>
      <c r="J242">
        <f t="array" ref="J242">IsURL(Table_121215[[#This Row],[Data Source]])</f>
        <v/>
      </c>
      <c r="K242">
        <f t="array" ref="K242">IsURL(Table_121215[[#This Row],[DOI]])</f>
        <v/>
      </c>
      <c r="L242">
        <f t="array" ref="L242">IsURL(Table_121215[[#This Row],[Data Source]])</f>
        <v/>
      </c>
      <c r="M242">
        <f t="array" ref="M242">IsURL(Table_121215[[#This Row],[Data Source]])</f>
        <v/>
      </c>
    </row>
    <row r="243" ht="15.75" customHeight="1">
      <c r="A243">
        <f>IF(Table_121215[[#This Row],[Media Name]]=0,"",Table_121215[[#This Row],[Media Name]])</f>
        <v/>
      </c>
      <c r="D243" s="25" t="n"/>
      <c r="F243" s="27" t="n"/>
      <c r="I243" s="18">
        <f>IF($B243="","FALSE","TRUE")</f>
        <v/>
      </c>
      <c r="J243">
        <f t="array" ref="J243">IsURL(Table_121215[[#This Row],[Data Source]])</f>
        <v/>
      </c>
      <c r="K243">
        <f t="array" ref="K243">IsURL(Table_121215[[#This Row],[DOI]])</f>
        <v/>
      </c>
      <c r="L243">
        <f t="array" ref="L243">IsURL(Table_121215[[#This Row],[Data Source]])</f>
        <v/>
      </c>
      <c r="M243">
        <f t="array" ref="M243">IsURL(Table_121215[[#This Row],[Data Source]])</f>
        <v/>
      </c>
    </row>
    <row r="244" ht="15.75" customHeight="1">
      <c r="A244">
        <f>IF(Table_121215[[#This Row],[Media Name]]=0,"",Table_121215[[#This Row],[Media Name]])</f>
        <v/>
      </c>
      <c r="D244" s="25" t="n"/>
      <c r="F244" s="27" t="n"/>
      <c r="I244" s="18">
        <f>IF($B244="","FALSE","TRUE")</f>
        <v/>
      </c>
      <c r="J244">
        <f t="array" ref="J244">IsURL(Table_121215[[#This Row],[Data Source]])</f>
        <v/>
      </c>
      <c r="K244">
        <f t="array" ref="K244">IsURL(Table_121215[[#This Row],[DOI]])</f>
        <v/>
      </c>
      <c r="L244">
        <f t="array" ref="L244">IsURL(Table_121215[[#This Row],[Data Source]])</f>
        <v/>
      </c>
      <c r="M244">
        <f t="array" ref="M244">IsURL(Table_121215[[#This Row],[Data Source]])</f>
        <v/>
      </c>
    </row>
    <row r="245" ht="15.75" customHeight="1">
      <c r="A245">
        <f>IF(Table_121215[[#This Row],[Media Name]]=0,"",Table_121215[[#This Row],[Media Name]])</f>
        <v/>
      </c>
      <c r="D245" s="25" t="n"/>
      <c r="F245" s="27" t="n"/>
      <c r="I245" s="18">
        <f>IF($B245="","FALSE","TRUE")</f>
        <v/>
      </c>
      <c r="J245">
        <f t="array" ref="J245">IsURL(Table_121215[[#This Row],[Data Source]])</f>
        <v/>
      </c>
      <c r="K245">
        <f t="array" ref="K245">IsURL(Table_121215[[#This Row],[DOI]])</f>
        <v/>
      </c>
      <c r="L245">
        <f t="array" ref="L245">IsURL(Table_121215[[#This Row],[Data Source]])</f>
        <v/>
      </c>
      <c r="M245">
        <f t="array" ref="M245">IsURL(Table_121215[[#This Row],[Data Source]])</f>
        <v/>
      </c>
    </row>
    <row r="246" ht="15.75" customHeight="1">
      <c r="A246">
        <f>IF(Table_121215[[#This Row],[Media Name]]=0,"",Table_121215[[#This Row],[Media Name]])</f>
        <v/>
      </c>
      <c r="D246" s="25" t="n"/>
      <c r="F246" s="27" t="n"/>
      <c r="I246" s="18">
        <f>IF($B246="","FALSE","TRUE")</f>
        <v/>
      </c>
      <c r="J246">
        <f t="array" ref="J246">IsURL(Table_121215[[#This Row],[Data Source]])</f>
        <v/>
      </c>
      <c r="K246">
        <f t="array" ref="K246">IsURL(Table_121215[[#This Row],[DOI]])</f>
        <v/>
      </c>
      <c r="L246">
        <f t="array" ref="L246">IsURL(Table_121215[[#This Row],[Data Source]])</f>
        <v/>
      </c>
      <c r="M246">
        <f t="array" ref="M246">IsURL(Table_121215[[#This Row],[Data Source]])</f>
        <v/>
      </c>
    </row>
    <row r="247" ht="15.75" customHeight="1">
      <c r="A247">
        <f>IF(Table_121215[[#This Row],[Media Name]]=0,"",Table_121215[[#This Row],[Media Name]])</f>
        <v/>
      </c>
      <c r="D247" s="25" t="n"/>
      <c r="F247" s="27" t="n"/>
      <c r="I247" s="18">
        <f>IF($B247="","FALSE","TRUE")</f>
        <v/>
      </c>
      <c r="J247">
        <f t="array" ref="J247">IsURL(Table_121215[[#This Row],[Data Source]])</f>
        <v/>
      </c>
      <c r="K247">
        <f t="array" ref="K247">IsURL(Table_121215[[#This Row],[DOI]])</f>
        <v/>
      </c>
      <c r="L247">
        <f t="array" ref="L247">IsURL(Table_121215[[#This Row],[Data Source]])</f>
        <v/>
      </c>
      <c r="M247">
        <f t="array" ref="M247">IsURL(Table_121215[[#This Row],[Data Source]])</f>
        <v/>
      </c>
    </row>
    <row r="248" ht="15.75" customHeight="1">
      <c r="A248">
        <f>IF(Table_121215[[#This Row],[Media Name]]=0,"",Table_121215[[#This Row],[Media Name]])</f>
        <v/>
      </c>
      <c r="D248" s="25" t="n"/>
      <c r="F248" s="27" t="n"/>
      <c r="I248" s="18">
        <f>IF($B248="","FALSE","TRUE")</f>
        <v/>
      </c>
      <c r="J248">
        <f t="array" ref="J248">IsURL(Table_121215[[#This Row],[Data Source]])</f>
        <v/>
      </c>
      <c r="K248">
        <f t="array" ref="K248">IsURL(Table_121215[[#This Row],[DOI]])</f>
        <v/>
      </c>
      <c r="L248">
        <f t="array" ref="L248">IsURL(Table_121215[[#This Row],[Data Source]])</f>
        <v/>
      </c>
      <c r="M248">
        <f t="array" ref="M248">IsURL(Table_121215[[#This Row],[Data Source]])</f>
        <v/>
      </c>
    </row>
    <row r="249" ht="15.75" customHeight="1">
      <c r="A249">
        <f>IF(Table_121215[[#This Row],[Media Name]]=0,"",Table_121215[[#This Row],[Media Name]])</f>
        <v/>
      </c>
      <c r="D249" s="25" t="n"/>
      <c r="F249" s="27" t="n"/>
      <c r="I249" s="18">
        <f>IF($B249="","FALSE","TRUE")</f>
        <v/>
      </c>
      <c r="J249">
        <f t="array" ref="J249">IsURL(Table_121215[[#This Row],[Data Source]])</f>
        <v/>
      </c>
      <c r="K249">
        <f t="array" ref="K249">IsURL(Table_121215[[#This Row],[DOI]])</f>
        <v/>
      </c>
      <c r="L249">
        <f t="array" ref="L249">IsURL(Table_121215[[#This Row],[Data Source]])</f>
        <v/>
      </c>
      <c r="M249">
        <f t="array" ref="M249">IsURL(Table_121215[[#This Row],[Data Source]])</f>
        <v/>
      </c>
    </row>
    <row r="250" ht="15.75" customHeight="1">
      <c r="A250">
        <f>IF(Table_121215[[#This Row],[Media Name]]=0,"",Table_121215[[#This Row],[Media Name]])</f>
        <v/>
      </c>
      <c r="D250" s="25" t="n"/>
      <c r="F250" s="27" t="n"/>
      <c r="I250" s="18">
        <f>IF($B250="","FALSE","TRUE")</f>
        <v/>
      </c>
      <c r="J250">
        <f t="array" ref="J250">IsURL(Table_121215[[#This Row],[Data Source]])</f>
        <v/>
      </c>
      <c r="K250">
        <f t="array" ref="K250">IsURL(Table_121215[[#This Row],[DOI]])</f>
        <v/>
      </c>
      <c r="L250">
        <f t="array" ref="L250">IsURL(Table_121215[[#This Row],[Data Source]])</f>
        <v/>
      </c>
      <c r="M250">
        <f t="array" ref="M250">IsURL(Table_121215[[#This Row],[Data Source]])</f>
        <v/>
      </c>
    </row>
    <row r="251" ht="15.75" customHeight="1">
      <c r="A251">
        <f>IF(Table_121215[[#This Row],[Media Name]]=0,"",Table_121215[[#This Row],[Media Name]])</f>
        <v/>
      </c>
      <c r="D251" s="25" t="n"/>
      <c r="F251" s="27" t="n"/>
      <c r="I251" s="18">
        <f>IF($B251="","FALSE","TRUE")</f>
        <v/>
      </c>
      <c r="J251">
        <f t="array" ref="J251">IsURL(Table_121215[[#This Row],[Data Source]])</f>
        <v/>
      </c>
      <c r="K251">
        <f t="array" ref="K251">IsURL(Table_121215[[#This Row],[DOI]])</f>
        <v/>
      </c>
      <c r="L251">
        <f t="array" ref="L251">IsURL(Table_121215[[#This Row],[Data Source]])</f>
        <v/>
      </c>
      <c r="M251">
        <f t="array" ref="M251">IsURL(Table_121215[[#This Row],[Data Source]])</f>
        <v/>
      </c>
    </row>
    <row r="252" ht="15.75" customHeight="1">
      <c r="A252">
        <f>IF(Table_121215[[#This Row],[Media Name]]=0,"",Table_121215[[#This Row],[Media Name]])</f>
        <v/>
      </c>
      <c r="D252" s="25" t="n"/>
      <c r="F252" s="27" t="n"/>
      <c r="I252" s="18">
        <f>IF($B252="","FALSE","TRUE")</f>
        <v/>
      </c>
      <c r="J252">
        <f t="array" ref="J252">IsURL(Table_121215[[#This Row],[Data Source]])</f>
        <v/>
      </c>
      <c r="K252">
        <f t="array" ref="K252">IsURL(Table_121215[[#This Row],[DOI]])</f>
        <v/>
      </c>
      <c r="L252">
        <f t="array" ref="L252">IsURL(Table_121215[[#This Row],[Data Source]])</f>
        <v/>
      </c>
      <c r="M252">
        <f t="array" ref="M252">IsURL(Table_121215[[#This Row],[Data Source]])</f>
        <v/>
      </c>
    </row>
    <row r="253" ht="15.75" customHeight="1">
      <c r="A253">
        <f>IF(Table_121215[[#This Row],[Media Name]]=0,"",Table_121215[[#This Row],[Media Name]])</f>
        <v/>
      </c>
      <c r="D253" s="25" t="n"/>
      <c r="F253" s="27" t="n"/>
      <c r="I253" s="18">
        <f>IF($B253="","FALSE","TRUE")</f>
        <v/>
      </c>
      <c r="J253">
        <f t="array" ref="J253">IsURL(Table_121215[[#This Row],[Data Source]])</f>
        <v/>
      </c>
      <c r="K253">
        <f t="array" ref="K253">IsURL(Table_121215[[#This Row],[DOI]])</f>
        <v/>
      </c>
      <c r="L253">
        <f t="array" ref="L253">IsURL(Table_121215[[#This Row],[Data Source]])</f>
        <v/>
      </c>
      <c r="M253">
        <f t="array" ref="M253">IsURL(Table_121215[[#This Row],[Data Source]])</f>
        <v/>
      </c>
    </row>
    <row r="254" ht="15.75" customHeight="1">
      <c r="A254">
        <f>IF(Table_121215[[#This Row],[Media Name]]=0,"",Table_121215[[#This Row],[Media Name]])</f>
        <v/>
      </c>
      <c r="D254" s="25" t="n"/>
      <c r="F254" s="27" t="n"/>
      <c r="I254" s="18">
        <f>IF($B254="","FALSE","TRUE")</f>
        <v/>
      </c>
      <c r="J254">
        <f t="array" ref="J254">IsURL(Table_121215[[#This Row],[Data Source]])</f>
        <v/>
      </c>
      <c r="K254">
        <f t="array" ref="K254">IsURL(Table_121215[[#This Row],[DOI]])</f>
        <v/>
      </c>
      <c r="L254">
        <f t="array" ref="L254">IsURL(Table_121215[[#This Row],[Data Source]])</f>
        <v/>
      </c>
      <c r="M254">
        <f t="array" ref="M254">IsURL(Table_121215[[#This Row],[Data Source]])</f>
        <v/>
      </c>
    </row>
    <row r="255" ht="15.75" customHeight="1">
      <c r="A255">
        <f>IF(Table_121215[[#This Row],[Media Name]]=0,"",Table_121215[[#This Row],[Media Name]])</f>
        <v/>
      </c>
      <c r="D255" s="25" t="n"/>
      <c r="F255" s="27" t="n"/>
      <c r="I255" s="18">
        <f>IF($B255="","FALSE","TRUE")</f>
        <v/>
      </c>
      <c r="J255">
        <f t="array" ref="J255">IsURL(Table_121215[[#This Row],[Data Source]])</f>
        <v/>
      </c>
      <c r="K255">
        <f t="array" ref="K255">IsURL(Table_121215[[#This Row],[DOI]])</f>
        <v/>
      </c>
      <c r="L255">
        <f t="array" ref="L255">IsURL(Table_121215[[#This Row],[Data Source]])</f>
        <v/>
      </c>
      <c r="M255">
        <f t="array" ref="M255">IsURL(Table_121215[[#This Row],[Data Source]])</f>
        <v/>
      </c>
    </row>
    <row r="256" ht="15.75" customHeight="1">
      <c r="A256">
        <f>IF(Table_121215[[#This Row],[Media Name]]=0,"",Table_121215[[#This Row],[Media Name]])</f>
        <v/>
      </c>
      <c r="D256" s="25" t="n"/>
      <c r="F256" s="27" t="n"/>
      <c r="I256" s="18">
        <f>IF($B256="","FALSE","TRUE")</f>
        <v/>
      </c>
      <c r="J256">
        <f t="array" ref="J256">IsURL(Table_121215[[#This Row],[Data Source]])</f>
        <v/>
      </c>
      <c r="K256">
        <f t="array" ref="K256">IsURL(Table_121215[[#This Row],[DOI]])</f>
        <v/>
      </c>
      <c r="L256">
        <f t="array" ref="L256">IsURL(Table_121215[[#This Row],[Data Source]])</f>
        <v/>
      </c>
      <c r="M256">
        <f t="array" ref="M256">IsURL(Table_121215[[#This Row],[Data Source]])</f>
        <v/>
      </c>
    </row>
    <row r="257" ht="15.75" customHeight="1">
      <c r="A257">
        <f>IF(Table_121215[[#This Row],[Media Name]]=0,"",Table_121215[[#This Row],[Media Name]])</f>
        <v/>
      </c>
      <c r="D257" s="25" t="n"/>
      <c r="F257" s="27" t="n"/>
      <c r="I257" s="18">
        <f>IF($B257="","FALSE","TRUE")</f>
        <v/>
      </c>
      <c r="J257">
        <f t="array" ref="J257">IsURL(Table_121215[[#This Row],[Data Source]])</f>
        <v/>
      </c>
      <c r="K257">
        <f t="array" ref="K257">IsURL(Table_121215[[#This Row],[DOI]])</f>
        <v/>
      </c>
      <c r="L257">
        <f t="array" ref="L257">IsURL(Table_121215[[#This Row],[Data Source]])</f>
        <v/>
      </c>
      <c r="M257">
        <f t="array" ref="M257">IsURL(Table_121215[[#This Row],[Data Source]])</f>
        <v/>
      </c>
    </row>
    <row r="258" ht="15.75" customHeight="1">
      <c r="A258">
        <f>IF(Table_121215[[#This Row],[Media Name]]=0,"",Table_121215[[#This Row],[Media Name]])</f>
        <v/>
      </c>
      <c r="D258" s="25" t="n"/>
      <c r="F258" s="27" t="n"/>
      <c r="I258" s="18">
        <f>IF($B258="","FALSE","TRUE")</f>
        <v/>
      </c>
      <c r="J258">
        <f t="array" ref="J258">IsURL(Table_121215[[#This Row],[Data Source]])</f>
        <v/>
      </c>
      <c r="K258">
        <f t="array" ref="K258">IsURL(Table_121215[[#This Row],[DOI]])</f>
        <v/>
      </c>
      <c r="L258">
        <f t="array" ref="L258">IsURL(Table_121215[[#This Row],[Data Source]])</f>
        <v/>
      </c>
      <c r="M258">
        <f t="array" ref="M258">IsURL(Table_121215[[#This Row],[Data Source]])</f>
        <v/>
      </c>
    </row>
    <row r="259" ht="15.75" customHeight="1">
      <c r="A259">
        <f>IF(Table_121215[[#This Row],[Media Name]]=0,"",Table_121215[[#This Row],[Media Name]])</f>
        <v/>
      </c>
      <c r="D259" s="25" t="n"/>
      <c r="F259" s="27" t="n"/>
      <c r="I259" s="18">
        <f>IF($B259="","FALSE","TRUE")</f>
        <v/>
      </c>
      <c r="J259">
        <f t="array" ref="J259">IsURL(Table_121215[[#This Row],[Data Source]])</f>
        <v/>
      </c>
      <c r="K259">
        <f t="array" ref="K259">IsURL(Table_121215[[#This Row],[DOI]])</f>
        <v/>
      </c>
      <c r="L259">
        <f t="array" ref="L259">IsURL(Table_121215[[#This Row],[Data Source]])</f>
        <v/>
      </c>
      <c r="M259">
        <f t="array" ref="M259">IsURL(Table_121215[[#This Row],[Data Source]])</f>
        <v/>
      </c>
    </row>
    <row r="260" ht="15.75" customHeight="1">
      <c r="A260">
        <f>IF(Table_121215[[#This Row],[Media Name]]=0,"",Table_121215[[#This Row],[Media Name]])</f>
        <v/>
      </c>
      <c r="D260" s="25" t="n"/>
      <c r="F260" s="27" t="n"/>
      <c r="I260" s="18">
        <f>IF($B260="","FALSE","TRUE")</f>
        <v/>
      </c>
      <c r="J260">
        <f t="array" ref="J260">IsURL(Table_121215[[#This Row],[Data Source]])</f>
        <v/>
      </c>
      <c r="K260">
        <f t="array" ref="K260">IsURL(Table_121215[[#This Row],[DOI]])</f>
        <v/>
      </c>
      <c r="L260">
        <f t="array" ref="L260">IsURL(Table_121215[[#This Row],[Data Source]])</f>
        <v/>
      </c>
      <c r="M260">
        <f t="array" ref="M260">IsURL(Table_121215[[#This Row],[Data Source]])</f>
        <v/>
      </c>
    </row>
    <row r="261" ht="15.75" customHeight="1">
      <c r="A261">
        <f>IF(Table_121215[[#This Row],[Media Name]]=0,"",Table_121215[[#This Row],[Media Name]])</f>
        <v/>
      </c>
      <c r="D261" s="25" t="n"/>
      <c r="F261" s="27" t="n"/>
      <c r="I261" s="18">
        <f>IF($B261="","FALSE","TRUE")</f>
        <v/>
      </c>
      <c r="J261">
        <f t="array" ref="J261">IsURL(Table_121215[[#This Row],[Data Source]])</f>
        <v/>
      </c>
      <c r="K261">
        <f t="array" ref="K261">IsURL(Table_121215[[#This Row],[DOI]])</f>
        <v/>
      </c>
      <c r="L261">
        <f t="array" ref="L261">IsURL(Table_121215[[#This Row],[Data Source]])</f>
        <v/>
      </c>
      <c r="M261">
        <f t="array" ref="M261">IsURL(Table_121215[[#This Row],[Data Source]])</f>
        <v/>
      </c>
    </row>
    <row r="262" ht="15.75" customHeight="1">
      <c r="A262">
        <f>IF(Table_121215[[#This Row],[Media Name]]=0,"",Table_121215[[#This Row],[Media Name]])</f>
        <v/>
      </c>
      <c r="D262" s="25" t="n"/>
      <c r="F262" s="27" t="n"/>
      <c r="I262" s="18">
        <f>IF($B262="","FALSE","TRUE")</f>
        <v/>
      </c>
      <c r="J262">
        <f t="array" ref="J262">IsURL(Table_121215[[#This Row],[Data Source]])</f>
        <v/>
      </c>
      <c r="K262">
        <f t="array" ref="K262">IsURL(Table_121215[[#This Row],[DOI]])</f>
        <v/>
      </c>
      <c r="L262">
        <f t="array" ref="L262">IsURL(Table_121215[[#This Row],[Data Source]])</f>
        <v/>
      </c>
      <c r="M262">
        <f t="array" ref="M262">IsURL(Table_121215[[#This Row],[Data Source]])</f>
        <v/>
      </c>
    </row>
    <row r="263" ht="15.75" customHeight="1">
      <c r="A263">
        <f>IF(Table_121215[[#This Row],[Media Name]]=0,"",Table_121215[[#This Row],[Media Name]])</f>
        <v/>
      </c>
      <c r="D263" s="25" t="n"/>
      <c r="F263" s="27" t="n"/>
      <c r="I263" s="18">
        <f>IF($B263="","FALSE","TRUE")</f>
        <v/>
      </c>
      <c r="J263">
        <f t="array" ref="J263">IsURL(Table_121215[[#This Row],[Data Source]])</f>
        <v/>
      </c>
      <c r="K263">
        <f t="array" ref="K263">IsURL(Table_121215[[#This Row],[DOI]])</f>
        <v/>
      </c>
      <c r="L263">
        <f t="array" ref="L263">IsURL(Table_121215[[#This Row],[Data Source]])</f>
        <v/>
      </c>
      <c r="M263">
        <f t="array" ref="M263">IsURL(Table_121215[[#This Row],[Data Source]])</f>
        <v/>
      </c>
    </row>
    <row r="264" ht="15.75" customHeight="1">
      <c r="A264">
        <f>IF(Table_121215[[#This Row],[Media Name]]=0,"",Table_121215[[#This Row],[Media Name]])</f>
        <v/>
      </c>
      <c r="D264" s="25" t="n"/>
      <c r="F264" s="27" t="n"/>
      <c r="I264" s="18">
        <f>IF($B264="","FALSE","TRUE")</f>
        <v/>
      </c>
      <c r="J264">
        <f t="array" ref="J264">IsURL(Table_121215[[#This Row],[Data Source]])</f>
        <v/>
      </c>
      <c r="K264">
        <f t="array" ref="K264">IsURL(Table_121215[[#This Row],[DOI]])</f>
        <v/>
      </c>
      <c r="L264">
        <f t="array" ref="L264">IsURL(Table_121215[[#This Row],[Data Source]])</f>
        <v/>
      </c>
      <c r="M264">
        <f t="array" ref="M264">IsURL(Table_121215[[#This Row],[Data Source]])</f>
        <v/>
      </c>
    </row>
    <row r="265" ht="15.75" customHeight="1">
      <c r="A265">
        <f>IF(Table_121215[[#This Row],[Media Name]]=0,"",Table_121215[[#This Row],[Media Name]])</f>
        <v/>
      </c>
      <c r="D265" s="25" t="n"/>
      <c r="F265" s="27" t="n"/>
      <c r="I265" s="18">
        <f>IF($B265="","FALSE","TRUE")</f>
        <v/>
      </c>
      <c r="J265">
        <f t="array" ref="J265">IsURL(Table_121215[[#This Row],[Data Source]])</f>
        <v/>
      </c>
      <c r="K265">
        <f t="array" ref="K265">IsURL(Table_121215[[#This Row],[DOI]])</f>
        <v/>
      </c>
      <c r="L265">
        <f t="array" ref="L265">IsURL(Table_121215[[#This Row],[Data Source]])</f>
        <v/>
      </c>
      <c r="M265">
        <f t="array" ref="M265">IsURL(Table_121215[[#This Row],[Data Source]])</f>
        <v/>
      </c>
    </row>
    <row r="266" ht="15.75" customHeight="1">
      <c r="A266">
        <f>IF(Table_121215[[#This Row],[Media Name]]=0,"",Table_121215[[#This Row],[Media Name]])</f>
        <v/>
      </c>
      <c r="D266" s="25" t="n"/>
      <c r="F266" s="27" t="n"/>
      <c r="I266" s="18">
        <f>IF($B266="","FALSE","TRUE")</f>
        <v/>
      </c>
      <c r="J266">
        <f t="array" ref="J266">IsURL(Table_121215[[#This Row],[Data Source]])</f>
        <v/>
      </c>
      <c r="K266">
        <f t="array" ref="K266">IsURL(Table_121215[[#This Row],[DOI]])</f>
        <v/>
      </c>
      <c r="L266">
        <f t="array" ref="L266">IsURL(Table_121215[[#This Row],[Data Source]])</f>
        <v/>
      </c>
      <c r="M266">
        <f t="array" ref="M266">IsURL(Table_121215[[#This Row],[Data Source]])</f>
        <v/>
      </c>
    </row>
    <row r="267" ht="15.75" customHeight="1">
      <c r="A267">
        <f>IF(Table_121215[[#This Row],[Media Name]]=0,"",Table_121215[[#This Row],[Media Name]])</f>
        <v/>
      </c>
      <c r="D267" s="25" t="n"/>
      <c r="F267" s="27" t="n"/>
      <c r="I267" s="18">
        <f>IF($B267="","FALSE","TRUE")</f>
        <v/>
      </c>
      <c r="J267">
        <f t="array" ref="J267">IsURL(Table_121215[[#This Row],[Data Source]])</f>
        <v/>
      </c>
      <c r="K267">
        <f t="array" ref="K267">IsURL(Table_121215[[#This Row],[DOI]])</f>
        <v/>
      </c>
      <c r="L267">
        <f t="array" ref="L267">IsURL(Table_121215[[#This Row],[Data Source]])</f>
        <v/>
      </c>
      <c r="M267">
        <f t="array" ref="M267">IsURL(Table_121215[[#This Row],[Data Source]])</f>
        <v/>
      </c>
    </row>
    <row r="268" ht="15.75" customHeight="1">
      <c r="A268">
        <f>IF(Table_121215[[#This Row],[Media Name]]=0,"",Table_121215[[#This Row],[Media Name]])</f>
        <v/>
      </c>
      <c r="D268" s="25" t="n"/>
      <c r="F268" s="27" t="n"/>
      <c r="I268" s="18">
        <f>IF($B268="","FALSE","TRUE")</f>
        <v/>
      </c>
      <c r="J268">
        <f t="array" ref="J268">IsURL(Table_121215[[#This Row],[Data Source]])</f>
        <v/>
      </c>
      <c r="K268">
        <f t="array" ref="K268">IsURL(Table_121215[[#This Row],[DOI]])</f>
        <v/>
      </c>
      <c r="L268">
        <f t="array" ref="L268">IsURL(Table_121215[[#This Row],[Data Source]])</f>
        <v/>
      </c>
      <c r="M268">
        <f t="array" ref="M268">IsURL(Table_121215[[#This Row],[Data Source]])</f>
        <v/>
      </c>
    </row>
    <row r="269" ht="15.75" customHeight="1">
      <c r="A269">
        <f>IF(Table_121215[[#This Row],[Media Name]]=0,"",Table_121215[[#This Row],[Media Name]])</f>
        <v/>
      </c>
      <c r="D269" s="25" t="n"/>
      <c r="F269" s="27" t="n"/>
      <c r="I269" s="18">
        <f>IF($B269="","FALSE","TRUE")</f>
        <v/>
      </c>
      <c r="J269">
        <f t="array" ref="J269">IsURL(Table_121215[[#This Row],[Data Source]])</f>
        <v/>
      </c>
      <c r="K269">
        <f t="array" ref="K269">IsURL(Table_121215[[#This Row],[DOI]])</f>
        <v/>
      </c>
      <c r="L269">
        <f t="array" ref="L269">IsURL(Table_121215[[#This Row],[Data Source]])</f>
        <v/>
      </c>
      <c r="M269">
        <f t="array" ref="M269">IsURL(Table_121215[[#This Row],[Data Source]])</f>
        <v/>
      </c>
    </row>
    <row r="270" ht="15.75" customHeight="1">
      <c r="A270">
        <f>IF(Table_121215[[#This Row],[Media Name]]=0,"",Table_121215[[#This Row],[Media Name]])</f>
        <v/>
      </c>
      <c r="D270" s="25" t="n"/>
      <c r="F270" s="27" t="n"/>
      <c r="I270" s="18">
        <f>IF($B270="","FALSE","TRUE")</f>
        <v/>
      </c>
      <c r="J270">
        <f t="array" ref="J270">IsURL(Table_121215[[#This Row],[Data Source]])</f>
        <v/>
      </c>
      <c r="K270">
        <f t="array" ref="K270">IsURL(Table_121215[[#This Row],[DOI]])</f>
        <v/>
      </c>
      <c r="L270">
        <f t="array" ref="L270">IsURL(Table_121215[[#This Row],[Data Source]])</f>
        <v/>
      </c>
      <c r="M270">
        <f t="array" ref="M270">IsURL(Table_121215[[#This Row],[Data Source]])</f>
        <v/>
      </c>
    </row>
    <row r="271" ht="15.75" customHeight="1">
      <c r="A271">
        <f>IF(Table_121215[[#This Row],[Media Name]]=0,"",Table_121215[[#This Row],[Media Name]])</f>
        <v/>
      </c>
      <c r="D271" s="25" t="n"/>
      <c r="F271" s="27" t="n"/>
      <c r="I271" s="18">
        <f>IF($B271="","FALSE","TRUE")</f>
        <v/>
      </c>
      <c r="J271">
        <f t="array" ref="J271">IsURL(Table_121215[[#This Row],[Data Source]])</f>
        <v/>
      </c>
      <c r="K271">
        <f t="array" ref="K271">IsURL(Table_121215[[#This Row],[DOI]])</f>
        <v/>
      </c>
      <c r="L271">
        <f t="array" ref="L271">IsURL(Table_121215[[#This Row],[Data Source]])</f>
        <v/>
      </c>
      <c r="M271">
        <f t="array" ref="M271">IsURL(Table_121215[[#This Row],[Data Source]])</f>
        <v/>
      </c>
    </row>
    <row r="272" ht="15.75" customHeight="1">
      <c r="A272">
        <f>IF(Table_121215[[#This Row],[Media Name]]=0,"",Table_121215[[#This Row],[Media Name]])</f>
        <v/>
      </c>
      <c r="D272" s="25" t="n"/>
      <c r="F272" s="27" t="n"/>
      <c r="I272" s="18">
        <f>IF($B272="","FALSE","TRUE")</f>
        <v/>
      </c>
      <c r="J272">
        <f t="array" ref="J272">IsURL(Table_121215[[#This Row],[Data Source]])</f>
        <v/>
      </c>
      <c r="K272">
        <f t="array" ref="K272">IsURL(Table_121215[[#This Row],[DOI]])</f>
        <v/>
      </c>
      <c r="L272">
        <f t="array" ref="L272">IsURL(Table_121215[[#This Row],[Data Source]])</f>
        <v/>
      </c>
      <c r="M272">
        <f t="array" ref="M272">IsURL(Table_121215[[#This Row],[Data Source]])</f>
        <v/>
      </c>
    </row>
    <row r="273" ht="15.75" customHeight="1">
      <c r="A273">
        <f>IF(Table_121215[[#This Row],[Media Name]]=0,"",Table_121215[[#This Row],[Media Name]])</f>
        <v/>
      </c>
      <c r="D273" s="25" t="n"/>
      <c r="F273" s="27" t="n"/>
      <c r="I273" s="18">
        <f>IF($B273="","FALSE","TRUE")</f>
        <v/>
      </c>
      <c r="J273">
        <f t="array" ref="J273">IsURL(Table_121215[[#This Row],[Data Source]])</f>
        <v/>
      </c>
      <c r="K273">
        <f t="array" ref="K273">IsURL(Table_121215[[#This Row],[DOI]])</f>
        <v/>
      </c>
      <c r="L273">
        <f t="array" ref="L273">IsURL(Table_121215[[#This Row],[Data Source]])</f>
        <v/>
      </c>
      <c r="M273">
        <f t="array" ref="M273">IsURL(Table_121215[[#This Row],[Data Source]])</f>
        <v/>
      </c>
    </row>
    <row r="274" ht="15.75" customHeight="1">
      <c r="A274">
        <f>IF(Table_121215[[#This Row],[Media Name]]=0,"",Table_121215[[#This Row],[Media Name]])</f>
        <v/>
      </c>
      <c r="D274" s="25" t="n"/>
      <c r="F274" s="27" t="n"/>
      <c r="I274" s="18">
        <f>IF($B274="","FALSE","TRUE")</f>
        <v/>
      </c>
      <c r="J274">
        <f t="array" ref="J274">IsURL(Table_121215[[#This Row],[Data Source]])</f>
        <v/>
      </c>
      <c r="K274">
        <f t="array" ref="K274">IsURL(Table_121215[[#This Row],[DOI]])</f>
        <v/>
      </c>
      <c r="L274">
        <f t="array" ref="L274">IsURL(Table_121215[[#This Row],[Data Source]])</f>
        <v/>
      </c>
      <c r="M274">
        <f t="array" ref="M274">IsURL(Table_121215[[#This Row],[Data Source]])</f>
        <v/>
      </c>
    </row>
    <row r="275" ht="15.75" customHeight="1">
      <c r="A275">
        <f>IF(Table_121215[[#This Row],[Media Name]]=0,"",Table_121215[[#This Row],[Media Name]])</f>
        <v/>
      </c>
      <c r="D275" s="25" t="n"/>
      <c r="F275" s="27" t="n"/>
      <c r="I275" s="18">
        <f>IF($B275="","FALSE","TRUE")</f>
        <v/>
      </c>
      <c r="J275">
        <f t="array" ref="J275">IsURL(Table_121215[[#This Row],[Data Source]])</f>
        <v/>
      </c>
      <c r="K275">
        <f t="array" ref="K275">IsURL(Table_121215[[#This Row],[DOI]])</f>
        <v/>
      </c>
      <c r="L275">
        <f t="array" ref="L275">IsURL(Table_121215[[#This Row],[Data Source]])</f>
        <v/>
      </c>
      <c r="M275">
        <f t="array" ref="M275">IsURL(Table_121215[[#This Row],[Data Source]])</f>
        <v/>
      </c>
    </row>
    <row r="276" ht="15.75" customHeight="1">
      <c r="A276">
        <f>IF(Table_121215[[#This Row],[Media Name]]=0,"",Table_121215[[#This Row],[Media Name]])</f>
        <v/>
      </c>
      <c r="D276" s="25" t="n"/>
      <c r="F276" s="27" t="n"/>
      <c r="I276" s="18">
        <f>IF($B276="","FALSE","TRUE")</f>
        <v/>
      </c>
      <c r="J276">
        <f t="array" ref="J276">IsURL(Table_121215[[#This Row],[Data Source]])</f>
        <v/>
      </c>
      <c r="K276">
        <f t="array" ref="K276">IsURL(Table_121215[[#This Row],[DOI]])</f>
        <v/>
      </c>
      <c r="L276">
        <f t="array" ref="L276">IsURL(Table_121215[[#This Row],[Data Source]])</f>
        <v/>
      </c>
      <c r="M276">
        <f t="array" ref="M276">IsURL(Table_121215[[#This Row],[Data Source]])</f>
        <v/>
      </c>
    </row>
    <row r="277" ht="15.75" customHeight="1">
      <c r="A277">
        <f>IF(Table_121215[[#This Row],[Media Name]]=0,"",Table_121215[[#This Row],[Media Name]])</f>
        <v/>
      </c>
      <c r="D277" s="25" t="n"/>
      <c r="F277" s="27" t="n"/>
      <c r="I277" s="18">
        <f>IF($B277="","FALSE","TRUE")</f>
        <v/>
      </c>
      <c r="J277">
        <f t="array" ref="J277">IsURL(Table_121215[[#This Row],[Data Source]])</f>
        <v/>
      </c>
      <c r="K277">
        <f t="array" ref="K277">IsURL(Table_121215[[#This Row],[DOI]])</f>
        <v/>
      </c>
      <c r="L277">
        <f t="array" ref="L277">IsURL(Table_121215[[#This Row],[Data Source]])</f>
        <v/>
      </c>
      <c r="M277">
        <f t="array" ref="M277">IsURL(Table_121215[[#This Row],[Data Source]])</f>
        <v/>
      </c>
    </row>
    <row r="278" ht="15.75" customHeight="1">
      <c r="A278">
        <f>IF(Table_121215[[#This Row],[Media Name]]=0,"",Table_121215[[#This Row],[Media Name]])</f>
        <v/>
      </c>
      <c r="D278" s="25" t="n"/>
      <c r="F278" s="27" t="n"/>
      <c r="I278" s="18">
        <f>IF($B278="","FALSE","TRUE")</f>
        <v/>
      </c>
      <c r="J278">
        <f t="array" ref="J278">IsURL(Table_121215[[#This Row],[Data Source]])</f>
        <v/>
      </c>
      <c r="K278">
        <f t="array" ref="K278">IsURL(Table_121215[[#This Row],[DOI]])</f>
        <v/>
      </c>
      <c r="L278">
        <f t="array" ref="L278">IsURL(Table_121215[[#This Row],[Data Source]])</f>
        <v/>
      </c>
      <c r="M278">
        <f t="array" ref="M278">IsURL(Table_121215[[#This Row],[Data Source]])</f>
        <v/>
      </c>
    </row>
    <row r="279" ht="15.75" customHeight="1">
      <c r="A279">
        <f>IF(Table_121215[[#This Row],[Media Name]]=0,"",Table_121215[[#This Row],[Media Name]])</f>
        <v/>
      </c>
      <c r="D279" s="25" t="n"/>
      <c r="F279" s="27" t="n"/>
      <c r="I279" s="18">
        <f>IF($B279="","FALSE","TRUE")</f>
        <v/>
      </c>
      <c r="J279">
        <f t="array" ref="J279">IsURL(Table_121215[[#This Row],[Data Source]])</f>
        <v/>
      </c>
      <c r="K279">
        <f t="array" ref="K279">IsURL(Table_121215[[#This Row],[DOI]])</f>
        <v/>
      </c>
      <c r="L279">
        <f t="array" ref="L279">IsURL(Table_121215[[#This Row],[Data Source]])</f>
        <v/>
      </c>
      <c r="M279">
        <f t="array" ref="M279">IsURL(Table_121215[[#This Row],[Data Source]])</f>
        <v/>
      </c>
    </row>
    <row r="280" ht="15.75" customHeight="1">
      <c r="A280">
        <f>IF(Table_121215[[#This Row],[Media Name]]=0,"",Table_121215[[#This Row],[Media Name]])</f>
        <v/>
      </c>
      <c r="D280" s="25" t="n"/>
      <c r="F280" s="27" t="n"/>
      <c r="I280" s="18">
        <f>IF($B280="","FALSE","TRUE")</f>
        <v/>
      </c>
      <c r="J280">
        <f t="array" ref="J280">IsURL(Table_121215[[#This Row],[Data Source]])</f>
        <v/>
      </c>
      <c r="K280">
        <f t="array" ref="K280">IsURL(Table_121215[[#This Row],[DOI]])</f>
        <v/>
      </c>
      <c r="L280">
        <f t="array" ref="L280">IsURL(Table_121215[[#This Row],[Data Source]])</f>
        <v/>
      </c>
      <c r="M280">
        <f t="array" ref="M280">IsURL(Table_121215[[#This Row],[Data Source]])</f>
        <v/>
      </c>
    </row>
    <row r="281" ht="15.75" customHeight="1">
      <c r="A281">
        <f>IF(Table_121215[[#This Row],[Media Name]]=0,"",Table_121215[[#This Row],[Media Name]])</f>
        <v/>
      </c>
      <c r="D281" s="25" t="n"/>
      <c r="F281" s="27" t="n"/>
      <c r="I281" s="18">
        <f>IF($B281="","FALSE","TRUE")</f>
        <v/>
      </c>
      <c r="J281">
        <f t="array" ref="J281">IsURL(Table_121215[[#This Row],[Data Source]])</f>
        <v/>
      </c>
      <c r="K281">
        <f t="array" ref="K281">IsURL(Table_121215[[#This Row],[DOI]])</f>
        <v/>
      </c>
      <c r="L281">
        <f t="array" ref="L281">IsURL(Table_121215[[#This Row],[Data Source]])</f>
        <v/>
      </c>
      <c r="M281">
        <f t="array" ref="M281">IsURL(Table_121215[[#This Row],[Data Source]])</f>
        <v/>
      </c>
    </row>
    <row r="282" ht="15.75" customHeight="1">
      <c r="A282">
        <f>IF(Table_121215[[#This Row],[Media Name]]=0,"",Table_121215[[#This Row],[Media Name]])</f>
        <v/>
      </c>
      <c r="D282" s="25" t="n"/>
      <c r="F282" s="27" t="n"/>
      <c r="I282" s="18">
        <f>IF($B282="","FALSE","TRUE")</f>
        <v/>
      </c>
      <c r="J282">
        <f t="array" ref="J282">IsURL(Table_121215[[#This Row],[Data Source]])</f>
        <v/>
      </c>
      <c r="K282">
        <f t="array" ref="K282">IsURL(Table_121215[[#This Row],[DOI]])</f>
        <v/>
      </c>
      <c r="L282">
        <f t="array" ref="L282">IsURL(Table_121215[[#This Row],[Data Source]])</f>
        <v/>
      </c>
      <c r="M282">
        <f t="array" ref="M282">IsURL(Table_121215[[#This Row],[Data Source]])</f>
        <v/>
      </c>
    </row>
    <row r="283" ht="15.75" customHeight="1">
      <c r="A283">
        <f>IF(Table_121215[[#This Row],[Media Name]]=0,"",Table_121215[[#This Row],[Media Name]])</f>
        <v/>
      </c>
      <c r="D283" s="25" t="n"/>
      <c r="F283" s="27" t="n"/>
      <c r="I283" s="18">
        <f>IF($B283="","FALSE","TRUE")</f>
        <v/>
      </c>
      <c r="J283">
        <f t="array" ref="J283">IsURL(Table_121215[[#This Row],[Data Source]])</f>
        <v/>
      </c>
      <c r="K283">
        <f t="array" ref="K283">IsURL(Table_121215[[#This Row],[DOI]])</f>
        <v/>
      </c>
      <c r="L283">
        <f t="array" ref="L283">IsURL(Table_121215[[#This Row],[Data Source]])</f>
        <v/>
      </c>
      <c r="M283">
        <f t="array" ref="M283">IsURL(Table_121215[[#This Row],[Data Source]])</f>
        <v/>
      </c>
    </row>
    <row r="284" ht="15.75" customHeight="1">
      <c r="A284">
        <f>IF(Table_121215[[#This Row],[Media Name]]=0,"",Table_121215[[#This Row],[Media Name]])</f>
        <v/>
      </c>
      <c r="D284" s="25" t="n"/>
      <c r="F284" s="27" t="n"/>
      <c r="I284" s="18">
        <f>IF($B284="","FALSE","TRUE")</f>
        <v/>
      </c>
      <c r="J284">
        <f t="array" ref="J284">IsURL(Table_121215[[#This Row],[Data Source]])</f>
        <v/>
      </c>
      <c r="K284">
        <f t="array" ref="K284">IsURL(Table_121215[[#This Row],[DOI]])</f>
        <v/>
      </c>
      <c r="L284">
        <f t="array" ref="L284">IsURL(Table_121215[[#This Row],[Data Source]])</f>
        <v/>
      </c>
      <c r="M284">
        <f t="array" ref="M284">IsURL(Table_121215[[#This Row],[Data Source]])</f>
        <v/>
      </c>
    </row>
    <row r="285" ht="15.75" customHeight="1">
      <c r="A285">
        <f>IF(Table_121215[[#This Row],[Media Name]]=0,"",Table_121215[[#This Row],[Media Name]])</f>
        <v/>
      </c>
      <c r="D285" s="25" t="n"/>
      <c r="F285" s="27" t="n"/>
      <c r="I285" s="18">
        <f>IF($B285="","FALSE","TRUE")</f>
        <v/>
      </c>
      <c r="J285">
        <f t="array" ref="J285">IsURL(Table_121215[[#This Row],[Data Source]])</f>
        <v/>
      </c>
      <c r="K285">
        <f t="array" ref="K285">IsURL(Table_121215[[#This Row],[DOI]])</f>
        <v/>
      </c>
      <c r="L285">
        <f t="array" ref="L285">IsURL(Table_121215[[#This Row],[Data Source]])</f>
        <v/>
      </c>
      <c r="M285">
        <f t="array" ref="M285">IsURL(Table_121215[[#This Row],[Data Source]])</f>
        <v/>
      </c>
    </row>
    <row r="286" ht="15.75" customHeight="1">
      <c r="A286">
        <f>IF(Table_121215[[#This Row],[Media Name]]=0,"",Table_121215[[#This Row],[Media Name]])</f>
        <v/>
      </c>
      <c r="D286" s="25" t="n"/>
      <c r="F286" s="27" t="n"/>
      <c r="I286" s="18">
        <f>IF($B286="","FALSE","TRUE")</f>
        <v/>
      </c>
      <c r="J286">
        <f t="array" ref="J286">IsURL(Table_121215[[#This Row],[Data Source]])</f>
        <v/>
      </c>
      <c r="K286">
        <f t="array" ref="K286">IsURL(Table_121215[[#This Row],[DOI]])</f>
        <v/>
      </c>
      <c r="L286">
        <f t="array" ref="L286">IsURL(Table_121215[[#This Row],[Data Source]])</f>
        <v/>
      </c>
      <c r="M286">
        <f t="array" ref="M286">IsURL(Table_121215[[#This Row],[Data Source]])</f>
        <v/>
      </c>
    </row>
    <row r="287" ht="15.75" customHeight="1">
      <c r="A287">
        <f>IF(Table_121215[[#This Row],[Media Name]]=0,"",Table_121215[[#This Row],[Media Name]])</f>
        <v/>
      </c>
      <c r="D287" s="25" t="n"/>
      <c r="F287" s="27" t="n"/>
      <c r="I287" s="18">
        <f>IF($B287="","FALSE","TRUE")</f>
        <v/>
      </c>
      <c r="J287">
        <f t="array" ref="J287">IsURL(Table_121215[[#This Row],[Data Source]])</f>
        <v/>
      </c>
      <c r="K287">
        <f t="array" ref="K287">IsURL(Table_121215[[#This Row],[DOI]])</f>
        <v/>
      </c>
      <c r="L287">
        <f t="array" ref="L287">IsURL(Table_121215[[#This Row],[Data Source]])</f>
        <v/>
      </c>
      <c r="M287">
        <f t="array" ref="M287">IsURL(Table_121215[[#This Row],[Data Source]])</f>
        <v/>
      </c>
    </row>
    <row r="288" ht="15.75" customHeight="1">
      <c r="A288">
        <f>IF(Table_121215[[#This Row],[Media Name]]=0,"",Table_121215[[#This Row],[Media Name]])</f>
        <v/>
      </c>
      <c r="D288" s="25" t="n"/>
      <c r="F288" s="27" t="n"/>
      <c r="I288" s="18">
        <f>IF($B288="","FALSE","TRUE")</f>
        <v/>
      </c>
      <c r="J288">
        <f t="array" ref="J288">IsURL(Table_121215[[#This Row],[Data Source]])</f>
        <v/>
      </c>
      <c r="K288">
        <f t="array" ref="K288">IsURL(Table_121215[[#This Row],[DOI]])</f>
        <v/>
      </c>
      <c r="L288">
        <f t="array" ref="L288">IsURL(Table_121215[[#This Row],[Data Source]])</f>
        <v/>
      </c>
      <c r="M288">
        <f t="array" ref="M288">IsURL(Table_121215[[#This Row],[Data Source]])</f>
        <v/>
      </c>
    </row>
    <row r="289" ht="15.75" customHeight="1">
      <c r="A289">
        <f>IF(Table_121215[[#This Row],[Media Name]]=0,"",Table_121215[[#This Row],[Media Name]])</f>
        <v/>
      </c>
      <c r="D289" s="25" t="n"/>
      <c r="F289" s="27" t="n"/>
      <c r="I289" s="18">
        <f>IF($B289="","FALSE","TRUE")</f>
        <v/>
      </c>
      <c r="J289">
        <f t="array" ref="J289">IsURL(Table_121215[[#This Row],[Data Source]])</f>
        <v/>
      </c>
      <c r="K289">
        <f t="array" ref="K289">IsURL(Table_121215[[#This Row],[DOI]])</f>
        <v/>
      </c>
      <c r="L289">
        <f t="array" ref="L289">IsURL(Table_121215[[#This Row],[Data Source]])</f>
        <v/>
      </c>
      <c r="M289">
        <f t="array" ref="M289">IsURL(Table_121215[[#This Row],[Data Source]])</f>
        <v/>
      </c>
    </row>
    <row r="290" ht="15.75" customHeight="1">
      <c r="A290">
        <f>IF(Table_121215[[#This Row],[Media Name]]=0,"",Table_121215[[#This Row],[Media Name]])</f>
        <v/>
      </c>
      <c r="D290" s="25" t="n"/>
      <c r="F290" s="27" t="n"/>
      <c r="I290" s="18">
        <f>IF($B290="","FALSE","TRUE")</f>
        <v/>
      </c>
      <c r="J290">
        <f t="array" ref="J290">IsURL(Table_121215[[#This Row],[Data Source]])</f>
        <v/>
      </c>
      <c r="K290">
        <f t="array" ref="K290">IsURL(Table_121215[[#This Row],[DOI]])</f>
        <v/>
      </c>
      <c r="L290">
        <f t="array" ref="L290">IsURL(Table_121215[[#This Row],[Data Source]])</f>
        <v/>
      </c>
      <c r="M290">
        <f t="array" ref="M290">IsURL(Table_121215[[#This Row],[Data Source]])</f>
        <v/>
      </c>
    </row>
    <row r="291" ht="15.75" customHeight="1">
      <c r="A291">
        <f>IF(Table_121215[[#This Row],[Media Name]]=0,"",Table_121215[[#This Row],[Media Name]])</f>
        <v/>
      </c>
      <c r="D291" s="25" t="n"/>
      <c r="F291" s="27" t="n"/>
      <c r="I291" s="18">
        <f>IF($B291="","FALSE","TRUE")</f>
        <v/>
      </c>
      <c r="J291">
        <f t="array" ref="J291">IsURL(Table_121215[[#This Row],[Data Source]])</f>
        <v/>
      </c>
      <c r="K291">
        <f t="array" ref="K291">IsURL(Table_121215[[#This Row],[DOI]])</f>
        <v/>
      </c>
      <c r="L291">
        <f t="array" ref="L291">IsURL(Table_121215[[#This Row],[Data Source]])</f>
        <v/>
      </c>
      <c r="M291">
        <f t="array" ref="M291">IsURL(Table_121215[[#This Row],[Data Source]])</f>
        <v/>
      </c>
    </row>
    <row r="292" ht="15.75" customHeight="1">
      <c r="A292">
        <f>IF(Table_121215[[#This Row],[Media Name]]=0,"",Table_121215[[#This Row],[Media Name]])</f>
        <v/>
      </c>
      <c r="D292" s="25" t="n"/>
      <c r="F292" s="27" t="n"/>
      <c r="I292" s="18">
        <f>IF($B292="","FALSE","TRUE")</f>
        <v/>
      </c>
      <c r="J292">
        <f t="array" ref="J292">IsURL(Table_121215[[#This Row],[Data Source]])</f>
        <v/>
      </c>
      <c r="K292">
        <f t="array" ref="K292">IsURL(Table_121215[[#This Row],[DOI]])</f>
        <v/>
      </c>
      <c r="L292">
        <f t="array" ref="L292">IsURL(Table_121215[[#This Row],[Data Source]])</f>
        <v/>
      </c>
      <c r="M292">
        <f t="array" ref="M292">IsURL(Table_121215[[#This Row],[Data Source]])</f>
        <v/>
      </c>
    </row>
    <row r="293" ht="15.75" customHeight="1">
      <c r="A293">
        <f>IF(Table_121215[[#This Row],[Media Name]]=0,"",Table_121215[[#This Row],[Media Name]])</f>
        <v/>
      </c>
      <c r="D293" s="25" t="n"/>
      <c r="F293" s="27" t="n"/>
      <c r="I293" s="18">
        <f>IF($B293="","FALSE","TRUE")</f>
        <v/>
      </c>
      <c r="J293">
        <f t="array" ref="J293">IsURL(Table_121215[[#This Row],[Data Source]])</f>
        <v/>
      </c>
      <c r="K293">
        <f t="array" ref="K293">IsURL(Table_121215[[#This Row],[DOI]])</f>
        <v/>
      </c>
      <c r="L293">
        <f t="array" ref="L293">IsURL(Table_121215[[#This Row],[Data Source]])</f>
        <v/>
      </c>
      <c r="M293">
        <f t="array" ref="M293">IsURL(Table_121215[[#This Row],[Data Source]])</f>
        <v/>
      </c>
    </row>
    <row r="294" ht="15.75" customHeight="1">
      <c r="A294">
        <f>IF(Table_121215[[#This Row],[Media Name]]=0,"",Table_121215[[#This Row],[Media Name]])</f>
        <v/>
      </c>
      <c r="D294" s="25" t="n"/>
      <c r="F294" s="27" t="n"/>
      <c r="I294" s="18">
        <f>IF($B294="","FALSE","TRUE")</f>
        <v/>
      </c>
      <c r="J294">
        <f t="array" ref="J294">IsURL(Table_121215[[#This Row],[Data Source]])</f>
        <v/>
      </c>
      <c r="K294">
        <f t="array" ref="K294">IsURL(Table_121215[[#This Row],[DOI]])</f>
        <v/>
      </c>
      <c r="L294">
        <f t="array" ref="L294">IsURL(Table_121215[[#This Row],[Data Source]])</f>
        <v/>
      </c>
      <c r="M294">
        <f t="array" ref="M294">IsURL(Table_121215[[#This Row],[Data Source]])</f>
        <v/>
      </c>
    </row>
    <row r="295" ht="15.75" customHeight="1">
      <c r="A295">
        <f>IF(Table_121215[[#This Row],[Media Name]]=0,"",Table_121215[[#This Row],[Media Name]])</f>
        <v/>
      </c>
      <c r="D295" s="25" t="n"/>
      <c r="F295" s="27" t="n"/>
      <c r="I295" s="18">
        <f>IF($B295="","FALSE","TRUE")</f>
        <v/>
      </c>
      <c r="J295">
        <f t="array" ref="J295">IsURL(Table_121215[[#This Row],[Data Source]])</f>
        <v/>
      </c>
      <c r="K295">
        <f t="array" ref="K295">IsURL(Table_121215[[#This Row],[DOI]])</f>
        <v/>
      </c>
      <c r="L295">
        <f t="array" ref="L295">IsURL(Table_121215[[#This Row],[Data Source]])</f>
        <v/>
      </c>
      <c r="M295">
        <f t="array" ref="M295">IsURL(Table_121215[[#This Row],[Data Source]])</f>
        <v/>
      </c>
    </row>
    <row r="296" ht="15.75" customHeight="1">
      <c r="A296">
        <f>IF(Table_121215[[#This Row],[Media Name]]=0,"",Table_121215[[#This Row],[Media Name]])</f>
        <v/>
      </c>
      <c r="D296" s="25" t="n"/>
      <c r="F296" s="27" t="n"/>
      <c r="I296" s="18">
        <f>IF($B296="","FALSE","TRUE")</f>
        <v/>
      </c>
      <c r="J296">
        <f t="array" ref="J296">IsURL(Table_121215[[#This Row],[Data Source]])</f>
        <v/>
      </c>
      <c r="K296">
        <f t="array" ref="K296">IsURL(Table_121215[[#This Row],[DOI]])</f>
        <v/>
      </c>
      <c r="L296">
        <f t="array" ref="L296">IsURL(Table_121215[[#This Row],[Data Source]])</f>
        <v/>
      </c>
      <c r="M296">
        <f t="array" ref="M296">IsURL(Table_121215[[#This Row],[Data Source]])</f>
        <v/>
      </c>
    </row>
    <row r="297" ht="15.75" customHeight="1">
      <c r="A297">
        <f>IF(Table_121215[[#This Row],[Media Name]]=0,"",Table_121215[[#This Row],[Media Name]])</f>
        <v/>
      </c>
      <c r="D297" s="25" t="n"/>
      <c r="F297" s="27" t="n"/>
      <c r="I297" s="18">
        <f>IF($B297="","FALSE","TRUE")</f>
        <v/>
      </c>
      <c r="J297">
        <f t="array" ref="J297">IsURL(Table_121215[[#This Row],[Data Source]])</f>
        <v/>
      </c>
      <c r="K297">
        <f t="array" ref="K297">IsURL(Table_121215[[#This Row],[DOI]])</f>
        <v/>
      </c>
      <c r="L297">
        <f t="array" ref="L297">IsURL(Table_121215[[#This Row],[Data Source]])</f>
        <v/>
      </c>
      <c r="M297">
        <f t="array" ref="M297">IsURL(Table_121215[[#This Row],[Data Source]])</f>
        <v/>
      </c>
    </row>
    <row r="298" ht="15.75" customHeight="1">
      <c r="A298">
        <f>IF(Table_121215[[#This Row],[Media Name]]=0,"",Table_121215[[#This Row],[Media Name]])</f>
        <v/>
      </c>
      <c r="D298" s="25" t="n"/>
      <c r="F298" s="27" t="n"/>
      <c r="I298" s="18">
        <f>IF($B298="","FALSE","TRUE")</f>
        <v/>
      </c>
      <c r="J298">
        <f t="array" ref="J298">IsURL(Table_121215[[#This Row],[Data Source]])</f>
        <v/>
      </c>
      <c r="K298">
        <f t="array" ref="K298">IsURL(Table_121215[[#This Row],[DOI]])</f>
        <v/>
      </c>
      <c r="L298">
        <f t="array" ref="L298">IsURL(Table_121215[[#This Row],[Data Source]])</f>
        <v/>
      </c>
      <c r="M298">
        <f t="array" ref="M298">IsURL(Table_121215[[#This Row],[Data Source]])</f>
        <v/>
      </c>
    </row>
    <row r="299" ht="15.75" customHeight="1">
      <c r="A299">
        <f>IF(Table_121215[[#This Row],[Media Name]]=0,"",Table_121215[[#This Row],[Media Name]])</f>
        <v/>
      </c>
      <c r="D299" s="25" t="n"/>
      <c r="F299" s="27" t="n"/>
      <c r="I299" s="18">
        <f>IF($B299="","FALSE","TRUE")</f>
        <v/>
      </c>
      <c r="J299">
        <f t="array" ref="J299">IsURL(Table_121215[[#This Row],[Data Source]])</f>
        <v/>
      </c>
      <c r="K299">
        <f t="array" ref="K299">IsURL(Table_121215[[#This Row],[DOI]])</f>
        <v/>
      </c>
      <c r="L299">
        <f t="array" ref="L299">IsURL(Table_121215[[#This Row],[Data Source]])</f>
        <v/>
      </c>
      <c r="M299">
        <f t="array" ref="M299">IsURL(Table_121215[[#This Row],[Data Source]])</f>
        <v/>
      </c>
    </row>
    <row r="300" ht="15.75" customHeight="1">
      <c r="A300">
        <f>IF(Table_121215[[#This Row],[Media Name]]=0,"",Table_121215[[#This Row],[Media Name]])</f>
        <v/>
      </c>
      <c r="D300" s="25" t="n"/>
      <c r="F300" s="27" t="n"/>
      <c r="I300" s="18">
        <f>IF($B300="","FALSE","TRUE")</f>
        <v/>
      </c>
      <c r="J300">
        <f t="array" ref="J300">IsURL(Table_121215[[#This Row],[Data Source]])</f>
        <v/>
      </c>
      <c r="K300">
        <f t="array" ref="K300">IsURL(Table_121215[[#This Row],[DOI]])</f>
        <v/>
      </c>
      <c r="L300">
        <f t="array" ref="L300">IsURL(Table_121215[[#This Row],[Data Source]])</f>
        <v/>
      </c>
      <c r="M300">
        <f t="array" ref="M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sheetData>
  <conditionalFormatting sqref="B5:B300">
    <cfRule type="expression" priority="1" dxfId="6" stopIfTrue="1">
      <formula>ISBLANK(B5)</formula>
    </cfRule>
  </conditionalFormatting>
  <dataValidations count="2">
    <dataValidation sqref="E5:E300" showErrorMessage="1" showInputMessage="1" allowBlank="0" errorTitle="Invalid URL" error="The URL entered seems to be invalid, please check again." type="custom">
      <formula1>#REF!</formula1>
    </dataValidation>
    <dataValidation sqref="I5:I300" showErrorMessage="1" showInputMessage="1" allowBlank="0" type="list">
      <formula1>"TRUE, FALSE"</formula1>
    </dataValidation>
  </dataValidations>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9">
    <outlinePr summaryBelow="1" summaryRight="1"/>
    <pageSetUpPr/>
  </sheetPr>
  <dimension ref="A3:M300"/>
  <sheetViews>
    <sheetView topLeftCell="B1" workbookViewId="0">
      <selection activeCell="J1" sqref="J1:M1048576"/>
    </sheetView>
  </sheetViews>
  <sheetFormatPr baseColWidth="10" defaultColWidth="8.83203125" defaultRowHeight="15"/>
  <cols>
    <col hidden="1" width="14.1640625" customWidth="1" min="1" max="1"/>
    <col width="17.33203125" bestFit="1" customWidth="1" min="2" max="2"/>
    <col width="23.6640625" bestFit="1" customWidth="1" min="3" max="3"/>
    <col width="22.6640625" bestFit="1" customWidth="1" min="4" max="4"/>
    <col width="14.33203125" customWidth="1" min="5" max="5"/>
    <col width="13.1640625" bestFit="1" customWidth="1" min="6" max="6"/>
    <col width="7" bestFit="1" customWidth="1" min="7" max="7"/>
    <col width="6.83203125" bestFit="1" customWidth="1" min="8" max="8"/>
    <col width="10" bestFit="1" customWidth="1" min="9" max="9"/>
    <col hidden="1" width="27.83203125" customWidth="1" min="10" max="10"/>
    <col hidden="1" width="20.33203125" customWidth="1" min="11" max="11"/>
    <col hidden="1" width="27.83203125" customWidth="1" min="12" max="13"/>
    <col width="8.5" bestFit="1" customWidth="1" min="14" max="21"/>
    <col width="12.5" bestFit="1" customWidth="1" min="22" max="22"/>
  </cols>
  <sheetData>
    <row r="1" ht="15.75" customHeight="1"/>
    <row r="2" ht="15.75" customHeight="1"/>
    <row r="3" ht="15.75" customHeight="1">
      <c r="A3" t="inlineStr">
        <is>
          <t>This ID is used to reference the proteins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J3" s="22" t="inlineStr">
        <is>
          <t>DO NOT CHANGE</t>
        </is>
      </c>
      <c r="K3" s="22" t="inlineStr">
        <is>
          <t>DO NOT CHANGE</t>
        </is>
      </c>
      <c r="L3" s="22" t="inlineStr">
        <is>
          <t>DO NOT CHANGE</t>
        </is>
      </c>
      <c r="M3" s="22" t="inlineStr">
        <is>
          <t>DO NOT CHANGE</t>
        </is>
      </c>
    </row>
    <row r="4" ht="15.75" customHeight="1">
      <c r="A4" t="inlineStr">
        <is>
          <t>Chemical ID</t>
        </is>
      </c>
      <c r="B4" s="12" t="inlineStr">
        <is>
          <t>Chemical Name</t>
        </is>
      </c>
      <c r="C4" s="12" t="inlineStr">
        <is>
          <t>Previous Version (URI)</t>
        </is>
      </c>
      <c r="D4" s="12" t="inlineStr">
        <is>
          <t>Chemical Description</t>
        </is>
      </c>
      <c r="E4" s="12" t="inlineStr">
        <is>
          <t>Data Source</t>
        </is>
      </c>
      <c r="F4" s="12" t="inlineStr">
        <is>
          <t>PubMed ID</t>
        </is>
      </c>
      <c r="G4" s="12" t="inlineStr">
        <is>
          <t>DOI</t>
        </is>
      </c>
      <c r="H4" s="23" t="inlineStr">
        <is>
          <t>URI</t>
        </is>
      </c>
      <c r="I4" s="23" t="inlineStr">
        <is>
          <t>Update</t>
        </is>
      </c>
      <c r="J4" s="23" t="inlineStr">
        <is>
          <t>URL Checker - Data Source</t>
        </is>
      </c>
      <c r="K4" s="24" t="inlineStr">
        <is>
          <t>URL Checker - DOI</t>
        </is>
      </c>
      <c r="L4" s="23" t="inlineStr">
        <is>
          <t>URL Checker - Previous Version</t>
        </is>
      </c>
      <c r="M4" s="23" t="inlineStr">
        <is>
          <t>URL Checker - URI</t>
        </is>
      </c>
    </row>
    <row r="5" ht="15.75" customHeight="1">
      <c r="A5">
        <f>IF(chemicals!B5="","",chemicals!B5)</f>
        <v/>
      </c>
      <c r="B5" s="25" t="n"/>
      <c r="D5" s="25" t="n"/>
      <c r="F5" s="26" t="n"/>
      <c r="I5">
        <f>IF($B5="","FALSE","TRUE")</f>
        <v/>
      </c>
      <c r="J5">
        <f t="array" ref="J5">IsURL(Table_121214[[#This Row],[Data Source]])</f>
        <v/>
      </c>
      <c r="K5">
        <f t="array" ref="K5">IsURL(Table_121214[[#This Row],[DOI]])</f>
        <v/>
      </c>
      <c r="L5">
        <f t="array" ref="L5">IsURL(Table_121214[[#This Row],[Data Source]])</f>
        <v/>
      </c>
      <c r="M5">
        <f t="array" ref="M5">IsURL(Table_121214[[#This Row],[Data Source]])</f>
        <v/>
      </c>
    </row>
    <row r="6" ht="15.75" customHeight="1">
      <c r="A6">
        <f>IF(chemicals!B6="","",chemicals!B6)</f>
        <v/>
      </c>
      <c r="B6" s="25" t="n"/>
      <c r="D6" s="25" t="n"/>
      <c r="F6" s="26" t="n"/>
      <c r="I6">
        <f>IF($B6="","FALSE","TRUE")</f>
        <v/>
      </c>
      <c r="J6">
        <f t="array" ref="J6">IsURL(Table_121214[[#This Row],[Data Source]])</f>
        <v/>
      </c>
      <c r="K6">
        <f t="array" ref="K6">IsURL(Table_121214[[#This Row],[DOI]])</f>
        <v/>
      </c>
      <c r="L6">
        <f t="array" ref="L6">IsURL(Table_121214[[#This Row],[Data Source]])</f>
        <v/>
      </c>
      <c r="M6">
        <f t="array" ref="M6">IsURL(Table_121214[[#This Row],[Data Source]])</f>
        <v/>
      </c>
    </row>
    <row r="7" ht="15.75" customHeight="1">
      <c r="A7">
        <f>IF(chemicals!B7="","",chemicals!B7)</f>
        <v/>
      </c>
      <c r="B7" s="25" t="n"/>
      <c r="D7" s="25" t="n"/>
      <c r="F7" s="26" t="n"/>
      <c r="I7">
        <f>IF($B7="","FALSE","TRUE")</f>
        <v/>
      </c>
      <c r="J7">
        <f t="array" ref="J7">IsURL(Table_121214[[#This Row],[Data Source]])</f>
        <v/>
      </c>
      <c r="K7">
        <f t="array" ref="K7">IsURL(Table_121214[[#This Row],[DOI]])</f>
        <v/>
      </c>
      <c r="L7">
        <f t="array" ref="L7">IsURL(Table_121214[[#This Row],[Data Source]])</f>
        <v/>
      </c>
      <c r="M7">
        <f t="array" ref="M7">IsURL(Table_121214[[#This Row],[Data Source]])</f>
        <v/>
      </c>
    </row>
    <row r="8" ht="15.75" customHeight="1">
      <c r="A8">
        <f>IF(chemicals!B8="","",chemicals!B8)</f>
        <v/>
      </c>
      <c r="B8" s="25" t="n"/>
      <c r="F8" s="26" t="n"/>
      <c r="I8">
        <f>IF($B8="","FALSE","TRUE")</f>
        <v/>
      </c>
      <c r="J8">
        <f t="array" ref="J8">IsURL(Table_121214[[#This Row],[Data Source]])</f>
        <v/>
      </c>
      <c r="K8">
        <f t="array" ref="K8">IsURL(Table_121214[[#This Row],[DOI]])</f>
        <v/>
      </c>
      <c r="L8">
        <f t="array" ref="L8">IsURL(Table_121214[[#This Row],[Data Source]])</f>
        <v/>
      </c>
      <c r="M8">
        <f t="array" ref="M8">IsURL(Table_121214[[#This Row],[Data Source]])</f>
        <v/>
      </c>
    </row>
    <row r="9" ht="15.75" customHeight="1">
      <c r="A9">
        <f>IF(chemicals!B9="","",chemicals!B9)</f>
        <v/>
      </c>
      <c r="B9" s="25" t="n"/>
      <c r="F9" s="27" t="n"/>
      <c r="I9">
        <f>IF($B9="","FALSE","TRUE")</f>
        <v/>
      </c>
      <c r="J9">
        <f t="array" ref="J9">IsURL(Table_121214[[#This Row],[Data Source]])</f>
        <v/>
      </c>
      <c r="K9">
        <f t="array" ref="K9">IsURL(Table_121214[[#This Row],[DOI]])</f>
        <v/>
      </c>
      <c r="L9">
        <f t="array" ref="L9">IsURL(Table_121214[[#This Row],[Data Source]])</f>
        <v/>
      </c>
      <c r="M9">
        <f t="array" ref="M9">IsURL(Table_121214[[#This Row],[Data Source]])</f>
        <v/>
      </c>
    </row>
    <row r="10" ht="15.75" customHeight="1">
      <c r="A10">
        <f>IF(chemicals!B10="","",chemicals!B10)</f>
        <v/>
      </c>
      <c r="B10" s="25" t="n"/>
      <c r="F10" s="27" t="n"/>
      <c r="I10">
        <f>IF($B10="","FALSE","TRUE")</f>
        <v/>
      </c>
      <c r="J10">
        <f t="array" ref="J10">IsURL(Table_121214[[#This Row],[Data Source]])</f>
        <v/>
      </c>
      <c r="K10">
        <f t="array" ref="K10">IsURL(Table_121214[[#This Row],[DOI]])</f>
        <v/>
      </c>
      <c r="L10">
        <f t="array" ref="L10">IsURL(Table_121214[[#This Row],[Data Source]])</f>
        <v/>
      </c>
      <c r="M10">
        <f t="array" ref="M10">IsURL(Table_121214[[#This Row],[Data Source]])</f>
        <v/>
      </c>
    </row>
    <row r="11" ht="15.75" customHeight="1">
      <c r="A11">
        <f>IF(chemicals!B11="","",chemicals!B11)</f>
        <v/>
      </c>
      <c r="B11" s="25" t="n"/>
      <c r="F11" s="27" t="n"/>
      <c r="I11">
        <f>IF($B11="","FALSE","TRUE")</f>
        <v/>
      </c>
      <c r="J11">
        <f t="array" ref="J11">IsURL(Table_121214[[#This Row],[Data Source]])</f>
        <v/>
      </c>
      <c r="K11">
        <f t="array" ref="K11">IsURL(Table_121214[[#This Row],[DOI]])</f>
        <v/>
      </c>
      <c r="L11">
        <f t="array" ref="L11">IsURL(Table_121214[[#This Row],[Data Source]])</f>
        <v/>
      </c>
      <c r="M11">
        <f t="array" ref="M11">IsURL(Table_121214[[#This Row],[Data Source]])</f>
        <v/>
      </c>
    </row>
    <row r="12" ht="15.75" customHeight="1">
      <c r="A12">
        <f>IF(chemicals!B12="","",chemicals!B12)</f>
        <v/>
      </c>
      <c r="B12" s="25" t="n"/>
      <c r="F12" s="27" t="n"/>
      <c r="I12">
        <f>IF($B12="","FALSE","TRUE")</f>
        <v/>
      </c>
      <c r="J12">
        <f t="array" ref="J12">IsURL(Table_121214[[#This Row],[Data Source]])</f>
        <v/>
      </c>
      <c r="K12">
        <f t="array" ref="K12">IsURL(Table_121214[[#This Row],[DOI]])</f>
        <v/>
      </c>
      <c r="L12">
        <f t="array" ref="L12">IsURL(Table_121214[[#This Row],[Data Source]])</f>
        <v/>
      </c>
      <c r="M12">
        <f t="array" ref="M12">IsURL(Table_121214[[#This Row],[Data Source]])</f>
        <v/>
      </c>
    </row>
    <row r="13" ht="15.75" customHeight="1">
      <c r="A13">
        <f>IF(chemicals!B13="","",chemicals!B13)</f>
        <v/>
      </c>
      <c r="B13" s="25" t="n"/>
      <c r="F13" s="27" t="n"/>
      <c r="I13">
        <f>IF($B13="","FALSE","TRUE")</f>
        <v/>
      </c>
      <c r="J13">
        <f t="array" ref="J13">IsURL(Table_121214[[#This Row],[Data Source]])</f>
        <v/>
      </c>
      <c r="K13">
        <f t="array" ref="K13">IsURL(Table_121214[[#This Row],[DOI]])</f>
        <v/>
      </c>
      <c r="L13">
        <f t="array" ref="L13">IsURL(Table_121214[[#This Row],[Data Source]])</f>
        <v/>
      </c>
      <c r="M13">
        <f t="array" ref="M13">IsURL(Table_121214[[#This Row],[Data Source]])</f>
        <v/>
      </c>
    </row>
    <row r="14" ht="15.75" customHeight="1">
      <c r="A14">
        <f>IF(chemicals!B14="","",chemicals!B14)</f>
        <v/>
      </c>
      <c r="B14" s="25" t="n"/>
      <c r="F14" s="27" t="n"/>
      <c r="I14">
        <f>IF($B14="","FALSE","TRUE")</f>
        <v/>
      </c>
      <c r="J14">
        <f t="array" ref="J14">IsURL(Table_121214[[#This Row],[Data Source]])</f>
        <v/>
      </c>
      <c r="K14">
        <f t="array" ref="K14">IsURL(Table_121214[[#This Row],[DOI]])</f>
        <v/>
      </c>
      <c r="L14">
        <f t="array" ref="L14">IsURL(Table_121214[[#This Row],[Data Source]])</f>
        <v/>
      </c>
      <c r="M14">
        <f t="array" ref="M14">IsURL(Table_121214[[#This Row],[Data Source]])</f>
        <v/>
      </c>
    </row>
    <row r="15" ht="15.75" customHeight="1">
      <c r="A15">
        <f>IF(chemicals!B15="","",chemicals!B15)</f>
        <v/>
      </c>
      <c r="B15" s="25" t="n"/>
      <c r="F15" s="27" t="n"/>
      <c r="I15">
        <f>IF($B15="","FALSE","TRUE")</f>
        <v/>
      </c>
      <c r="J15">
        <f t="array" ref="J15">IsURL(Table_121214[[#This Row],[Data Source]])</f>
        <v/>
      </c>
      <c r="K15">
        <f t="array" ref="K15">IsURL(Table_121214[[#This Row],[DOI]])</f>
        <v/>
      </c>
      <c r="L15">
        <f t="array" ref="L15">IsURL(Table_121214[[#This Row],[Data Source]])</f>
        <v/>
      </c>
      <c r="M15">
        <f t="array" ref="M15">IsURL(Table_121214[[#This Row],[Data Source]])</f>
        <v/>
      </c>
    </row>
    <row r="16" ht="15.75" customHeight="1">
      <c r="A16">
        <f>IF(chemicals!B16="","",chemicals!B16)</f>
        <v/>
      </c>
      <c r="B16" s="25" t="n"/>
      <c r="F16" s="27" t="n"/>
      <c r="I16">
        <f>IF($B16="","FALSE","TRUE")</f>
        <v/>
      </c>
      <c r="J16">
        <f t="array" ref="J16">IsURL(Table_121214[[#This Row],[Data Source]])</f>
        <v/>
      </c>
      <c r="K16">
        <f t="array" ref="K16">IsURL(Table_121214[[#This Row],[DOI]])</f>
        <v/>
      </c>
      <c r="L16">
        <f t="array" ref="L16">IsURL(Table_121214[[#This Row],[Data Source]])</f>
        <v/>
      </c>
      <c r="M16">
        <f t="array" ref="M16">IsURL(Table_121214[[#This Row],[Data Source]])</f>
        <v/>
      </c>
    </row>
    <row r="17" ht="15.75" customHeight="1">
      <c r="A17">
        <f>IF(chemicals!B17="","",chemicals!B17)</f>
        <v/>
      </c>
      <c r="B17" s="25" t="n"/>
      <c r="F17" s="27" t="n"/>
      <c r="I17">
        <f>IF($B17="","FALSE","TRUE")</f>
        <v/>
      </c>
      <c r="J17">
        <f t="array" ref="J17">IsURL(Table_121214[[#This Row],[Data Source]])</f>
        <v/>
      </c>
      <c r="K17">
        <f t="array" ref="K17">IsURL(Table_121214[[#This Row],[DOI]])</f>
        <v/>
      </c>
      <c r="L17">
        <f t="array" ref="L17">IsURL(Table_121214[[#This Row],[Data Source]])</f>
        <v/>
      </c>
      <c r="M17">
        <f t="array" ref="M17">IsURL(Table_121214[[#This Row],[Data Source]])</f>
        <v/>
      </c>
    </row>
    <row r="18" ht="15.75" customHeight="1">
      <c r="A18">
        <f>IF(chemicals!B18="","",chemicals!B18)</f>
        <v/>
      </c>
      <c r="B18" s="25" t="n"/>
      <c r="F18" s="27" t="n"/>
      <c r="I18">
        <f>IF($B18="","FALSE","TRUE")</f>
        <v/>
      </c>
      <c r="J18">
        <f t="array" ref="J18">IsURL(Table_121214[[#This Row],[Data Source]])</f>
        <v/>
      </c>
      <c r="K18">
        <f t="array" ref="K18">IsURL(Table_121214[[#This Row],[DOI]])</f>
        <v/>
      </c>
      <c r="L18">
        <f t="array" ref="L18">IsURL(Table_121214[[#This Row],[Data Source]])</f>
        <v/>
      </c>
      <c r="M18">
        <f t="array" ref="M18">IsURL(Table_121214[[#This Row],[Data Source]])</f>
        <v/>
      </c>
    </row>
    <row r="19" ht="15.75" customHeight="1">
      <c r="A19">
        <f>IF(chemicals!B19="","",chemicals!B19)</f>
        <v/>
      </c>
      <c r="B19" s="25" t="n"/>
      <c r="F19" s="27" t="n"/>
      <c r="I19">
        <f>IF($B19="","FALSE","TRUE")</f>
        <v/>
      </c>
      <c r="J19">
        <f t="array" ref="J19">IsURL(Table_121214[[#This Row],[Data Source]])</f>
        <v/>
      </c>
      <c r="K19">
        <f t="array" ref="K19">IsURL(Table_121214[[#This Row],[DOI]])</f>
        <v/>
      </c>
      <c r="L19">
        <f t="array" ref="L19">IsURL(Table_121214[[#This Row],[Data Source]])</f>
        <v/>
      </c>
      <c r="M19">
        <f t="array" ref="M19">IsURL(Table_121214[[#This Row],[Data Source]])</f>
        <v/>
      </c>
    </row>
    <row r="20" ht="15.75" customHeight="1">
      <c r="A20">
        <f>IF(chemicals!B20="","",chemicals!B20)</f>
        <v/>
      </c>
      <c r="B20" s="25" t="n"/>
      <c r="F20" s="27" t="n"/>
      <c r="I20">
        <f>IF($B20="","FALSE","TRUE")</f>
        <v/>
      </c>
      <c r="J20">
        <f t="array" ref="J20">IsURL(Table_121214[[#This Row],[Data Source]])</f>
        <v/>
      </c>
      <c r="K20">
        <f t="array" ref="K20">IsURL(Table_121214[[#This Row],[DOI]])</f>
        <v/>
      </c>
      <c r="L20">
        <f t="array" ref="L20">IsURL(Table_121214[[#This Row],[Data Source]])</f>
        <v/>
      </c>
      <c r="M20">
        <f t="array" ref="M20">IsURL(Table_121214[[#This Row],[Data Source]])</f>
        <v/>
      </c>
    </row>
    <row r="21" ht="15.75" customHeight="1">
      <c r="A21">
        <f>IF(chemicals!B21="","",chemicals!B21)</f>
        <v/>
      </c>
      <c r="B21" s="25" t="n"/>
      <c r="F21" s="27" t="n"/>
      <c r="I21">
        <f>IF($B21="","FALSE","TRUE")</f>
        <v/>
      </c>
      <c r="J21">
        <f t="array" ref="J21">IsURL(Table_121214[[#This Row],[Data Source]])</f>
        <v/>
      </c>
      <c r="K21">
        <f t="array" ref="K21">IsURL(Table_121214[[#This Row],[DOI]])</f>
        <v/>
      </c>
      <c r="L21">
        <f t="array" ref="L21">IsURL(Table_121214[[#This Row],[Data Source]])</f>
        <v/>
      </c>
      <c r="M21">
        <f t="array" ref="M21">IsURL(Table_121214[[#This Row],[Data Source]])</f>
        <v/>
      </c>
    </row>
    <row r="22" ht="15.75" customHeight="1">
      <c r="A22">
        <f>IF(chemicals!B22="","",chemicals!B22)</f>
        <v/>
      </c>
      <c r="B22" s="25" t="n"/>
      <c r="F22" s="27" t="n"/>
      <c r="I22">
        <f>IF($B22="","FALSE","TRUE")</f>
        <v/>
      </c>
      <c r="J22">
        <f t="array" ref="J22">IsURL(Table_121214[[#This Row],[Data Source]])</f>
        <v/>
      </c>
      <c r="K22">
        <f t="array" ref="K22">IsURL(Table_121214[[#This Row],[DOI]])</f>
        <v/>
      </c>
      <c r="L22">
        <f t="array" ref="L22">IsURL(Table_121214[[#This Row],[Data Source]])</f>
        <v/>
      </c>
      <c r="M22">
        <f t="array" ref="M22">IsURL(Table_121214[[#This Row],[Data Source]])</f>
        <v/>
      </c>
    </row>
    <row r="23" ht="15.75" customHeight="1">
      <c r="A23">
        <f>IF(chemicals!B23="","",chemicals!B23)</f>
        <v/>
      </c>
      <c r="B23" s="25" t="n"/>
      <c r="F23" s="27" t="n"/>
      <c r="I23">
        <f>IF($B23="","FALSE","TRUE")</f>
        <v/>
      </c>
      <c r="J23">
        <f t="array" ref="J23">IsURL(Table_121214[[#This Row],[Data Source]])</f>
        <v/>
      </c>
      <c r="K23">
        <f t="array" ref="K23">IsURL(Table_121214[[#This Row],[DOI]])</f>
        <v/>
      </c>
      <c r="L23">
        <f t="array" ref="L23">IsURL(Table_121214[[#This Row],[Data Source]])</f>
        <v/>
      </c>
      <c r="M23">
        <f t="array" ref="M23">IsURL(Table_121214[[#This Row],[Data Source]])</f>
        <v/>
      </c>
    </row>
    <row r="24" ht="15.75" customHeight="1">
      <c r="A24">
        <f>IF(chemicals!B24="","",chemicals!B24)</f>
        <v/>
      </c>
      <c r="B24" s="25" t="n"/>
      <c r="F24" s="27" t="n"/>
      <c r="I24">
        <f>IF($B24="","FALSE","TRUE")</f>
        <v/>
      </c>
      <c r="J24">
        <f t="array" ref="J24">IsURL(Table_121214[[#This Row],[Data Source]])</f>
        <v/>
      </c>
      <c r="K24">
        <f t="array" ref="K24">IsURL(Table_121214[[#This Row],[DOI]])</f>
        <v/>
      </c>
      <c r="L24">
        <f t="array" ref="L24">IsURL(Table_121214[[#This Row],[Data Source]])</f>
        <v/>
      </c>
      <c r="M24">
        <f t="array" ref="M24">IsURL(Table_121214[[#This Row],[Data Source]])</f>
        <v/>
      </c>
    </row>
    <row r="25" ht="15.75" customHeight="1">
      <c r="A25">
        <f>IF(chemicals!B25="","",chemicals!B25)</f>
        <v/>
      </c>
      <c r="B25" s="25" t="n"/>
      <c r="F25" s="27" t="n"/>
      <c r="I25">
        <f>IF($B25="","FALSE","TRUE")</f>
        <v/>
      </c>
      <c r="J25">
        <f t="array" ref="J25">IsURL(Table_121214[[#This Row],[Data Source]])</f>
        <v/>
      </c>
      <c r="K25">
        <f t="array" ref="K25">IsURL(Table_121214[[#This Row],[DOI]])</f>
        <v/>
      </c>
      <c r="L25">
        <f t="array" ref="L25">IsURL(Table_121214[[#This Row],[Data Source]])</f>
        <v/>
      </c>
      <c r="M25">
        <f t="array" ref="M25">IsURL(Table_121214[[#This Row],[Data Source]])</f>
        <v/>
      </c>
    </row>
    <row r="26" ht="15.75" customHeight="1">
      <c r="A26">
        <f>IF(chemicals!B26="","",chemicals!B26)</f>
        <v/>
      </c>
      <c r="B26" s="25" t="n"/>
      <c r="F26" s="27" t="n"/>
      <c r="I26">
        <f>IF($B26="","FALSE","TRUE")</f>
        <v/>
      </c>
      <c r="J26">
        <f t="array" ref="J26">IsURL(Table_121214[[#This Row],[Data Source]])</f>
        <v/>
      </c>
      <c r="K26">
        <f t="array" ref="K26">IsURL(Table_121214[[#This Row],[DOI]])</f>
        <v/>
      </c>
      <c r="L26">
        <f t="array" ref="L26">IsURL(Table_121214[[#This Row],[Data Source]])</f>
        <v/>
      </c>
      <c r="M26">
        <f t="array" ref="M26">IsURL(Table_121214[[#This Row],[Data Source]])</f>
        <v/>
      </c>
    </row>
    <row r="27" ht="15.75" customHeight="1">
      <c r="A27">
        <f>IF(chemicals!B27="","",chemicals!B27)</f>
        <v/>
      </c>
      <c r="B27" s="25" t="n"/>
      <c r="F27" s="27" t="n"/>
      <c r="I27">
        <f>IF($B27="","FALSE","TRUE")</f>
        <v/>
      </c>
      <c r="J27">
        <f t="array" ref="J27">IsURL(Table_121214[[#This Row],[Data Source]])</f>
        <v/>
      </c>
      <c r="K27">
        <f t="array" ref="K27">IsURL(Table_121214[[#This Row],[DOI]])</f>
        <v/>
      </c>
      <c r="L27">
        <f t="array" ref="L27">IsURL(Table_121214[[#This Row],[Data Source]])</f>
        <v/>
      </c>
      <c r="M27">
        <f t="array" ref="M27">IsURL(Table_121214[[#This Row],[Data Source]])</f>
        <v/>
      </c>
    </row>
    <row r="28" ht="15.75" customHeight="1">
      <c r="A28">
        <f>IF(chemicals!B28="","",chemicals!B28)</f>
        <v/>
      </c>
      <c r="B28" s="25" t="n"/>
      <c r="F28" s="27" t="n"/>
      <c r="I28">
        <f>IF($B28="","FALSE","TRUE")</f>
        <v/>
      </c>
      <c r="J28">
        <f t="array" ref="J28">IsURL(Table_121214[[#This Row],[Data Source]])</f>
        <v/>
      </c>
      <c r="K28">
        <f t="array" ref="K28">IsURL(Table_121214[[#This Row],[DOI]])</f>
        <v/>
      </c>
      <c r="L28">
        <f t="array" ref="L28">IsURL(Table_121214[[#This Row],[Data Source]])</f>
        <v/>
      </c>
      <c r="M28">
        <f t="array" ref="M28">IsURL(Table_121214[[#This Row],[Data Source]])</f>
        <v/>
      </c>
    </row>
    <row r="29" ht="15.75" customHeight="1">
      <c r="A29">
        <f>IF(chemicals!B29="","",chemicals!B29)</f>
        <v/>
      </c>
      <c r="B29" s="25" t="n"/>
      <c r="F29" s="27" t="n"/>
      <c r="I29">
        <f>IF($B29="","FALSE","TRUE")</f>
        <v/>
      </c>
      <c r="J29">
        <f t="array" ref="J29">IsURL(Table_121214[[#This Row],[Data Source]])</f>
        <v/>
      </c>
      <c r="K29">
        <f t="array" ref="K29">IsURL(Table_121214[[#This Row],[DOI]])</f>
        <v/>
      </c>
      <c r="L29">
        <f t="array" ref="L29">IsURL(Table_121214[[#This Row],[Data Source]])</f>
        <v/>
      </c>
      <c r="M29">
        <f t="array" ref="M29">IsURL(Table_121214[[#This Row],[Data Source]])</f>
        <v/>
      </c>
    </row>
    <row r="30" ht="15.75" customHeight="1">
      <c r="A30">
        <f>IF(chemicals!B30="","",chemicals!B30)</f>
        <v/>
      </c>
      <c r="B30" s="25" t="n"/>
      <c r="F30" s="27" t="n"/>
      <c r="I30">
        <f>IF($B30="","FALSE","TRUE")</f>
        <v/>
      </c>
      <c r="J30">
        <f t="array" ref="J30">IsURL(Table_121214[[#This Row],[Data Source]])</f>
        <v/>
      </c>
      <c r="K30">
        <f t="array" ref="K30">IsURL(Table_121214[[#This Row],[DOI]])</f>
        <v/>
      </c>
      <c r="L30">
        <f t="array" ref="L30">IsURL(Table_121214[[#This Row],[Data Source]])</f>
        <v/>
      </c>
      <c r="M30">
        <f t="array" ref="M30">IsURL(Table_121214[[#This Row],[Data Source]])</f>
        <v/>
      </c>
    </row>
    <row r="31" ht="15.75" customHeight="1">
      <c r="A31">
        <f>IF(chemicals!B31="","",chemicals!B31)</f>
        <v/>
      </c>
      <c r="B31" s="25" t="n"/>
      <c r="F31" s="27" t="n"/>
      <c r="I31">
        <f>IF($B31="","FALSE","TRUE")</f>
        <v/>
      </c>
      <c r="J31">
        <f t="array" ref="J31">IsURL(Table_121214[[#This Row],[Data Source]])</f>
        <v/>
      </c>
      <c r="K31">
        <f t="array" ref="K31">IsURL(Table_121214[[#This Row],[DOI]])</f>
        <v/>
      </c>
      <c r="L31">
        <f t="array" ref="L31">IsURL(Table_121214[[#This Row],[Data Source]])</f>
        <v/>
      </c>
      <c r="M31">
        <f t="array" ref="M31">IsURL(Table_121214[[#This Row],[Data Source]])</f>
        <v/>
      </c>
    </row>
    <row r="32" ht="15.75" customHeight="1">
      <c r="A32">
        <f>IF(chemicals!B32="","",chemicals!B32)</f>
        <v/>
      </c>
      <c r="B32" s="25" t="n"/>
      <c r="F32" s="27" t="n"/>
      <c r="I32">
        <f>IF($B32="","FALSE","TRUE")</f>
        <v/>
      </c>
      <c r="J32">
        <f t="array" ref="J32">IsURL(Table_121214[[#This Row],[Data Source]])</f>
        <v/>
      </c>
      <c r="K32">
        <f t="array" ref="K32">IsURL(Table_121214[[#This Row],[DOI]])</f>
        <v/>
      </c>
      <c r="L32">
        <f t="array" ref="L32">IsURL(Table_121214[[#This Row],[Data Source]])</f>
        <v/>
      </c>
      <c r="M32">
        <f t="array" ref="M32">IsURL(Table_121214[[#This Row],[Data Source]])</f>
        <v/>
      </c>
    </row>
    <row r="33" ht="15.75" customHeight="1">
      <c r="A33">
        <f>IF(chemicals!B33="","",chemicals!B33)</f>
        <v/>
      </c>
      <c r="B33" s="25" t="n"/>
      <c r="F33" s="27" t="n"/>
      <c r="I33">
        <f>IF($B33="","FALSE","TRUE")</f>
        <v/>
      </c>
      <c r="J33">
        <f t="array" ref="J33">IsURL(Table_121214[[#This Row],[Data Source]])</f>
        <v/>
      </c>
      <c r="K33">
        <f t="array" ref="K33">IsURL(Table_121214[[#This Row],[DOI]])</f>
        <v/>
      </c>
      <c r="L33">
        <f t="array" ref="L33">IsURL(Table_121214[[#This Row],[Data Source]])</f>
        <v/>
      </c>
      <c r="M33">
        <f t="array" ref="M33">IsURL(Table_121214[[#This Row],[Data Source]])</f>
        <v/>
      </c>
    </row>
    <row r="34" ht="15.75" customHeight="1">
      <c r="A34">
        <f>IF(chemicals!B34="","",chemicals!B34)</f>
        <v/>
      </c>
      <c r="B34" s="25" t="n"/>
      <c r="F34" s="27" t="n"/>
      <c r="I34">
        <f>IF($B34="","FALSE","TRUE")</f>
        <v/>
      </c>
      <c r="J34">
        <f t="array" ref="J34">IsURL(Table_121214[[#This Row],[Data Source]])</f>
        <v/>
      </c>
      <c r="K34">
        <f t="array" ref="K34">IsURL(Table_121214[[#This Row],[DOI]])</f>
        <v/>
      </c>
      <c r="L34">
        <f t="array" ref="L34">IsURL(Table_121214[[#This Row],[Data Source]])</f>
        <v/>
      </c>
      <c r="M34">
        <f t="array" ref="M34">IsURL(Table_121214[[#This Row],[Data Source]])</f>
        <v/>
      </c>
    </row>
    <row r="35" ht="15.75" customHeight="1">
      <c r="A35">
        <f>IF(chemicals!B35="","",chemicals!B35)</f>
        <v/>
      </c>
      <c r="B35" s="25" t="n"/>
      <c r="F35" s="27" t="n"/>
      <c r="I35">
        <f>IF($B35="","FALSE","TRUE")</f>
        <v/>
      </c>
      <c r="J35">
        <f t="array" ref="J35">IsURL(Table_121214[[#This Row],[Data Source]])</f>
        <v/>
      </c>
      <c r="K35">
        <f t="array" ref="K35">IsURL(Table_121214[[#This Row],[DOI]])</f>
        <v/>
      </c>
      <c r="L35">
        <f t="array" ref="L35">IsURL(Table_121214[[#This Row],[Data Source]])</f>
        <v/>
      </c>
      <c r="M35">
        <f t="array" ref="M35">IsURL(Table_121214[[#This Row],[Data Source]])</f>
        <v/>
      </c>
    </row>
    <row r="36" ht="15.75" customHeight="1">
      <c r="A36">
        <f>IF(chemicals!B36="","",chemicals!B36)</f>
        <v/>
      </c>
      <c r="B36" s="25" t="n"/>
      <c r="F36" s="27" t="n"/>
      <c r="I36">
        <f>IF($B36="","FALSE","TRUE")</f>
        <v/>
      </c>
      <c r="J36">
        <f t="array" ref="J36">IsURL(Table_121214[[#This Row],[Data Source]])</f>
        <v/>
      </c>
      <c r="K36">
        <f t="array" ref="K36">IsURL(Table_121214[[#This Row],[DOI]])</f>
        <v/>
      </c>
      <c r="L36">
        <f t="array" ref="L36">IsURL(Table_121214[[#This Row],[Data Source]])</f>
        <v/>
      </c>
      <c r="M36">
        <f t="array" ref="M36">IsURL(Table_121214[[#This Row],[Data Source]])</f>
        <v/>
      </c>
    </row>
    <row r="37" ht="15.75" customHeight="1">
      <c r="A37">
        <f>IF(chemicals!B37="","",chemicals!B37)</f>
        <v/>
      </c>
      <c r="B37" s="25" t="n"/>
      <c r="F37" s="27" t="n"/>
      <c r="I37">
        <f>IF($B37="","FALSE","TRUE")</f>
        <v/>
      </c>
      <c r="J37">
        <f t="array" ref="J37">IsURL(Table_121214[[#This Row],[Data Source]])</f>
        <v/>
      </c>
      <c r="K37">
        <f t="array" ref="K37">IsURL(Table_121214[[#This Row],[DOI]])</f>
        <v/>
      </c>
      <c r="L37">
        <f t="array" ref="L37">IsURL(Table_121214[[#This Row],[Data Source]])</f>
        <v/>
      </c>
      <c r="M37">
        <f t="array" ref="M37">IsURL(Table_121214[[#This Row],[Data Source]])</f>
        <v/>
      </c>
    </row>
    <row r="38" ht="15.75" customHeight="1">
      <c r="A38">
        <f>IF(chemicals!B38="","",chemicals!B38)</f>
        <v/>
      </c>
      <c r="B38" s="25" t="n"/>
      <c r="F38" s="27" t="n"/>
      <c r="I38">
        <f>IF($B38="","FALSE","TRUE")</f>
        <v/>
      </c>
      <c r="J38">
        <f t="array" ref="J38">IsURL(Table_121214[[#This Row],[Data Source]])</f>
        <v/>
      </c>
      <c r="K38">
        <f t="array" ref="K38">IsURL(Table_121214[[#This Row],[DOI]])</f>
        <v/>
      </c>
      <c r="L38">
        <f t="array" ref="L38">IsURL(Table_121214[[#This Row],[Data Source]])</f>
        <v/>
      </c>
      <c r="M38">
        <f t="array" ref="M38">IsURL(Table_121214[[#This Row],[Data Source]])</f>
        <v/>
      </c>
    </row>
    <row r="39" ht="15.75" customHeight="1">
      <c r="A39">
        <f>IF(chemicals!B39="","",chemicals!B39)</f>
        <v/>
      </c>
      <c r="B39" s="25" t="n"/>
      <c r="F39" s="27" t="n"/>
      <c r="I39">
        <f>IF($B39="","FALSE","TRUE")</f>
        <v/>
      </c>
      <c r="J39">
        <f t="array" ref="J39">IsURL(Table_121214[[#This Row],[Data Source]])</f>
        <v/>
      </c>
      <c r="K39">
        <f t="array" ref="K39">IsURL(Table_121214[[#This Row],[DOI]])</f>
        <v/>
      </c>
      <c r="L39">
        <f t="array" ref="L39">IsURL(Table_121214[[#This Row],[Data Source]])</f>
        <v/>
      </c>
      <c r="M39">
        <f t="array" ref="M39">IsURL(Table_121214[[#This Row],[Data Source]])</f>
        <v/>
      </c>
    </row>
    <row r="40" ht="15.75" customHeight="1">
      <c r="A40">
        <f>IF(chemicals!B40="","",chemicals!B40)</f>
        <v/>
      </c>
      <c r="B40" s="25" t="n"/>
      <c r="F40" s="27" t="n"/>
      <c r="I40">
        <f>IF($B40="","FALSE","TRUE")</f>
        <v/>
      </c>
      <c r="J40">
        <f t="array" ref="J40">IsURL(Table_121214[[#This Row],[Data Source]])</f>
        <v/>
      </c>
      <c r="K40">
        <f t="array" ref="K40">IsURL(Table_121214[[#This Row],[DOI]])</f>
        <v/>
      </c>
      <c r="L40">
        <f t="array" ref="L40">IsURL(Table_121214[[#This Row],[Data Source]])</f>
        <v/>
      </c>
      <c r="M40">
        <f t="array" ref="M40">IsURL(Table_121214[[#This Row],[Data Source]])</f>
        <v/>
      </c>
    </row>
    <row r="41" ht="15.75" customHeight="1">
      <c r="A41">
        <f>IF(chemicals!B41="","",chemicals!B41)</f>
        <v/>
      </c>
      <c r="B41" s="25" t="n"/>
      <c r="F41" s="27" t="n"/>
      <c r="I41">
        <f>IF($B41="","FALSE","TRUE")</f>
        <v/>
      </c>
      <c r="J41">
        <f t="array" ref="J41">IsURL(Table_121214[[#This Row],[Data Source]])</f>
        <v/>
      </c>
      <c r="K41">
        <f t="array" ref="K41">IsURL(Table_121214[[#This Row],[DOI]])</f>
        <v/>
      </c>
      <c r="L41">
        <f t="array" ref="L41">IsURL(Table_121214[[#This Row],[Data Source]])</f>
        <v/>
      </c>
      <c r="M41">
        <f t="array" ref="M41">IsURL(Table_121214[[#This Row],[Data Source]])</f>
        <v/>
      </c>
    </row>
    <row r="42" ht="15.75" customHeight="1">
      <c r="A42">
        <f>IF(chemicals!B42="","",chemicals!B42)</f>
        <v/>
      </c>
      <c r="B42" s="25" t="n"/>
      <c r="F42" s="27" t="n"/>
      <c r="I42">
        <f>IF($B42="","FALSE","TRUE")</f>
        <v/>
      </c>
      <c r="J42">
        <f t="array" ref="J42">IsURL(Table_121214[[#This Row],[Data Source]])</f>
        <v/>
      </c>
      <c r="K42">
        <f t="array" ref="K42">IsURL(Table_121214[[#This Row],[DOI]])</f>
        <v/>
      </c>
      <c r="L42">
        <f t="array" ref="L42">IsURL(Table_121214[[#This Row],[Data Source]])</f>
        <v/>
      </c>
      <c r="M42">
        <f t="array" ref="M42">IsURL(Table_121214[[#This Row],[Data Source]])</f>
        <v/>
      </c>
    </row>
    <row r="43" ht="15.75" customHeight="1">
      <c r="A43">
        <f>IF(chemicals!B43="","",chemicals!B43)</f>
        <v/>
      </c>
      <c r="B43" s="25" t="n"/>
      <c r="F43" s="27" t="n"/>
      <c r="I43">
        <f>IF($B43="","FALSE","TRUE")</f>
        <v/>
      </c>
      <c r="J43">
        <f t="array" ref="J43">IsURL(Table_121214[[#This Row],[Data Source]])</f>
        <v/>
      </c>
      <c r="K43">
        <f t="array" ref="K43">IsURL(Table_121214[[#This Row],[DOI]])</f>
        <v/>
      </c>
      <c r="L43">
        <f t="array" ref="L43">IsURL(Table_121214[[#This Row],[Data Source]])</f>
        <v/>
      </c>
      <c r="M43">
        <f t="array" ref="M43">IsURL(Table_121214[[#This Row],[Data Source]])</f>
        <v/>
      </c>
    </row>
    <row r="44" ht="15.75" customHeight="1">
      <c r="A44">
        <f>IF(chemicals!B44="","",chemicals!B44)</f>
        <v/>
      </c>
      <c r="B44" s="25" t="n"/>
      <c r="F44" s="27" t="n"/>
      <c r="I44">
        <f>IF($B44="","FALSE","TRUE")</f>
        <v/>
      </c>
      <c r="J44">
        <f t="array" ref="J44">IsURL(Table_121214[[#This Row],[Data Source]])</f>
        <v/>
      </c>
      <c r="K44">
        <f t="array" ref="K44">IsURL(Table_121214[[#This Row],[DOI]])</f>
        <v/>
      </c>
      <c r="L44">
        <f t="array" ref="L44">IsURL(Table_121214[[#This Row],[Data Source]])</f>
        <v/>
      </c>
      <c r="M44">
        <f t="array" ref="M44">IsURL(Table_121214[[#This Row],[Data Source]])</f>
        <v/>
      </c>
    </row>
    <row r="45" ht="15.75" customHeight="1">
      <c r="A45">
        <f>IF(chemicals!B45="","",chemicals!B45)</f>
        <v/>
      </c>
      <c r="B45" s="25" t="n"/>
      <c r="F45" s="27" t="n"/>
      <c r="I45">
        <f>IF($B45="","FALSE","TRUE")</f>
        <v/>
      </c>
      <c r="J45">
        <f t="array" ref="J45">IsURL(Table_121214[[#This Row],[Data Source]])</f>
        <v/>
      </c>
      <c r="K45">
        <f t="array" ref="K45">IsURL(Table_121214[[#This Row],[DOI]])</f>
        <v/>
      </c>
      <c r="L45">
        <f t="array" ref="L45">IsURL(Table_121214[[#This Row],[Data Source]])</f>
        <v/>
      </c>
      <c r="M45">
        <f t="array" ref="M45">IsURL(Table_121214[[#This Row],[Data Source]])</f>
        <v/>
      </c>
    </row>
    <row r="46" ht="15.75" customHeight="1">
      <c r="A46">
        <f>IF(chemicals!B46="","",chemicals!B46)</f>
        <v/>
      </c>
      <c r="B46" s="25" t="n"/>
      <c r="F46" s="27" t="n"/>
      <c r="I46">
        <f>IF($B46="","FALSE","TRUE")</f>
        <v/>
      </c>
      <c r="J46">
        <f t="array" ref="J46">IsURL(Table_121214[[#This Row],[Data Source]])</f>
        <v/>
      </c>
      <c r="K46">
        <f t="array" ref="K46">IsURL(Table_121214[[#This Row],[DOI]])</f>
        <v/>
      </c>
      <c r="L46">
        <f t="array" ref="L46">IsURL(Table_121214[[#This Row],[Data Source]])</f>
        <v/>
      </c>
      <c r="M46">
        <f t="array" ref="M46">IsURL(Table_121214[[#This Row],[Data Source]])</f>
        <v/>
      </c>
    </row>
    <row r="47" ht="15.75" customHeight="1">
      <c r="A47">
        <f>IF(chemicals!B47="","",chemicals!B47)</f>
        <v/>
      </c>
      <c r="B47" s="25" t="n"/>
      <c r="F47" s="27" t="n"/>
      <c r="I47">
        <f>IF($B47="","FALSE","TRUE")</f>
        <v/>
      </c>
      <c r="J47">
        <f t="array" ref="J47">IsURL(Table_121214[[#This Row],[Data Source]])</f>
        <v/>
      </c>
      <c r="K47">
        <f t="array" ref="K47">IsURL(Table_121214[[#This Row],[DOI]])</f>
        <v/>
      </c>
      <c r="L47">
        <f t="array" ref="L47">IsURL(Table_121214[[#This Row],[Data Source]])</f>
        <v/>
      </c>
      <c r="M47">
        <f t="array" ref="M47">IsURL(Table_121214[[#This Row],[Data Source]])</f>
        <v/>
      </c>
    </row>
    <row r="48" ht="15.75" customHeight="1">
      <c r="A48">
        <f>IF(chemicals!B48="","",chemicals!B48)</f>
        <v/>
      </c>
      <c r="B48" s="25" t="n"/>
      <c r="F48" s="27" t="n"/>
      <c r="I48">
        <f>IF($B48="","FALSE","TRUE")</f>
        <v/>
      </c>
      <c r="J48">
        <f t="array" ref="J48">IsURL(Table_121214[[#This Row],[Data Source]])</f>
        <v/>
      </c>
      <c r="K48">
        <f t="array" ref="K48">IsURL(Table_121214[[#This Row],[DOI]])</f>
        <v/>
      </c>
      <c r="L48">
        <f t="array" ref="L48">IsURL(Table_121214[[#This Row],[Data Source]])</f>
        <v/>
      </c>
      <c r="M48">
        <f t="array" ref="M48">IsURL(Table_121214[[#This Row],[Data Source]])</f>
        <v/>
      </c>
    </row>
    <row r="49" ht="15.75" customHeight="1">
      <c r="A49">
        <f>IF(chemicals!B49="","",chemicals!B49)</f>
        <v/>
      </c>
      <c r="B49" s="25" t="n"/>
      <c r="F49" s="27" t="n"/>
      <c r="I49">
        <f>IF($B49="","FALSE","TRUE")</f>
        <v/>
      </c>
      <c r="J49">
        <f t="array" ref="J49">IsURL(Table_121214[[#This Row],[Data Source]])</f>
        <v/>
      </c>
      <c r="K49">
        <f t="array" ref="K49">IsURL(Table_121214[[#This Row],[DOI]])</f>
        <v/>
      </c>
      <c r="L49">
        <f t="array" ref="L49">IsURL(Table_121214[[#This Row],[Data Source]])</f>
        <v/>
      </c>
      <c r="M49">
        <f t="array" ref="M49">IsURL(Table_121214[[#This Row],[Data Source]])</f>
        <v/>
      </c>
    </row>
    <row r="50" ht="15.75" customHeight="1">
      <c r="A50">
        <f>IF(chemicals!B50="","",chemicals!B50)</f>
        <v/>
      </c>
      <c r="B50" s="25" t="n"/>
      <c r="F50" s="27" t="n"/>
      <c r="I50">
        <f>IF($B50="","FALSE","TRUE")</f>
        <v/>
      </c>
      <c r="J50">
        <f t="array" ref="J50">IsURL(Table_121214[[#This Row],[Data Source]])</f>
        <v/>
      </c>
      <c r="K50">
        <f t="array" ref="K50">IsURL(Table_121214[[#This Row],[DOI]])</f>
        <v/>
      </c>
      <c r="L50">
        <f t="array" ref="L50">IsURL(Table_121214[[#This Row],[Data Source]])</f>
        <v/>
      </c>
      <c r="M50">
        <f t="array" ref="M50">IsURL(Table_121214[[#This Row],[Data Source]])</f>
        <v/>
      </c>
    </row>
    <row r="51" ht="15.75" customHeight="1">
      <c r="A51">
        <f>IF(chemicals!B51="","",chemicals!B51)</f>
        <v/>
      </c>
      <c r="B51" s="25" t="n"/>
      <c r="F51" s="27" t="n"/>
      <c r="I51">
        <f>IF($B51="","FALSE","TRUE")</f>
        <v/>
      </c>
      <c r="J51">
        <f t="array" ref="J51">IsURL(Table_121214[[#This Row],[Data Source]])</f>
        <v/>
      </c>
      <c r="K51">
        <f t="array" ref="K51">IsURL(Table_121214[[#This Row],[DOI]])</f>
        <v/>
      </c>
      <c r="L51">
        <f t="array" ref="L51">IsURL(Table_121214[[#This Row],[Data Source]])</f>
        <v/>
      </c>
      <c r="M51">
        <f t="array" ref="M51">IsURL(Table_121214[[#This Row],[Data Source]])</f>
        <v/>
      </c>
    </row>
    <row r="52" ht="15.75" customHeight="1">
      <c r="A52">
        <f>IF(chemicals!B52="","",chemicals!B52)</f>
        <v/>
      </c>
      <c r="B52" s="25" t="n"/>
      <c r="F52" s="27" t="n"/>
      <c r="I52">
        <f>IF($B52="","FALSE","TRUE")</f>
        <v/>
      </c>
      <c r="J52">
        <f t="array" ref="J52">IsURL(Table_121214[[#This Row],[Data Source]])</f>
        <v/>
      </c>
      <c r="K52">
        <f t="array" ref="K52">IsURL(Table_121214[[#This Row],[DOI]])</f>
        <v/>
      </c>
      <c r="L52">
        <f t="array" ref="L52">IsURL(Table_121214[[#This Row],[Data Source]])</f>
        <v/>
      </c>
      <c r="M52">
        <f t="array" ref="M52">IsURL(Table_121214[[#This Row],[Data Source]])</f>
        <v/>
      </c>
    </row>
    <row r="53" ht="15.75" customHeight="1">
      <c r="A53">
        <f>IF(chemicals!B53="","",chemicals!B53)</f>
        <v/>
      </c>
      <c r="B53" s="25" t="n"/>
      <c r="F53" s="27" t="n"/>
      <c r="I53">
        <f>IF($B53="","FALSE","TRUE")</f>
        <v/>
      </c>
      <c r="J53">
        <f t="array" ref="J53">IsURL(Table_121214[[#This Row],[Data Source]])</f>
        <v/>
      </c>
      <c r="K53">
        <f t="array" ref="K53">IsURL(Table_121214[[#This Row],[DOI]])</f>
        <v/>
      </c>
      <c r="L53">
        <f t="array" ref="L53">IsURL(Table_121214[[#This Row],[Data Source]])</f>
        <v/>
      </c>
      <c r="M53">
        <f t="array" ref="M53">IsURL(Table_121214[[#This Row],[Data Source]])</f>
        <v/>
      </c>
    </row>
    <row r="54" ht="15.75" customHeight="1">
      <c r="A54">
        <f>IF(chemicals!B54="","",chemicals!B54)</f>
        <v/>
      </c>
      <c r="B54" s="25" t="n"/>
      <c r="F54" s="27" t="n"/>
      <c r="I54">
        <f>IF($B54="","FALSE","TRUE")</f>
        <v/>
      </c>
      <c r="J54">
        <f t="array" ref="J54">IsURL(Table_121214[[#This Row],[Data Source]])</f>
        <v/>
      </c>
      <c r="K54">
        <f t="array" ref="K54">IsURL(Table_121214[[#This Row],[DOI]])</f>
        <v/>
      </c>
      <c r="L54">
        <f t="array" ref="L54">IsURL(Table_121214[[#This Row],[Data Source]])</f>
        <v/>
      </c>
      <c r="M54">
        <f t="array" ref="M54">IsURL(Table_121214[[#This Row],[Data Source]])</f>
        <v/>
      </c>
    </row>
    <row r="55" ht="15.75" customHeight="1">
      <c r="A55">
        <f>IF(chemicals!B55="","",chemicals!B55)</f>
        <v/>
      </c>
      <c r="B55" s="25" t="n"/>
      <c r="F55" s="27" t="n"/>
      <c r="I55">
        <f>IF($B55="","FALSE","TRUE")</f>
        <v/>
      </c>
      <c r="J55">
        <f t="array" ref="J55">IsURL(Table_121214[[#This Row],[Data Source]])</f>
        <v/>
      </c>
      <c r="K55">
        <f t="array" ref="K55">IsURL(Table_121214[[#This Row],[DOI]])</f>
        <v/>
      </c>
      <c r="L55">
        <f t="array" ref="L55">IsURL(Table_121214[[#This Row],[Data Source]])</f>
        <v/>
      </c>
      <c r="M55">
        <f t="array" ref="M55">IsURL(Table_121214[[#This Row],[Data Source]])</f>
        <v/>
      </c>
    </row>
    <row r="56" ht="15.75" customHeight="1">
      <c r="A56">
        <f>IF(chemicals!B56="","",chemicals!B56)</f>
        <v/>
      </c>
      <c r="B56" s="25" t="n"/>
      <c r="F56" s="27" t="n"/>
      <c r="I56">
        <f>IF($B56="","FALSE","TRUE")</f>
        <v/>
      </c>
      <c r="J56">
        <f t="array" ref="J56">IsURL(Table_121214[[#This Row],[Data Source]])</f>
        <v/>
      </c>
      <c r="K56">
        <f t="array" ref="K56">IsURL(Table_121214[[#This Row],[DOI]])</f>
        <v/>
      </c>
      <c r="L56">
        <f t="array" ref="L56">IsURL(Table_121214[[#This Row],[Data Source]])</f>
        <v/>
      </c>
      <c r="M56">
        <f t="array" ref="M56">IsURL(Table_121214[[#This Row],[Data Source]])</f>
        <v/>
      </c>
    </row>
    <row r="57" ht="15.75" customHeight="1">
      <c r="A57">
        <f>IF(chemicals!B57="","",chemicals!B57)</f>
        <v/>
      </c>
      <c r="B57" s="25" t="n"/>
      <c r="F57" s="27" t="n"/>
      <c r="I57">
        <f>IF($B57="","FALSE","TRUE")</f>
        <v/>
      </c>
      <c r="J57">
        <f t="array" ref="J57">IsURL(Table_121214[[#This Row],[Data Source]])</f>
        <v/>
      </c>
      <c r="K57">
        <f t="array" ref="K57">IsURL(Table_121214[[#This Row],[DOI]])</f>
        <v/>
      </c>
      <c r="L57">
        <f t="array" ref="L57">IsURL(Table_121214[[#This Row],[Data Source]])</f>
        <v/>
      </c>
      <c r="M57">
        <f t="array" ref="M57">IsURL(Table_121214[[#This Row],[Data Source]])</f>
        <v/>
      </c>
    </row>
    <row r="58" ht="15.75" customHeight="1">
      <c r="A58">
        <f>IF(chemicals!B58="","",chemicals!B58)</f>
        <v/>
      </c>
      <c r="B58" s="25" t="n"/>
      <c r="F58" s="27" t="n"/>
      <c r="I58">
        <f>IF($B58="","FALSE","TRUE")</f>
        <v/>
      </c>
      <c r="J58">
        <f t="array" ref="J58">IsURL(Table_121214[[#This Row],[Data Source]])</f>
        <v/>
      </c>
      <c r="K58">
        <f t="array" ref="K58">IsURL(Table_121214[[#This Row],[DOI]])</f>
        <v/>
      </c>
      <c r="L58">
        <f t="array" ref="L58">IsURL(Table_121214[[#This Row],[Data Source]])</f>
        <v/>
      </c>
      <c r="M58">
        <f t="array" ref="M58">IsURL(Table_121214[[#This Row],[Data Source]])</f>
        <v/>
      </c>
    </row>
    <row r="59" ht="15.75" customHeight="1">
      <c r="A59">
        <f>IF(chemicals!B59="","",chemicals!B59)</f>
        <v/>
      </c>
      <c r="B59" s="25" t="n"/>
      <c r="F59" s="27" t="n"/>
      <c r="I59">
        <f>IF($B59="","FALSE","TRUE")</f>
        <v/>
      </c>
      <c r="J59">
        <f t="array" ref="J59">IsURL(Table_121214[[#This Row],[Data Source]])</f>
        <v/>
      </c>
      <c r="K59">
        <f t="array" ref="K59">IsURL(Table_121214[[#This Row],[DOI]])</f>
        <v/>
      </c>
      <c r="L59">
        <f t="array" ref="L59">IsURL(Table_121214[[#This Row],[Data Source]])</f>
        <v/>
      </c>
      <c r="M59">
        <f t="array" ref="M59">IsURL(Table_121214[[#This Row],[Data Source]])</f>
        <v/>
      </c>
    </row>
    <row r="60" ht="15.75" customHeight="1">
      <c r="A60">
        <f>IF(chemicals!B60="","",chemicals!B60)</f>
        <v/>
      </c>
      <c r="B60" s="25" t="n"/>
      <c r="F60" s="27" t="n"/>
      <c r="I60">
        <f>IF($B60="","FALSE","TRUE")</f>
        <v/>
      </c>
      <c r="J60">
        <f t="array" ref="J60">IsURL(Table_121214[[#This Row],[Data Source]])</f>
        <v/>
      </c>
      <c r="K60">
        <f t="array" ref="K60">IsURL(Table_121214[[#This Row],[DOI]])</f>
        <v/>
      </c>
      <c r="L60">
        <f t="array" ref="L60">IsURL(Table_121214[[#This Row],[Data Source]])</f>
        <v/>
      </c>
      <c r="M60">
        <f t="array" ref="M60">IsURL(Table_121214[[#This Row],[Data Source]])</f>
        <v/>
      </c>
    </row>
    <row r="61" ht="15.75" customHeight="1">
      <c r="A61">
        <f>IF(chemicals!B61="","",chemicals!B61)</f>
        <v/>
      </c>
      <c r="B61" s="25" t="n"/>
      <c r="F61" s="27" t="n"/>
      <c r="I61">
        <f>IF($B61="","FALSE","TRUE")</f>
        <v/>
      </c>
      <c r="J61">
        <f t="array" ref="J61">IsURL(Table_121214[[#This Row],[Data Source]])</f>
        <v/>
      </c>
      <c r="K61">
        <f t="array" ref="K61">IsURL(Table_121214[[#This Row],[DOI]])</f>
        <v/>
      </c>
      <c r="L61">
        <f t="array" ref="L61">IsURL(Table_121214[[#This Row],[Data Source]])</f>
        <v/>
      </c>
      <c r="M61">
        <f t="array" ref="M61">IsURL(Table_121214[[#This Row],[Data Source]])</f>
        <v/>
      </c>
    </row>
    <row r="62" ht="15.75" customHeight="1">
      <c r="A62">
        <f>IF(chemicals!B62="","",chemicals!B62)</f>
        <v/>
      </c>
      <c r="B62" s="25" t="n"/>
      <c r="F62" s="27" t="n"/>
      <c r="I62">
        <f>IF($B62="","FALSE","TRUE")</f>
        <v/>
      </c>
      <c r="J62">
        <f t="array" ref="J62">IsURL(Table_121214[[#This Row],[Data Source]])</f>
        <v/>
      </c>
      <c r="K62">
        <f t="array" ref="K62">IsURL(Table_121214[[#This Row],[DOI]])</f>
        <v/>
      </c>
      <c r="L62">
        <f t="array" ref="L62">IsURL(Table_121214[[#This Row],[Data Source]])</f>
        <v/>
      </c>
      <c r="M62">
        <f t="array" ref="M62">IsURL(Table_121214[[#This Row],[Data Source]])</f>
        <v/>
      </c>
    </row>
    <row r="63" ht="15.75" customHeight="1">
      <c r="A63">
        <f>IF(chemicals!B63="","",chemicals!B63)</f>
        <v/>
      </c>
      <c r="B63" s="25" t="n"/>
      <c r="F63" s="27" t="n"/>
      <c r="I63">
        <f>IF($B63="","FALSE","TRUE")</f>
        <v/>
      </c>
      <c r="J63">
        <f t="array" ref="J63">IsURL(Table_121214[[#This Row],[Data Source]])</f>
        <v/>
      </c>
      <c r="K63">
        <f t="array" ref="K63">IsURL(Table_121214[[#This Row],[DOI]])</f>
        <v/>
      </c>
      <c r="L63">
        <f t="array" ref="L63">IsURL(Table_121214[[#This Row],[Data Source]])</f>
        <v/>
      </c>
      <c r="M63">
        <f t="array" ref="M63">IsURL(Table_121214[[#This Row],[Data Source]])</f>
        <v/>
      </c>
    </row>
    <row r="64" ht="15.75" customHeight="1">
      <c r="A64">
        <f>IF(chemicals!B64="","",chemicals!B64)</f>
        <v/>
      </c>
      <c r="B64" s="25" t="n"/>
      <c r="F64" s="27" t="n"/>
      <c r="I64">
        <f>IF($B64="","FALSE","TRUE")</f>
        <v/>
      </c>
      <c r="J64">
        <f t="array" ref="J64">IsURL(Table_121214[[#This Row],[Data Source]])</f>
        <v/>
      </c>
      <c r="K64">
        <f t="array" ref="K64">IsURL(Table_121214[[#This Row],[DOI]])</f>
        <v/>
      </c>
      <c r="L64">
        <f t="array" ref="L64">IsURL(Table_121214[[#This Row],[Data Source]])</f>
        <v/>
      </c>
      <c r="M64">
        <f t="array" ref="M64">IsURL(Table_121214[[#This Row],[Data Source]])</f>
        <v/>
      </c>
    </row>
    <row r="65" ht="15.75" customHeight="1">
      <c r="A65">
        <f>IF(chemicals!B65="","",chemicals!B65)</f>
        <v/>
      </c>
      <c r="B65" s="25" t="n"/>
      <c r="F65" s="27" t="n"/>
      <c r="I65">
        <f>IF($B65="","FALSE","TRUE")</f>
        <v/>
      </c>
      <c r="J65">
        <f t="array" ref="J65">IsURL(Table_121214[[#This Row],[Data Source]])</f>
        <v/>
      </c>
      <c r="K65">
        <f t="array" ref="K65">IsURL(Table_121214[[#This Row],[DOI]])</f>
        <v/>
      </c>
      <c r="L65">
        <f t="array" ref="L65">IsURL(Table_121214[[#This Row],[Data Source]])</f>
        <v/>
      </c>
      <c r="M65">
        <f t="array" ref="M65">IsURL(Table_121214[[#This Row],[Data Source]])</f>
        <v/>
      </c>
    </row>
    <row r="66" ht="15.75" customHeight="1">
      <c r="A66">
        <f>IF(chemicals!B66="","",chemicals!B66)</f>
        <v/>
      </c>
      <c r="B66" s="25" t="n"/>
      <c r="F66" s="27" t="n"/>
      <c r="I66">
        <f>IF($B66="","FALSE","TRUE")</f>
        <v/>
      </c>
      <c r="J66">
        <f t="array" ref="J66">IsURL(Table_121214[[#This Row],[Data Source]])</f>
        <v/>
      </c>
      <c r="K66">
        <f t="array" ref="K66">IsURL(Table_121214[[#This Row],[DOI]])</f>
        <v/>
      </c>
      <c r="L66">
        <f t="array" ref="L66">IsURL(Table_121214[[#This Row],[Data Source]])</f>
        <v/>
      </c>
      <c r="M66">
        <f t="array" ref="M66">IsURL(Table_121214[[#This Row],[Data Source]])</f>
        <v/>
      </c>
    </row>
    <row r="67" ht="15.75" customHeight="1">
      <c r="A67">
        <f>IF(chemicals!B67="","",chemicals!B67)</f>
        <v/>
      </c>
      <c r="B67" s="25" t="n"/>
      <c r="F67" s="27" t="n"/>
      <c r="I67">
        <f>IF($B67="","FALSE","TRUE")</f>
        <v/>
      </c>
      <c r="J67">
        <f t="array" ref="J67">IsURL(Table_121214[[#This Row],[Data Source]])</f>
        <v/>
      </c>
      <c r="K67">
        <f t="array" ref="K67">IsURL(Table_121214[[#This Row],[DOI]])</f>
        <v/>
      </c>
      <c r="L67">
        <f t="array" ref="L67">IsURL(Table_121214[[#This Row],[Data Source]])</f>
        <v/>
      </c>
      <c r="M67">
        <f t="array" ref="M67">IsURL(Table_121214[[#This Row],[Data Source]])</f>
        <v/>
      </c>
    </row>
    <row r="68" ht="15.75" customHeight="1">
      <c r="A68">
        <f>IF(chemicals!B68="","",chemicals!B68)</f>
        <v/>
      </c>
      <c r="B68" s="25" t="n"/>
      <c r="F68" s="27" t="n"/>
      <c r="I68">
        <f>IF($B68="","FALSE","TRUE")</f>
        <v/>
      </c>
      <c r="J68">
        <f t="array" ref="J68">IsURL(Table_121214[[#This Row],[Data Source]])</f>
        <v/>
      </c>
      <c r="K68">
        <f t="array" ref="K68">IsURL(Table_121214[[#This Row],[DOI]])</f>
        <v/>
      </c>
      <c r="L68">
        <f t="array" ref="L68">IsURL(Table_121214[[#This Row],[Data Source]])</f>
        <v/>
      </c>
      <c r="M68">
        <f t="array" ref="M68">IsURL(Table_121214[[#This Row],[Data Source]])</f>
        <v/>
      </c>
    </row>
    <row r="69" ht="15.75" customHeight="1">
      <c r="A69">
        <f>IF(chemicals!B69="","",chemicals!B69)</f>
        <v/>
      </c>
      <c r="B69" s="25" t="n"/>
      <c r="F69" s="27" t="n"/>
      <c r="I69">
        <f>IF($B69="","FALSE","TRUE")</f>
        <v/>
      </c>
      <c r="J69">
        <f t="array" ref="J69">IsURL(Table_121214[[#This Row],[Data Source]])</f>
        <v/>
      </c>
      <c r="K69">
        <f t="array" ref="K69">IsURL(Table_121214[[#This Row],[DOI]])</f>
        <v/>
      </c>
      <c r="L69">
        <f t="array" ref="L69">IsURL(Table_121214[[#This Row],[Data Source]])</f>
        <v/>
      </c>
      <c r="M69">
        <f t="array" ref="M69">IsURL(Table_121214[[#This Row],[Data Source]])</f>
        <v/>
      </c>
    </row>
    <row r="70" ht="15.75" customHeight="1">
      <c r="A70">
        <f>IF(chemicals!B70="","",chemicals!B70)</f>
        <v/>
      </c>
      <c r="B70" s="25" t="n"/>
      <c r="F70" s="27" t="n"/>
      <c r="I70">
        <f>IF($B70="","FALSE","TRUE")</f>
        <v/>
      </c>
      <c r="J70">
        <f t="array" ref="J70">IsURL(Table_121214[[#This Row],[Data Source]])</f>
        <v/>
      </c>
      <c r="K70">
        <f t="array" ref="K70">IsURL(Table_121214[[#This Row],[DOI]])</f>
        <v/>
      </c>
      <c r="L70">
        <f t="array" ref="L70">IsURL(Table_121214[[#This Row],[Data Source]])</f>
        <v/>
      </c>
      <c r="M70">
        <f t="array" ref="M70">IsURL(Table_121214[[#This Row],[Data Source]])</f>
        <v/>
      </c>
    </row>
    <row r="71" ht="15.75" customHeight="1">
      <c r="A71">
        <f>IF(chemicals!B71="","",chemicals!B71)</f>
        <v/>
      </c>
      <c r="B71" s="25" t="n"/>
      <c r="F71" s="27" t="n"/>
      <c r="I71">
        <f>IF($B71="","FALSE","TRUE")</f>
        <v/>
      </c>
      <c r="J71">
        <f t="array" ref="J71">IsURL(Table_121214[[#This Row],[Data Source]])</f>
        <v/>
      </c>
      <c r="K71">
        <f t="array" ref="K71">IsURL(Table_121214[[#This Row],[DOI]])</f>
        <v/>
      </c>
      <c r="L71">
        <f t="array" ref="L71">IsURL(Table_121214[[#This Row],[Data Source]])</f>
        <v/>
      </c>
      <c r="M71">
        <f t="array" ref="M71">IsURL(Table_121214[[#This Row],[Data Source]])</f>
        <v/>
      </c>
    </row>
    <row r="72" ht="15.75" customHeight="1">
      <c r="A72">
        <f>IF(chemicals!B72="","",chemicals!B72)</f>
        <v/>
      </c>
      <c r="B72" s="25" t="n"/>
      <c r="F72" s="27" t="n"/>
      <c r="I72">
        <f>IF($B72="","FALSE","TRUE")</f>
        <v/>
      </c>
      <c r="J72">
        <f t="array" ref="J72">IsURL(Table_121214[[#This Row],[Data Source]])</f>
        <v/>
      </c>
      <c r="K72">
        <f t="array" ref="K72">IsURL(Table_121214[[#This Row],[DOI]])</f>
        <v/>
      </c>
      <c r="L72">
        <f t="array" ref="L72">IsURL(Table_121214[[#This Row],[Data Source]])</f>
        <v/>
      </c>
      <c r="M72">
        <f t="array" ref="M72">IsURL(Table_121214[[#This Row],[Data Source]])</f>
        <v/>
      </c>
    </row>
    <row r="73" ht="15.75" customHeight="1">
      <c r="A73">
        <f>IF(chemicals!B73="","",chemicals!B73)</f>
        <v/>
      </c>
      <c r="B73" s="25" t="n"/>
      <c r="F73" s="27" t="n"/>
      <c r="I73">
        <f>IF($B73="","FALSE","TRUE")</f>
        <v/>
      </c>
      <c r="J73">
        <f t="array" ref="J73">IsURL(Table_121214[[#This Row],[Data Source]])</f>
        <v/>
      </c>
      <c r="K73">
        <f t="array" ref="K73">IsURL(Table_121214[[#This Row],[DOI]])</f>
        <v/>
      </c>
      <c r="L73">
        <f t="array" ref="L73">IsURL(Table_121214[[#This Row],[Data Source]])</f>
        <v/>
      </c>
      <c r="M73">
        <f t="array" ref="M73">IsURL(Table_121214[[#This Row],[Data Source]])</f>
        <v/>
      </c>
    </row>
    <row r="74" ht="15.75" customHeight="1">
      <c r="A74">
        <f>IF(chemicals!B74="","",chemicals!B74)</f>
        <v/>
      </c>
      <c r="B74" s="25" t="n"/>
      <c r="F74" s="27" t="n"/>
      <c r="I74">
        <f>IF($B74="","FALSE","TRUE")</f>
        <v/>
      </c>
      <c r="J74">
        <f t="array" ref="J74">IsURL(Table_121214[[#This Row],[Data Source]])</f>
        <v/>
      </c>
      <c r="K74">
        <f t="array" ref="K74">IsURL(Table_121214[[#This Row],[DOI]])</f>
        <v/>
      </c>
      <c r="L74">
        <f t="array" ref="L74">IsURL(Table_121214[[#This Row],[Data Source]])</f>
        <v/>
      </c>
      <c r="M74">
        <f t="array" ref="M74">IsURL(Table_121214[[#This Row],[Data Source]])</f>
        <v/>
      </c>
    </row>
    <row r="75" ht="15.75" customHeight="1">
      <c r="A75">
        <f>IF(chemicals!B75="","",chemicals!B75)</f>
        <v/>
      </c>
      <c r="B75" s="25" t="n"/>
      <c r="F75" s="27" t="n"/>
      <c r="I75">
        <f>IF($B75="","FALSE","TRUE")</f>
        <v/>
      </c>
      <c r="J75">
        <f t="array" ref="J75">IsURL(Table_121214[[#This Row],[Data Source]])</f>
        <v/>
      </c>
      <c r="K75">
        <f t="array" ref="K75">IsURL(Table_121214[[#This Row],[DOI]])</f>
        <v/>
      </c>
      <c r="L75">
        <f t="array" ref="L75">IsURL(Table_121214[[#This Row],[Data Source]])</f>
        <v/>
      </c>
      <c r="M75">
        <f t="array" ref="M75">IsURL(Table_121214[[#This Row],[Data Source]])</f>
        <v/>
      </c>
    </row>
    <row r="76" ht="15.75" customHeight="1">
      <c r="A76">
        <f>IF(chemicals!B76="","",chemicals!B76)</f>
        <v/>
      </c>
      <c r="B76" s="25" t="n"/>
      <c r="F76" s="27" t="n"/>
      <c r="I76">
        <f>IF($B76="","FALSE","TRUE")</f>
        <v/>
      </c>
      <c r="J76">
        <f t="array" ref="J76">IsURL(Table_121214[[#This Row],[Data Source]])</f>
        <v/>
      </c>
      <c r="K76">
        <f t="array" ref="K76">IsURL(Table_121214[[#This Row],[DOI]])</f>
        <v/>
      </c>
      <c r="L76">
        <f t="array" ref="L76">IsURL(Table_121214[[#This Row],[Data Source]])</f>
        <v/>
      </c>
      <c r="M76">
        <f t="array" ref="M76">IsURL(Table_121214[[#This Row],[Data Source]])</f>
        <v/>
      </c>
    </row>
    <row r="77" ht="15.75" customHeight="1">
      <c r="A77">
        <f>IF(chemicals!B77="","",chemicals!B77)</f>
        <v/>
      </c>
      <c r="B77" s="25" t="n"/>
      <c r="F77" s="27" t="n"/>
      <c r="I77">
        <f>IF($B77="","FALSE","TRUE")</f>
        <v/>
      </c>
      <c r="J77">
        <f t="array" ref="J77">IsURL(Table_121214[[#This Row],[Data Source]])</f>
        <v/>
      </c>
      <c r="K77">
        <f t="array" ref="K77">IsURL(Table_121214[[#This Row],[DOI]])</f>
        <v/>
      </c>
      <c r="L77">
        <f t="array" ref="L77">IsURL(Table_121214[[#This Row],[Data Source]])</f>
        <v/>
      </c>
      <c r="M77">
        <f t="array" ref="M77">IsURL(Table_121214[[#This Row],[Data Source]])</f>
        <v/>
      </c>
    </row>
    <row r="78" ht="15.75" customHeight="1">
      <c r="A78">
        <f>IF(chemicals!B78="","",chemicals!B78)</f>
        <v/>
      </c>
      <c r="B78" s="25" t="n"/>
      <c r="F78" s="27" t="n"/>
      <c r="I78">
        <f>IF($B78="","FALSE","TRUE")</f>
        <v/>
      </c>
      <c r="J78">
        <f t="array" ref="J78">IsURL(Table_121214[[#This Row],[Data Source]])</f>
        <v/>
      </c>
      <c r="K78">
        <f t="array" ref="K78">IsURL(Table_121214[[#This Row],[DOI]])</f>
        <v/>
      </c>
      <c r="L78">
        <f t="array" ref="L78">IsURL(Table_121214[[#This Row],[Data Source]])</f>
        <v/>
      </c>
      <c r="M78">
        <f t="array" ref="M78">IsURL(Table_121214[[#This Row],[Data Source]])</f>
        <v/>
      </c>
    </row>
    <row r="79" ht="15.75" customHeight="1">
      <c r="A79">
        <f>IF(chemicals!B79="","",chemicals!B79)</f>
        <v/>
      </c>
      <c r="B79" s="25" t="n"/>
      <c r="F79" s="27" t="n"/>
      <c r="I79">
        <f>IF($B79="","FALSE","TRUE")</f>
        <v/>
      </c>
      <c r="J79">
        <f t="array" ref="J79">IsURL(Table_121214[[#This Row],[Data Source]])</f>
        <v/>
      </c>
      <c r="K79">
        <f t="array" ref="K79">IsURL(Table_121214[[#This Row],[DOI]])</f>
        <v/>
      </c>
      <c r="L79">
        <f t="array" ref="L79">IsURL(Table_121214[[#This Row],[Data Source]])</f>
        <v/>
      </c>
      <c r="M79">
        <f t="array" ref="M79">IsURL(Table_121214[[#This Row],[Data Source]])</f>
        <v/>
      </c>
    </row>
    <row r="80" ht="15.75" customHeight="1">
      <c r="A80">
        <f>IF(chemicals!B80="","",chemicals!B80)</f>
        <v/>
      </c>
      <c r="B80" s="25" t="n"/>
      <c r="F80" s="27" t="n"/>
      <c r="I80">
        <f>IF($B80="","FALSE","TRUE")</f>
        <v/>
      </c>
      <c r="J80">
        <f t="array" ref="J80">IsURL(Table_121214[[#This Row],[Data Source]])</f>
        <v/>
      </c>
      <c r="K80">
        <f t="array" ref="K80">IsURL(Table_121214[[#This Row],[DOI]])</f>
        <v/>
      </c>
      <c r="L80">
        <f t="array" ref="L80">IsURL(Table_121214[[#This Row],[Data Source]])</f>
        <v/>
      </c>
      <c r="M80">
        <f t="array" ref="M80">IsURL(Table_121214[[#This Row],[Data Source]])</f>
        <v/>
      </c>
    </row>
    <row r="81" ht="15.75" customHeight="1">
      <c r="A81">
        <f>IF(chemicals!B81="","",chemicals!B81)</f>
        <v/>
      </c>
      <c r="B81" s="25" t="n"/>
      <c r="F81" s="27" t="n"/>
      <c r="I81">
        <f>IF($B81="","FALSE","TRUE")</f>
        <v/>
      </c>
      <c r="J81">
        <f t="array" ref="J81">IsURL(Table_121214[[#This Row],[Data Source]])</f>
        <v/>
      </c>
      <c r="K81">
        <f t="array" ref="K81">IsURL(Table_121214[[#This Row],[DOI]])</f>
        <v/>
      </c>
      <c r="L81">
        <f t="array" ref="L81">IsURL(Table_121214[[#This Row],[Data Source]])</f>
        <v/>
      </c>
      <c r="M81">
        <f t="array" ref="M81">IsURL(Table_121214[[#This Row],[Data Source]])</f>
        <v/>
      </c>
    </row>
    <row r="82" ht="15.75" customHeight="1">
      <c r="A82">
        <f>IF(chemicals!B82="","",chemicals!B82)</f>
        <v/>
      </c>
      <c r="B82" s="25" t="n"/>
      <c r="F82" s="27" t="n"/>
      <c r="I82">
        <f>IF($B82="","FALSE","TRUE")</f>
        <v/>
      </c>
      <c r="J82">
        <f t="array" ref="J82">IsURL(Table_121214[[#This Row],[Data Source]])</f>
        <v/>
      </c>
      <c r="K82">
        <f t="array" ref="K82">IsURL(Table_121214[[#This Row],[DOI]])</f>
        <v/>
      </c>
      <c r="L82">
        <f t="array" ref="L82">IsURL(Table_121214[[#This Row],[Data Source]])</f>
        <v/>
      </c>
      <c r="M82">
        <f t="array" ref="M82">IsURL(Table_121214[[#This Row],[Data Source]])</f>
        <v/>
      </c>
    </row>
    <row r="83" ht="15.75" customHeight="1">
      <c r="A83">
        <f>IF(chemicals!B83="","",chemicals!B83)</f>
        <v/>
      </c>
      <c r="B83" s="25" t="n"/>
      <c r="F83" s="27" t="n"/>
      <c r="I83">
        <f>IF($B83="","FALSE","TRUE")</f>
        <v/>
      </c>
      <c r="J83">
        <f t="array" ref="J83">IsURL(Table_121214[[#This Row],[Data Source]])</f>
        <v/>
      </c>
      <c r="K83">
        <f t="array" ref="K83">IsURL(Table_121214[[#This Row],[DOI]])</f>
        <v/>
      </c>
      <c r="L83">
        <f t="array" ref="L83">IsURL(Table_121214[[#This Row],[Data Source]])</f>
        <v/>
      </c>
      <c r="M83">
        <f t="array" ref="M83">IsURL(Table_121214[[#This Row],[Data Source]])</f>
        <v/>
      </c>
    </row>
    <row r="84" ht="15.75" customHeight="1">
      <c r="A84">
        <f>IF(chemicals!B84="","",chemicals!B84)</f>
        <v/>
      </c>
      <c r="B84" s="25" t="n"/>
      <c r="F84" s="27" t="n"/>
      <c r="I84">
        <f>IF($B84="","FALSE","TRUE")</f>
        <v/>
      </c>
      <c r="J84">
        <f t="array" ref="J84">IsURL(Table_121214[[#This Row],[Data Source]])</f>
        <v/>
      </c>
      <c r="K84">
        <f t="array" ref="K84">IsURL(Table_121214[[#This Row],[DOI]])</f>
        <v/>
      </c>
      <c r="L84">
        <f t="array" ref="L84">IsURL(Table_121214[[#This Row],[Data Source]])</f>
        <v/>
      </c>
      <c r="M84">
        <f t="array" ref="M84">IsURL(Table_121214[[#This Row],[Data Source]])</f>
        <v/>
      </c>
    </row>
    <row r="85" ht="15.75" customHeight="1">
      <c r="A85">
        <f>IF(chemicals!B85="","",chemicals!B85)</f>
        <v/>
      </c>
      <c r="B85" s="25" t="n"/>
      <c r="F85" s="27" t="n"/>
      <c r="I85">
        <f>IF($B85="","FALSE","TRUE")</f>
        <v/>
      </c>
      <c r="J85">
        <f t="array" ref="J85">IsURL(Table_121214[[#This Row],[Data Source]])</f>
        <v/>
      </c>
      <c r="K85">
        <f t="array" ref="K85">IsURL(Table_121214[[#This Row],[DOI]])</f>
        <v/>
      </c>
      <c r="L85">
        <f t="array" ref="L85">IsURL(Table_121214[[#This Row],[Data Source]])</f>
        <v/>
      </c>
      <c r="M85">
        <f t="array" ref="M85">IsURL(Table_121214[[#This Row],[Data Source]])</f>
        <v/>
      </c>
    </row>
    <row r="86" ht="15.75" customHeight="1">
      <c r="A86">
        <f>IF(chemicals!B86="","",chemicals!B86)</f>
        <v/>
      </c>
      <c r="B86" s="25" t="n"/>
      <c r="F86" s="27" t="n"/>
      <c r="I86">
        <f>IF($B86="","FALSE","TRUE")</f>
        <v/>
      </c>
      <c r="J86">
        <f t="array" ref="J86">IsURL(Table_121214[[#This Row],[Data Source]])</f>
        <v/>
      </c>
      <c r="K86">
        <f t="array" ref="K86">IsURL(Table_121214[[#This Row],[DOI]])</f>
        <v/>
      </c>
      <c r="L86">
        <f t="array" ref="L86">IsURL(Table_121214[[#This Row],[Data Source]])</f>
        <v/>
      </c>
      <c r="M86">
        <f t="array" ref="M86">IsURL(Table_121214[[#This Row],[Data Source]])</f>
        <v/>
      </c>
    </row>
    <row r="87" ht="15.75" customHeight="1">
      <c r="A87">
        <f>IF(chemicals!B87="","",chemicals!B87)</f>
        <v/>
      </c>
      <c r="B87" s="25" t="n"/>
      <c r="F87" s="27" t="n"/>
      <c r="I87">
        <f>IF($B87="","FALSE","TRUE")</f>
        <v/>
      </c>
      <c r="J87">
        <f t="array" ref="J87">IsURL(Table_121214[[#This Row],[Data Source]])</f>
        <v/>
      </c>
      <c r="K87">
        <f t="array" ref="K87">IsURL(Table_121214[[#This Row],[DOI]])</f>
        <v/>
      </c>
      <c r="L87">
        <f t="array" ref="L87">IsURL(Table_121214[[#This Row],[Data Source]])</f>
        <v/>
      </c>
      <c r="M87">
        <f t="array" ref="M87">IsURL(Table_121214[[#This Row],[Data Source]])</f>
        <v/>
      </c>
    </row>
    <row r="88" ht="15.75" customHeight="1">
      <c r="A88">
        <f>IF(chemicals!B88="","",chemicals!B88)</f>
        <v/>
      </c>
      <c r="B88" s="25" t="n"/>
      <c r="F88" s="27" t="n"/>
      <c r="I88">
        <f>IF($B88="","FALSE","TRUE")</f>
        <v/>
      </c>
      <c r="J88">
        <f t="array" ref="J88">IsURL(Table_121214[[#This Row],[Data Source]])</f>
        <v/>
      </c>
      <c r="K88">
        <f t="array" ref="K88">IsURL(Table_121214[[#This Row],[DOI]])</f>
        <v/>
      </c>
      <c r="L88">
        <f t="array" ref="L88">IsURL(Table_121214[[#This Row],[Data Source]])</f>
        <v/>
      </c>
      <c r="M88">
        <f t="array" ref="M88">IsURL(Table_121214[[#This Row],[Data Source]])</f>
        <v/>
      </c>
    </row>
    <row r="89" ht="15.75" customHeight="1">
      <c r="A89">
        <f>IF(chemicals!B89="","",chemicals!B89)</f>
        <v/>
      </c>
      <c r="B89" s="25" t="n"/>
      <c r="F89" s="27" t="n"/>
      <c r="I89">
        <f>IF($B89="","FALSE","TRUE")</f>
        <v/>
      </c>
      <c r="J89">
        <f t="array" ref="J89">IsURL(Table_121214[[#This Row],[Data Source]])</f>
        <v/>
      </c>
      <c r="K89">
        <f t="array" ref="K89">IsURL(Table_121214[[#This Row],[DOI]])</f>
        <v/>
      </c>
      <c r="L89">
        <f t="array" ref="L89">IsURL(Table_121214[[#This Row],[Data Source]])</f>
        <v/>
      </c>
      <c r="M89">
        <f t="array" ref="M89">IsURL(Table_121214[[#This Row],[Data Source]])</f>
        <v/>
      </c>
    </row>
    <row r="90" ht="15.75" customHeight="1">
      <c r="A90">
        <f>IF(chemicals!B90="","",chemicals!B90)</f>
        <v/>
      </c>
      <c r="B90" s="25" t="n"/>
      <c r="F90" s="27" t="n"/>
      <c r="I90">
        <f>IF($B90="","FALSE","TRUE")</f>
        <v/>
      </c>
      <c r="J90">
        <f t="array" ref="J90">IsURL(Table_121214[[#This Row],[Data Source]])</f>
        <v/>
      </c>
      <c r="K90">
        <f t="array" ref="K90">IsURL(Table_121214[[#This Row],[DOI]])</f>
        <v/>
      </c>
      <c r="L90">
        <f t="array" ref="L90">IsURL(Table_121214[[#This Row],[Data Source]])</f>
        <v/>
      </c>
      <c r="M90">
        <f t="array" ref="M90">IsURL(Table_121214[[#This Row],[Data Source]])</f>
        <v/>
      </c>
    </row>
    <row r="91" ht="15.75" customHeight="1">
      <c r="A91">
        <f>IF(chemicals!B91="","",chemicals!B91)</f>
        <v/>
      </c>
      <c r="B91" s="25" t="n"/>
      <c r="F91" s="27" t="n"/>
      <c r="I91">
        <f>IF($B91="","FALSE","TRUE")</f>
        <v/>
      </c>
      <c r="J91">
        <f t="array" ref="J91">IsURL(Table_121214[[#This Row],[Data Source]])</f>
        <v/>
      </c>
      <c r="K91">
        <f t="array" ref="K91">IsURL(Table_121214[[#This Row],[DOI]])</f>
        <v/>
      </c>
      <c r="L91">
        <f t="array" ref="L91">IsURL(Table_121214[[#This Row],[Data Source]])</f>
        <v/>
      </c>
      <c r="M91">
        <f t="array" ref="M91">IsURL(Table_121214[[#This Row],[Data Source]])</f>
        <v/>
      </c>
    </row>
    <row r="92" ht="15.75" customHeight="1">
      <c r="A92">
        <f>IF(chemicals!B92="","",chemicals!B92)</f>
        <v/>
      </c>
      <c r="B92" s="25" t="n"/>
      <c r="F92" s="27" t="n"/>
      <c r="I92">
        <f>IF($B92="","FALSE","TRUE")</f>
        <v/>
      </c>
      <c r="J92">
        <f t="array" ref="J92">IsURL(Table_121214[[#This Row],[Data Source]])</f>
        <v/>
      </c>
      <c r="K92">
        <f t="array" ref="K92">IsURL(Table_121214[[#This Row],[DOI]])</f>
        <v/>
      </c>
      <c r="L92">
        <f t="array" ref="L92">IsURL(Table_121214[[#This Row],[Data Source]])</f>
        <v/>
      </c>
      <c r="M92">
        <f t="array" ref="M92">IsURL(Table_121214[[#This Row],[Data Source]])</f>
        <v/>
      </c>
    </row>
    <row r="93" ht="15.75" customHeight="1">
      <c r="A93">
        <f>IF(chemicals!B93="","",chemicals!B93)</f>
        <v/>
      </c>
      <c r="B93" s="25" t="n"/>
      <c r="F93" s="27" t="n"/>
      <c r="I93">
        <f>IF($B93="","FALSE","TRUE")</f>
        <v/>
      </c>
      <c r="J93">
        <f t="array" ref="J93">IsURL(Table_121214[[#This Row],[Data Source]])</f>
        <v/>
      </c>
      <c r="K93">
        <f t="array" ref="K93">IsURL(Table_121214[[#This Row],[DOI]])</f>
        <v/>
      </c>
      <c r="L93">
        <f t="array" ref="L93">IsURL(Table_121214[[#This Row],[Data Source]])</f>
        <v/>
      </c>
      <c r="M93">
        <f t="array" ref="M93">IsURL(Table_121214[[#This Row],[Data Source]])</f>
        <v/>
      </c>
    </row>
    <row r="94" ht="15.75" customHeight="1">
      <c r="A94">
        <f>IF(chemicals!B94="","",chemicals!B94)</f>
        <v/>
      </c>
      <c r="B94" s="25" t="n"/>
      <c r="F94" s="27" t="n"/>
      <c r="I94">
        <f>IF($B94="","FALSE","TRUE")</f>
        <v/>
      </c>
      <c r="J94">
        <f t="array" ref="J94">IsURL(Table_121214[[#This Row],[Data Source]])</f>
        <v/>
      </c>
      <c r="K94">
        <f t="array" ref="K94">IsURL(Table_121214[[#This Row],[DOI]])</f>
        <v/>
      </c>
      <c r="L94">
        <f t="array" ref="L94">IsURL(Table_121214[[#This Row],[Data Source]])</f>
        <v/>
      </c>
      <c r="M94">
        <f t="array" ref="M94">IsURL(Table_121214[[#This Row],[Data Source]])</f>
        <v/>
      </c>
    </row>
    <row r="95" ht="15.75" customHeight="1">
      <c r="A95">
        <f>IF(chemicals!B95="","",chemicals!B95)</f>
        <v/>
      </c>
      <c r="B95" s="25" t="n"/>
      <c r="F95" s="27" t="n"/>
      <c r="I95">
        <f>IF($B95="","FALSE","TRUE")</f>
        <v/>
      </c>
      <c r="J95">
        <f t="array" ref="J95">IsURL(Table_121214[[#This Row],[Data Source]])</f>
        <v/>
      </c>
      <c r="K95">
        <f t="array" ref="K95">IsURL(Table_121214[[#This Row],[DOI]])</f>
        <v/>
      </c>
      <c r="L95">
        <f t="array" ref="L95">IsURL(Table_121214[[#This Row],[Data Source]])</f>
        <v/>
      </c>
      <c r="M95">
        <f t="array" ref="M95">IsURL(Table_121214[[#This Row],[Data Source]])</f>
        <v/>
      </c>
    </row>
    <row r="96" ht="15.75" customHeight="1">
      <c r="A96">
        <f>IF(chemicals!B96="","",chemicals!B96)</f>
        <v/>
      </c>
      <c r="B96" s="25" t="n"/>
      <c r="F96" s="27" t="n"/>
      <c r="I96">
        <f>IF($B96="","FALSE","TRUE")</f>
        <v/>
      </c>
      <c r="J96">
        <f t="array" ref="J96">IsURL(Table_121214[[#This Row],[Data Source]])</f>
        <v/>
      </c>
      <c r="K96">
        <f t="array" ref="K96">IsURL(Table_121214[[#This Row],[DOI]])</f>
        <v/>
      </c>
      <c r="L96">
        <f t="array" ref="L96">IsURL(Table_121214[[#This Row],[Data Source]])</f>
        <v/>
      </c>
      <c r="M96">
        <f t="array" ref="M96">IsURL(Table_121214[[#This Row],[Data Source]])</f>
        <v/>
      </c>
    </row>
    <row r="97" ht="15.75" customHeight="1">
      <c r="A97">
        <f>IF(chemicals!B97="","",chemicals!B97)</f>
        <v/>
      </c>
      <c r="B97" s="25" t="n"/>
      <c r="F97" s="27" t="n"/>
      <c r="I97">
        <f>IF($B97="","FALSE","TRUE")</f>
        <v/>
      </c>
      <c r="J97">
        <f t="array" ref="J97">IsURL(Table_121214[[#This Row],[Data Source]])</f>
        <v/>
      </c>
      <c r="K97">
        <f t="array" ref="K97">IsURL(Table_121214[[#This Row],[DOI]])</f>
        <v/>
      </c>
      <c r="L97">
        <f t="array" ref="L97">IsURL(Table_121214[[#This Row],[Data Source]])</f>
        <v/>
      </c>
      <c r="M97">
        <f t="array" ref="M97">IsURL(Table_121214[[#This Row],[Data Source]])</f>
        <v/>
      </c>
    </row>
    <row r="98" ht="15.75" customHeight="1">
      <c r="A98">
        <f>IF(chemicals!B98="","",chemicals!B98)</f>
        <v/>
      </c>
      <c r="B98" s="25" t="n"/>
      <c r="F98" s="27" t="n"/>
      <c r="I98">
        <f>IF($B98="","FALSE","TRUE")</f>
        <v/>
      </c>
      <c r="J98">
        <f t="array" ref="J98">IsURL(Table_121214[[#This Row],[Data Source]])</f>
        <v/>
      </c>
      <c r="K98">
        <f t="array" ref="K98">IsURL(Table_121214[[#This Row],[DOI]])</f>
        <v/>
      </c>
      <c r="L98">
        <f t="array" ref="L98">IsURL(Table_121214[[#This Row],[Data Source]])</f>
        <v/>
      </c>
      <c r="M98">
        <f t="array" ref="M98">IsURL(Table_121214[[#This Row],[Data Source]])</f>
        <v/>
      </c>
    </row>
    <row r="99" ht="15.75" customHeight="1">
      <c r="A99">
        <f>IF(chemicals!B99="","",chemicals!B99)</f>
        <v/>
      </c>
      <c r="B99" s="25" t="n"/>
      <c r="F99" s="27" t="n"/>
      <c r="I99">
        <f>IF($B99="","FALSE","TRUE")</f>
        <v/>
      </c>
      <c r="J99">
        <f t="array" ref="J99">IsURL(Table_121214[[#This Row],[Data Source]])</f>
        <v/>
      </c>
      <c r="K99">
        <f t="array" ref="K99">IsURL(Table_121214[[#This Row],[DOI]])</f>
        <v/>
      </c>
      <c r="L99">
        <f t="array" ref="L99">IsURL(Table_121214[[#This Row],[Data Source]])</f>
        <v/>
      </c>
      <c r="M99">
        <f t="array" ref="M99">IsURL(Table_121214[[#This Row],[Data Source]])</f>
        <v/>
      </c>
    </row>
    <row r="100" ht="15.75" customHeight="1">
      <c r="A100">
        <f>IF(chemicals!B100="","",chemicals!B100)</f>
        <v/>
      </c>
      <c r="B100" s="25" t="n"/>
      <c r="F100" s="27" t="n"/>
      <c r="I100">
        <f>IF($B100="","FALSE","TRUE")</f>
        <v/>
      </c>
      <c r="J100">
        <f t="array" ref="J100">IsURL(Table_121214[[#This Row],[Data Source]])</f>
        <v/>
      </c>
      <c r="K100">
        <f t="array" ref="K100">IsURL(Table_121214[[#This Row],[DOI]])</f>
        <v/>
      </c>
      <c r="L100">
        <f t="array" ref="L100">IsURL(Table_121214[[#This Row],[Data Source]])</f>
        <v/>
      </c>
      <c r="M100">
        <f t="array" ref="M100">IsURL(Table_121214[[#This Row],[Data Source]])</f>
        <v/>
      </c>
    </row>
    <row r="101" ht="15.75" customHeight="1">
      <c r="A101">
        <f>IF(chemicals!B101="","",chemicals!B101)</f>
        <v/>
      </c>
      <c r="B101" s="25" t="n"/>
      <c r="F101" s="27" t="n"/>
      <c r="I101">
        <f>IF($B101="","FALSE","TRUE")</f>
        <v/>
      </c>
      <c r="J101">
        <f t="array" ref="J101">IsURL(Table_121214[[#This Row],[Data Source]])</f>
        <v/>
      </c>
      <c r="K101">
        <f t="array" ref="K101">IsURL(Table_121214[[#This Row],[DOI]])</f>
        <v/>
      </c>
      <c r="L101">
        <f t="array" ref="L101">IsURL(Table_121214[[#This Row],[Data Source]])</f>
        <v/>
      </c>
      <c r="M101">
        <f t="array" ref="M101">IsURL(Table_121214[[#This Row],[Data Source]])</f>
        <v/>
      </c>
    </row>
    <row r="102" ht="15.75" customHeight="1">
      <c r="A102">
        <f>IF(chemicals!B102="","",chemicals!B102)</f>
        <v/>
      </c>
      <c r="B102" s="25" t="n"/>
      <c r="F102" s="27" t="n"/>
      <c r="I102">
        <f>IF($B102="","FALSE","TRUE")</f>
        <v/>
      </c>
      <c r="J102">
        <f t="array" ref="J102">IsURL(Table_121214[[#This Row],[Data Source]])</f>
        <v/>
      </c>
      <c r="K102">
        <f t="array" ref="K102">IsURL(Table_121214[[#This Row],[DOI]])</f>
        <v/>
      </c>
      <c r="L102">
        <f t="array" ref="L102">IsURL(Table_121214[[#This Row],[Data Source]])</f>
        <v/>
      </c>
      <c r="M102">
        <f t="array" ref="M102">IsURL(Table_121214[[#This Row],[Data Source]])</f>
        <v/>
      </c>
    </row>
    <row r="103" ht="15.75" customHeight="1">
      <c r="A103">
        <f>IF(chemicals!B103="","",chemicals!B103)</f>
        <v/>
      </c>
      <c r="B103" s="25" t="n"/>
      <c r="F103" s="27" t="n"/>
      <c r="I103">
        <f>IF($B103="","FALSE","TRUE")</f>
        <v/>
      </c>
      <c r="J103">
        <f t="array" ref="J103">IsURL(Table_121214[[#This Row],[Data Source]])</f>
        <v/>
      </c>
      <c r="K103">
        <f t="array" ref="K103">IsURL(Table_121214[[#This Row],[DOI]])</f>
        <v/>
      </c>
      <c r="L103">
        <f t="array" ref="L103">IsURL(Table_121214[[#This Row],[Data Source]])</f>
        <v/>
      </c>
      <c r="M103">
        <f t="array" ref="M103">IsURL(Table_121214[[#This Row],[Data Source]])</f>
        <v/>
      </c>
    </row>
    <row r="104" ht="15.75" customHeight="1">
      <c r="A104">
        <f>IF(chemicals!B104="","",chemicals!B104)</f>
        <v/>
      </c>
      <c r="B104" s="25" t="n"/>
      <c r="F104" s="27" t="n"/>
      <c r="I104">
        <f>IF($B104="","FALSE","TRUE")</f>
        <v/>
      </c>
      <c r="J104">
        <f t="array" ref="J104">IsURL(Table_121214[[#This Row],[Data Source]])</f>
        <v/>
      </c>
      <c r="K104">
        <f t="array" ref="K104">IsURL(Table_121214[[#This Row],[DOI]])</f>
        <v/>
      </c>
      <c r="L104">
        <f t="array" ref="L104">IsURL(Table_121214[[#This Row],[Data Source]])</f>
        <v/>
      </c>
      <c r="M104">
        <f t="array" ref="M104">IsURL(Table_121214[[#This Row],[Data Source]])</f>
        <v/>
      </c>
    </row>
    <row r="105" ht="15.75" customHeight="1">
      <c r="A105">
        <f>IF(chemicals!B105="","",chemicals!B105)</f>
        <v/>
      </c>
      <c r="B105" s="25" t="n"/>
      <c r="F105" s="27" t="n"/>
      <c r="I105">
        <f>IF($B105="","FALSE","TRUE")</f>
        <v/>
      </c>
      <c r="J105">
        <f t="array" ref="J105">IsURL(Table_121214[[#This Row],[Data Source]])</f>
        <v/>
      </c>
      <c r="K105">
        <f t="array" ref="K105">IsURL(Table_121214[[#This Row],[DOI]])</f>
        <v/>
      </c>
      <c r="L105">
        <f t="array" ref="L105">IsURL(Table_121214[[#This Row],[Data Source]])</f>
        <v/>
      </c>
      <c r="M105">
        <f t="array" ref="M105">IsURL(Table_121214[[#This Row],[Data Source]])</f>
        <v/>
      </c>
    </row>
    <row r="106" ht="15.75" customHeight="1">
      <c r="A106">
        <f>IF(chemicals!B106="","",chemicals!B106)</f>
        <v/>
      </c>
      <c r="B106" s="25" t="n"/>
      <c r="F106" s="27" t="n"/>
      <c r="I106">
        <f>IF($B106="","FALSE","TRUE")</f>
        <v/>
      </c>
      <c r="J106">
        <f t="array" ref="J106">IsURL(Table_121214[[#This Row],[Data Source]])</f>
        <v/>
      </c>
      <c r="K106">
        <f t="array" ref="K106">IsURL(Table_121214[[#This Row],[DOI]])</f>
        <v/>
      </c>
      <c r="L106">
        <f t="array" ref="L106">IsURL(Table_121214[[#This Row],[Data Source]])</f>
        <v/>
      </c>
      <c r="M106">
        <f t="array" ref="M106">IsURL(Table_121214[[#This Row],[Data Source]])</f>
        <v/>
      </c>
    </row>
    <row r="107" ht="15.75" customHeight="1">
      <c r="A107">
        <f>IF(chemicals!B107="","",chemicals!B107)</f>
        <v/>
      </c>
      <c r="B107" s="25" t="n"/>
      <c r="F107" s="27" t="n"/>
      <c r="I107">
        <f>IF($B107="","FALSE","TRUE")</f>
        <v/>
      </c>
      <c r="J107">
        <f t="array" ref="J107">IsURL(Table_121214[[#This Row],[Data Source]])</f>
        <v/>
      </c>
      <c r="K107">
        <f t="array" ref="K107">IsURL(Table_121214[[#This Row],[DOI]])</f>
        <v/>
      </c>
      <c r="L107">
        <f t="array" ref="L107">IsURL(Table_121214[[#This Row],[Data Source]])</f>
        <v/>
      </c>
      <c r="M107">
        <f t="array" ref="M107">IsURL(Table_121214[[#This Row],[Data Source]])</f>
        <v/>
      </c>
    </row>
    <row r="108" ht="15.75" customHeight="1">
      <c r="A108">
        <f>IF(chemicals!B108="","",chemicals!B108)</f>
        <v/>
      </c>
      <c r="B108" s="25" t="n"/>
      <c r="F108" s="27" t="n"/>
      <c r="I108">
        <f>IF($B108="","FALSE","TRUE")</f>
        <v/>
      </c>
      <c r="J108">
        <f t="array" ref="J108">IsURL(Table_121214[[#This Row],[Data Source]])</f>
        <v/>
      </c>
      <c r="K108">
        <f t="array" ref="K108">IsURL(Table_121214[[#This Row],[DOI]])</f>
        <v/>
      </c>
      <c r="L108">
        <f t="array" ref="L108">IsURL(Table_121214[[#This Row],[Data Source]])</f>
        <v/>
      </c>
      <c r="M108">
        <f t="array" ref="M108">IsURL(Table_121214[[#This Row],[Data Source]])</f>
        <v/>
      </c>
    </row>
    <row r="109" ht="15.75" customHeight="1">
      <c r="A109">
        <f>IF(chemicals!B109="","",chemicals!B109)</f>
        <v/>
      </c>
      <c r="B109" s="25" t="n"/>
      <c r="F109" s="27" t="n"/>
      <c r="I109">
        <f>IF($B109="","FALSE","TRUE")</f>
        <v/>
      </c>
      <c r="J109">
        <f t="array" ref="J109">IsURL(Table_121214[[#This Row],[Data Source]])</f>
        <v/>
      </c>
      <c r="K109">
        <f t="array" ref="K109">IsURL(Table_121214[[#This Row],[DOI]])</f>
        <v/>
      </c>
      <c r="L109">
        <f t="array" ref="L109">IsURL(Table_121214[[#This Row],[Data Source]])</f>
        <v/>
      </c>
      <c r="M109">
        <f t="array" ref="M109">IsURL(Table_121214[[#This Row],[Data Source]])</f>
        <v/>
      </c>
    </row>
    <row r="110" ht="15.75" customHeight="1">
      <c r="A110">
        <f>IF(chemicals!B110="","",chemicals!B110)</f>
        <v/>
      </c>
      <c r="B110" s="25" t="n"/>
      <c r="F110" s="27" t="n"/>
      <c r="I110">
        <f>IF($B110="","FALSE","TRUE")</f>
        <v/>
      </c>
      <c r="J110">
        <f t="array" ref="J110">IsURL(Table_121214[[#This Row],[Data Source]])</f>
        <v/>
      </c>
      <c r="K110">
        <f t="array" ref="K110">IsURL(Table_121214[[#This Row],[DOI]])</f>
        <v/>
      </c>
      <c r="L110">
        <f t="array" ref="L110">IsURL(Table_121214[[#This Row],[Data Source]])</f>
        <v/>
      </c>
      <c r="M110">
        <f t="array" ref="M110">IsURL(Table_121214[[#This Row],[Data Source]])</f>
        <v/>
      </c>
    </row>
    <row r="111" ht="15.75" customHeight="1">
      <c r="A111">
        <f>IF(chemicals!B111="","",chemicals!B111)</f>
        <v/>
      </c>
      <c r="B111" s="25" t="n"/>
      <c r="F111" s="27" t="n"/>
      <c r="I111">
        <f>IF($B111="","FALSE","TRUE")</f>
        <v/>
      </c>
      <c r="J111">
        <f t="array" ref="J111">IsURL(Table_121214[[#This Row],[Data Source]])</f>
        <v/>
      </c>
      <c r="K111">
        <f t="array" ref="K111">IsURL(Table_121214[[#This Row],[DOI]])</f>
        <v/>
      </c>
      <c r="L111">
        <f t="array" ref="L111">IsURL(Table_121214[[#This Row],[Data Source]])</f>
        <v/>
      </c>
      <c r="M111">
        <f t="array" ref="M111">IsURL(Table_121214[[#This Row],[Data Source]])</f>
        <v/>
      </c>
    </row>
    <row r="112" ht="15.75" customHeight="1">
      <c r="A112">
        <f>IF(chemicals!B112="","",chemicals!B112)</f>
        <v/>
      </c>
      <c r="B112" s="25" t="n"/>
      <c r="F112" s="27" t="n"/>
      <c r="I112">
        <f>IF($B112="","FALSE","TRUE")</f>
        <v/>
      </c>
      <c r="J112">
        <f t="array" ref="J112">IsURL(Table_121214[[#This Row],[Data Source]])</f>
        <v/>
      </c>
      <c r="K112">
        <f t="array" ref="K112">IsURL(Table_121214[[#This Row],[DOI]])</f>
        <v/>
      </c>
      <c r="L112">
        <f t="array" ref="L112">IsURL(Table_121214[[#This Row],[Data Source]])</f>
        <v/>
      </c>
      <c r="M112">
        <f t="array" ref="M112">IsURL(Table_121214[[#This Row],[Data Source]])</f>
        <v/>
      </c>
    </row>
    <row r="113" ht="15.75" customHeight="1">
      <c r="A113">
        <f>IF(chemicals!B113="","",chemicals!B113)</f>
        <v/>
      </c>
      <c r="B113" s="25" t="n"/>
      <c r="F113" s="27" t="n"/>
      <c r="I113">
        <f>IF($B113="","FALSE","TRUE")</f>
        <v/>
      </c>
      <c r="J113">
        <f t="array" ref="J113">IsURL(Table_121214[[#This Row],[Data Source]])</f>
        <v/>
      </c>
      <c r="K113">
        <f t="array" ref="K113">IsURL(Table_121214[[#This Row],[DOI]])</f>
        <v/>
      </c>
      <c r="L113">
        <f t="array" ref="L113">IsURL(Table_121214[[#This Row],[Data Source]])</f>
        <v/>
      </c>
      <c r="M113">
        <f t="array" ref="M113">IsURL(Table_121214[[#This Row],[Data Source]])</f>
        <v/>
      </c>
    </row>
    <row r="114" ht="15.75" customHeight="1">
      <c r="A114">
        <f>IF(chemicals!B114="","",chemicals!B114)</f>
        <v/>
      </c>
      <c r="B114" s="25" t="n"/>
      <c r="F114" s="27" t="n"/>
      <c r="I114">
        <f>IF($B114="","FALSE","TRUE")</f>
        <v/>
      </c>
      <c r="J114">
        <f t="array" ref="J114">IsURL(Table_121214[[#This Row],[Data Source]])</f>
        <v/>
      </c>
      <c r="K114">
        <f t="array" ref="K114">IsURL(Table_121214[[#This Row],[DOI]])</f>
        <v/>
      </c>
      <c r="L114">
        <f t="array" ref="L114">IsURL(Table_121214[[#This Row],[Data Source]])</f>
        <v/>
      </c>
      <c r="M114">
        <f t="array" ref="M114">IsURL(Table_121214[[#This Row],[Data Source]])</f>
        <v/>
      </c>
    </row>
    <row r="115" ht="15.75" customHeight="1">
      <c r="A115">
        <f>IF(chemicals!B115="","",chemicals!B115)</f>
        <v/>
      </c>
      <c r="B115" s="25" t="n"/>
      <c r="F115" s="27" t="n"/>
      <c r="I115">
        <f>IF($B115="","FALSE","TRUE")</f>
        <v/>
      </c>
      <c r="J115">
        <f t="array" ref="J115">IsURL(Table_121214[[#This Row],[Data Source]])</f>
        <v/>
      </c>
      <c r="K115">
        <f t="array" ref="K115">IsURL(Table_121214[[#This Row],[DOI]])</f>
        <v/>
      </c>
      <c r="L115">
        <f t="array" ref="L115">IsURL(Table_121214[[#This Row],[Data Source]])</f>
        <v/>
      </c>
      <c r="M115">
        <f t="array" ref="M115">IsURL(Table_121214[[#This Row],[Data Source]])</f>
        <v/>
      </c>
    </row>
    <row r="116" ht="15.75" customHeight="1">
      <c r="A116">
        <f>IF(chemicals!B116="","",chemicals!B116)</f>
        <v/>
      </c>
      <c r="B116" s="25" t="n"/>
      <c r="F116" s="27" t="n"/>
      <c r="I116">
        <f>IF($B116="","FALSE","TRUE")</f>
        <v/>
      </c>
      <c r="J116">
        <f t="array" ref="J116">IsURL(Table_121214[[#This Row],[Data Source]])</f>
        <v/>
      </c>
      <c r="K116">
        <f t="array" ref="K116">IsURL(Table_121214[[#This Row],[DOI]])</f>
        <v/>
      </c>
      <c r="L116">
        <f t="array" ref="L116">IsURL(Table_121214[[#This Row],[Data Source]])</f>
        <v/>
      </c>
      <c r="M116">
        <f t="array" ref="M116">IsURL(Table_121214[[#This Row],[Data Source]])</f>
        <v/>
      </c>
    </row>
    <row r="117" ht="15.75" customHeight="1">
      <c r="A117">
        <f>IF(chemicals!B117="","",chemicals!B117)</f>
        <v/>
      </c>
      <c r="B117" s="25" t="n"/>
      <c r="F117" s="27" t="n"/>
      <c r="I117">
        <f>IF($B117="","FALSE","TRUE")</f>
        <v/>
      </c>
      <c r="J117">
        <f t="array" ref="J117">IsURL(Table_121214[[#This Row],[Data Source]])</f>
        <v/>
      </c>
      <c r="K117">
        <f t="array" ref="K117">IsURL(Table_121214[[#This Row],[DOI]])</f>
        <v/>
      </c>
      <c r="L117">
        <f t="array" ref="L117">IsURL(Table_121214[[#This Row],[Data Source]])</f>
        <v/>
      </c>
      <c r="M117">
        <f t="array" ref="M117">IsURL(Table_121214[[#This Row],[Data Source]])</f>
        <v/>
      </c>
    </row>
    <row r="118" ht="15.75" customHeight="1">
      <c r="A118">
        <f>IF(chemicals!B118="","",chemicals!B118)</f>
        <v/>
      </c>
      <c r="B118" s="25" t="n"/>
      <c r="F118" s="27" t="n"/>
      <c r="I118">
        <f>IF($B118="","FALSE","TRUE")</f>
        <v/>
      </c>
      <c r="J118">
        <f t="array" ref="J118">IsURL(Table_121214[[#This Row],[Data Source]])</f>
        <v/>
      </c>
      <c r="K118">
        <f t="array" ref="K118">IsURL(Table_121214[[#This Row],[DOI]])</f>
        <v/>
      </c>
      <c r="L118">
        <f t="array" ref="L118">IsURL(Table_121214[[#This Row],[Data Source]])</f>
        <v/>
      </c>
      <c r="M118">
        <f t="array" ref="M118">IsURL(Table_121214[[#This Row],[Data Source]])</f>
        <v/>
      </c>
    </row>
    <row r="119" ht="15.75" customHeight="1">
      <c r="A119">
        <f>IF(chemicals!B119="","",chemicals!B119)</f>
        <v/>
      </c>
      <c r="B119" s="25" t="n"/>
      <c r="F119" s="27" t="n"/>
      <c r="I119">
        <f>IF($B119="","FALSE","TRUE")</f>
        <v/>
      </c>
      <c r="J119">
        <f t="array" ref="J119">IsURL(Table_121214[[#This Row],[Data Source]])</f>
        <v/>
      </c>
      <c r="K119">
        <f t="array" ref="K119">IsURL(Table_121214[[#This Row],[DOI]])</f>
        <v/>
      </c>
      <c r="L119">
        <f t="array" ref="L119">IsURL(Table_121214[[#This Row],[Data Source]])</f>
        <v/>
      </c>
      <c r="M119">
        <f t="array" ref="M119">IsURL(Table_121214[[#This Row],[Data Source]])</f>
        <v/>
      </c>
    </row>
    <row r="120" ht="15.75" customHeight="1">
      <c r="A120">
        <f>IF(chemicals!B120="","",chemicals!B120)</f>
        <v/>
      </c>
      <c r="B120" s="25" t="n"/>
      <c r="F120" s="27" t="n"/>
      <c r="I120">
        <f>IF($B120="","FALSE","TRUE")</f>
        <v/>
      </c>
      <c r="J120">
        <f t="array" ref="J120">IsURL(Table_121214[[#This Row],[Data Source]])</f>
        <v/>
      </c>
      <c r="K120">
        <f t="array" ref="K120">IsURL(Table_121214[[#This Row],[DOI]])</f>
        <v/>
      </c>
      <c r="L120">
        <f t="array" ref="L120">IsURL(Table_121214[[#This Row],[Data Source]])</f>
        <v/>
      </c>
      <c r="M120">
        <f t="array" ref="M120">IsURL(Table_121214[[#This Row],[Data Source]])</f>
        <v/>
      </c>
    </row>
    <row r="121" ht="15.75" customHeight="1">
      <c r="A121">
        <f>IF(chemicals!B121="","",chemicals!B121)</f>
        <v/>
      </c>
      <c r="B121" s="25" t="n"/>
      <c r="F121" s="27" t="n"/>
      <c r="I121">
        <f>IF($B121="","FALSE","TRUE")</f>
        <v/>
      </c>
      <c r="J121">
        <f t="array" ref="J121">IsURL(Table_121214[[#This Row],[Data Source]])</f>
        <v/>
      </c>
      <c r="K121">
        <f t="array" ref="K121">IsURL(Table_121214[[#This Row],[DOI]])</f>
        <v/>
      </c>
      <c r="L121">
        <f t="array" ref="L121">IsURL(Table_121214[[#This Row],[Data Source]])</f>
        <v/>
      </c>
      <c r="M121">
        <f t="array" ref="M121">IsURL(Table_121214[[#This Row],[Data Source]])</f>
        <v/>
      </c>
    </row>
    <row r="122" ht="15.75" customHeight="1">
      <c r="A122">
        <f>IF(chemicals!B122="","",chemicals!B122)</f>
        <v/>
      </c>
      <c r="B122" s="25" t="n"/>
      <c r="F122" s="27" t="n"/>
      <c r="I122">
        <f>IF($B122="","FALSE","TRUE")</f>
        <v/>
      </c>
      <c r="J122">
        <f t="array" ref="J122">IsURL(Table_121214[[#This Row],[Data Source]])</f>
        <v/>
      </c>
      <c r="K122">
        <f t="array" ref="K122">IsURL(Table_121214[[#This Row],[DOI]])</f>
        <v/>
      </c>
      <c r="L122">
        <f t="array" ref="L122">IsURL(Table_121214[[#This Row],[Data Source]])</f>
        <v/>
      </c>
      <c r="M122">
        <f t="array" ref="M122">IsURL(Table_121214[[#This Row],[Data Source]])</f>
        <v/>
      </c>
    </row>
    <row r="123" ht="15.75" customHeight="1">
      <c r="A123">
        <f>IF(chemicals!B123="","",chemicals!B123)</f>
        <v/>
      </c>
      <c r="B123" s="25" t="n"/>
      <c r="F123" s="27" t="n"/>
      <c r="I123">
        <f>IF($B123="","FALSE","TRUE")</f>
        <v/>
      </c>
      <c r="J123">
        <f t="array" ref="J123">IsURL(Table_121214[[#This Row],[Data Source]])</f>
        <v/>
      </c>
      <c r="K123">
        <f t="array" ref="K123">IsURL(Table_121214[[#This Row],[DOI]])</f>
        <v/>
      </c>
      <c r="L123">
        <f t="array" ref="L123">IsURL(Table_121214[[#This Row],[Data Source]])</f>
        <v/>
      </c>
      <c r="M123">
        <f t="array" ref="M123">IsURL(Table_121214[[#This Row],[Data Source]])</f>
        <v/>
      </c>
    </row>
    <row r="124" ht="15.75" customHeight="1">
      <c r="A124">
        <f>IF(chemicals!B124="","",chemicals!B124)</f>
        <v/>
      </c>
      <c r="B124" s="25" t="n"/>
      <c r="F124" s="27" t="n"/>
      <c r="I124">
        <f>IF($B124="","FALSE","TRUE")</f>
        <v/>
      </c>
      <c r="J124">
        <f t="array" ref="J124">IsURL(Table_121214[[#This Row],[Data Source]])</f>
        <v/>
      </c>
      <c r="K124">
        <f t="array" ref="K124">IsURL(Table_121214[[#This Row],[DOI]])</f>
        <v/>
      </c>
      <c r="L124">
        <f t="array" ref="L124">IsURL(Table_121214[[#This Row],[Data Source]])</f>
        <v/>
      </c>
      <c r="M124">
        <f t="array" ref="M124">IsURL(Table_121214[[#This Row],[Data Source]])</f>
        <v/>
      </c>
    </row>
    <row r="125" ht="15.75" customHeight="1">
      <c r="A125">
        <f>IF(chemicals!B125="","",chemicals!B125)</f>
        <v/>
      </c>
      <c r="B125" s="25" t="n"/>
      <c r="F125" s="27" t="n"/>
      <c r="I125">
        <f>IF($B125="","FALSE","TRUE")</f>
        <v/>
      </c>
      <c r="J125">
        <f t="array" ref="J125">IsURL(Table_121214[[#This Row],[Data Source]])</f>
        <v/>
      </c>
      <c r="K125">
        <f t="array" ref="K125">IsURL(Table_121214[[#This Row],[DOI]])</f>
        <v/>
      </c>
      <c r="L125">
        <f t="array" ref="L125">IsURL(Table_121214[[#This Row],[Data Source]])</f>
        <v/>
      </c>
      <c r="M125">
        <f t="array" ref="M125">IsURL(Table_121214[[#This Row],[Data Source]])</f>
        <v/>
      </c>
    </row>
    <row r="126" ht="15.75" customHeight="1">
      <c r="A126">
        <f>IF(chemicals!B126="","",chemicals!B126)</f>
        <v/>
      </c>
      <c r="B126" s="25" t="n"/>
      <c r="F126" s="27" t="n"/>
      <c r="I126">
        <f>IF($B126="","FALSE","TRUE")</f>
        <v/>
      </c>
      <c r="J126">
        <f t="array" ref="J126">IsURL(Table_121214[[#This Row],[Data Source]])</f>
        <v/>
      </c>
      <c r="K126">
        <f t="array" ref="K126">IsURL(Table_121214[[#This Row],[DOI]])</f>
        <v/>
      </c>
      <c r="L126">
        <f t="array" ref="L126">IsURL(Table_121214[[#This Row],[Data Source]])</f>
        <v/>
      </c>
      <c r="M126">
        <f t="array" ref="M126">IsURL(Table_121214[[#This Row],[Data Source]])</f>
        <v/>
      </c>
    </row>
    <row r="127" ht="15.75" customHeight="1">
      <c r="A127">
        <f>IF(chemicals!B127="","",chemicals!B127)</f>
        <v/>
      </c>
      <c r="B127" s="25" t="n"/>
      <c r="F127" s="27" t="n"/>
      <c r="I127">
        <f>IF($B127="","FALSE","TRUE")</f>
        <v/>
      </c>
      <c r="J127">
        <f t="array" ref="J127">IsURL(Table_121214[[#This Row],[Data Source]])</f>
        <v/>
      </c>
      <c r="K127">
        <f t="array" ref="K127">IsURL(Table_121214[[#This Row],[DOI]])</f>
        <v/>
      </c>
      <c r="L127">
        <f t="array" ref="L127">IsURL(Table_121214[[#This Row],[Data Source]])</f>
        <v/>
      </c>
      <c r="M127">
        <f t="array" ref="M127">IsURL(Table_121214[[#This Row],[Data Source]])</f>
        <v/>
      </c>
    </row>
    <row r="128" ht="15.75" customHeight="1">
      <c r="A128">
        <f>IF(chemicals!B128="","",chemicals!B128)</f>
        <v/>
      </c>
      <c r="B128" s="25" t="n"/>
      <c r="F128" s="27" t="n"/>
      <c r="I128">
        <f>IF($B128="","FALSE","TRUE")</f>
        <v/>
      </c>
      <c r="J128">
        <f t="array" ref="J128">IsURL(Table_121214[[#This Row],[Data Source]])</f>
        <v/>
      </c>
      <c r="K128">
        <f t="array" ref="K128">IsURL(Table_121214[[#This Row],[DOI]])</f>
        <v/>
      </c>
      <c r="L128">
        <f t="array" ref="L128">IsURL(Table_121214[[#This Row],[Data Source]])</f>
        <v/>
      </c>
      <c r="M128">
        <f t="array" ref="M128">IsURL(Table_121214[[#This Row],[Data Source]])</f>
        <v/>
      </c>
    </row>
    <row r="129" ht="15.75" customHeight="1">
      <c r="A129">
        <f>IF(chemicals!B129="","",chemicals!B129)</f>
        <v/>
      </c>
      <c r="B129" s="25" t="n"/>
      <c r="F129" s="27" t="n"/>
      <c r="I129">
        <f>IF($B129="","FALSE","TRUE")</f>
        <v/>
      </c>
      <c r="J129">
        <f t="array" ref="J129">IsURL(Table_121214[[#This Row],[Data Source]])</f>
        <v/>
      </c>
      <c r="K129">
        <f t="array" ref="K129">IsURL(Table_121214[[#This Row],[DOI]])</f>
        <v/>
      </c>
      <c r="L129">
        <f t="array" ref="L129">IsURL(Table_121214[[#This Row],[Data Source]])</f>
        <v/>
      </c>
      <c r="M129">
        <f t="array" ref="M129">IsURL(Table_121214[[#This Row],[Data Source]])</f>
        <v/>
      </c>
    </row>
    <row r="130" ht="15.75" customHeight="1">
      <c r="A130">
        <f>IF(chemicals!B130="","",chemicals!B130)</f>
        <v/>
      </c>
      <c r="B130" s="25" t="n"/>
      <c r="F130" s="27" t="n"/>
      <c r="I130">
        <f>IF($B130="","FALSE","TRUE")</f>
        <v/>
      </c>
      <c r="J130">
        <f t="array" ref="J130">IsURL(Table_121214[[#This Row],[Data Source]])</f>
        <v/>
      </c>
      <c r="K130">
        <f t="array" ref="K130">IsURL(Table_121214[[#This Row],[DOI]])</f>
        <v/>
      </c>
      <c r="L130">
        <f t="array" ref="L130">IsURL(Table_121214[[#This Row],[Data Source]])</f>
        <v/>
      </c>
      <c r="M130">
        <f t="array" ref="M130">IsURL(Table_121214[[#This Row],[Data Source]])</f>
        <v/>
      </c>
    </row>
    <row r="131" ht="15.75" customHeight="1">
      <c r="A131">
        <f>IF(chemicals!B131="","",chemicals!B131)</f>
        <v/>
      </c>
      <c r="B131" s="25" t="n"/>
      <c r="F131" s="27" t="n"/>
      <c r="I131">
        <f>IF($B131="","FALSE","TRUE")</f>
        <v/>
      </c>
      <c r="J131">
        <f t="array" ref="J131">IsURL(Table_121214[[#This Row],[Data Source]])</f>
        <v/>
      </c>
      <c r="K131">
        <f t="array" ref="K131">IsURL(Table_121214[[#This Row],[DOI]])</f>
        <v/>
      </c>
      <c r="L131">
        <f t="array" ref="L131">IsURL(Table_121214[[#This Row],[Data Source]])</f>
        <v/>
      </c>
      <c r="M131">
        <f t="array" ref="M131">IsURL(Table_121214[[#This Row],[Data Source]])</f>
        <v/>
      </c>
    </row>
    <row r="132" ht="15.75" customHeight="1">
      <c r="A132">
        <f>IF(chemicals!B132="","",chemicals!B132)</f>
        <v/>
      </c>
      <c r="B132" s="25" t="n"/>
      <c r="F132" s="27" t="n"/>
      <c r="I132">
        <f>IF($B132="","FALSE","TRUE")</f>
        <v/>
      </c>
      <c r="J132">
        <f t="array" ref="J132">IsURL(Table_121214[[#This Row],[Data Source]])</f>
        <v/>
      </c>
      <c r="K132">
        <f t="array" ref="K132">IsURL(Table_121214[[#This Row],[DOI]])</f>
        <v/>
      </c>
      <c r="L132">
        <f t="array" ref="L132">IsURL(Table_121214[[#This Row],[Data Source]])</f>
        <v/>
      </c>
      <c r="M132">
        <f t="array" ref="M132">IsURL(Table_121214[[#This Row],[Data Source]])</f>
        <v/>
      </c>
    </row>
    <row r="133" ht="15.75" customHeight="1">
      <c r="A133">
        <f>IF(chemicals!B133="","",chemicals!B133)</f>
        <v/>
      </c>
      <c r="B133" s="25" t="n"/>
      <c r="F133" s="27" t="n"/>
      <c r="I133">
        <f>IF($B133="","FALSE","TRUE")</f>
        <v/>
      </c>
      <c r="J133">
        <f t="array" ref="J133">IsURL(Table_121214[[#This Row],[Data Source]])</f>
        <v/>
      </c>
      <c r="K133">
        <f t="array" ref="K133">IsURL(Table_121214[[#This Row],[DOI]])</f>
        <v/>
      </c>
      <c r="L133">
        <f t="array" ref="L133">IsURL(Table_121214[[#This Row],[Data Source]])</f>
        <v/>
      </c>
      <c r="M133">
        <f t="array" ref="M133">IsURL(Table_121214[[#This Row],[Data Source]])</f>
        <v/>
      </c>
    </row>
    <row r="134" ht="15.75" customHeight="1">
      <c r="A134">
        <f>IF(chemicals!B134="","",chemicals!B134)</f>
        <v/>
      </c>
      <c r="B134" s="25" t="n"/>
      <c r="F134" s="27" t="n"/>
      <c r="I134">
        <f>IF($B134="","FALSE","TRUE")</f>
        <v/>
      </c>
      <c r="J134">
        <f t="array" ref="J134">IsURL(Table_121214[[#This Row],[Data Source]])</f>
        <v/>
      </c>
      <c r="K134">
        <f t="array" ref="K134">IsURL(Table_121214[[#This Row],[DOI]])</f>
        <v/>
      </c>
      <c r="L134">
        <f t="array" ref="L134">IsURL(Table_121214[[#This Row],[Data Source]])</f>
        <v/>
      </c>
      <c r="M134">
        <f t="array" ref="M134">IsURL(Table_121214[[#This Row],[Data Source]])</f>
        <v/>
      </c>
    </row>
    <row r="135" ht="15.75" customHeight="1">
      <c r="A135">
        <f>IF(chemicals!B135="","",chemicals!B135)</f>
        <v/>
      </c>
      <c r="B135" s="25" t="n"/>
      <c r="F135" s="27" t="n"/>
      <c r="I135">
        <f>IF($B135="","FALSE","TRUE")</f>
        <v/>
      </c>
      <c r="J135">
        <f t="array" ref="J135">IsURL(Table_121214[[#This Row],[Data Source]])</f>
        <v/>
      </c>
      <c r="K135">
        <f t="array" ref="K135">IsURL(Table_121214[[#This Row],[DOI]])</f>
        <v/>
      </c>
      <c r="L135">
        <f t="array" ref="L135">IsURL(Table_121214[[#This Row],[Data Source]])</f>
        <v/>
      </c>
      <c r="M135">
        <f t="array" ref="M135">IsURL(Table_121214[[#This Row],[Data Source]])</f>
        <v/>
      </c>
    </row>
    <row r="136" ht="15.75" customHeight="1">
      <c r="A136">
        <f>IF(chemicals!B136="","",chemicals!B136)</f>
        <v/>
      </c>
      <c r="B136" s="25" t="n"/>
      <c r="F136" s="27" t="n"/>
      <c r="I136">
        <f>IF($B136="","FALSE","TRUE")</f>
        <v/>
      </c>
      <c r="J136">
        <f t="array" ref="J136">IsURL(Table_121214[[#This Row],[Data Source]])</f>
        <v/>
      </c>
      <c r="K136">
        <f t="array" ref="K136">IsURL(Table_121214[[#This Row],[DOI]])</f>
        <v/>
      </c>
      <c r="L136">
        <f t="array" ref="L136">IsURL(Table_121214[[#This Row],[Data Source]])</f>
        <v/>
      </c>
      <c r="M136">
        <f t="array" ref="M136">IsURL(Table_121214[[#This Row],[Data Source]])</f>
        <v/>
      </c>
    </row>
    <row r="137" ht="15.75" customHeight="1">
      <c r="A137">
        <f>IF(chemicals!B137="","",chemicals!B137)</f>
        <v/>
      </c>
      <c r="B137" s="25" t="n"/>
      <c r="F137" s="27" t="n"/>
      <c r="I137">
        <f>IF($B137="","FALSE","TRUE")</f>
        <v/>
      </c>
      <c r="J137">
        <f t="array" ref="J137">IsURL(Table_121214[[#This Row],[Data Source]])</f>
        <v/>
      </c>
      <c r="K137">
        <f t="array" ref="K137">IsURL(Table_121214[[#This Row],[DOI]])</f>
        <v/>
      </c>
      <c r="L137">
        <f t="array" ref="L137">IsURL(Table_121214[[#This Row],[Data Source]])</f>
        <v/>
      </c>
      <c r="M137">
        <f t="array" ref="M137">IsURL(Table_121214[[#This Row],[Data Source]])</f>
        <v/>
      </c>
    </row>
    <row r="138" ht="15.75" customHeight="1">
      <c r="A138">
        <f>IF(chemicals!B138="","",chemicals!B138)</f>
        <v/>
      </c>
      <c r="B138" s="25" t="n"/>
      <c r="F138" s="27" t="n"/>
      <c r="I138">
        <f>IF($B138="","FALSE","TRUE")</f>
        <v/>
      </c>
      <c r="J138">
        <f t="array" ref="J138">IsURL(Table_121214[[#This Row],[Data Source]])</f>
        <v/>
      </c>
      <c r="K138">
        <f t="array" ref="K138">IsURL(Table_121214[[#This Row],[DOI]])</f>
        <v/>
      </c>
      <c r="L138">
        <f t="array" ref="L138">IsURL(Table_121214[[#This Row],[Data Source]])</f>
        <v/>
      </c>
      <c r="M138">
        <f t="array" ref="M138">IsURL(Table_121214[[#This Row],[Data Source]])</f>
        <v/>
      </c>
    </row>
    <row r="139" ht="15.75" customHeight="1">
      <c r="A139">
        <f>IF(chemicals!B139="","",chemicals!B139)</f>
        <v/>
      </c>
      <c r="B139" s="25" t="n"/>
      <c r="F139" s="27" t="n"/>
      <c r="I139">
        <f>IF($B139="","FALSE","TRUE")</f>
        <v/>
      </c>
      <c r="J139">
        <f t="array" ref="J139">IsURL(Table_121214[[#This Row],[Data Source]])</f>
        <v/>
      </c>
      <c r="K139">
        <f t="array" ref="K139">IsURL(Table_121214[[#This Row],[DOI]])</f>
        <v/>
      </c>
      <c r="L139">
        <f t="array" ref="L139">IsURL(Table_121214[[#This Row],[Data Source]])</f>
        <v/>
      </c>
      <c r="M139">
        <f t="array" ref="M139">IsURL(Table_121214[[#This Row],[Data Source]])</f>
        <v/>
      </c>
    </row>
    <row r="140" ht="15.75" customHeight="1">
      <c r="A140">
        <f>IF(chemicals!B140="","",chemicals!B140)</f>
        <v/>
      </c>
      <c r="B140" s="25" t="n"/>
      <c r="F140" s="27" t="n"/>
      <c r="I140">
        <f>IF($B140="","FALSE","TRUE")</f>
        <v/>
      </c>
      <c r="J140">
        <f t="array" ref="J140">IsURL(Table_121214[[#This Row],[Data Source]])</f>
        <v/>
      </c>
      <c r="K140">
        <f t="array" ref="K140">IsURL(Table_121214[[#This Row],[DOI]])</f>
        <v/>
      </c>
      <c r="L140">
        <f t="array" ref="L140">IsURL(Table_121214[[#This Row],[Data Source]])</f>
        <v/>
      </c>
      <c r="M140">
        <f t="array" ref="M140">IsURL(Table_121214[[#This Row],[Data Source]])</f>
        <v/>
      </c>
    </row>
    <row r="141" ht="15.75" customHeight="1">
      <c r="A141">
        <f>IF(chemicals!B141="","",chemicals!B141)</f>
        <v/>
      </c>
      <c r="B141" s="25" t="n"/>
      <c r="F141" s="27" t="n"/>
      <c r="I141">
        <f>IF($B141="","FALSE","TRUE")</f>
        <v/>
      </c>
      <c r="J141">
        <f t="array" ref="J141">IsURL(Table_121214[[#This Row],[Data Source]])</f>
        <v/>
      </c>
      <c r="K141">
        <f t="array" ref="K141">IsURL(Table_121214[[#This Row],[DOI]])</f>
        <v/>
      </c>
      <c r="L141">
        <f t="array" ref="L141">IsURL(Table_121214[[#This Row],[Data Source]])</f>
        <v/>
      </c>
      <c r="M141">
        <f t="array" ref="M141">IsURL(Table_121214[[#This Row],[Data Source]])</f>
        <v/>
      </c>
    </row>
    <row r="142" ht="15.75" customHeight="1">
      <c r="A142">
        <f>IF(chemicals!B142="","",chemicals!B142)</f>
        <v/>
      </c>
      <c r="B142" s="25" t="n"/>
      <c r="F142" s="27" t="n"/>
      <c r="I142">
        <f>IF($B142="","FALSE","TRUE")</f>
        <v/>
      </c>
      <c r="J142">
        <f t="array" ref="J142">IsURL(Table_121214[[#This Row],[Data Source]])</f>
        <v/>
      </c>
      <c r="K142">
        <f t="array" ref="K142">IsURL(Table_121214[[#This Row],[DOI]])</f>
        <v/>
      </c>
      <c r="L142">
        <f t="array" ref="L142">IsURL(Table_121214[[#This Row],[Data Source]])</f>
        <v/>
      </c>
      <c r="M142">
        <f t="array" ref="M142">IsURL(Table_121214[[#This Row],[Data Source]])</f>
        <v/>
      </c>
    </row>
    <row r="143" ht="15.75" customHeight="1">
      <c r="A143">
        <f>IF(chemicals!B143="","",chemicals!B143)</f>
        <v/>
      </c>
      <c r="B143" s="25" t="n"/>
      <c r="F143" s="27" t="n"/>
      <c r="I143">
        <f>IF($B143="","FALSE","TRUE")</f>
        <v/>
      </c>
      <c r="J143">
        <f t="array" ref="J143">IsURL(Table_121214[[#This Row],[Data Source]])</f>
        <v/>
      </c>
      <c r="K143">
        <f t="array" ref="K143">IsURL(Table_121214[[#This Row],[DOI]])</f>
        <v/>
      </c>
      <c r="L143">
        <f t="array" ref="L143">IsURL(Table_121214[[#This Row],[Data Source]])</f>
        <v/>
      </c>
      <c r="M143">
        <f t="array" ref="M143">IsURL(Table_121214[[#This Row],[Data Source]])</f>
        <v/>
      </c>
    </row>
    <row r="144" ht="15.75" customHeight="1">
      <c r="A144">
        <f>IF(chemicals!B144="","",chemicals!B144)</f>
        <v/>
      </c>
      <c r="B144" s="25" t="n"/>
      <c r="F144" s="27" t="n"/>
      <c r="I144">
        <f>IF($B144="","FALSE","TRUE")</f>
        <v/>
      </c>
      <c r="J144">
        <f t="array" ref="J144">IsURL(Table_121214[[#This Row],[Data Source]])</f>
        <v/>
      </c>
      <c r="K144">
        <f t="array" ref="K144">IsURL(Table_121214[[#This Row],[DOI]])</f>
        <v/>
      </c>
      <c r="L144">
        <f t="array" ref="L144">IsURL(Table_121214[[#This Row],[Data Source]])</f>
        <v/>
      </c>
      <c r="M144">
        <f t="array" ref="M144">IsURL(Table_121214[[#This Row],[Data Source]])</f>
        <v/>
      </c>
    </row>
    <row r="145" ht="15.75" customHeight="1">
      <c r="A145">
        <f>IF(chemicals!B145="","",chemicals!B145)</f>
        <v/>
      </c>
      <c r="B145" s="25" t="n"/>
      <c r="F145" s="27" t="n"/>
      <c r="I145">
        <f>IF($B145="","FALSE","TRUE")</f>
        <v/>
      </c>
      <c r="J145">
        <f t="array" ref="J145">IsURL(Table_121214[[#This Row],[Data Source]])</f>
        <v/>
      </c>
      <c r="K145">
        <f t="array" ref="K145">IsURL(Table_121214[[#This Row],[DOI]])</f>
        <v/>
      </c>
      <c r="L145">
        <f t="array" ref="L145">IsURL(Table_121214[[#This Row],[Data Source]])</f>
        <v/>
      </c>
      <c r="M145">
        <f t="array" ref="M145">IsURL(Table_121214[[#This Row],[Data Source]])</f>
        <v/>
      </c>
    </row>
    <row r="146" ht="15.75" customHeight="1">
      <c r="A146">
        <f>IF(chemicals!B146="","",chemicals!B146)</f>
        <v/>
      </c>
      <c r="B146" s="25" t="n"/>
      <c r="F146" s="27" t="n"/>
      <c r="I146">
        <f>IF($B146="","FALSE","TRUE")</f>
        <v/>
      </c>
      <c r="J146">
        <f t="array" ref="J146">IsURL(Table_121214[[#This Row],[Data Source]])</f>
        <v/>
      </c>
      <c r="K146">
        <f t="array" ref="K146">IsURL(Table_121214[[#This Row],[DOI]])</f>
        <v/>
      </c>
      <c r="L146">
        <f t="array" ref="L146">IsURL(Table_121214[[#This Row],[Data Source]])</f>
        <v/>
      </c>
      <c r="M146">
        <f t="array" ref="M146">IsURL(Table_121214[[#This Row],[Data Source]])</f>
        <v/>
      </c>
    </row>
    <row r="147" ht="15.75" customHeight="1">
      <c r="A147">
        <f>IF(chemicals!B147="","",chemicals!B147)</f>
        <v/>
      </c>
      <c r="B147" s="25" t="n"/>
      <c r="F147" s="27" t="n"/>
      <c r="I147">
        <f>IF($B147="","FALSE","TRUE")</f>
        <v/>
      </c>
      <c r="J147">
        <f t="array" ref="J147">IsURL(Table_121214[[#This Row],[Data Source]])</f>
        <v/>
      </c>
      <c r="K147">
        <f t="array" ref="K147">IsURL(Table_121214[[#This Row],[DOI]])</f>
        <v/>
      </c>
      <c r="L147">
        <f t="array" ref="L147">IsURL(Table_121214[[#This Row],[Data Source]])</f>
        <v/>
      </c>
      <c r="M147">
        <f t="array" ref="M147">IsURL(Table_121214[[#This Row],[Data Source]])</f>
        <v/>
      </c>
    </row>
    <row r="148" ht="15.75" customHeight="1">
      <c r="A148">
        <f>IF(chemicals!B148="","",chemicals!B148)</f>
        <v/>
      </c>
      <c r="B148" s="25" t="n"/>
      <c r="F148" s="27" t="n"/>
      <c r="I148">
        <f>IF($B148="","FALSE","TRUE")</f>
        <v/>
      </c>
      <c r="J148">
        <f t="array" ref="J148">IsURL(Table_121214[[#This Row],[Data Source]])</f>
        <v/>
      </c>
      <c r="K148">
        <f t="array" ref="K148">IsURL(Table_121214[[#This Row],[DOI]])</f>
        <v/>
      </c>
      <c r="L148">
        <f t="array" ref="L148">IsURL(Table_121214[[#This Row],[Data Source]])</f>
        <v/>
      </c>
      <c r="M148">
        <f t="array" ref="M148">IsURL(Table_121214[[#This Row],[Data Source]])</f>
        <v/>
      </c>
    </row>
    <row r="149" ht="15.75" customHeight="1">
      <c r="A149">
        <f>IF(chemicals!B149="","",chemicals!B149)</f>
        <v/>
      </c>
      <c r="B149" s="25" t="n"/>
      <c r="F149" s="27" t="n"/>
      <c r="I149">
        <f>IF($B149="","FALSE","TRUE")</f>
        <v/>
      </c>
      <c r="J149">
        <f t="array" ref="J149">IsURL(Table_121214[[#This Row],[Data Source]])</f>
        <v/>
      </c>
      <c r="K149">
        <f t="array" ref="K149">IsURL(Table_121214[[#This Row],[DOI]])</f>
        <v/>
      </c>
      <c r="L149">
        <f t="array" ref="L149">IsURL(Table_121214[[#This Row],[Data Source]])</f>
        <v/>
      </c>
      <c r="M149">
        <f t="array" ref="M149">IsURL(Table_121214[[#This Row],[Data Source]])</f>
        <v/>
      </c>
    </row>
    <row r="150" ht="15.75" customHeight="1">
      <c r="A150">
        <f>IF(chemicals!B150="","",chemicals!B150)</f>
        <v/>
      </c>
      <c r="B150" s="25" t="n"/>
      <c r="F150" s="27" t="n"/>
      <c r="I150">
        <f>IF($B150="","FALSE","TRUE")</f>
        <v/>
      </c>
      <c r="J150">
        <f t="array" ref="J150">IsURL(Table_121214[[#This Row],[Data Source]])</f>
        <v/>
      </c>
      <c r="K150">
        <f t="array" ref="K150">IsURL(Table_121214[[#This Row],[DOI]])</f>
        <v/>
      </c>
      <c r="L150">
        <f t="array" ref="L150">IsURL(Table_121214[[#This Row],[Data Source]])</f>
        <v/>
      </c>
      <c r="M150">
        <f t="array" ref="M150">IsURL(Table_121214[[#This Row],[Data Source]])</f>
        <v/>
      </c>
    </row>
    <row r="151" ht="15.75" customHeight="1">
      <c r="A151">
        <f>IF(chemicals!B151="","",chemicals!B151)</f>
        <v/>
      </c>
      <c r="B151" s="25" t="n"/>
      <c r="F151" s="27" t="n"/>
      <c r="I151">
        <f>IF($B151="","FALSE","TRUE")</f>
        <v/>
      </c>
      <c r="J151">
        <f t="array" ref="J151">IsURL(Table_121214[[#This Row],[Data Source]])</f>
        <v/>
      </c>
      <c r="K151">
        <f t="array" ref="K151">IsURL(Table_121214[[#This Row],[DOI]])</f>
        <v/>
      </c>
      <c r="L151">
        <f t="array" ref="L151">IsURL(Table_121214[[#This Row],[Data Source]])</f>
        <v/>
      </c>
      <c r="M151">
        <f t="array" ref="M151">IsURL(Table_121214[[#This Row],[Data Source]])</f>
        <v/>
      </c>
    </row>
    <row r="152" ht="15.75" customHeight="1">
      <c r="A152">
        <f>IF(chemicals!B152="","",chemicals!B152)</f>
        <v/>
      </c>
      <c r="B152" s="25" t="n"/>
      <c r="F152" s="27" t="n"/>
      <c r="I152">
        <f>IF($B152="","FALSE","TRUE")</f>
        <v/>
      </c>
      <c r="J152">
        <f t="array" ref="J152">IsURL(Table_121214[[#This Row],[Data Source]])</f>
        <v/>
      </c>
      <c r="K152">
        <f t="array" ref="K152">IsURL(Table_121214[[#This Row],[DOI]])</f>
        <v/>
      </c>
      <c r="L152">
        <f t="array" ref="L152">IsURL(Table_121214[[#This Row],[Data Source]])</f>
        <v/>
      </c>
      <c r="M152">
        <f t="array" ref="M152">IsURL(Table_121214[[#This Row],[Data Source]])</f>
        <v/>
      </c>
    </row>
    <row r="153" ht="15.75" customHeight="1">
      <c r="A153">
        <f>IF(chemicals!B153="","",chemicals!B153)</f>
        <v/>
      </c>
      <c r="B153" s="25" t="n"/>
      <c r="F153" s="27" t="n"/>
      <c r="I153">
        <f>IF($B153="","FALSE","TRUE")</f>
        <v/>
      </c>
      <c r="J153">
        <f t="array" ref="J153">IsURL(Table_121214[[#This Row],[Data Source]])</f>
        <v/>
      </c>
      <c r="K153">
        <f t="array" ref="K153">IsURL(Table_121214[[#This Row],[DOI]])</f>
        <v/>
      </c>
      <c r="L153">
        <f t="array" ref="L153">IsURL(Table_121214[[#This Row],[Data Source]])</f>
        <v/>
      </c>
      <c r="M153">
        <f t="array" ref="M153">IsURL(Table_121214[[#This Row],[Data Source]])</f>
        <v/>
      </c>
    </row>
    <row r="154" ht="15.75" customHeight="1">
      <c r="A154">
        <f>IF(chemicals!B154="","",chemicals!B154)</f>
        <v/>
      </c>
      <c r="B154" s="25" t="n"/>
      <c r="F154" s="27" t="n"/>
      <c r="I154">
        <f>IF($B154="","FALSE","TRUE")</f>
        <v/>
      </c>
      <c r="J154">
        <f t="array" ref="J154">IsURL(Table_121214[[#This Row],[Data Source]])</f>
        <v/>
      </c>
      <c r="K154">
        <f t="array" ref="K154">IsURL(Table_121214[[#This Row],[DOI]])</f>
        <v/>
      </c>
      <c r="L154">
        <f t="array" ref="L154">IsURL(Table_121214[[#This Row],[Data Source]])</f>
        <v/>
      </c>
      <c r="M154">
        <f t="array" ref="M154">IsURL(Table_121214[[#This Row],[Data Source]])</f>
        <v/>
      </c>
    </row>
    <row r="155" ht="15.75" customHeight="1">
      <c r="A155">
        <f>IF(chemicals!B155="","",chemicals!B155)</f>
        <v/>
      </c>
      <c r="B155" s="25" t="n"/>
      <c r="F155" s="27" t="n"/>
      <c r="I155">
        <f>IF($B155="","FALSE","TRUE")</f>
        <v/>
      </c>
      <c r="J155">
        <f t="array" ref="J155">IsURL(Table_121214[[#This Row],[Data Source]])</f>
        <v/>
      </c>
      <c r="K155">
        <f t="array" ref="K155">IsURL(Table_121214[[#This Row],[DOI]])</f>
        <v/>
      </c>
      <c r="L155">
        <f t="array" ref="L155">IsURL(Table_121214[[#This Row],[Data Source]])</f>
        <v/>
      </c>
      <c r="M155">
        <f t="array" ref="M155">IsURL(Table_121214[[#This Row],[Data Source]])</f>
        <v/>
      </c>
    </row>
    <row r="156" ht="15.75" customHeight="1">
      <c r="A156">
        <f>IF(chemicals!B156="","",chemicals!B156)</f>
        <v/>
      </c>
      <c r="B156" s="25" t="n"/>
      <c r="F156" s="27" t="n"/>
      <c r="I156">
        <f>IF($B156="","FALSE","TRUE")</f>
        <v/>
      </c>
      <c r="J156">
        <f t="array" ref="J156">IsURL(Table_121214[[#This Row],[Data Source]])</f>
        <v/>
      </c>
      <c r="K156">
        <f t="array" ref="K156">IsURL(Table_121214[[#This Row],[DOI]])</f>
        <v/>
      </c>
      <c r="L156">
        <f t="array" ref="L156">IsURL(Table_121214[[#This Row],[Data Source]])</f>
        <v/>
      </c>
      <c r="M156">
        <f t="array" ref="M156">IsURL(Table_121214[[#This Row],[Data Source]])</f>
        <v/>
      </c>
    </row>
    <row r="157" ht="15.75" customHeight="1">
      <c r="A157">
        <f>IF(chemicals!B157="","",chemicals!B157)</f>
        <v/>
      </c>
      <c r="B157" s="25" t="n"/>
      <c r="F157" s="27" t="n"/>
      <c r="I157">
        <f>IF($B157="","FALSE","TRUE")</f>
        <v/>
      </c>
      <c r="J157">
        <f t="array" ref="J157">IsURL(Table_121214[[#This Row],[Data Source]])</f>
        <v/>
      </c>
      <c r="K157">
        <f t="array" ref="K157">IsURL(Table_121214[[#This Row],[DOI]])</f>
        <v/>
      </c>
      <c r="L157">
        <f t="array" ref="L157">IsURL(Table_121214[[#This Row],[Data Source]])</f>
        <v/>
      </c>
      <c r="M157">
        <f t="array" ref="M157">IsURL(Table_121214[[#This Row],[Data Source]])</f>
        <v/>
      </c>
    </row>
    <row r="158" ht="15.75" customHeight="1">
      <c r="A158">
        <f>IF(chemicals!B158="","",chemicals!B158)</f>
        <v/>
      </c>
      <c r="B158" s="25" t="n"/>
      <c r="F158" s="27" t="n"/>
      <c r="I158">
        <f>IF($B158="","FALSE","TRUE")</f>
        <v/>
      </c>
      <c r="J158">
        <f t="array" ref="J158">IsURL(Table_121214[[#This Row],[Data Source]])</f>
        <v/>
      </c>
      <c r="K158">
        <f t="array" ref="K158">IsURL(Table_121214[[#This Row],[DOI]])</f>
        <v/>
      </c>
      <c r="L158">
        <f t="array" ref="L158">IsURL(Table_121214[[#This Row],[Data Source]])</f>
        <v/>
      </c>
      <c r="M158">
        <f t="array" ref="M158">IsURL(Table_121214[[#This Row],[Data Source]])</f>
        <v/>
      </c>
    </row>
    <row r="159" ht="15.75" customHeight="1">
      <c r="A159">
        <f>IF(chemicals!B159="","",chemicals!B159)</f>
        <v/>
      </c>
      <c r="B159" s="25" t="n"/>
      <c r="F159" s="27" t="n"/>
      <c r="I159">
        <f>IF($B159="","FALSE","TRUE")</f>
        <v/>
      </c>
      <c r="J159">
        <f t="array" ref="J159">IsURL(Table_121214[[#This Row],[Data Source]])</f>
        <v/>
      </c>
      <c r="K159">
        <f t="array" ref="K159">IsURL(Table_121214[[#This Row],[DOI]])</f>
        <v/>
      </c>
      <c r="L159">
        <f t="array" ref="L159">IsURL(Table_121214[[#This Row],[Data Source]])</f>
        <v/>
      </c>
      <c r="M159">
        <f t="array" ref="M159">IsURL(Table_121214[[#This Row],[Data Source]])</f>
        <v/>
      </c>
    </row>
    <row r="160" ht="15.75" customHeight="1">
      <c r="A160">
        <f>IF(chemicals!B160="","",chemicals!B160)</f>
        <v/>
      </c>
      <c r="B160" s="25" t="n"/>
      <c r="F160" s="27" t="n"/>
      <c r="I160">
        <f>IF($B160="","FALSE","TRUE")</f>
        <v/>
      </c>
      <c r="J160">
        <f t="array" ref="J160">IsURL(Table_121214[[#This Row],[Data Source]])</f>
        <v/>
      </c>
      <c r="K160">
        <f t="array" ref="K160">IsURL(Table_121214[[#This Row],[DOI]])</f>
        <v/>
      </c>
      <c r="L160">
        <f t="array" ref="L160">IsURL(Table_121214[[#This Row],[Data Source]])</f>
        <v/>
      </c>
      <c r="M160">
        <f t="array" ref="M160">IsURL(Table_121214[[#This Row],[Data Source]])</f>
        <v/>
      </c>
    </row>
    <row r="161" ht="15.75" customHeight="1">
      <c r="A161">
        <f>IF(chemicals!B161="","",chemicals!B161)</f>
        <v/>
      </c>
      <c r="B161" s="25" t="n"/>
      <c r="F161" s="27" t="n"/>
      <c r="I161">
        <f>IF($B161="","FALSE","TRUE")</f>
        <v/>
      </c>
      <c r="J161">
        <f t="array" ref="J161">IsURL(Table_121214[[#This Row],[Data Source]])</f>
        <v/>
      </c>
      <c r="K161">
        <f t="array" ref="K161">IsURL(Table_121214[[#This Row],[DOI]])</f>
        <v/>
      </c>
      <c r="L161">
        <f t="array" ref="L161">IsURL(Table_121214[[#This Row],[Data Source]])</f>
        <v/>
      </c>
      <c r="M161">
        <f t="array" ref="M161">IsURL(Table_121214[[#This Row],[Data Source]])</f>
        <v/>
      </c>
    </row>
    <row r="162" ht="15.75" customHeight="1">
      <c r="A162">
        <f>IF(chemicals!B162="","",chemicals!B162)</f>
        <v/>
      </c>
      <c r="B162" s="25" t="n"/>
      <c r="F162" s="27" t="n"/>
      <c r="I162">
        <f>IF($B162="","FALSE","TRUE")</f>
        <v/>
      </c>
      <c r="J162">
        <f t="array" ref="J162">IsURL(Table_121214[[#This Row],[Data Source]])</f>
        <v/>
      </c>
      <c r="K162">
        <f t="array" ref="K162">IsURL(Table_121214[[#This Row],[DOI]])</f>
        <v/>
      </c>
      <c r="L162">
        <f t="array" ref="L162">IsURL(Table_121214[[#This Row],[Data Source]])</f>
        <v/>
      </c>
      <c r="M162">
        <f t="array" ref="M162">IsURL(Table_121214[[#This Row],[Data Source]])</f>
        <v/>
      </c>
    </row>
    <row r="163" ht="15.75" customHeight="1">
      <c r="A163">
        <f>IF(chemicals!B163="","",chemicals!B163)</f>
        <v/>
      </c>
      <c r="B163" s="25" t="n"/>
      <c r="F163" s="27" t="n"/>
      <c r="I163">
        <f>IF($B163="","FALSE","TRUE")</f>
        <v/>
      </c>
      <c r="J163">
        <f t="array" ref="J163">IsURL(Table_121214[[#This Row],[Data Source]])</f>
        <v/>
      </c>
      <c r="K163">
        <f t="array" ref="K163">IsURL(Table_121214[[#This Row],[DOI]])</f>
        <v/>
      </c>
      <c r="L163">
        <f t="array" ref="L163">IsURL(Table_121214[[#This Row],[Data Source]])</f>
        <v/>
      </c>
      <c r="M163">
        <f t="array" ref="M163">IsURL(Table_121214[[#This Row],[Data Source]])</f>
        <v/>
      </c>
    </row>
    <row r="164" ht="15.75" customHeight="1">
      <c r="A164">
        <f>IF(chemicals!B164="","",chemicals!B164)</f>
        <v/>
      </c>
      <c r="B164" s="25" t="n"/>
      <c r="F164" s="27" t="n"/>
      <c r="I164">
        <f>IF($B164="","FALSE","TRUE")</f>
        <v/>
      </c>
      <c r="J164">
        <f t="array" ref="J164">IsURL(Table_121214[[#This Row],[Data Source]])</f>
        <v/>
      </c>
      <c r="K164">
        <f t="array" ref="K164">IsURL(Table_121214[[#This Row],[DOI]])</f>
        <v/>
      </c>
      <c r="L164">
        <f t="array" ref="L164">IsURL(Table_121214[[#This Row],[Data Source]])</f>
        <v/>
      </c>
      <c r="M164">
        <f t="array" ref="M164">IsURL(Table_121214[[#This Row],[Data Source]])</f>
        <v/>
      </c>
    </row>
    <row r="165" ht="15.75" customHeight="1">
      <c r="A165">
        <f>IF(chemicals!B165="","",chemicals!B165)</f>
        <v/>
      </c>
      <c r="B165" s="25" t="n"/>
      <c r="F165" s="27" t="n"/>
      <c r="I165">
        <f>IF($B165="","FALSE","TRUE")</f>
        <v/>
      </c>
      <c r="J165">
        <f t="array" ref="J165">IsURL(Table_121214[[#This Row],[Data Source]])</f>
        <v/>
      </c>
      <c r="K165">
        <f t="array" ref="K165">IsURL(Table_121214[[#This Row],[DOI]])</f>
        <v/>
      </c>
      <c r="L165">
        <f t="array" ref="L165">IsURL(Table_121214[[#This Row],[Data Source]])</f>
        <v/>
      </c>
      <c r="M165">
        <f t="array" ref="M165">IsURL(Table_121214[[#This Row],[Data Source]])</f>
        <v/>
      </c>
    </row>
    <row r="166" ht="15.75" customHeight="1">
      <c r="A166">
        <f>IF(chemicals!B166="","",chemicals!B166)</f>
        <v/>
      </c>
      <c r="B166" s="25" t="n"/>
      <c r="F166" s="27" t="n"/>
      <c r="I166">
        <f>IF($B166="","FALSE","TRUE")</f>
        <v/>
      </c>
      <c r="J166">
        <f t="array" ref="J166">IsURL(Table_121214[[#This Row],[Data Source]])</f>
        <v/>
      </c>
      <c r="K166">
        <f t="array" ref="K166">IsURL(Table_121214[[#This Row],[DOI]])</f>
        <v/>
      </c>
      <c r="L166">
        <f t="array" ref="L166">IsURL(Table_121214[[#This Row],[Data Source]])</f>
        <v/>
      </c>
      <c r="M166">
        <f t="array" ref="M166">IsURL(Table_121214[[#This Row],[Data Source]])</f>
        <v/>
      </c>
    </row>
    <row r="167" ht="15.75" customHeight="1">
      <c r="A167">
        <f>IF(chemicals!B167="","",chemicals!B167)</f>
        <v/>
      </c>
      <c r="B167" s="25" t="n"/>
      <c r="F167" s="27" t="n"/>
      <c r="I167">
        <f>IF($B167="","FALSE","TRUE")</f>
        <v/>
      </c>
      <c r="J167">
        <f t="array" ref="J167">IsURL(Table_121214[[#This Row],[Data Source]])</f>
        <v/>
      </c>
      <c r="K167">
        <f t="array" ref="K167">IsURL(Table_121214[[#This Row],[DOI]])</f>
        <v/>
      </c>
      <c r="L167">
        <f t="array" ref="L167">IsURL(Table_121214[[#This Row],[Data Source]])</f>
        <v/>
      </c>
      <c r="M167">
        <f t="array" ref="M167">IsURL(Table_121214[[#This Row],[Data Source]])</f>
        <v/>
      </c>
    </row>
    <row r="168" ht="15.75" customHeight="1">
      <c r="A168">
        <f>IF(chemicals!B168="","",chemicals!B168)</f>
        <v/>
      </c>
      <c r="B168" s="25" t="n"/>
      <c r="F168" s="27" t="n"/>
      <c r="I168">
        <f>IF($B168="","FALSE","TRUE")</f>
        <v/>
      </c>
      <c r="J168">
        <f t="array" ref="J168">IsURL(Table_121214[[#This Row],[Data Source]])</f>
        <v/>
      </c>
      <c r="K168">
        <f t="array" ref="K168">IsURL(Table_121214[[#This Row],[DOI]])</f>
        <v/>
      </c>
      <c r="L168">
        <f t="array" ref="L168">IsURL(Table_121214[[#This Row],[Data Source]])</f>
        <v/>
      </c>
      <c r="M168">
        <f t="array" ref="M168">IsURL(Table_121214[[#This Row],[Data Source]])</f>
        <v/>
      </c>
    </row>
    <row r="169" ht="15.75" customHeight="1">
      <c r="A169">
        <f>IF(chemicals!B169="","",chemicals!B169)</f>
        <v/>
      </c>
      <c r="B169" s="25" t="n"/>
      <c r="F169" s="27" t="n"/>
      <c r="I169">
        <f>IF($B169="","FALSE","TRUE")</f>
        <v/>
      </c>
      <c r="J169">
        <f t="array" ref="J169">IsURL(Table_121214[[#This Row],[Data Source]])</f>
        <v/>
      </c>
      <c r="K169">
        <f t="array" ref="K169">IsURL(Table_121214[[#This Row],[DOI]])</f>
        <v/>
      </c>
      <c r="L169">
        <f t="array" ref="L169">IsURL(Table_121214[[#This Row],[Data Source]])</f>
        <v/>
      </c>
      <c r="M169">
        <f t="array" ref="M169">IsURL(Table_121214[[#This Row],[Data Source]])</f>
        <v/>
      </c>
    </row>
    <row r="170" ht="15.75" customHeight="1">
      <c r="A170">
        <f>IF(chemicals!B170="","",chemicals!B170)</f>
        <v/>
      </c>
      <c r="B170" s="25" t="n"/>
      <c r="F170" s="27" t="n"/>
      <c r="I170">
        <f>IF($B170="","FALSE","TRUE")</f>
        <v/>
      </c>
      <c r="J170">
        <f t="array" ref="J170">IsURL(Table_121214[[#This Row],[Data Source]])</f>
        <v/>
      </c>
      <c r="K170">
        <f t="array" ref="K170">IsURL(Table_121214[[#This Row],[DOI]])</f>
        <v/>
      </c>
      <c r="L170">
        <f t="array" ref="L170">IsURL(Table_121214[[#This Row],[Data Source]])</f>
        <v/>
      </c>
      <c r="M170">
        <f t="array" ref="M170">IsURL(Table_121214[[#This Row],[Data Source]])</f>
        <v/>
      </c>
    </row>
    <row r="171" ht="15.75" customHeight="1">
      <c r="A171">
        <f>IF(chemicals!B171="","",chemicals!B171)</f>
        <v/>
      </c>
      <c r="B171" s="25" t="n"/>
      <c r="F171" s="27" t="n"/>
      <c r="I171">
        <f>IF($B171="","FALSE","TRUE")</f>
        <v/>
      </c>
      <c r="J171">
        <f t="array" ref="J171">IsURL(Table_121214[[#This Row],[Data Source]])</f>
        <v/>
      </c>
      <c r="K171">
        <f t="array" ref="K171">IsURL(Table_121214[[#This Row],[DOI]])</f>
        <v/>
      </c>
      <c r="L171">
        <f t="array" ref="L171">IsURL(Table_121214[[#This Row],[Data Source]])</f>
        <v/>
      </c>
      <c r="M171">
        <f t="array" ref="M171">IsURL(Table_121214[[#This Row],[Data Source]])</f>
        <v/>
      </c>
    </row>
    <row r="172" ht="15.75" customHeight="1">
      <c r="A172">
        <f>IF(chemicals!B172="","",chemicals!B172)</f>
        <v/>
      </c>
      <c r="B172" s="25" t="n"/>
      <c r="F172" s="27" t="n"/>
      <c r="I172">
        <f>IF($B172="","FALSE","TRUE")</f>
        <v/>
      </c>
      <c r="J172">
        <f t="array" ref="J172">IsURL(Table_121214[[#This Row],[Data Source]])</f>
        <v/>
      </c>
      <c r="K172">
        <f t="array" ref="K172">IsURL(Table_121214[[#This Row],[DOI]])</f>
        <v/>
      </c>
      <c r="L172">
        <f t="array" ref="L172">IsURL(Table_121214[[#This Row],[Data Source]])</f>
        <v/>
      </c>
      <c r="M172">
        <f t="array" ref="M172">IsURL(Table_121214[[#This Row],[Data Source]])</f>
        <v/>
      </c>
    </row>
    <row r="173" ht="15.75" customHeight="1">
      <c r="A173">
        <f>IF(chemicals!B173="","",chemicals!B173)</f>
        <v/>
      </c>
      <c r="B173" s="25" t="n"/>
      <c r="F173" s="27" t="n"/>
      <c r="I173">
        <f>IF($B173="","FALSE","TRUE")</f>
        <v/>
      </c>
      <c r="J173">
        <f t="array" ref="J173">IsURL(Table_121214[[#This Row],[Data Source]])</f>
        <v/>
      </c>
      <c r="K173">
        <f t="array" ref="K173">IsURL(Table_121214[[#This Row],[DOI]])</f>
        <v/>
      </c>
      <c r="L173">
        <f t="array" ref="L173">IsURL(Table_121214[[#This Row],[Data Source]])</f>
        <v/>
      </c>
      <c r="M173">
        <f t="array" ref="M173">IsURL(Table_121214[[#This Row],[Data Source]])</f>
        <v/>
      </c>
    </row>
    <row r="174" ht="15.75" customHeight="1">
      <c r="A174">
        <f>IF(chemicals!B174="","",chemicals!B174)</f>
        <v/>
      </c>
      <c r="B174" s="25" t="n"/>
      <c r="F174" s="27" t="n"/>
      <c r="I174">
        <f>IF($B174="","FALSE","TRUE")</f>
        <v/>
      </c>
      <c r="J174">
        <f t="array" ref="J174">IsURL(Table_121214[[#This Row],[Data Source]])</f>
        <v/>
      </c>
      <c r="K174">
        <f t="array" ref="K174">IsURL(Table_121214[[#This Row],[DOI]])</f>
        <v/>
      </c>
      <c r="L174">
        <f t="array" ref="L174">IsURL(Table_121214[[#This Row],[Data Source]])</f>
        <v/>
      </c>
      <c r="M174">
        <f t="array" ref="M174">IsURL(Table_121214[[#This Row],[Data Source]])</f>
        <v/>
      </c>
    </row>
    <row r="175" ht="15.75" customHeight="1">
      <c r="A175">
        <f>IF(chemicals!B175="","",chemicals!B175)</f>
        <v/>
      </c>
      <c r="B175" s="25" t="n"/>
      <c r="F175" s="27" t="n"/>
      <c r="I175">
        <f>IF($B175="","FALSE","TRUE")</f>
        <v/>
      </c>
      <c r="J175">
        <f t="array" ref="J175">IsURL(Table_121214[[#This Row],[Data Source]])</f>
        <v/>
      </c>
      <c r="K175">
        <f t="array" ref="K175">IsURL(Table_121214[[#This Row],[DOI]])</f>
        <v/>
      </c>
      <c r="L175">
        <f t="array" ref="L175">IsURL(Table_121214[[#This Row],[Data Source]])</f>
        <v/>
      </c>
      <c r="M175">
        <f t="array" ref="M175">IsURL(Table_121214[[#This Row],[Data Source]])</f>
        <v/>
      </c>
    </row>
    <row r="176" ht="15.75" customHeight="1">
      <c r="A176">
        <f>IF(chemicals!B176="","",chemicals!B176)</f>
        <v/>
      </c>
      <c r="B176" s="25" t="n"/>
      <c r="F176" s="27" t="n"/>
      <c r="I176">
        <f>IF($B176="","FALSE","TRUE")</f>
        <v/>
      </c>
      <c r="J176">
        <f t="array" ref="J176">IsURL(Table_121214[[#This Row],[Data Source]])</f>
        <v/>
      </c>
      <c r="K176">
        <f t="array" ref="K176">IsURL(Table_121214[[#This Row],[DOI]])</f>
        <v/>
      </c>
      <c r="L176">
        <f t="array" ref="L176">IsURL(Table_121214[[#This Row],[Data Source]])</f>
        <v/>
      </c>
      <c r="M176">
        <f t="array" ref="M176">IsURL(Table_121214[[#This Row],[Data Source]])</f>
        <v/>
      </c>
    </row>
    <row r="177" ht="15.75" customHeight="1">
      <c r="A177">
        <f>IF(chemicals!B177="","",chemicals!B177)</f>
        <v/>
      </c>
      <c r="B177" s="25" t="n"/>
      <c r="F177" s="27" t="n"/>
      <c r="I177">
        <f>IF($B177="","FALSE","TRUE")</f>
        <v/>
      </c>
      <c r="J177">
        <f t="array" ref="J177">IsURL(Table_121214[[#This Row],[Data Source]])</f>
        <v/>
      </c>
      <c r="K177">
        <f t="array" ref="K177">IsURL(Table_121214[[#This Row],[DOI]])</f>
        <v/>
      </c>
      <c r="L177">
        <f t="array" ref="L177">IsURL(Table_121214[[#This Row],[Data Source]])</f>
        <v/>
      </c>
      <c r="M177">
        <f t="array" ref="M177">IsURL(Table_121214[[#This Row],[Data Source]])</f>
        <v/>
      </c>
    </row>
    <row r="178" ht="15.75" customHeight="1">
      <c r="A178">
        <f>IF(chemicals!B178="","",chemicals!B178)</f>
        <v/>
      </c>
      <c r="B178" s="25" t="n"/>
      <c r="F178" s="27" t="n"/>
      <c r="I178">
        <f>IF($B178="","FALSE","TRUE")</f>
        <v/>
      </c>
      <c r="J178">
        <f t="array" ref="J178">IsURL(Table_121214[[#This Row],[Data Source]])</f>
        <v/>
      </c>
      <c r="K178">
        <f t="array" ref="K178">IsURL(Table_121214[[#This Row],[DOI]])</f>
        <v/>
      </c>
      <c r="L178">
        <f t="array" ref="L178">IsURL(Table_121214[[#This Row],[Data Source]])</f>
        <v/>
      </c>
      <c r="M178">
        <f t="array" ref="M178">IsURL(Table_121214[[#This Row],[Data Source]])</f>
        <v/>
      </c>
    </row>
    <row r="179" ht="15.75" customHeight="1">
      <c r="A179">
        <f>IF(chemicals!B179="","",chemicals!B179)</f>
        <v/>
      </c>
      <c r="B179" s="25" t="n"/>
      <c r="F179" s="27" t="n"/>
      <c r="I179">
        <f>IF($B179="","FALSE","TRUE")</f>
        <v/>
      </c>
      <c r="J179">
        <f t="array" ref="J179">IsURL(Table_121214[[#This Row],[Data Source]])</f>
        <v/>
      </c>
      <c r="K179">
        <f t="array" ref="K179">IsURL(Table_121214[[#This Row],[DOI]])</f>
        <v/>
      </c>
      <c r="L179">
        <f t="array" ref="L179">IsURL(Table_121214[[#This Row],[Data Source]])</f>
        <v/>
      </c>
      <c r="M179">
        <f t="array" ref="M179">IsURL(Table_121214[[#This Row],[Data Source]])</f>
        <v/>
      </c>
    </row>
    <row r="180" ht="15.75" customHeight="1">
      <c r="A180">
        <f>IF(chemicals!B180="","",chemicals!B180)</f>
        <v/>
      </c>
      <c r="B180" s="25" t="n"/>
      <c r="F180" s="27" t="n"/>
      <c r="I180">
        <f>IF($B180="","FALSE","TRUE")</f>
        <v/>
      </c>
      <c r="J180">
        <f t="array" ref="J180">IsURL(Table_121214[[#This Row],[Data Source]])</f>
        <v/>
      </c>
      <c r="K180">
        <f t="array" ref="K180">IsURL(Table_121214[[#This Row],[DOI]])</f>
        <v/>
      </c>
      <c r="L180">
        <f t="array" ref="L180">IsURL(Table_121214[[#This Row],[Data Source]])</f>
        <v/>
      </c>
      <c r="M180">
        <f t="array" ref="M180">IsURL(Table_121214[[#This Row],[Data Source]])</f>
        <v/>
      </c>
    </row>
    <row r="181" ht="15.75" customHeight="1">
      <c r="A181">
        <f>IF(chemicals!B181="","",chemicals!B181)</f>
        <v/>
      </c>
      <c r="B181" s="25" t="n"/>
      <c r="F181" s="27" t="n"/>
      <c r="I181">
        <f>IF($B181="","FALSE","TRUE")</f>
        <v/>
      </c>
      <c r="J181">
        <f t="array" ref="J181">IsURL(Table_121214[[#This Row],[Data Source]])</f>
        <v/>
      </c>
      <c r="K181">
        <f t="array" ref="K181">IsURL(Table_121214[[#This Row],[DOI]])</f>
        <v/>
      </c>
      <c r="L181">
        <f t="array" ref="L181">IsURL(Table_121214[[#This Row],[Data Source]])</f>
        <v/>
      </c>
      <c r="M181">
        <f t="array" ref="M181">IsURL(Table_121214[[#This Row],[Data Source]])</f>
        <v/>
      </c>
    </row>
    <row r="182" ht="15.75" customHeight="1">
      <c r="A182">
        <f>IF(chemicals!B182="","",chemicals!B182)</f>
        <v/>
      </c>
      <c r="B182" s="25" t="n"/>
      <c r="F182" s="27" t="n"/>
      <c r="I182">
        <f>IF($B182="","FALSE","TRUE")</f>
        <v/>
      </c>
      <c r="J182">
        <f t="array" ref="J182">IsURL(Table_121214[[#This Row],[Data Source]])</f>
        <v/>
      </c>
      <c r="K182">
        <f t="array" ref="K182">IsURL(Table_121214[[#This Row],[DOI]])</f>
        <v/>
      </c>
      <c r="L182">
        <f t="array" ref="L182">IsURL(Table_121214[[#This Row],[Data Source]])</f>
        <v/>
      </c>
      <c r="M182">
        <f t="array" ref="M182">IsURL(Table_121214[[#This Row],[Data Source]])</f>
        <v/>
      </c>
    </row>
    <row r="183" ht="15.75" customHeight="1">
      <c r="A183">
        <f>IF(chemicals!B183="","",chemicals!B183)</f>
        <v/>
      </c>
      <c r="B183" s="25" t="n"/>
      <c r="F183" s="27" t="n"/>
      <c r="I183">
        <f>IF($B183="","FALSE","TRUE")</f>
        <v/>
      </c>
      <c r="J183">
        <f t="array" ref="J183">IsURL(Table_121214[[#This Row],[Data Source]])</f>
        <v/>
      </c>
      <c r="K183">
        <f t="array" ref="K183">IsURL(Table_121214[[#This Row],[DOI]])</f>
        <v/>
      </c>
      <c r="L183">
        <f t="array" ref="L183">IsURL(Table_121214[[#This Row],[Data Source]])</f>
        <v/>
      </c>
      <c r="M183">
        <f t="array" ref="M183">IsURL(Table_121214[[#This Row],[Data Source]])</f>
        <v/>
      </c>
    </row>
    <row r="184" ht="15.75" customHeight="1">
      <c r="A184">
        <f>IF(chemicals!B184="","",chemicals!B184)</f>
        <v/>
      </c>
      <c r="B184" s="25" t="n"/>
      <c r="F184" s="27" t="n"/>
      <c r="I184">
        <f>IF($B184="","FALSE","TRUE")</f>
        <v/>
      </c>
      <c r="J184">
        <f t="array" ref="J184">IsURL(Table_121214[[#This Row],[Data Source]])</f>
        <v/>
      </c>
      <c r="K184">
        <f t="array" ref="K184">IsURL(Table_121214[[#This Row],[DOI]])</f>
        <v/>
      </c>
      <c r="L184">
        <f t="array" ref="L184">IsURL(Table_121214[[#This Row],[Data Source]])</f>
        <v/>
      </c>
      <c r="M184">
        <f t="array" ref="M184">IsURL(Table_121214[[#This Row],[Data Source]])</f>
        <v/>
      </c>
    </row>
    <row r="185" ht="15.75" customHeight="1">
      <c r="A185">
        <f>IF(chemicals!B185="","",chemicals!B185)</f>
        <v/>
      </c>
      <c r="B185" s="25" t="n"/>
      <c r="F185" s="27" t="n"/>
      <c r="I185">
        <f>IF($B185="","FALSE","TRUE")</f>
        <v/>
      </c>
      <c r="J185">
        <f t="array" ref="J185">IsURL(Table_121214[[#This Row],[Data Source]])</f>
        <v/>
      </c>
      <c r="K185">
        <f t="array" ref="K185">IsURL(Table_121214[[#This Row],[DOI]])</f>
        <v/>
      </c>
      <c r="L185">
        <f t="array" ref="L185">IsURL(Table_121214[[#This Row],[Data Source]])</f>
        <v/>
      </c>
      <c r="M185">
        <f t="array" ref="M185">IsURL(Table_121214[[#This Row],[Data Source]])</f>
        <v/>
      </c>
    </row>
    <row r="186" ht="15.75" customHeight="1">
      <c r="A186">
        <f>IF(chemicals!B186="","",chemicals!B186)</f>
        <v/>
      </c>
      <c r="B186" s="25" t="n"/>
      <c r="F186" s="27" t="n"/>
      <c r="I186">
        <f>IF($B186="","FALSE","TRUE")</f>
        <v/>
      </c>
      <c r="J186">
        <f t="array" ref="J186">IsURL(Table_121214[[#This Row],[Data Source]])</f>
        <v/>
      </c>
      <c r="K186">
        <f t="array" ref="K186">IsURL(Table_121214[[#This Row],[DOI]])</f>
        <v/>
      </c>
      <c r="L186">
        <f t="array" ref="L186">IsURL(Table_121214[[#This Row],[Data Source]])</f>
        <v/>
      </c>
      <c r="M186">
        <f t="array" ref="M186">IsURL(Table_121214[[#This Row],[Data Source]])</f>
        <v/>
      </c>
    </row>
    <row r="187" ht="15.75" customHeight="1">
      <c r="A187">
        <f>IF(chemicals!B187="","",chemicals!B187)</f>
        <v/>
      </c>
      <c r="B187" s="25" t="n"/>
      <c r="F187" s="27" t="n"/>
      <c r="I187">
        <f>IF($B187="","FALSE","TRUE")</f>
        <v/>
      </c>
      <c r="J187">
        <f t="array" ref="J187">IsURL(Table_121214[[#This Row],[Data Source]])</f>
        <v/>
      </c>
      <c r="K187">
        <f t="array" ref="K187">IsURL(Table_121214[[#This Row],[DOI]])</f>
        <v/>
      </c>
      <c r="L187">
        <f t="array" ref="L187">IsURL(Table_121214[[#This Row],[Data Source]])</f>
        <v/>
      </c>
      <c r="M187">
        <f t="array" ref="M187">IsURL(Table_121214[[#This Row],[Data Source]])</f>
        <v/>
      </c>
    </row>
    <row r="188" ht="15.75" customHeight="1">
      <c r="A188">
        <f>IF(chemicals!B188="","",chemicals!B188)</f>
        <v/>
      </c>
      <c r="B188" s="25" t="n"/>
      <c r="F188" s="27" t="n"/>
      <c r="I188">
        <f>IF($B188="","FALSE","TRUE")</f>
        <v/>
      </c>
      <c r="J188">
        <f t="array" ref="J188">IsURL(Table_121214[[#This Row],[Data Source]])</f>
        <v/>
      </c>
      <c r="K188">
        <f t="array" ref="K188">IsURL(Table_121214[[#This Row],[DOI]])</f>
        <v/>
      </c>
      <c r="L188">
        <f t="array" ref="L188">IsURL(Table_121214[[#This Row],[Data Source]])</f>
        <v/>
      </c>
      <c r="M188">
        <f t="array" ref="M188">IsURL(Table_121214[[#This Row],[Data Source]])</f>
        <v/>
      </c>
    </row>
    <row r="189" ht="15.75" customHeight="1">
      <c r="A189">
        <f>IF(chemicals!B189="","",chemicals!B189)</f>
        <v/>
      </c>
      <c r="B189" s="25" t="n"/>
      <c r="F189" s="27" t="n"/>
      <c r="I189">
        <f>IF($B189="","FALSE","TRUE")</f>
        <v/>
      </c>
      <c r="J189">
        <f t="array" ref="J189">IsURL(Table_121214[[#This Row],[Data Source]])</f>
        <v/>
      </c>
      <c r="K189">
        <f t="array" ref="K189">IsURL(Table_121214[[#This Row],[DOI]])</f>
        <v/>
      </c>
      <c r="L189">
        <f t="array" ref="L189">IsURL(Table_121214[[#This Row],[Data Source]])</f>
        <v/>
      </c>
      <c r="M189">
        <f t="array" ref="M189">IsURL(Table_121214[[#This Row],[Data Source]])</f>
        <v/>
      </c>
    </row>
    <row r="190" ht="15.75" customHeight="1">
      <c r="A190">
        <f>IF(chemicals!B190="","",chemicals!B190)</f>
        <v/>
      </c>
      <c r="B190" s="25" t="n"/>
      <c r="F190" s="27" t="n"/>
      <c r="I190">
        <f>IF($B190="","FALSE","TRUE")</f>
        <v/>
      </c>
      <c r="J190">
        <f t="array" ref="J190">IsURL(Table_121214[[#This Row],[Data Source]])</f>
        <v/>
      </c>
      <c r="K190">
        <f t="array" ref="K190">IsURL(Table_121214[[#This Row],[DOI]])</f>
        <v/>
      </c>
      <c r="L190">
        <f t="array" ref="L190">IsURL(Table_121214[[#This Row],[Data Source]])</f>
        <v/>
      </c>
      <c r="M190">
        <f t="array" ref="M190">IsURL(Table_121214[[#This Row],[Data Source]])</f>
        <v/>
      </c>
    </row>
    <row r="191" ht="15.75" customHeight="1">
      <c r="A191">
        <f>IF(chemicals!B191="","",chemicals!B191)</f>
        <v/>
      </c>
      <c r="B191" s="25" t="n"/>
      <c r="F191" s="27" t="n"/>
      <c r="I191">
        <f>IF($B191="","FALSE","TRUE")</f>
        <v/>
      </c>
      <c r="J191">
        <f t="array" ref="J191">IsURL(Table_121214[[#This Row],[Data Source]])</f>
        <v/>
      </c>
      <c r="K191">
        <f t="array" ref="K191">IsURL(Table_121214[[#This Row],[DOI]])</f>
        <v/>
      </c>
      <c r="L191">
        <f t="array" ref="L191">IsURL(Table_121214[[#This Row],[Data Source]])</f>
        <v/>
      </c>
      <c r="M191">
        <f t="array" ref="M191">IsURL(Table_121214[[#This Row],[Data Source]])</f>
        <v/>
      </c>
    </row>
    <row r="192" ht="15.75" customHeight="1">
      <c r="A192">
        <f>IF(chemicals!B192="","",chemicals!B192)</f>
        <v/>
      </c>
      <c r="B192" s="25" t="n"/>
      <c r="F192" s="27" t="n"/>
      <c r="I192">
        <f>IF($B192="","FALSE","TRUE")</f>
        <v/>
      </c>
      <c r="J192">
        <f t="array" ref="J192">IsURL(Table_121214[[#This Row],[Data Source]])</f>
        <v/>
      </c>
      <c r="K192">
        <f t="array" ref="K192">IsURL(Table_121214[[#This Row],[DOI]])</f>
        <v/>
      </c>
      <c r="L192">
        <f t="array" ref="L192">IsURL(Table_121214[[#This Row],[Data Source]])</f>
        <v/>
      </c>
      <c r="M192">
        <f t="array" ref="M192">IsURL(Table_121214[[#This Row],[Data Source]])</f>
        <v/>
      </c>
    </row>
    <row r="193" ht="15.75" customHeight="1">
      <c r="A193">
        <f>IF(chemicals!B193="","",chemicals!B193)</f>
        <v/>
      </c>
      <c r="B193" s="25" t="n"/>
      <c r="F193" s="27" t="n"/>
      <c r="I193">
        <f>IF($B193="","FALSE","TRUE")</f>
        <v/>
      </c>
      <c r="J193">
        <f t="array" ref="J193">IsURL(Table_121214[[#This Row],[Data Source]])</f>
        <v/>
      </c>
      <c r="K193">
        <f t="array" ref="K193">IsURL(Table_121214[[#This Row],[DOI]])</f>
        <v/>
      </c>
      <c r="L193">
        <f t="array" ref="L193">IsURL(Table_121214[[#This Row],[Data Source]])</f>
        <v/>
      </c>
      <c r="M193">
        <f t="array" ref="M193">IsURL(Table_121214[[#This Row],[Data Source]])</f>
        <v/>
      </c>
    </row>
    <row r="194" ht="15.75" customHeight="1">
      <c r="A194">
        <f>IF(chemicals!B194="","",chemicals!B194)</f>
        <v/>
      </c>
      <c r="B194" s="25" t="n"/>
      <c r="F194" s="27" t="n"/>
      <c r="I194">
        <f>IF($B194="","FALSE","TRUE")</f>
        <v/>
      </c>
      <c r="J194">
        <f t="array" ref="J194">IsURL(Table_121214[[#This Row],[Data Source]])</f>
        <v/>
      </c>
      <c r="K194">
        <f t="array" ref="K194">IsURL(Table_121214[[#This Row],[DOI]])</f>
        <v/>
      </c>
      <c r="L194">
        <f t="array" ref="L194">IsURL(Table_121214[[#This Row],[Data Source]])</f>
        <v/>
      </c>
      <c r="M194">
        <f t="array" ref="M194">IsURL(Table_121214[[#This Row],[Data Source]])</f>
        <v/>
      </c>
    </row>
    <row r="195" ht="15.75" customHeight="1">
      <c r="A195">
        <f>IF(chemicals!B195="","",chemicals!B195)</f>
        <v/>
      </c>
      <c r="B195" s="25" t="n"/>
      <c r="F195" s="27" t="n"/>
      <c r="I195">
        <f>IF($B195="","FALSE","TRUE")</f>
        <v/>
      </c>
      <c r="J195">
        <f t="array" ref="J195">IsURL(Table_121214[[#This Row],[Data Source]])</f>
        <v/>
      </c>
      <c r="K195">
        <f t="array" ref="K195">IsURL(Table_121214[[#This Row],[DOI]])</f>
        <v/>
      </c>
      <c r="L195">
        <f t="array" ref="L195">IsURL(Table_121214[[#This Row],[Data Source]])</f>
        <v/>
      </c>
      <c r="M195">
        <f t="array" ref="M195">IsURL(Table_121214[[#This Row],[Data Source]])</f>
        <v/>
      </c>
    </row>
    <row r="196" ht="15.75" customHeight="1">
      <c r="A196">
        <f>IF(chemicals!B196="","",chemicals!B196)</f>
        <v/>
      </c>
      <c r="B196" s="25" t="n"/>
      <c r="F196" s="27" t="n"/>
      <c r="I196">
        <f>IF($B196="","FALSE","TRUE")</f>
        <v/>
      </c>
      <c r="J196">
        <f t="array" ref="J196">IsURL(Table_121214[[#This Row],[Data Source]])</f>
        <v/>
      </c>
      <c r="K196">
        <f t="array" ref="K196">IsURL(Table_121214[[#This Row],[DOI]])</f>
        <v/>
      </c>
      <c r="L196">
        <f t="array" ref="L196">IsURL(Table_121214[[#This Row],[Data Source]])</f>
        <v/>
      </c>
      <c r="M196">
        <f t="array" ref="M196">IsURL(Table_121214[[#This Row],[Data Source]])</f>
        <v/>
      </c>
    </row>
    <row r="197" ht="15.75" customHeight="1">
      <c r="A197">
        <f>IF(chemicals!B197="","",chemicals!B197)</f>
        <v/>
      </c>
      <c r="B197" s="25" t="n"/>
      <c r="F197" s="27" t="n"/>
      <c r="I197">
        <f>IF($B197="","FALSE","TRUE")</f>
        <v/>
      </c>
      <c r="J197">
        <f t="array" ref="J197">IsURL(Table_121214[[#This Row],[Data Source]])</f>
        <v/>
      </c>
      <c r="K197">
        <f t="array" ref="K197">IsURL(Table_121214[[#This Row],[DOI]])</f>
        <v/>
      </c>
      <c r="L197">
        <f t="array" ref="L197">IsURL(Table_121214[[#This Row],[Data Source]])</f>
        <v/>
      </c>
      <c r="M197">
        <f t="array" ref="M197">IsURL(Table_121214[[#This Row],[Data Source]])</f>
        <v/>
      </c>
    </row>
    <row r="198" ht="15.75" customHeight="1">
      <c r="A198">
        <f>IF(chemicals!B198="","",chemicals!B198)</f>
        <v/>
      </c>
      <c r="B198" s="25" t="n"/>
      <c r="F198" s="27" t="n"/>
      <c r="I198">
        <f>IF($B198="","FALSE","TRUE")</f>
        <v/>
      </c>
      <c r="J198">
        <f t="array" ref="J198">IsURL(Table_121214[[#This Row],[Data Source]])</f>
        <v/>
      </c>
      <c r="K198">
        <f t="array" ref="K198">IsURL(Table_121214[[#This Row],[DOI]])</f>
        <v/>
      </c>
      <c r="L198">
        <f t="array" ref="L198">IsURL(Table_121214[[#This Row],[Data Source]])</f>
        <v/>
      </c>
      <c r="M198">
        <f t="array" ref="M198">IsURL(Table_121214[[#This Row],[Data Source]])</f>
        <v/>
      </c>
    </row>
    <row r="199" ht="15.75" customHeight="1">
      <c r="A199">
        <f>IF(chemicals!B199="","",chemicals!B199)</f>
        <v/>
      </c>
      <c r="B199" s="25" t="n"/>
      <c r="F199" s="27" t="n"/>
      <c r="I199">
        <f>IF($B199="","FALSE","TRUE")</f>
        <v/>
      </c>
      <c r="J199">
        <f t="array" ref="J199">IsURL(Table_121214[[#This Row],[Data Source]])</f>
        <v/>
      </c>
      <c r="K199">
        <f t="array" ref="K199">IsURL(Table_121214[[#This Row],[DOI]])</f>
        <v/>
      </c>
      <c r="L199">
        <f t="array" ref="L199">IsURL(Table_121214[[#This Row],[Data Source]])</f>
        <v/>
      </c>
      <c r="M199">
        <f t="array" ref="M199">IsURL(Table_121214[[#This Row],[Data Source]])</f>
        <v/>
      </c>
    </row>
    <row r="200" ht="15.75" customHeight="1">
      <c r="A200">
        <f>IF(chemicals!B200="","",chemicals!B200)</f>
        <v/>
      </c>
      <c r="B200" s="25" t="n"/>
      <c r="F200" s="27" t="n"/>
      <c r="I200">
        <f>IF($B200="","FALSE","TRUE")</f>
        <v/>
      </c>
      <c r="J200">
        <f t="array" ref="J200">IsURL(Table_121214[[#This Row],[Data Source]])</f>
        <v/>
      </c>
      <c r="K200">
        <f t="array" ref="K200">IsURL(Table_121214[[#This Row],[DOI]])</f>
        <v/>
      </c>
      <c r="L200">
        <f t="array" ref="L200">IsURL(Table_121214[[#This Row],[Data Source]])</f>
        <v/>
      </c>
      <c r="M200">
        <f t="array" ref="M200">IsURL(Table_121214[[#This Row],[Data Source]])</f>
        <v/>
      </c>
    </row>
    <row r="201" ht="15.75" customHeight="1">
      <c r="A201">
        <f>IF(chemicals!B201="","",chemicals!B201)</f>
        <v/>
      </c>
      <c r="B201" s="25" t="n"/>
      <c r="F201" s="27" t="n"/>
      <c r="I201">
        <f>IF($B201="","FALSE","TRUE")</f>
        <v/>
      </c>
      <c r="J201">
        <f t="array" ref="J201">IsURL(Table_121214[[#This Row],[Data Source]])</f>
        <v/>
      </c>
      <c r="K201">
        <f t="array" ref="K201">IsURL(Table_121214[[#This Row],[DOI]])</f>
        <v/>
      </c>
      <c r="L201">
        <f t="array" ref="L201">IsURL(Table_121214[[#This Row],[Data Source]])</f>
        <v/>
      </c>
      <c r="M201">
        <f t="array" ref="M201">IsURL(Table_121214[[#This Row],[Data Source]])</f>
        <v/>
      </c>
    </row>
    <row r="202" ht="15.75" customHeight="1">
      <c r="A202">
        <f>IF(chemicals!B202="","",chemicals!B202)</f>
        <v/>
      </c>
      <c r="B202" s="25" t="n"/>
      <c r="F202" s="27" t="n"/>
      <c r="I202">
        <f>IF($B202="","FALSE","TRUE")</f>
        <v/>
      </c>
      <c r="J202">
        <f t="array" ref="J202">IsURL(Table_121214[[#This Row],[Data Source]])</f>
        <v/>
      </c>
      <c r="K202">
        <f t="array" ref="K202">IsURL(Table_121214[[#This Row],[DOI]])</f>
        <v/>
      </c>
      <c r="L202">
        <f t="array" ref="L202">IsURL(Table_121214[[#This Row],[Data Source]])</f>
        <v/>
      </c>
      <c r="M202">
        <f t="array" ref="M202">IsURL(Table_121214[[#This Row],[Data Source]])</f>
        <v/>
      </c>
    </row>
    <row r="203" ht="15.75" customHeight="1">
      <c r="A203">
        <f>IF(chemicals!B203="","",chemicals!B203)</f>
        <v/>
      </c>
      <c r="B203" s="25" t="n"/>
      <c r="F203" s="27" t="n"/>
      <c r="I203">
        <f>IF($B203="","FALSE","TRUE")</f>
        <v/>
      </c>
      <c r="J203">
        <f t="array" ref="J203">IsURL(Table_121214[[#This Row],[Data Source]])</f>
        <v/>
      </c>
      <c r="K203">
        <f t="array" ref="K203">IsURL(Table_121214[[#This Row],[DOI]])</f>
        <v/>
      </c>
      <c r="L203">
        <f t="array" ref="L203">IsURL(Table_121214[[#This Row],[Data Source]])</f>
        <v/>
      </c>
      <c r="M203">
        <f t="array" ref="M203">IsURL(Table_121214[[#This Row],[Data Source]])</f>
        <v/>
      </c>
    </row>
    <row r="204" ht="15.75" customHeight="1">
      <c r="A204">
        <f>IF(chemicals!B204="","",chemicals!B204)</f>
        <v/>
      </c>
      <c r="B204" s="25" t="n"/>
      <c r="F204" s="27" t="n"/>
      <c r="I204">
        <f>IF($B204="","FALSE","TRUE")</f>
        <v/>
      </c>
      <c r="J204">
        <f t="array" ref="J204">IsURL(Table_121214[[#This Row],[Data Source]])</f>
        <v/>
      </c>
      <c r="K204">
        <f t="array" ref="K204">IsURL(Table_121214[[#This Row],[DOI]])</f>
        <v/>
      </c>
      <c r="L204">
        <f t="array" ref="L204">IsURL(Table_121214[[#This Row],[Data Source]])</f>
        <v/>
      </c>
      <c r="M204">
        <f t="array" ref="M204">IsURL(Table_121214[[#This Row],[Data Source]])</f>
        <v/>
      </c>
    </row>
    <row r="205" ht="15.75" customHeight="1">
      <c r="A205">
        <f>IF(chemicals!B205="","",chemicals!B205)</f>
        <v/>
      </c>
      <c r="B205" s="25" t="n"/>
      <c r="F205" s="27" t="n"/>
      <c r="I205">
        <f>IF($B205="","FALSE","TRUE")</f>
        <v/>
      </c>
      <c r="J205">
        <f t="array" ref="J205">IsURL(Table_121214[[#This Row],[Data Source]])</f>
        <v/>
      </c>
      <c r="K205">
        <f t="array" ref="K205">IsURL(Table_121214[[#This Row],[DOI]])</f>
        <v/>
      </c>
      <c r="L205">
        <f t="array" ref="L205">IsURL(Table_121214[[#This Row],[Data Source]])</f>
        <v/>
      </c>
      <c r="M205">
        <f t="array" ref="M205">IsURL(Table_121214[[#This Row],[Data Source]])</f>
        <v/>
      </c>
    </row>
    <row r="206" ht="15.75" customHeight="1">
      <c r="A206">
        <f>IF(chemicals!B206="","",chemicals!B206)</f>
        <v/>
      </c>
      <c r="B206" s="25" t="n"/>
      <c r="F206" s="27" t="n"/>
      <c r="I206">
        <f>IF($B206="","FALSE","TRUE")</f>
        <v/>
      </c>
      <c r="J206">
        <f t="array" ref="J206">IsURL(Table_121214[[#This Row],[Data Source]])</f>
        <v/>
      </c>
      <c r="K206">
        <f t="array" ref="K206">IsURL(Table_121214[[#This Row],[DOI]])</f>
        <v/>
      </c>
      <c r="L206">
        <f t="array" ref="L206">IsURL(Table_121214[[#This Row],[Data Source]])</f>
        <v/>
      </c>
      <c r="M206">
        <f t="array" ref="M206">IsURL(Table_121214[[#This Row],[Data Source]])</f>
        <v/>
      </c>
    </row>
    <row r="207" ht="15.75" customHeight="1">
      <c r="A207">
        <f>IF(chemicals!B207="","",chemicals!B207)</f>
        <v/>
      </c>
      <c r="B207" s="25" t="n"/>
      <c r="F207" s="27" t="n"/>
      <c r="I207">
        <f>IF($B207="","FALSE","TRUE")</f>
        <v/>
      </c>
      <c r="J207">
        <f t="array" ref="J207">IsURL(Table_121214[[#This Row],[Data Source]])</f>
        <v/>
      </c>
      <c r="K207">
        <f t="array" ref="K207">IsURL(Table_121214[[#This Row],[DOI]])</f>
        <v/>
      </c>
      <c r="L207">
        <f t="array" ref="L207">IsURL(Table_121214[[#This Row],[Data Source]])</f>
        <v/>
      </c>
      <c r="M207">
        <f t="array" ref="M207">IsURL(Table_121214[[#This Row],[Data Source]])</f>
        <v/>
      </c>
    </row>
    <row r="208" ht="15.75" customHeight="1">
      <c r="A208">
        <f>IF(chemicals!B208="","",chemicals!B208)</f>
        <v/>
      </c>
      <c r="B208" s="25" t="n"/>
      <c r="F208" s="27" t="n"/>
      <c r="I208">
        <f>IF($B208="","FALSE","TRUE")</f>
        <v/>
      </c>
      <c r="J208">
        <f t="array" ref="J208">IsURL(Table_121214[[#This Row],[Data Source]])</f>
        <v/>
      </c>
      <c r="K208">
        <f t="array" ref="K208">IsURL(Table_121214[[#This Row],[DOI]])</f>
        <v/>
      </c>
      <c r="L208">
        <f t="array" ref="L208">IsURL(Table_121214[[#This Row],[Data Source]])</f>
        <v/>
      </c>
      <c r="M208">
        <f t="array" ref="M208">IsURL(Table_121214[[#This Row],[Data Source]])</f>
        <v/>
      </c>
    </row>
    <row r="209" ht="15.75" customHeight="1">
      <c r="A209">
        <f>IF(chemicals!B209="","",chemicals!B209)</f>
        <v/>
      </c>
      <c r="B209" s="25" t="n"/>
      <c r="F209" s="27" t="n"/>
      <c r="I209">
        <f>IF($B209="","FALSE","TRUE")</f>
        <v/>
      </c>
      <c r="J209">
        <f t="array" ref="J209">IsURL(Table_121214[[#This Row],[Data Source]])</f>
        <v/>
      </c>
      <c r="K209">
        <f t="array" ref="K209">IsURL(Table_121214[[#This Row],[DOI]])</f>
        <v/>
      </c>
      <c r="L209">
        <f t="array" ref="L209">IsURL(Table_121214[[#This Row],[Data Source]])</f>
        <v/>
      </c>
      <c r="M209">
        <f t="array" ref="M209">IsURL(Table_121214[[#This Row],[Data Source]])</f>
        <v/>
      </c>
    </row>
    <row r="210" ht="15.75" customHeight="1">
      <c r="A210">
        <f>IF(chemicals!B210="","",chemicals!B210)</f>
        <v/>
      </c>
      <c r="B210" s="25" t="n"/>
      <c r="F210" s="27" t="n"/>
      <c r="I210">
        <f>IF($B210="","FALSE","TRUE")</f>
        <v/>
      </c>
      <c r="J210">
        <f t="array" ref="J210">IsURL(Table_121214[[#This Row],[Data Source]])</f>
        <v/>
      </c>
      <c r="K210">
        <f t="array" ref="K210">IsURL(Table_121214[[#This Row],[DOI]])</f>
        <v/>
      </c>
      <c r="L210">
        <f t="array" ref="L210">IsURL(Table_121214[[#This Row],[Data Source]])</f>
        <v/>
      </c>
      <c r="M210">
        <f t="array" ref="M210">IsURL(Table_121214[[#This Row],[Data Source]])</f>
        <v/>
      </c>
    </row>
    <row r="211" ht="15.75" customHeight="1">
      <c r="A211">
        <f>IF(chemicals!B211="","",chemicals!B211)</f>
        <v/>
      </c>
      <c r="B211" s="25" t="n"/>
      <c r="F211" s="27" t="n"/>
      <c r="I211">
        <f>IF($B211="","FALSE","TRUE")</f>
        <v/>
      </c>
      <c r="J211">
        <f t="array" ref="J211">IsURL(Table_121214[[#This Row],[Data Source]])</f>
        <v/>
      </c>
      <c r="K211">
        <f t="array" ref="K211">IsURL(Table_121214[[#This Row],[DOI]])</f>
        <v/>
      </c>
      <c r="L211">
        <f t="array" ref="L211">IsURL(Table_121214[[#This Row],[Data Source]])</f>
        <v/>
      </c>
      <c r="M211">
        <f t="array" ref="M211">IsURL(Table_121214[[#This Row],[Data Source]])</f>
        <v/>
      </c>
    </row>
    <row r="212" ht="15.75" customHeight="1">
      <c r="A212">
        <f>IF(chemicals!B212="","",chemicals!B212)</f>
        <v/>
      </c>
      <c r="B212" s="25" t="n"/>
      <c r="F212" s="27" t="n"/>
      <c r="I212">
        <f>IF($B212="","FALSE","TRUE")</f>
        <v/>
      </c>
      <c r="J212">
        <f t="array" ref="J212">IsURL(Table_121214[[#This Row],[Data Source]])</f>
        <v/>
      </c>
      <c r="K212">
        <f t="array" ref="K212">IsURL(Table_121214[[#This Row],[DOI]])</f>
        <v/>
      </c>
      <c r="L212">
        <f t="array" ref="L212">IsURL(Table_121214[[#This Row],[Data Source]])</f>
        <v/>
      </c>
      <c r="M212">
        <f t="array" ref="M212">IsURL(Table_121214[[#This Row],[Data Source]])</f>
        <v/>
      </c>
    </row>
    <row r="213" ht="15.75" customHeight="1">
      <c r="A213">
        <f>IF(chemicals!B213="","",chemicals!B213)</f>
        <v/>
      </c>
      <c r="B213" s="25" t="n"/>
      <c r="F213" s="27" t="n"/>
      <c r="I213">
        <f>IF($B213="","FALSE","TRUE")</f>
        <v/>
      </c>
      <c r="J213">
        <f t="array" ref="J213">IsURL(Table_121214[[#This Row],[Data Source]])</f>
        <v/>
      </c>
      <c r="K213">
        <f t="array" ref="K213">IsURL(Table_121214[[#This Row],[DOI]])</f>
        <v/>
      </c>
      <c r="L213">
        <f t="array" ref="L213">IsURL(Table_121214[[#This Row],[Data Source]])</f>
        <v/>
      </c>
      <c r="M213">
        <f t="array" ref="M213">IsURL(Table_121214[[#This Row],[Data Source]])</f>
        <v/>
      </c>
    </row>
    <row r="214" ht="15.75" customHeight="1">
      <c r="A214">
        <f>IF(chemicals!B214="","",chemicals!B214)</f>
        <v/>
      </c>
      <c r="B214" s="25" t="n"/>
      <c r="F214" s="27" t="n"/>
      <c r="I214">
        <f>IF($B214="","FALSE","TRUE")</f>
        <v/>
      </c>
      <c r="J214">
        <f t="array" ref="J214">IsURL(Table_121214[[#This Row],[Data Source]])</f>
        <v/>
      </c>
      <c r="K214">
        <f t="array" ref="K214">IsURL(Table_121214[[#This Row],[DOI]])</f>
        <v/>
      </c>
      <c r="L214">
        <f t="array" ref="L214">IsURL(Table_121214[[#This Row],[Data Source]])</f>
        <v/>
      </c>
      <c r="M214">
        <f t="array" ref="M214">IsURL(Table_121214[[#This Row],[Data Source]])</f>
        <v/>
      </c>
    </row>
    <row r="215" ht="15.75" customHeight="1">
      <c r="A215">
        <f>IF(chemicals!B215="","",chemicals!B215)</f>
        <v/>
      </c>
      <c r="B215" s="25" t="n"/>
      <c r="F215" s="27" t="n"/>
      <c r="I215">
        <f>IF($B215="","FALSE","TRUE")</f>
        <v/>
      </c>
      <c r="J215">
        <f t="array" ref="J215">IsURL(Table_121214[[#This Row],[Data Source]])</f>
        <v/>
      </c>
      <c r="K215">
        <f t="array" ref="K215">IsURL(Table_121214[[#This Row],[DOI]])</f>
        <v/>
      </c>
      <c r="L215">
        <f t="array" ref="L215">IsURL(Table_121214[[#This Row],[Data Source]])</f>
        <v/>
      </c>
      <c r="M215">
        <f t="array" ref="M215">IsURL(Table_121214[[#This Row],[Data Source]])</f>
        <v/>
      </c>
    </row>
    <row r="216" ht="15.75" customHeight="1">
      <c r="A216">
        <f>IF(chemicals!B216="","",chemicals!B216)</f>
        <v/>
      </c>
      <c r="B216" s="25" t="n"/>
      <c r="F216" s="27" t="n"/>
      <c r="I216">
        <f>IF($B216="","FALSE","TRUE")</f>
        <v/>
      </c>
      <c r="J216">
        <f t="array" ref="J216">IsURL(Table_121214[[#This Row],[Data Source]])</f>
        <v/>
      </c>
      <c r="K216">
        <f t="array" ref="K216">IsURL(Table_121214[[#This Row],[DOI]])</f>
        <v/>
      </c>
      <c r="L216">
        <f t="array" ref="L216">IsURL(Table_121214[[#This Row],[Data Source]])</f>
        <v/>
      </c>
      <c r="M216">
        <f t="array" ref="M216">IsURL(Table_121214[[#This Row],[Data Source]])</f>
        <v/>
      </c>
    </row>
    <row r="217" ht="15.75" customHeight="1">
      <c r="A217">
        <f>IF(chemicals!B217="","",chemicals!B217)</f>
        <v/>
      </c>
      <c r="B217" s="25" t="n"/>
      <c r="F217" s="27" t="n"/>
      <c r="I217">
        <f>IF($B217="","FALSE","TRUE")</f>
        <v/>
      </c>
      <c r="J217">
        <f t="array" ref="J217">IsURL(Table_121214[[#This Row],[Data Source]])</f>
        <v/>
      </c>
      <c r="K217">
        <f t="array" ref="K217">IsURL(Table_121214[[#This Row],[DOI]])</f>
        <v/>
      </c>
      <c r="L217">
        <f t="array" ref="L217">IsURL(Table_121214[[#This Row],[Data Source]])</f>
        <v/>
      </c>
      <c r="M217">
        <f t="array" ref="M217">IsURL(Table_121214[[#This Row],[Data Source]])</f>
        <v/>
      </c>
    </row>
    <row r="218" ht="15.75" customHeight="1">
      <c r="A218">
        <f>IF(chemicals!B218="","",chemicals!B218)</f>
        <v/>
      </c>
      <c r="B218" s="25" t="n"/>
      <c r="F218" s="27" t="n"/>
      <c r="I218">
        <f>IF($B218="","FALSE","TRUE")</f>
        <v/>
      </c>
      <c r="J218">
        <f t="array" ref="J218">IsURL(Table_121214[[#This Row],[Data Source]])</f>
        <v/>
      </c>
      <c r="K218">
        <f t="array" ref="K218">IsURL(Table_121214[[#This Row],[DOI]])</f>
        <v/>
      </c>
      <c r="L218">
        <f t="array" ref="L218">IsURL(Table_121214[[#This Row],[Data Source]])</f>
        <v/>
      </c>
      <c r="M218">
        <f t="array" ref="M218">IsURL(Table_121214[[#This Row],[Data Source]])</f>
        <v/>
      </c>
    </row>
    <row r="219" ht="15.75" customHeight="1">
      <c r="A219">
        <f>IF(chemicals!B219="","",chemicals!B219)</f>
        <v/>
      </c>
      <c r="B219" s="25" t="n"/>
      <c r="F219" s="27" t="n"/>
      <c r="I219">
        <f>IF($B219="","FALSE","TRUE")</f>
        <v/>
      </c>
      <c r="J219">
        <f t="array" ref="J219">IsURL(Table_121214[[#This Row],[Data Source]])</f>
        <v/>
      </c>
      <c r="K219">
        <f t="array" ref="K219">IsURL(Table_121214[[#This Row],[DOI]])</f>
        <v/>
      </c>
      <c r="L219">
        <f t="array" ref="L219">IsURL(Table_121214[[#This Row],[Data Source]])</f>
        <v/>
      </c>
      <c r="M219">
        <f t="array" ref="M219">IsURL(Table_121214[[#This Row],[Data Source]])</f>
        <v/>
      </c>
    </row>
    <row r="220" ht="15.75" customHeight="1">
      <c r="A220">
        <f>IF(chemicals!B220="","",chemicals!B220)</f>
        <v/>
      </c>
      <c r="B220" s="25" t="n"/>
      <c r="F220" s="27" t="n"/>
      <c r="I220">
        <f>IF($B220="","FALSE","TRUE")</f>
        <v/>
      </c>
      <c r="J220">
        <f t="array" ref="J220">IsURL(Table_121214[[#This Row],[Data Source]])</f>
        <v/>
      </c>
      <c r="K220">
        <f t="array" ref="K220">IsURL(Table_121214[[#This Row],[DOI]])</f>
        <v/>
      </c>
      <c r="L220">
        <f t="array" ref="L220">IsURL(Table_121214[[#This Row],[Data Source]])</f>
        <v/>
      </c>
      <c r="M220">
        <f t="array" ref="M220">IsURL(Table_121214[[#This Row],[Data Source]])</f>
        <v/>
      </c>
    </row>
    <row r="221" ht="15.75" customHeight="1">
      <c r="A221">
        <f>IF(chemicals!B221="","",chemicals!B221)</f>
        <v/>
      </c>
      <c r="B221" s="25" t="n"/>
      <c r="F221" s="27" t="n"/>
      <c r="I221">
        <f>IF($B221="","FALSE","TRUE")</f>
        <v/>
      </c>
      <c r="J221">
        <f t="array" ref="J221">IsURL(Table_121214[[#This Row],[Data Source]])</f>
        <v/>
      </c>
      <c r="K221">
        <f t="array" ref="K221">IsURL(Table_121214[[#This Row],[DOI]])</f>
        <v/>
      </c>
      <c r="L221">
        <f t="array" ref="L221">IsURL(Table_121214[[#This Row],[Data Source]])</f>
        <v/>
      </c>
      <c r="M221">
        <f t="array" ref="M221">IsURL(Table_121214[[#This Row],[Data Source]])</f>
        <v/>
      </c>
    </row>
    <row r="222" ht="15.75" customHeight="1">
      <c r="A222">
        <f>IF(chemicals!B222="","",chemicals!B222)</f>
        <v/>
      </c>
      <c r="B222" s="25" t="n"/>
      <c r="F222" s="27" t="n"/>
      <c r="I222">
        <f>IF($B222="","FALSE","TRUE")</f>
        <v/>
      </c>
      <c r="J222">
        <f t="array" ref="J222">IsURL(Table_121214[[#This Row],[Data Source]])</f>
        <v/>
      </c>
      <c r="K222">
        <f t="array" ref="K222">IsURL(Table_121214[[#This Row],[DOI]])</f>
        <v/>
      </c>
      <c r="L222">
        <f t="array" ref="L222">IsURL(Table_121214[[#This Row],[Data Source]])</f>
        <v/>
      </c>
      <c r="M222">
        <f t="array" ref="M222">IsURL(Table_121214[[#This Row],[Data Source]])</f>
        <v/>
      </c>
    </row>
    <row r="223" ht="15.75" customHeight="1">
      <c r="A223">
        <f>IF(chemicals!B223="","",chemicals!B223)</f>
        <v/>
      </c>
      <c r="B223" s="25" t="n"/>
      <c r="F223" s="27" t="n"/>
      <c r="I223">
        <f>IF($B223="","FALSE","TRUE")</f>
        <v/>
      </c>
      <c r="J223">
        <f t="array" ref="J223">IsURL(Table_121214[[#This Row],[Data Source]])</f>
        <v/>
      </c>
      <c r="K223">
        <f t="array" ref="K223">IsURL(Table_121214[[#This Row],[DOI]])</f>
        <v/>
      </c>
      <c r="L223">
        <f t="array" ref="L223">IsURL(Table_121214[[#This Row],[Data Source]])</f>
        <v/>
      </c>
      <c r="M223">
        <f t="array" ref="M223">IsURL(Table_121214[[#This Row],[Data Source]])</f>
        <v/>
      </c>
    </row>
    <row r="224" ht="15.75" customHeight="1">
      <c r="A224">
        <f>IF(chemicals!B224="","",chemicals!B224)</f>
        <v/>
      </c>
      <c r="B224" s="25" t="n"/>
      <c r="F224" s="27" t="n"/>
      <c r="I224">
        <f>IF($B224="","FALSE","TRUE")</f>
        <v/>
      </c>
      <c r="J224">
        <f t="array" ref="J224">IsURL(Table_121214[[#This Row],[Data Source]])</f>
        <v/>
      </c>
      <c r="K224">
        <f t="array" ref="K224">IsURL(Table_121214[[#This Row],[DOI]])</f>
        <v/>
      </c>
      <c r="L224">
        <f t="array" ref="L224">IsURL(Table_121214[[#This Row],[Data Source]])</f>
        <v/>
      </c>
      <c r="M224">
        <f t="array" ref="M224">IsURL(Table_121214[[#This Row],[Data Source]])</f>
        <v/>
      </c>
    </row>
    <row r="225" ht="15.75" customHeight="1">
      <c r="A225">
        <f>IF(chemicals!B225="","",chemicals!B225)</f>
        <v/>
      </c>
      <c r="B225" s="25" t="n"/>
      <c r="F225" s="27" t="n"/>
      <c r="I225">
        <f>IF($B225="","FALSE","TRUE")</f>
        <v/>
      </c>
      <c r="J225">
        <f t="array" ref="J225">IsURL(Table_121214[[#This Row],[Data Source]])</f>
        <v/>
      </c>
      <c r="K225">
        <f t="array" ref="K225">IsURL(Table_121214[[#This Row],[DOI]])</f>
        <v/>
      </c>
      <c r="L225">
        <f t="array" ref="L225">IsURL(Table_121214[[#This Row],[Data Source]])</f>
        <v/>
      </c>
      <c r="M225">
        <f t="array" ref="M225">IsURL(Table_121214[[#This Row],[Data Source]])</f>
        <v/>
      </c>
    </row>
    <row r="226" ht="15.75" customHeight="1">
      <c r="A226">
        <f>IF(chemicals!B226="","",chemicals!B226)</f>
        <v/>
      </c>
      <c r="B226" s="25" t="n"/>
      <c r="F226" s="27" t="n"/>
      <c r="I226">
        <f>IF($B226="","FALSE","TRUE")</f>
        <v/>
      </c>
      <c r="J226">
        <f t="array" ref="J226">IsURL(Table_121214[[#This Row],[Data Source]])</f>
        <v/>
      </c>
      <c r="K226">
        <f t="array" ref="K226">IsURL(Table_121214[[#This Row],[DOI]])</f>
        <v/>
      </c>
      <c r="L226">
        <f t="array" ref="L226">IsURL(Table_121214[[#This Row],[Data Source]])</f>
        <v/>
      </c>
      <c r="M226">
        <f t="array" ref="M226">IsURL(Table_121214[[#This Row],[Data Source]])</f>
        <v/>
      </c>
    </row>
    <row r="227" ht="15.75" customHeight="1">
      <c r="A227">
        <f>IF(chemicals!B227="","",chemicals!B227)</f>
        <v/>
      </c>
      <c r="B227" s="25" t="n"/>
      <c r="F227" s="27" t="n"/>
      <c r="I227">
        <f>IF($B227="","FALSE","TRUE")</f>
        <v/>
      </c>
      <c r="J227">
        <f t="array" ref="J227">IsURL(Table_121214[[#This Row],[Data Source]])</f>
        <v/>
      </c>
      <c r="K227">
        <f t="array" ref="K227">IsURL(Table_121214[[#This Row],[DOI]])</f>
        <v/>
      </c>
      <c r="L227">
        <f t="array" ref="L227">IsURL(Table_121214[[#This Row],[Data Source]])</f>
        <v/>
      </c>
      <c r="M227">
        <f t="array" ref="M227">IsURL(Table_121214[[#This Row],[Data Source]])</f>
        <v/>
      </c>
    </row>
    <row r="228" ht="15.75" customHeight="1">
      <c r="A228">
        <f>IF(chemicals!B228="","",chemicals!B228)</f>
        <v/>
      </c>
      <c r="B228" s="25" t="n"/>
      <c r="F228" s="27" t="n"/>
      <c r="I228">
        <f>IF($B228="","FALSE","TRUE")</f>
        <v/>
      </c>
      <c r="J228">
        <f t="array" ref="J228">IsURL(Table_121214[[#This Row],[Data Source]])</f>
        <v/>
      </c>
      <c r="K228">
        <f t="array" ref="K228">IsURL(Table_121214[[#This Row],[DOI]])</f>
        <v/>
      </c>
      <c r="L228">
        <f t="array" ref="L228">IsURL(Table_121214[[#This Row],[Data Source]])</f>
        <v/>
      </c>
      <c r="M228">
        <f t="array" ref="M228">IsURL(Table_121214[[#This Row],[Data Source]])</f>
        <v/>
      </c>
    </row>
    <row r="229" ht="15.75" customHeight="1">
      <c r="A229">
        <f>IF(chemicals!B229="","",chemicals!B229)</f>
        <v/>
      </c>
      <c r="B229" s="25" t="n"/>
      <c r="F229" s="27" t="n"/>
      <c r="I229">
        <f>IF($B229="","FALSE","TRUE")</f>
        <v/>
      </c>
      <c r="J229">
        <f t="array" ref="J229">IsURL(Table_121214[[#This Row],[Data Source]])</f>
        <v/>
      </c>
      <c r="K229">
        <f t="array" ref="K229">IsURL(Table_121214[[#This Row],[DOI]])</f>
        <v/>
      </c>
      <c r="L229">
        <f t="array" ref="L229">IsURL(Table_121214[[#This Row],[Data Source]])</f>
        <v/>
      </c>
      <c r="M229">
        <f t="array" ref="M229">IsURL(Table_121214[[#This Row],[Data Source]])</f>
        <v/>
      </c>
    </row>
    <row r="230" ht="15.75" customHeight="1">
      <c r="A230">
        <f>IF(chemicals!B230="","",chemicals!B230)</f>
        <v/>
      </c>
      <c r="B230" s="25" t="n"/>
      <c r="F230" s="27" t="n"/>
      <c r="I230">
        <f>IF($B230="","FALSE","TRUE")</f>
        <v/>
      </c>
      <c r="J230">
        <f t="array" ref="J230">IsURL(Table_121214[[#This Row],[Data Source]])</f>
        <v/>
      </c>
      <c r="K230">
        <f t="array" ref="K230">IsURL(Table_121214[[#This Row],[DOI]])</f>
        <v/>
      </c>
      <c r="L230">
        <f t="array" ref="L230">IsURL(Table_121214[[#This Row],[Data Source]])</f>
        <v/>
      </c>
      <c r="M230">
        <f t="array" ref="M230">IsURL(Table_121214[[#This Row],[Data Source]])</f>
        <v/>
      </c>
    </row>
    <row r="231" ht="15.75" customHeight="1">
      <c r="A231">
        <f>IF(chemicals!B231="","",chemicals!B231)</f>
        <v/>
      </c>
      <c r="B231" s="25" t="n"/>
      <c r="F231" s="27" t="n"/>
      <c r="I231">
        <f>IF($B231="","FALSE","TRUE")</f>
        <v/>
      </c>
      <c r="J231">
        <f t="array" ref="J231">IsURL(Table_121214[[#This Row],[Data Source]])</f>
        <v/>
      </c>
      <c r="K231">
        <f t="array" ref="K231">IsURL(Table_121214[[#This Row],[DOI]])</f>
        <v/>
      </c>
      <c r="L231">
        <f t="array" ref="L231">IsURL(Table_121214[[#This Row],[Data Source]])</f>
        <v/>
      </c>
      <c r="M231">
        <f t="array" ref="M231">IsURL(Table_121214[[#This Row],[Data Source]])</f>
        <v/>
      </c>
    </row>
    <row r="232" ht="15.75" customHeight="1">
      <c r="A232">
        <f>IF(chemicals!B232="","",chemicals!B232)</f>
        <v/>
      </c>
      <c r="B232" s="25" t="n"/>
      <c r="F232" s="27" t="n"/>
      <c r="I232">
        <f>IF($B232="","FALSE","TRUE")</f>
        <v/>
      </c>
      <c r="J232">
        <f t="array" ref="J232">IsURL(Table_121214[[#This Row],[Data Source]])</f>
        <v/>
      </c>
      <c r="K232">
        <f t="array" ref="K232">IsURL(Table_121214[[#This Row],[DOI]])</f>
        <v/>
      </c>
      <c r="L232">
        <f t="array" ref="L232">IsURL(Table_121214[[#This Row],[Data Source]])</f>
        <v/>
      </c>
      <c r="M232">
        <f t="array" ref="M232">IsURL(Table_121214[[#This Row],[Data Source]])</f>
        <v/>
      </c>
    </row>
    <row r="233" ht="15.75" customHeight="1">
      <c r="A233">
        <f>IF(chemicals!B233="","",chemicals!B233)</f>
        <v/>
      </c>
      <c r="B233" s="25" t="n"/>
      <c r="F233" s="27" t="n"/>
      <c r="I233">
        <f>IF($B233="","FALSE","TRUE")</f>
        <v/>
      </c>
      <c r="J233">
        <f t="array" ref="J233">IsURL(Table_121214[[#This Row],[Data Source]])</f>
        <v/>
      </c>
      <c r="K233">
        <f t="array" ref="K233">IsURL(Table_121214[[#This Row],[DOI]])</f>
        <v/>
      </c>
      <c r="L233">
        <f t="array" ref="L233">IsURL(Table_121214[[#This Row],[Data Source]])</f>
        <v/>
      </c>
      <c r="M233">
        <f t="array" ref="M233">IsURL(Table_121214[[#This Row],[Data Source]])</f>
        <v/>
      </c>
    </row>
    <row r="234" ht="15.75" customHeight="1">
      <c r="A234">
        <f>IF(chemicals!B234="","",chemicals!B234)</f>
        <v/>
      </c>
      <c r="B234" s="25" t="n"/>
      <c r="F234" s="27" t="n"/>
      <c r="I234">
        <f>IF($B234="","FALSE","TRUE")</f>
        <v/>
      </c>
      <c r="J234">
        <f t="array" ref="J234">IsURL(Table_121214[[#This Row],[Data Source]])</f>
        <v/>
      </c>
      <c r="K234">
        <f t="array" ref="K234">IsURL(Table_121214[[#This Row],[DOI]])</f>
        <v/>
      </c>
      <c r="L234">
        <f t="array" ref="L234">IsURL(Table_121214[[#This Row],[Data Source]])</f>
        <v/>
      </c>
      <c r="M234">
        <f t="array" ref="M234">IsURL(Table_121214[[#This Row],[Data Source]])</f>
        <v/>
      </c>
    </row>
    <row r="235" ht="15.75" customHeight="1">
      <c r="A235">
        <f>IF(chemicals!B235="","",chemicals!B235)</f>
        <v/>
      </c>
      <c r="B235" s="25" t="n"/>
      <c r="F235" s="27" t="n"/>
      <c r="I235">
        <f>IF($B235="","FALSE","TRUE")</f>
        <v/>
      </c>
      <c r="J235">
        <f t="array" ref="J235">IsURL(Table_121214[[#This Row],[Data Source]])</f>
        <v/>
      </c>
      <c r="K235">
        <f t="array" ref="K235">IsURL(Table_121214[[#This Row],[DOI]])</f>
        <v/>
      </c>
      <c r="L235">
        <f t="array" ref="L235">IsURL(Table_121214[[#This Row],[Data Source]])</f>
        <v/>
      </c>
      <c r="M235">
        <f t="array" ref="M235">IsURL(Table_121214[[#This Row],[Data Source]])</f>
        <v/>
      </c>
    </row>
    <row r="236" ht="15.75" customHeight="1">
      <c r="A236">
        <f>IF(chemicals!B236="","",chemicals!B236)</f>
        <v/>
      </c>
      <c r="B236" s="25" t="n"/>
      <c r="F236" s="27" t="n"/>
      <c r="I236">
        <f>IF($B236="","FALSE","TRUE")</f>
        <v/>
      </c>
      <c r="J236">
        <f t="array" ref="J236">IsURL(Table_121214[[#This Row],[Data Source]])</f>
        <v/>
      </c>
      <c r="K236">
        <f t="array" ref="K236">IsURL(Table_121214[[#This Row],[DOI]])</f>
        <v/>
      </c>
      <c r="L236">
        <f t="array" ref="L236">IsURL(Table_121214[[#This Row],[Data Source]])</f>
        <v/>
      </c>
      <c r="M236">
        <f t="array" ref="M236">IsURL(Table_121214[[#This Row],[Data Source]])</f>
        <v/>
      </c>
    </row>
    <row r="237" ht="15.75" customHeight="1">
      <c r="A237">
        <f>IF(chemicals!B237="","",chemicals!B237)</f>
        <v/>
      </c>
      <c r="B237" s="25" t="n"/>
      <c r="F237" s="27" t="n"/>
      <c r="I237">
        <f>IF($B237="","FALSE","TRUE")</f>
        <v/>
      </c>
      <c r="J237">
        <f t="array" ref="J237">IsURL(Table_121214[[#This Row],[Data Source]])</f>
        <v/>
      </c>
      <c r="K237">
        <f t="array" ref="K237">IsURL(Table_121214[[#This Row],[DOI]])</f>
        <v/>
      </c>
      <c r="L237">
        <f t="array" ref="L237">IsURL(Table_121214[[#This Row],[Data Source]])</f>
        <v/>
      </c>
      <c r="M237">
        <f t="array" ref="M237">IsURL(Table_121214[[#This Row],[Data Source]])</f>
        <v/>
      </c>
    </row>
    <row r="238" ht="15.75" customHeight="1">
      <c r="A238">
        <f>IF(chemicals!B238="","",chemicals!B238)</f>
        <v/>
      </c>
      <c r="B238" s="25" t="n"/>
      <c r="F238" s="27" t="n"/>
      <c r="I238">
        <f>IF($B238="","FALSE","TRUE")</f>
        <v/>
      </c>
      <c r="J238">
        <f t="array" ref="J238">IsURL(Table_121214[[#This Row],[Data Source]])</f>
        <v/>
      </c>
      <c r="K238">
        <f t="array" ref="K238">IsURL(Table_121214[[#This Row],[DOI]])</f>
        <v/>
      </c>
      <c r="L238">
        <f t="array" ref="L238">IsURL(Table_121214[[#This Row],[Data Source]])</f>
        <v/>
      </c>
      <c r="M238">
        <f t="array" ref="M238">IsURL(Table_121214[[#This Row],[Data Source]])</f>
        <v/>
      </c>
    </row>
    <row r="239" ht="15.75" customHeight="1">
      <c r="A239">
        <f>IF(chemicals!B239="","",chemicals!B239)</f>
        <v/>
      </c>
      <c r="B239" s="25" t="n"/>
      <c r="F239" s="27" t="n"/>
      <c r="I239">
        <f>IF($B239="","FALSE","TRUE")</f>
        <v/>
      </c>
      <c r="J239">
        <f t="array" ref="J239">IsURL(Table_121214[[#This Row],[Data Source]])</f>
        <v/>
      </c>
      <c r="K239">
        <f t="array" ref="K239">IsURL(Table_121214[[#This Row],[DOI]])</f>
        <v/>
      </c>
      <c r="L239">
        <f t="array" ref="L239">IsURL(Table_121214[[#This Row],[Data Source]])</f>
        <v/>
      </c>
      <c r="M239">
        <f t="array" ref="M239">IsURL(Table_121214[[#This Row],[Data Source]])</f>
        <v/>
      </c>
    </row>
    <row r="240" ht="15.75" customHeight="1">
      <c r="A240">
        <f>IF(chemicals!B240="","",chemicals!B240)</f>
        <v/>
      </c>
      <c r="B240" s="25" t="n"/>
      <c r="F240" s="27" t="n"/>
      <c r="I240">
        <f>IF($B240="","FALSE","TRUE")</f>
        <v/>
      </c>
      <c r="J240">
        <f t="array" ref="J240">IsURL(Table_121214[[#This Row],[Data Source]])</f>
        <v/>
      </c>
      <c r="K240">
        <f t="array" ref="K240">IsURL(Table_121214[[#This Row],[DOI]])</f>
        <v/>
      </c>
      <c r="L240">
        <f t="array" ref="L240">IsURL(Table_121214[[#This Row],[Data Source]])</f>
        <v/>
      </c>
      <c r="M240">
        <f t="array" ref="M240">IsURL(Table_121214[[#This Row],[Data Source]])</f>
        <v/>
      </c>
    </row>
    <row r="241" ht="15.75" customHeight="1">
      <c r="A241">
        <f>IF(chemicals!B241="","",chemicals!B241)</f>
        <v/>
      </c>
      <c r="B241" s="25" t="n"/>
      <c r="F241" s="27" t="n"/>
      <c r="I241">
        <f>IF($B241="","FALSE","TRUE")</f>
        <v/>
      </c>
      <c r="J241">
        <f t="array" ref="J241">IsURL(Table_121214[[#This Row],[Data Source]])</f>
        <v/>
      </c>
      <c r="K241">
        <f t="array" ref="K241">IsURL(Table_121214[[#This Row],[DOI]])</f>
        <v/>
      </c>
      <c r="L241">
        <f t="array" ref="L241">IsURL(Table_121214[[#This Row],[Data Source]])</f>
        <v/>
      </c>
      <c r="M241">
        <f t="array" ref="M241">IsURL(Table_121214[[#This Row],[Data Source]])</f>
        <v/>
      </c>
    </row>
    <row r="242" ht="15.75" customHeight="1">
      <c r="A242">
        <f>IF(chemicals!B242="","",chemicals!B242)</f>
        <v/>
      </c>
      <c r="B242" s="25" t="n"/>
      <c r="F242" s="27" t="n"/>
      <c r="I242">
        <f>IF($B242="","FALSE","TRUE")</f>
        <v/>
      </c>
      <c r="J242">
        <f t="array" ref="J242">IsURL(Table_121214[[#This Row],[Data Source]])</f>
        <v/>
      </c>
      <c r="K242">
        <f t="array" ref="K242">IsURL(Table_121214[[#This Row],[DOI]])</f>
        <v/>
      </c>
      <c r="L242">
        <f t="array" ref="L242">IsURL(Table_121214[[#This Row],[Data Source]])</f>
        <v/>
      </c>
      <c r="M242">
        <f t="array" ref="M242">IsURL(Table_121214[[#This Row],[Data Source]])</f>
        <v/>
      </c>
    </row>
    <row r="243" ht="15.75" customHeight="1">
      <c r="A243">
        <f>IF(chemicals!B243="","",chemicals!B243)</f>
        <v/>
      </c>
      <c r="B243" s="25" t="n"/>
      <c r="F243" s="27" t="n"/>
      <c r="I243">
        <f>IF($B243="","FALSE","TRUE")</f>
        <v/>
      </c>
      <c r="J243">
        <f t="array" ref="J243">IsURL(Table_121214[[#This Row],[Data Source]])</f>
        <v/>
      </c>
      <c r="K243">
        <f t="array" ref="K243">IsURL(Table_121214[[#This Row],[DOI]])</f>
        <v/>
      </c>
      <c r="L243">
        <f t="array" ref="L243">IsURL(Table_121214[[#This Row],[Data Source]])</f>
        <v/>
      </c>
      <c r="M243">
        <f t="array" ref="M243">IsURL(Table_121214[[#This Row],[Data Source]])</f>
        <v/>
      </c>
    </row>
    <row r="244" ht="15.75" customHeight="1">
      <c r="A244">
        <f>IF(chemicals!B244="","",chemicals!B244)</f>
        <v/>
      </c>
      <c r="B244" s="25" t="n"/>
      <c r="F244" s="27" t="n"/>
      <c r="I244">
        <f>IF($B244="","FALSE","TRUE")</f>
        <v/>
      </c>
      <c r="J244">
        <f t="array" ref="J244">IsURL(Table_121214[[#This Row],[Data Source]])</f>
        <v/>
      </c>
      <c r="K244">
        <f t="array" ref="K244">IsURL(Table_121214[[#This Row],[DOI]])</f>
        <v/>
      </c>
      <c r="L244">
        <f t="array" ref="L244">IsURL(Table_121214[[#This Row],[Data Source]])</f>
        <v/>
      </c>
      <c r="M244">
        <f t="array" ref="M244">IsURL(Table_121214[[#This Row],[Data Source]])</f>
        <v/>
      </c>
    </row>
    <row r="245" ht="15.75" customHeight="1">
      <c r="A245">
        <f>IF(chemicals!B245="","",chemicals!B245)</f>
        <v/>
      </c>
      <c r="B245" s="25" t="n"/>
      <c r="F245" s="27" t="n"/>
      <c r="I245">
        <f>IF($B245="","FALSE","TRUE")</f>
        <v/>
      </c>
      <c r="J245">
        <f t="array" ref="J245">IsURL(Table_121214[[#This Row],[Data Source]])</f>
        <v/>
      </c>
      <c r="K245">
        <f t="array" ref="K245">IsURL(Table_121214[[#This Row],[DOI]])</f>
        <v/>
      </c>
      <c r="L245">
        <f t="array" ref="L245">IsURL(Table_121214[[#This Row],[Data Source]])</f>
        <v/>
      </c>
      <c r="M245">
        <f t="array" ref="M245">IsURL(Table_121214[[#This Row],[Data Source]])</f>
        <v/>
      </c>
    </row>
    <row r="246" ht="15.75" customHeight="1">
      <c r="A246">
        <f>IF(chemicals!B246="","",chemicals!B246)</f>
        <v/>
      </c>
      <c r="B246" s="25" t="n"/>
      <c r="F246" s="27" t="n"/>
      <c r="I246">
        <f>IF($B246="","FALSE","TRUE")</f>
        <v/>
      </c>
      <c r="J246">
        <f t="array" ref="J246">IsURL(Table_121214[[#This Row],[Data Source]])</f>
        <v/>
      </c>
      <c r="K246">
        <f t="array" ref="K246">IsURL(Table_121214[[#This Row],[DOI]])</f>
        <v/>
      </c>
      <c r="L246">
        <f t="array" ref="L246">IsURL(Table_121214[[#This Row],[Data Source]])</f>
        <v/>
      </c>
      <c r="M246">
        <f t="array" ref="M246">IsURL(Table_121214[[#This Row],[Data Source]])</f>
        <v/>
      </c>
    </row>
    <row r="247" ht="15.75" customHeight="1">
      <c r="A247">
        <f>IF(chemicals!B247="","",chemicals!B247)</f>
        <v/>
      </c>
      <c r="B247" s="25" t="n"/>
      <c r="F247" s="27" t="n"/>
      <c r="I247">
        <f>IF($B247="","FALSE","TRUE")</f>
        <v/>
      </c>
      <c r="J247">
        <f t="array" ref="J247">IsURL(Table_121214[[#This Row],[Data Source]])</f>
        <v/>
      </c>
      <c r="K247">
        <f t="array" ref="K247">IsURL(Table_121214[[#This Row],[DOI]])</f>
        <v/>
      </c>
      <c r="L247">
        <f t="array" ref="L247">IsURL(Table_121214[[#This Row],[Data Source]])</f>
        <v/>
      </c>
      <c r="M247">
        <f t="array" ref="M247">IsURL(Table_121214[[#This Row],[Data Source]])</f>
        <v/>
      </c>
    </row>
    <row r="248" ht="15.75" customHeight="1">
      <c r="A248">
        <f>IF(chemicals!B248="","",chemicals!B248)</f>
        <v/>
      </c>
      <c r="B248" s="25" t="n"/>
      <c r="F248" s="27" t="n"/>
      <c r="I248">
        <f>IF($B248="","FALSE","TRUE")</f>
        <v/>
      </c>
      <c r="J248">
        <f t="array" ref="J248">IsURL(Table_121214[[#This Row],[Data Source]])</f>
        <v/>
      </c>
      <c r="K248">
        <f t="array" ref="K248">IsURL(Table_121214[[#This Row],[DOI]])</f>
        <v/>
      </c>
      <c r="L248">
        <f t="array" ref="L248">IsURL(Table_121214[[#This Row],[Data Source]])</f>
        <v/>
      </c>
      <c r="M248">
        <f t="array" ref="M248">IsURL(Table_121214[[#This Row],[Data Source]])</f>
        <v/>
      </c>
    </row>
    <row r="249" ht="15.75" customHeight="1">
      <c r="A249">
        <f>IF(chemicals!B249="","",chemicals!B249)</f>
        <v/>
      </c>
      <c r="B249" s="25" t="n"/>
      <c r="F249" s="27" t="n"/>
      <c r="I249">
        <f>IF($B249="","FALSE","TRUE")</f>
        <v/>
      </c>
      <c r="J249">
        <f t="array" ref="J249">IsURL(Table_121214[[#This Row],[Data Source]])</f>
        <v/>
      </c>
      <c r="K249">
        <f t="array" ref="K249">IsURL(Table_121214[[#This Row],[DOI]])</f>
        <v/>
      </c>
      <c r="L249">
        <f t="array" ref="L249">IsURL(Table_121214[[#This Row],[Data Source]])</f>
        <v/>
      </c>
      <c r="M249">
        <f t="array" ref="M249">IsURL(Table_121214[[#This Row],[Data Source]])</f>
        <v/>
      </c>
    </row>
    <row r="250" ht="15.75" customHeight="1">
      <c r="A250">
        <f>IF(chemicals!B250="","",chemicals!B250)</f>
        <v/>
      </c>
      <c r="B250" s="25" t="n"/>
      <c r="F250" s="27" t="n"/>
      <c r="I250">
        <f>IF($B250="","FALSE","TRUE")</f>
        <v/>
      </c>
      <c r="J250">
        <f t="array" ref="J250">IsURL(Table_121214[[#This Row],[Data Source]])</f>
        <v/>
      </c>
      <c r="K250">
        <f t="array" ref="K250">IsURL(Table_121214[[#This Row],[DOI]])</f>
        <v/>
      </c>
      <c r="L250">
        <f t="array" ref="L250">IsURL(Table_121214[[#This Row],[Data Source]])</f>
        <v/>
      </c>
      <c r="M250">
        <f t="array" ref="M250">IsURL(Table_121214[[#This Row],[Data Source]])</f>
        <v/>
      </c>
    </row>
    <row r="251" ht="15.75" customHeight="1">
      <c r="A251">
        <f>IF(chemicals!B251="","",chemicals!B251)</f>
        <v/>
      </c>
      <c r="B251" s="25" t="n"/>
      <c r="F251" s="27" t="n"/>
      <c r="I251">
        <f>IF($B251="","FALSE","TRUE")</f>
        <v/>
      </c>
      <c r="J251">
        <f t="array" ref="J251">IsURL(Table_121214[[#This Row],[Data Source]])</f>
        <v/>
      </c>
      <c r="K251">
        <f t="array" ref="K251">IsURL(Table_121214[[#This Row],[DOI]])</f>
        <v/>
      </c>
      <c r="L251">
        <f t="array" ref="L251">IsURL(Table_121214[[#This Row],[Data Source]])</f>
        <v/>
      </c>
      <c r="M251">
        <f t="array" ref="M251">IsURL(Table_121214[[#This Row],[Data Source]])</f>
        <v/>
      </c>
    </row>
    <row r="252" ht="15.75" customHeight="1">
      <c r="A252">
        <f>IF(chemicals!B252="","",chemicals!B252)</f>
        <v/>
      </c>
      <c r="B252" s="25" t="n"/>
      <c r="F252" s="27" t="n"/>
      <c r="I252">
        <f>IF($B252="","FALSE","TRUE")</f>
        <v/>
      </c>
      <c r="J252">
        <f t="array" ref="J252">IsURL(Table_121214[[#This Row],[Data Source]])</f>
        <v/>
      </c>
      <c r="K252">
        <f t="array" ref="K252">IsURL(Table_121214[[#This Row],[DOI]])</f>
        <v/>
      </c>
      <c r="L252">
        <f t="array" ref="L252">IsURL(Table_121214[[#This Row],[Data Source]])</f>
        <v/>
      </c>
      <c r="M252">
        <f t="array" ref="M252">IsURL(Table_121214[[#This Row],[Data Source]])</f>
        <v/>
      </c>
    </row>
    <row r="253" ht="15.75" customHeight="1">
      <c r="A253">
        <f>IF(chemicals!B253="","",chemicals!B253)</f>
        <v/>
      </c>
      <c r="B253" s="25" t="n"/>
      <c r="F253" s="27" t="n"/>
      <c r="I253">
        <f>IF($B253="","FALSE","TRUE")</f>
        <v/>
      </c>
      <c r="J253">
        <f t="array" ref="J253">IsURL(Table_121214[[#This Row],[Data Source]])</f>
        <v/>
      </c>
      <c r="K253">
        <f t="array" ref="K253">IsURL(Table_121214[[#This Row],[DOI]])</f>
        <v/>
      </c>
      <c r="L253">
        <f t="array" ref="L253">IsURL(Table_121214[[#This Row],[Data Source]])</f>
        <v/>
      </c>
      <c r="M253">
        <f t="array" ref="M253">IsURL(Table_121214[[#This Row],[Data Source]])</f>
        <v/>
      </c>
    </row>
    <row r="254" ht="15.75" customHeight="1">
      <c r="A254">
        <f>IF(chemicals!B254="","",chemicals!B254)</f>
        <v/>
      </c>
      <c r="B254" s="25" t="n"/>
      <c r="F254" s="27" t="n"/>
      <c r="I254">
        <f>IF($B254="","FALSE","TRUE")</f>
        <v/>
      </c>
      <c r="J254">
        <f t="array" ref="J254">IsURL(Table_121214[[#This Row],[Data Source]])</f>
        <v/>
      </c>
      <c r="K254">
        <f t="array" ref="K254">IsURL(Table_121214[[#This Row],[DOI]])</f>
        <v/>
      </c>
      <c r="L254">
        <f t="array" ref="L254">IsURL(Table_121214[[#This Row],[Data Source]])</f>
        <v/>
      </c>
      <c r="M254">
        <f t="array" ref="M254">IsURL(Table_121214[[#This Row],[Data Source]])</f>
        <v/>
      </c>
    </row>
    <row r="255" ht="15.75" customHeight="1">
      <c r="A255">
        <f>IF(chemicals!B255="","",chemicals!B255)</f>
        <v/>
      </c>
      <c r="B255" s="25" t="n"/>
      <c r="F255" s="27" t="n"/>
      <c r="I255">
        <f>IF($B255="","FALSE","TRUE")</f>
        <v/>
      </c>
      <c r="J255">
        <f t="array" ref="J255">IsURL(Table_121214[[#This Row],[Data Source]])</f>
        <v/>
      </c>
      <c r="K255">
        <f t="array" ref="K255">IsURL(Table_121214[[#This Row],[DOI]])</f>
        <v/>
      </c>
      <c r="L255">
        <f t="array" ref="L255">IsURL(Table_121214[[#This Row],[Data Source]])</f>
        <v/>
      </c>
      <c r="M255">
        <f t="array" ref="M255">IsURL(Table_121214[[#This Row],[Data Source]])</f>
        <v/>
      </c>
    </row>
    <row r="256" ht="15.75" customHeight="1">
      <c r="A256">
        <f>IF(chemicals!B256="","",chemicals!B256)</f>
        <v/>
      </c>
      <c r="B256" s="25" t="n"/>
      <c r="F256" s="27" t="n"/>
      <c r="I256">
        <f>IF($B256="","FALSE","TRUE")</f>
        <v/>
      </c>
      <c r="J256">
        <f t="array" ref="J256">IsURL(Table_121214[[#This Row],[Data Source]])</f>
        <v/>
      </c>
      <c r="K256">
        <f t="array" ref="K256">IsURL(Table_121214[[#This Row],[DOI]])</f>
        <v/>
      </c>
      <c r="L256">
        <f t="array" ref="L256">IsURL(Table_121214[[#This Row],[Data Source]])</f>
        <v/>
      </c>
      <c r="M256">
        <f t="array" ref="M256">IsURL(Table_121214[[#This Row],[Data Source]])</f>
        <v/>
      </c>
    </row>
    <row r="257" ht="15.75" customHeight="1">
      <c r="A257">
        <f>IF(chemicals!B257="","",chemicals!B257)</f>
        <v/>
      </c>
      <c r="B257" s="25" t="n"/>
      <c r="F257" s="27" t="n"/>
      <c r="I257">
        <f>IF($B257="","FALSE","TRUE")</f>
        <v/>
      </c>
      <c r="J257">
        <f t="array" ref="J257">IsURL(Table_121214[[#This Row],[Data Source]])</f>
        <v/>
      </c>
      <c r="K257">
        <f t="array" ref="K257">IsURL(Table_121214[[#This Row],[DOI]])</f>
        <v/>
      </c>
      <c r="L257">
        <f t="array" ref="L257">IsURL(Table_121214[[#This Row],[Data Source]])</f>
        <v/>
      </c>
      <c r="M257">
        <f t="array" ref="M257">IsURL(Table_121214[[#This Row],[Data Source]])</f>
        <v/>
      </c>
    </row>
    <row r="258" ht="15.75" customHeight="1">
      <c r="A258">
        <f>IF(chemicals!B258="","",chemicals!B258)</f>
        <v/>
      </c>
      <c r="B258" s="25" t="n"/>
      <c r="F258" s="27" t="n"/>
      <c r="I258">
        <f>IF($B258="","FALSE","TRUE")</f>
        <v/>
      </c>
      <c r="J258">
        <f t="array" ref="J258">IsURL(Table_121214[[#This Row],[Data Source]])</f>
        <v/>
      </c>
      <c r="K258">
        <f t="array" ref="K258">IsURL(Table_121214[[#This Row],[DOI]])</f>
        <v/>
      </c>
      <c r="L258">
        <f t="array" ref="L258">IsURL(Table_121214[[#This Row],[Data Source]])</f>
        <v/>
      </c>
      <c r="M258">
        <f t="array" ref="M258">IsURL(Table_121214[[#This Row],[Data Source]])</f>
        <v/>
      </c>
    </row>
    <row r="259" ht="15.75" customHeight="1">
      <c r="A259">
        <f>IF(chemicals!B259="","",chemicals!B259)</f>
        <v/>
      </c>
      <c r="B259" s="25" t="n"/>
      <c r="F259" s="27" t="n"/>
      <c r="I259">
        <f>IF($B259="","FALSE","TRUE")</f>
        <v/>
      </c>
      <c r="J259">
        <f t="array" ref="J259">IsURL(Table_121214[[#This Row],[Data Source]])</f>
        <v/>
      </c>
      <c r="K259">
        <f t="array" ref="K259">IsURL(Table_121214[[#This Row],[DOI]])</f>
        <v/>
      </c>
      <c r="L259">
        <f t="array" ref="L259">IsURL(Table_121214[[#This Row],[Data Source]])</f>
        <v/>
      </c>
      <c r="M259">
        <f t="array" ref="M259">IsURL(Table_121214[[#This Row],[Data Source]])</f>
        <v/>
      </c>
    </row>
    <row r="260" ht="15.75" customHeight="1">
      <c r="A260">
        <f>IF(chemicals!B260="","",chemicals!B260)</f>
        <v/>
      </c>
      <c r="B260" s="25" t="n"/>
      <c r="F260" s="27" t="n"/>
      <c r="I260">
        <f>IF($B260="","FALSE","TRUE")</f>
        <v/>
      </c>
      <c r="J260">
        <f t="array" ref="J260">IsURL(Table_121214[[#This Row],[Data Source]])</f>
        <v/>
      </c>
      <c r="K260">
        <f t="array" ref="K260">IsURL(Table_121214[[#This Row],[DOI]])</f>
        <v/>
      </c>
      <c r="L260">
        <f t="array" ref="L260">IsURL(Table_121214[[#This Row],[Data Source]])</f>
        <v/>
      </c>
      <c r="M260">
        <f t="array" ref="M260">IsURL(Table_121214[[#This Row],[Data Source]])</f>
        <v/>
      </c>
    </row>
    <row r="261" ht="15.75" customHeight="1">
      <c r="A261">
        <f>IF(chemicals!B261="","",chemicals!B261)</f>
        <v/>
      </c>
      <c r="B261" s="25" t="n"/>
      <c r="F261" s="27" t="n"/>
      <c r="I261">
        <f>IF($B261="","FALSE","TRUE")</f>
        <v/>
      </c>
      <c r="J261">
        <f t="array" ref="J261">IsURL(Table_121214[[#This Row],[Data Source]])</f>
        <v/>
      </c>
      <c r="K261">
        <f t="array" ref="K261">IsURL(Table_121214[[#This Row],[DOI]])</f>
        <v/>
      </c>
      <c r="L261">
        <f t="array" ref="L261">IsURL(Table_121214[[#This Row],[Data Source]])</f>
        <v/>
      </c>
      <c r="M261">
        <f t="array" ref="M261">IsURL(Table_121214[[#This Row],[Data Source]])</f>
        <v/>
      </c>
    </row>
    <row r="262" ht="15.75" customHeight="1">
      <c r="A262">
        <f>IF(chemicals!B262="","",chemicals!B262)</f>
        <v/>
      </c>
      <c r="B262" s="25" t="n"/>
      <c r="F262" s="27" t="n"/>
      <c r="I262">
        <f>IF($B262="","FALSE","TRUE")</f>
        <v/>
      </c>
      <c r="J262">
        <f t="array" ref="J262">IsURL(Table_121214[[#This Row],[Data Source]])</f>
        <v/>
      </c>
      <c r="K262">
        <f t="array" ref="K262">IsURL(Table_121214[[#This Row],[DOI]])</f>
        <v/>
      </c>
      <c r="L262">
        <f t="array" ref="L262">IsURL(Table_121214[[#This Row],[Data Source]])</f>
        <v/>
      </c>
      <c r="M262">
        <f t="array" ref="M262">IsURL(Table_121214[[#This Row],[Data Source]])</f>
        <v/>
      </c>
    </row>
    <row r="263" ht="15.75" customHeight="1">
      <c r="A263">
        <f>IF(chemicals!B263="","",chemicals!B263)</f>
        <v/>
      </c>
      <c r="B263" s="25" t="n"/>
      <c r="F263" s="27" t="n"/>
      <c r="I263">
        <f>IF($B263="","FALSE","TRUE")</f>
        <v/>
      </c>
      <c r="J263">
        <f t="array" ref="J263">IsURL(Table_121214[[#This Row],[Data Source]])</f>
        <v/>
      </c>
      <c r="K263">
        <f t="array" ref="K263">IsURL(Table_121214[[#This Row],[DOI]])</f>
        <v/>
      </c>
      <c r="L263">
        <f t="array" ref="L263">IsURL(Table_121214[[#This Row],[Data Source]])</f>
        <v/>
      </c>
      <c r="M263">
        <f t="array" ref="M263">IsURL(Table_121214[[#This Row],[Data Source]])</f>
        <v/>
      </c>
    </row>
    <row r="264" ht="15.75" customHeight="1">
      <c r="A264">
        <f>IF(chemicals!B264="","",chemicals!B264)</f>
        <v/>
      </c>
      <c r="B264" s="25" t="n"/>
      <c r="F264" s="27" t="n"/>
      <c r="I264">
        <f>IF($B264="","FALSE","TRUE")</f>
        <v/>
      </c>
      <c r="J264">
        <f t="array" ref="J264">IsURL(Table_121214[[#This Row],[Data Source]])</f>
        <v/>
      </c>
      <c r="K264">
        <f t="array" ref="K264">IsURL(Table_121214[[#This Row],[DOI]])</f>
        <v/>
      </c>
      <c r="L264">
        <f t="array" ref="L264">IsURL(Table_121214[[#This Row],[Data Source]])</f>
        <v/>
      </c>
      <c r="M264">
        <f t="array" ref="M264">IsURL(Table_121214[[#This Row],[Data Source]])</f>
        <v/>
      </c>
    </row>
    <row r="265" ht="15.75" customHeight="1">
      <c r="A265">
        <f>IF(chemicals!B265="","",chemicals!B265)</f>
        <v/>
      </c>
      <c r="B265" s="25" t="n"/>
      <c r="F265" s="27" t="n"/>
      <c r="I265">
        <f>IF($B265="","FALSE","TRUE")</f>
        <v/>
      </c>
      <c r="J265">
        <f t="array" ref="J265">IsURL(Table_121214[[#This Row],[Data Source]])</f>
        <v/>
      </c>
      <c r="K265">
        <f t="array" ref="K265">IsURL(Table_121214[[#This Row],[DOI]])</f>
        <v/>
      </c>
      <c r="L265">
        <f t="array" ref="L265">IsURL(Table_121214[[#This Row],[Data Source]])</f>
        <v/>
      </c>
      <c r="M265">
        <f t="array" ref="M265">IsURL(Table_121214[[#This Row],[Data Source]])</f>
        <v/>
      </c>
    </row>
    <row r="266" ht="15.75" customHeight="1">
      <c r="A266">
        <f>IF(chemicals!B266="","",chemicals!B266)</f>
        <v/>
      </c>
      <c r="B266" s="25" t="n"/>
      <c r="F266" s="27" t="n"/>
      <c r="I266">
        <f>IF($B266="","FALSE","TRUE")</f>
        <v/>
      </c>
      <c r="J266">
        <f t="array" ref="J266">IsURL(Table_121214[[#This Row],[Data Source]])</f>
        <v/>
      </c>
      <c r="K266">
        <f t="array" ref="K266">IsURL(Table_121214[[#This Row],[DOI]])</f>
        <v/>
      </c>
      <c r="L266">
        <f t="array" ref="L266">IsURL(Table_121214[[#This Row],[Data Source]])</f>
        <v/>
      </c>
      <c r="M266">
        <f t="array" ref="M266">IsURL(Table_121214[[#This Row],[Data Source]])</f>
        <v/>
      </c>
    </row>
    <row r="267" ht="15.75" customHeight="1">
      <c r="A267">
        <f>IF(chemicals!B267="","",chemicals!B267)</f>
        <v/>
      </c>
      <c r="B267" s="25" t="n"/>
      <c r="F267" s="27" t="n"/>
      <c r="I267">
        <f>IF($B267="","FALSE","TRUE")</f>
        <v/>
      </c>
      <c r="J267">
        <f t="array" ref="J267">IsURL(Table_121214[[#This Row],[Data Source]])</f>
        <v/>
      </c>
      <c r="K267">
        <f t="array" ref="K267">IsURL(Table_121214[[#This Row],[DOI]])</f>
        <v/>
      </c>
      <c r="L267">
        <f t="array" ref="L267">IsURL(Table_121214[[#This Row],[Data Source]])</f>
        <v/>
      </c>
      <c r="M267">
        <f t="array" ref="M267">IsURL(Table_121214[[#This Row],[Data Source]])</f>
        <v/>
      </c>
    </row>
    <row r="268" ht="15.75" customHeight="1">
      <c r="A268">
        <f>IF(chemicals!B268="","",chemicals!B268)</f>
        <v/>
      </c>
      <c r="B268" s="25" t="n"/>
      <c r="F268" s="27" t="n"/>
      <c r="I268">
        <f>IF($B268="","FALSE","TRUE")</f>
        <v/>
      </c>
      <c r="J268">
        <f t="array" ref="J268">IsURL(Table_121214[[#This Row],[Data Source]])</f>
        <v/>
      </c>
      <c r="K268">
        <f t="array" ref="K268">IsURL(Table_121214[[#This Row],[DOI]])</f>
        <v/>
      </c>
      <c r="L268">
        <f t="array" ref="L268">IsURL(Table_121214[[#This Row],[Data Source]])</f>
        <v/>
      </c>
      <c r="M268">
        <f t="array" ref="M268">IsURL(Table_121214[[#This Row],[Data Source]])</f>
        <v/>
      </c>
    </row>
    <row r="269" ht="15.75" customHeight="1">
      <c r="A269">
        <f>IF(chemicals!B269="","",chemicals!B269)</f>
        <v/>
      </c>
      <c r="B269" s="25" t="n"/>
      <c r="F269" s="27" t="n"/>
      <c r="I269">
        <f>IF($B269="","FALSE","TRUE")</f>
        <v/>
      </c>
      <c r="J269">
        <f t="array" ref="J269">IsURL(Table_121214[[#This Row],[Data Source]])</f>
        <v/>
      </c>
      <c r="K269">
        <f t="array" ref="K269">IsURL(Table_121214[[#This Row],[DOI]])</f>
        <v/>
      </c>
      <c r="L269">
        <f t="array" ref="L269">IsURL(Table_121214[[#This Row],[Data Source]])</f>
        <v/>
      </c>
      <c r="M269">
        <f t="array" ref="M269">IsURL(Table_121214[[#This Row],[Data Source]])</f>
        <v/>
      </c>
    </row>
    <row r="270" ht="15.75" customHeight="1">
      <c r="A270">
        <f>IF(chemicals!B270="","",chemicals!B270)</f>
        <v/>
      </c>
      <c r="B270" s="25" t="n"/>
      <c r="F270" s="27" t="n"/>
      <c r="I270">
        <f>IF($B270="","FALSE","TRUE")</f>
        <v/>
      </c>
      <c r="J270">
        <f t="array" ref="J270">IsURL(Table_121214[[#This Row],[Data Source]])</f>
        <v/>
      </c>
      <c r="K270">
        <f t="array" ref="K270">IsURL(Table_121214[[#This Row],[DOI]])</f>
        <v/>
      </c>
      <c r="L270">
        <f t="array" ref="L270">IsURL(Table_121214[[#This Row],[Data Source]])</f>
        <v/>
      </c>
      <c r="M270">
        <f t="array" ref="M270">IsURL(Table_121214[[#This Row],[Data Source]])</f>
        <v/>
      </c>
    </row>
    <row r="271" ht="15.75" customHeight="1">
      <c r="A271">
        <f>IF(chemicals!B271="","",chemicals!B271)</f>
        <v/>
      </c>
      <c r="B271" s="25" t="n"/>
      <c r="F271" s="27" t="n"/>
      <c r="I271">
        <f>IF($B271="","FALSE","TRUE")</f>
        <v/>
      </c>
      <c r="J271">
        <f t="array" ref="J271">IsURL(Table_121214[[#This Row],[Data Source]])</f>
        <v/>
      </c>
      <c r="K271">
        <f t="array" ref="K271">IsURL(Table_121214[[#This Row],[DOI]])</f>
        <v/>
      </c>
      <c r="L271">
        <f t="array" ref="L271">IsURL(Table_121214[[#This Row],[Data Source]])</f>
        <v/>
      </c>
      <c r="M271">
        <f t="array" ref="M271">IsURL(Table_121214[[#This Row],[Data Source]])</f>
        <v/>
      </c>
    </row>
    <row r="272" ht="15.75" customHeight="1">
      <c r="A272">
        <f>IF(chemicals!B272="","",chemicals!B272)</f>
        <v/>
      </c>
      <c r="B272" s="25" t="n"/>
      <c r="F272" s="27" t="n"/>
      <c r="I272">
        <f>IF($B272="","FALSE","TRUE")</f>
        <v/>
      </c>
      <c r="J272">
        <f t="array" ref="J272">IsURL(Table_121214[[#This Row],[Data Source]])</f>
        <v/>
      </c>
      <c r="K272">
        <f t="array" ref="K272">IsURL(Table_121214[[#This Row],[DOI]])</f>
        <v/>
      </c>
      <c r="L272">
        <f t="array" ref="L272">IsURL(Table_121214[[#This Row],[Data Source]])</f>
        <v/>
      </c>
      <c r="M272">
        <f t="array" ref="M272">IsURL(Table_121214[[#This Row],[Data Source]])</f>
        <v/>
      </c>
    </row>
    <row r="273" ht="15.75" customHeight="1">
      <c r="A273">
        <f>IF(chemicals!B273="","",chemicals!B273)</f>
        <v/>
      </c>
      <c r="B273" s="25" t="n"/>
      <c r="F273" s="27" t="n"/>
      <c r="I273">
        <f>IF($B273="","FALSE","TRUE")</f>
        <v/>
      </c>
      <c r="J273">
        <f t="array" ref="J273">IsURL(Table_121214[[#This Row],[Data Source]])</f>
        <v/>
      </c>
      <c r="K273">
        <f t="array" ref="K273">IsURL(Table_121214[[#This Row],[DOI]])</f>
        <v/>
      </c>
      <c r="L273">
        <f t="array" ref="L273">IsURL(Table_121214[[#This Row],[Data Source]])</f>
        <v/>
      </c>
      <c r="M273">
        <f t="array" ref="M273">IsURL(Table_121214[[#This Row],[Data Source]])</f>
        <v/>
      </c>
    </row>
    <row r="274" ht="15.75" customHeight="1">
      <c r="A274">
        <f>IF(chemicals!B274="","",chemicals!B274)</f>
        <v/>
      </c>
      <c r="B274" s="25" t="n"/>
      <c r="F274" s="27" t="n"/>
      <c r="I274">
        <f>IF($B274="","FALSE","TRUE")</f>
        <v/>
      </c>
      <c r="J274">
        <f t="array" ref="J274">IsURL(Table_121214[[#This Row],[Data Source]])</f>
        <v/>
      </c>
      <c r="K274">
        <f t="array" ref="K274">IsURL(Table_121214[[#This Row],[DOI]])</f>
        <v/>
      </c>
      <c r="L274">
        <f t="array" ref="L274">IsURL(Table_121214[[#This Row],[Data Source]])</f>
        <v/>
      </c>
      <c r="M274">
        <f t="array" ref="M274">IsURL(Table_121214[[#This Row],[Data Source]])</f>
        <v/>
      </c>
    </row>
    <row r="275" ht="15.75" customHeight="1">
      <c r="A275">
        <f>IF(chemicals!B275="","",chemicals!B275)</f>
        <v/>
      </c>
      <c r="B275" s="25" t="n"/>
      <c r="F275" s="27" t="n"/>
      <c r="I275">
        <f>IF($B275="","FALSE","TRUE")</f>
        <v/>
      </c>
      <c r="J275">
        <f t="array" ref="J275">IsURL(Table_121214[[#This Row],[Data Source]])</f>
        <v/>
      </c>
      <c r="K275">
        <f t="array" ref="K275">IsURL(Table_121214[[#This Row],[DOI]])</f>
        <v/>
      </c>
      <c r="L275">
        <f t="array" ref="L275">IsURL(Table_121214[[#This Row],[Data Source]])</f>
        <v/>
      </c>
      <c r="M275">
        <f t="array" ref="M275">IsURL(Table_121214[[#This Row],[Data Source]])</f>
        <v/>
      </c>
    </row>
    <row r="276" ht="15.75" customHeight="1">
      <c r="A276">
        <f>IF(chemicals!B276="","",chemicals!B276)</f>
        <v/>
      </c>
      <c r="B276" s="25" t="n"/>
      <c r="F276" s="27" t="n"/>
      <c r="I276">
        <f>IF($B276="","FALSE","TRUE")</f>
        <v/>
      </c>
      <c r="J276">
        <f t="array" ref="J276">IsURL(Table_121214[[#This Row],[Data Source]])</f>
        <v/>
      </c>
      <c r="K276">
        <f t="array" ref="K276">IsURL(Table_121214[[#This Row],[DOI]])</f>
        <v/>
      </c>
      <c r="L276">
        <f t="array" ref="L276">IsURL(Table_121214[[#This Row],[Data Source]])</f>
        <v/>
      </c>
      <c r="M276">
        <f t="array" ref="M276">IsURL(Table_121214[[#This Row],[Data Source]])</f>
        <v/>
      </c>
    </row>
    <row r="277" ht="15.75" customHeight="1">
      <c r="A277">
        <f>IF(chemicals!B277="","",chemicals!B277)</f>
        <v/>
      </c>
      <c r="B277" s="25" t="n"/>
      <c r="F277" s="27" t="n"/>
      <c r="I277">
        <f>IF($B277="","FALSE","TRUE")</f>
        <v/>
      </c>
      <c r="J277">
        <f t="array" ref="J277">IsURL(Table_121214[[#This Row],[Data Source]])</f>
        <v/>
      </c>
      <c r="K277">
        <f t="array" ref="K277">IsURL(Table_121214[[#This Row],[DOI]])</f>
        <v/>
      </c>
      <c r="L277">
        <f t="array" ref="L277">IsURL(Table_121214[[#This Row],[Data Source]])</f>
        <v/>
      </c>
      <c r="M277">
        <f t="array" ref="M277">IsURL(Table_121214[[#This Row],[Data Source]])</f>
        <v/>
      </c>
    </row>
    <row r="278" ht="15.75" customHeight="1">
      <c r="A278">
        <f>IF(chemicals!B278="","",chemicals!B278)</f>
        <v/>
      </c>
      <c r="B278" s="25" t="n"/>
      <c r="F278" s="27" t="n"/>
      <c r="I278">
        <f>IF($B278="","FALSE","TRUE")</f>
        <v/>
      </c>
      <c r="J278">
        <f t="array" ref="J278">IsURL(Table_121214[[#This Row],[Data Source]])</f>
        <v/>
      </c>
      <c r="K278">
        <f t="array" ref="K278">IsURL(Table_121214[[#This Row],[DOI]])</f>
        <v/>
      </c>
      <c r="L278">
        <f t="array" ref="L278">IsURL(Table_121214[[#This Row],[Data Source]])</f>
        <v/>
      </c>
      <c r="M278">
        <f t="array" ref="M278">IsURL(Table_121214[[#This Row],[Data Source]])</f>
        <v/>
      </c>
    </row>
    <row r="279" ht="15.75" customHeight="1">
      <c r="A279">
        <f>IF(chemicals!B279="","",chemicals!B279)</f>
        <v/>
      </c>
      <c r="B279" s="25" t="n"/>
      <c r="F279" s="27" t="n"/>
      <c r="I279">
        <f>IF($B279="","FALSE","TRUE")</f>
        <v/>
      </c>
      <c r="J279">
        <f t="array" ref="J279">IsURL(Table_121214[[#This Row],[Data Source]])</f>
        <v/>
      </c>
      <c r="K279">
        <f t="array" ref="K279">IsURL(Table_121214[[#This Row],[DOI]])</f>
        <v/>
      </c>
      <c r="L279">
        <f t="array" ref="L279">IsURL(Table_121214[[#This Row],[Data Source]])</f>
        <v/>
      </c>
      <c r="M279">
        <f t="array" ref="M279">IsURL(Table_121214[[#This Row],[Data Source]])</f>
        <v/>
      </c>
    </row>
    <row r="280" ht="15.75" customHeight="1">
      <c r="A280">
        <f>IF(chemicals!B280="","",chemicals!B280)</f>
        <v/>
      </c>
      <c r="B280" s="25" t="n"/>
      <c r="F280" s="27" t="n"/>
      <c r="I280">
        <f>IF($B280="","FALSE","TRUE")</f>
        <v/>
      </c>
      <c r="J280">
        <f t="array" ref="J280">IsURL(Table_121214[[#This Row],[Data Source]])</f>
        <v/>
      </c>
      <c r="K280">
        <f t="array" ref="K280">IsURL(Table_121214[[#This Row],[DOI]])</f>
        <v/>
      </c>
      <c r="L280">
        <f t="array" ref="L280">IsURL(Table_121214[[#This Row],[Data Source]])</f>
        <v/>
      </c>
      <c r="M280">
        <f t="array" ref="M280">IsURL(Table_121214[[#This Row],[Data Source]])</f>
        <v/>
      </c>
    </row>
    <row r="281" ht="15.75" customHeight="1">
      <c r="A281">
        <f>IF(chemicals!B281="","",chemicals!B281)</f>
        <v/>
      </c>
      <c r="B281" s="25" t="n"/>
      <c r="F281" s="27" t="n"/>
      <c r="I281">
        <f>IF($B281="","FALSE","TRUE")</f>
        <v/>
      </c>
      <c r="J281">
        <f t="array" ref="J281">IsURL(Table_121214[[#This Row],[Data Source]])</f>
        <v/>
      </c>
      <c r="K281">
        <f t="array" ref="K281">IsURL(Table_121214[[#This Row],[DOI]])</f>
        <v/>
      </c>
      <c r="L281">
        <f t="array" ref="L281">IsURL(Table_121214[[#This Row],[Data Source]])</f>
        <v/>
      </c>
      <c r="M281">
        <f t="array" ref="M281">IsURL(Table_121214[[#This Row],[Data Source]])</f>
        <v/>
      </c>
    </row>
    <row r="282" ht="15.75" customHeight="1">
      <c r="A282">
        <f>IF(chemicals!B282="","",chemicals!B282)</f>
        <v/>
      </c>
      <c r="B282" s="25" t="n"/>
      <c r="F282" s="27" t="n"/>
      <c r="I282">
        <f>IF($B282="","FALSE","TRUE")</f>
        <v/>
      </c>
      <c r="J282">
        <f t="array" ref="J282">IsURL(Table_121214[[#This Row],[Data Source]])</f>
        <v/>
      </c>
      <c r="K282">
        <f t="array" ref="K282">IsURL(Table_121214[[#This Row],[DOI]])</f>
        <v/>
      </c>
      <c r="L282">
        <f t="array" ref="L282">IsURL(Table_121214[[#This Row],[Data Source]])</f>
        <v/>
      </c>
      <c r="M282">
        <f t="array" ref="M282">IsURL(Table_121214[[#This Row],[Data Source]])</f>
        <v/>
      </c>
    </row>
    <row r="283" ht="15.75" customHeight="1">
      <c r="A283">
        <f>IF(chemicals!B283="","",chemicals!B283)</f>
        <v/>
      </c>
      <c r="B283" s="25" t="n"/>
      <c r="F283" s="27" t="n"/>
      <c r="I283">
        <f>IF($B283="","FALSE","TRUE")</f>
        <v/>
      </c>
      <c r="J283">
        <f t="array" ref="J283">IsURL(Table_121214[[#This Row],[Data Source]])</f>
        <v/>
      </c>
      <c r="K283">
        <f t="array" ref="K283">IsURL(Table_121214[[#This Row],[DOI]])</f>
        <v/>
      </c>
      <c r="L283">
        <f t="array" ref="L283">IsURL(Table_121214[[#This Row],[Data Source]])</f>
        <v/>
      </c>
      <c r="M283">
        <f t="array" ref="M283">IsURL(Table_121214[[#This Row],[Data Source]])</f>
        <v/>
      </c>
    </row>
    <row r="284" ht="15.75" customHeight="1">
      <c r="A284">
        <f>IF(chemicals!B284="","",chemicals!B284)</f>
        <v/>
      </c>
      <c r="B284" s="25" t="n"/>
      <c r="F284" s="27" t="n"/>
      <c r="I284">
        <f>IF($B284="","FALSE","TRUE")</f>
        <v/>
      </c>
      <c r="J284">
        <f t="array" ref="J284">IsURL(Table_121214[[#This Row],[Data Source]])</f>
        <v/>
      </c>
      <c r="K284">
        <f t="array" ref="K284">IsURL(Table_121214[[#This Row],[DOI]])</f>
        <v/>
      </c>
      <c r="L284">
        <f t="array" ref="L284">IsURL(Table_121214[[#This Row],[Data Source]])</f>
        <v/>
      </c>
      <c r="M284">
        <f t="array" ref="M284">IsURL(Table_121214[[#This Row],[Data Source]])</f>
        <v/>
      </c>
    </row>
    <row r="285" ht="15.75" customHeight="1">
      <c r="A285">
        <f>IF(chemicals!B285="","",chemicals!B285)</f>
        <v/>
      </c>
      <c r="B285" s="25" t="n"/>
      <c r="F285" s="27" t="n"/>
      <c r="I285">
        <f>IF($B285="","FALSE","TRUE")</f>
        <v/>
      </c>
      <c r="J285">
        <f t="array" ref="J285">IsURL(Table_121214[[#This Row],[Data Source]])</f>
        <v/>
      </c>
      <c r="K285">
        <f t="array" ref="K285">IsURL(Table_121214[[#This Row],[DOI]])</f>
        <v/>
      </c>
      <c r="L285">
        <f t="array" ref="L285">IsURL(Table_121214[[#This Row],[Data Source]])</f>
        <v/>
      </c>
      <c r="M285">
        <f t="array" ref="M285">IsURL(Table_121214[[#This Row],[Data Source]])</f>
        <v/>
      </c>
    </row>
    <row r="286" ht="15.75" customHeight="1">
      <c r="A286">
        <f>IF(chemicals!B286="","",chemicals!B286)</f>
        <v/>
      </c>
      <c r="B286" s="25" t="n"/>
      <c r="F286" s="27" t="n"/>
      <c r="I286">
        <f>IF($B286="","FALSE","TRUE")</f>
        <v/>
      </c>
      <c r="J286">
        <f t="array" ref="J286">IsURL(Table_121214[[#This Row],[Data Source]])</f>
        <v/>
      </c>
      <c r="K286">
        <f t="array" ref="K286">IsURL(Table_121214[[#This Row],[DOI]])</f>
        <v/>
      </c>
      <c r="L286">
        <f t="array" ref="L286">IsURL(Table_121214[[#This Row],[Data Source]])</f>
        <v/>
      </c>
      <c r="M286">
        <f t="array" ref="M286">IsURL(Table_121214[[#This Row],[Data Source]])</f>
        <v/>
      </c>
    </row>
    <row r="287" ht="15.75" customHeight="1">
      <c r="A287">
        <f>IF(chemicals!B287="","",chemicals!B287)</f>
        <v/>
      </c>
      <c r="B287" s="25" t="n"/>
      <c r="F287" s="27" t="n"/>
      <c r="I287">
        <f>IF($B287="","FALSE","TRUE")</f>
        <v/>
      </c>
      <c r="J287">
        <f t="array" ref="J287">IsURL(Table_121214[[#This Row],[Data Source]])</f>
        <v/>
      </c>
      <c r="K287">
        <f t="array" ref="K287">IsURL(Table_121214[[#This Row],[DOI]])</f>
        <v/>
      </c>
      <c r="L287">
        <f t="array" ref="L287">IsURL(Table_121214[[#This Row],[Data Source]])</f>
        <v/>
      </c>
      <c r="M287">
        <f t="array" ref="M287">IsURL(Table_121214[[#This Row],[Data Source]])</f>
        <v/>
      </c>
    </row>
    <row r="288" ht="15.75" customHeight="1">
      <c r="A288">
        <f>IF(chemicals!B288="","",chemicals!B288)</f>
        <v/>
      </c>
      <c r="B288" s="25" t="n"/>
      <c r="F288" s="27" t="n"/>
      <c r="I288">
        <f>IF($B288="","FALSE","TRUE")</f>
        <v/>
      </c>
      <c r="J288">
        <f t="array" ref="J288">IsURL(Table_121214[[#This Row],[Data Source]])</f>
        <v/>
      </c>
      <c r="K288">
        <f t="array" ref="K288">IsURL(Table_121214[[#This Row],[DOI]])</f>
        <v/>
      </c>
      <c r="L288">
        <f t="array" ref="L288">IsURL(Table_121214[[#This Row],[Data Source]])</f>
        <v/>
      </c>
      <c r="M288">
        <f t="array" ref="M288">IsURL(Table_121214[[#This Row],[Data Source]])</f>
        <v/>
      </c>
    </row>
    <row r="289" ht="15.75" customHeight="1">
      <c r="A289">
        <f>IF(chemicals!B289="","",chemicals!B289)</f>
        <v/>
      </c>
      <c r="B289" s="25" t="n"/>
      <c r="F289" s="27" t="n"/>
      <c r="I289">
        <f>IF($B289="","FALSE","TRUE")</f>
        <v/>
      </c>
      <c r="J289">
        <f t="array" ref="J289">IsURL(Table_121214[[#This Row],[Data Source]])</f>
        <v/>
      </c>
      <c r="K289">
        <f t="array" ref="K289">IsURL(Table_121214[[#This Row],[DOI]])</f>
        <v/>
      </c>
      <c r="L289">
        <f t="array" ref="L289">IsURL(Table_121214[[#This Row],[Data Source]])</f>
        <v/>
      </c>
      <c r="M289">
        <f t="array" ref="M289">IsURL(Table_121214[[#This Row],[Data Source]])</f>
        <v/>
      </c>
    </row>
    <row r="290" ht="15.75" customHeight="1">
      <c r="A290">
        <f>IF(chemicals!B290="","",chemicals!B290)</f>
        <v/>
      </c>
      <c r="B290" s="25" t="n"/>
      <c r="F290" s="27" t="n"/>
      <c r="I290">
        <f>IF($B290="","FALSE","TRUE")</f>
        <v/>
      </c>
      <c r="J290">
        <f t="array" ref="J290">IsURL(Table_121214[[#This Row],[Data Source]])</f>
        <v/>
      </c>
      <c r="K290">
        <f t="array" ref="K290">IsURL(Table_121214[[#This Row],[DOI]])</f>
        <v/>
      </c>
      <c r="L290">
        <f t="array" ref="L290">IsURL(Table_121214[[#This Row],[Data Source]])</f>
        <v/>
      </c>
      <c r="M290">
        <f t="array" ref="M290">IsURL(Table_121214[[#This Row],[Data Source]])</f>
        <v/>
      </c>
    </row>
    <row r="291" ht="15.75" customHeight="1">
      <c r="A291">
        <f>IF(chemicals!B291="","",chemicals!B291)</f>
        <v/>
      </c>
      <c r="B291" s="25" t="n"/>
      <c r="F291" s="27" t="n"/>
      <c r="I291">
        <f>IF($B291="","FALSE","TRUE")</f>
        <v/>
      </c>
      <c r="J291">
        <f t="array" ref="J291">IsURL(Table_121214[[#This Row],[Data Source]])</f>
        <v/>
      </c>
      <c r="K291">
        <f t="array" ref="K291">IsURL(Table_121214[[#This Row],[DOI]])</f>
        <v/>
      </c>
      <c r="L291">
        <f t="array" ref="L291">IsURL(Table_121214[[#This Row],[Data Source]])</f>
        <v/>
      </c>
      <c r="M291">
        <f t="array" ref="M291">IsURL(Table_121214[[#This Row],[Data Source]])</f>
        <v/>
      </c>
    </row>
    <row r="292" ht="15.75" customHeight="1">
      <c r="A292">
        <f>IF(chemicals!B292="","",chemicals!B292)</f>
        <v/>
      </c>
      <c r="B292" s="25" t="n"/>
      <c r="F292" s="27" t="n"/>
      <c r="I292">
        <f>IF($B292="","FALSE","TRUE")</f>
        <v/>
      </c>
      <c r="J292">
        <f t="array" ref="J292">IsURL(Table_121214[[#This Row],[Data Source]])</f>
        <v/>
      </c>
      <c r="K292">
        <f t="array" ref="K292">IsURL(Table_121214[[#This Row],[DOI]])</f>
        <v/>
      </c>
      <c r="L292">
        <f t="array" ref="L292">IsURL(Table_121214[[#This Row],[Data Source]])</f>
        <v/>
      </c>
      <c r="M292">
        <f t="array" ref="M292">IsURL(Table_121214[[#This Row],[Data Source]])</f>
        <v/>
      </c>
    </row>
    <row r="293" ht="15.75" customHeight="1">
      <c r="A293">
        <f>IF(chemicals!B293="","",chemicals!B293)</f>
        <v/>
      </c>
      <c r="B293" s="25" t="n"/>
      <c r="F293" s="27" t="n"/>
      <c r="I293">
        <f>IF($B293="","FALSE","TRUE")</f>
        <v/>
      </c>
      <c r="J293">
        <f t="array" ref="J293">IsURL(Table_121214[[#This Row],[Data Source]])</f>
        <v/>
      </c>
      <c r="K293">
        <f t="array" ref="K293">IsURL(Table_121214[[#This Row],[DOI]])</f>
        <v/>
      </c>
      <c r="L293">
        <f t="array" ref="L293">IsURL(Table_121214[[#This Row],[Data Source]])</f>
        <v/>
      </c>
      <c r="M293">
        <f t="array" ref="M293">IsURL(Table_121214[[#This Row],[Data Source]])</f>
        <v/>
      </c>
    </row>
    <row r="294" ht="15.75" customHeight="1">
      <c r="A294">
        <f>IF(chemicals!B294="","",chemicals!B294)</f>
        <v/>
      </c>
      <c r="B294" s="25" t="n"/>
      <c r="F294" s="27" t="n"/>
      <c r="I294">
        <f>IF($B294="","FALSE","TRUE")</f>
        <v/>
      </c>
      <c r="J294">
        <f t="array" ref="J294">IsURL(Table_121214[[#This Row],[Data Source]])</f>
        <v/>
      </c>
      <c r="K294">
        <f t="array" ref="K294">IsURL(Table_121214[[#This Row],[DOI]])</f>
        <v/>
      </c>
      <c r="L294">
        <f t="array" ref="L294">IsURL(Table_121214[[#This Row],[Data Source]])</f>
        <v/>
      </c>
      <c r="M294">
        <f t="array" ref="M294">IsURL(Table_121214[[#This Row],[Data Source]])</f>
        <v/>
      </c>
    </row>
    <row r="295" ht="15.75" customHeight="1">
      <c r="A295">
        <f>IF(chemicals!B295="","",chemicals!B295)</f>
        <v/>
      </c>
      <c r="B295" s="25" t="n"/>
      <c r="F295" s="27" t="n"/>
      <c r="I295">
        <f>IF($B295="","FALSE","TRUE")</f>
        <v/>
      </c>
      <c r="J295">
        <f t="array" ref="J295">IsURL(Table_121214[[#This Row],[Data Source]])</f>
        <v/>
      </c>
      <c r="K295">
        <f t="array" ref="K295">IsURL(Table_121214[[#This Row],[DOI]])</f>
        <v/>
      </c>
      <c r="L295">
        <f t="array" ref="L295">IsURL(Table_121214[[#This Row],[Data Source]])</f>
        <v/>
      </c>
      <c r="M295">
        <f t="array" ref="M295">IsURL(Table_121214[[#This Row],[Data Source]])</f>
        <v/>
      </c>
    </row>
    <row r="296" ht="15.75" customHeight="1">
      <c r="A296">
        <f>IF(chemicals!B296="","",chemicals!B296)</f>
        <v/>
      </c>
      <c r="B296" s="25" t="n"/>
      <c r="F296" s="27" t="n"/>
      <c r="I296">
        <f>IF($B296="","FALSE","TRUE")</f>
        <v/>
      </c>
      <c r="J296">
        <f t="array" ref="J296">IsURL(Table_121214[[#This Row],[Data Source]])</f>
        <v/>
      </c>
      <c r="K296">
        <f t="array" ref="K296">IsURL(Table_121214[[#This Row],[DOI]])</f>
        <v/>
      </c>
      <c r="L296">
        <f t="array" ref="L296">IsURL(Table_121214[[#This Row],[Data Source]])</f>
        <v/>
      </c>
      <c r="M296">
        <f t="array" ref="M296">IsURL(Table_121214[[#This Row],[Data Source]])</f>
        <v/>
      </c>
    </row>
    <row r="297" ht="15.75" customHeight="1">
      <c r="A297">
        <f>IF(chemicals!B297="","",chemicals!B297)</f>
        <v/>
      </c>
      <c r="B297" s="25" t="n"/>
      <c r="F297" s="27" t="n"/>
      <c r="I297">
        <f>IF($B297="","FALSE","TRUE")</f>
        <v/>
      </c>
      <c r="J297">
        <f t="array" ref="J297">IsURL(Table_121214[[#This Row],[Data Source]])</f>
        <v/>
      </c>
      <c r="K297">
        <f t="array" ref="K297">IsURL(Table_121214[[#This Row],[DOI]])</f>
        <v/>
      </c>
      <c r="L297">
        <f t="array" ref="L297">IsURL(Table_121214[[#This Row],[Data Source]])</f>
        <v/>
      </c>
      <c r="M297">
        <f t="array" ref="M297">IsURL(Table_121214[[#This Row],[Data Source]])</f>
        <v/>
      </c>
    </row>
    <row r="298" ht="15.75" customHeight="1">
      <c r="A298">
        <f>IF(chemicals!B298="","",chemicals!B298)</f>
        <v/>
      </c>
      <c r="B298" s="25" t="n"/>
      <c r="F298" s="27" t="n"/>
      <c r="I298">
        <f>IF($B298="","FALSE","TRUE")</f>
        <v/>
      </c>
      <c r="J298">
        <f t="array" ref="J298">IsURL(Table_121214[[#This Row],[Data Source]])</f>
        <v/>
      </c>
      <c r="K298">
        <f t="array" ref="K298">IsURL(Table_121214[[#This Row],[DOI]])</f>
        <v/>
      </c>
      <c r="L298">
        <f t="array" ref="L298">IsURL(Table_121214[[#This Row],[Data Source]])</f>
        <v/>
      </c>
      <c r="M298">
        <f t="array" ref="M298">IsURL(Table_121214[[#This Row],[Data Source]])</f>
        <v/>
      </c>
    </row>
    <row r="299" ht="15.75" customHeight="1">
      <c r="A299">
        <f>IF(chemicals!B299="","",chemicals!B299)</f>
        <v/>
      </c>
      <c r="B299" s="25" t="n"/>
      <c r="F299" s="27" t="n"/>
      <c r="I299">
        <f>IF($B299="","FALSE","TRUE")</f>
        <v/>
      </c>
      <c r="J299">
        <f t="array" ref="J299">IsURL(Table_121214[[#This Row],[Data Source]])</f>
        <v/>
      </c>
      <c r="K299">
        <f t="array" ref="K299">IsURL(Table_121214[[#This Row],[DOI]])</f>
        <v/>
      </c>
      <c r="L299">
        <f t="array" ref="L299">IsURL(Table_121214[[#This Row],[Data Source]])</f>
        <v/>
      </c>
      <c r="M299">
        <f t="array" ref="M299">IsURL(Table_121214[[#This Row],[Data Source]])</f>
        <v/>
      </c>
    </row>
    <row r="300" ht="15.75" customHeight="1">
      <c r="A300">
        <f>IF(chemicals!B300="","",chemicals!B300)</f>
        <v/>
      </c>
      <c r="B300" s="25" t="n"/>
      <c r="F300" s="27" t="n"/>
      <c r="I300">
        <f>IF($B300="","FALSE","TRUE")</f>
        <v/>
      </c>
      <c r="J300">
        <f t="array" ref="J300">IsURL(Table_121214[[#This Row],[Data Source]])</f>
        <v/>
      </c>
      <c r="K300">
        <f t="array" ref="K300">IsURL(Table_121214[[#This Row],[DOI]])</f>
        <v/>
      </c>
      <c r="L300">
        <f t="array" ref="L300">IsURL(Table_121214[[#This Row],[Data Source]])</f>
        <v/>
      </c>
      <c r="M300">
        <f t="array" ref="M300">IsURL(Table_121214[[#This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sheetData>
  <conditionalFormatting sqref="B5:B300">
    <cfRule type="expression" priority="1" dxfId="6" stopIfTrue="1">
      <formula>ISBLANK(B5)</formula>
    </cfRule>
  </conditionalFormatting>
  <dataValidations count="3">
    <dataValidation sqref="E5:E7" showErrorMessage="1" showInputMessage="1" allowBlank="0" errorTitle="Invalid URL" error="The URL entered seems to be invalid, please check again." type="custom">
      <formula1>F6</formula1>
    </dataValidation>
    <dataValidation sqref="E8:E300" showErrorMessage="1" showInputMessage="1" allowBlank="0" errorTitle="Invalid URL" error="The URL entered seems to be invalid, please check again." type="custom">
      <formula1>#REF!</formula1>
    </dataValidation>
    <dataValidation sqref="I5:I300" showErrorMessage="1" showInputMessage="1" allowBlank="0" type="list">
      <formula1>"TRUE, FALSE"</formula1>
    </dataValidation>
  </dataValidations>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2">
    <outlinePr summaryBelow="0"/>
    <pageSetUpPr/>
  </sheetPr>
  <dimension ref="A3:R300"/>
  <sheetViews>
    <sheetView topLeftCell="B1" zoomScale="106" zoomScaleNormal="150" workbookViewId="0">
      <selection activeCell="L5" sqref="L5"/>
    </sheetView>
  </sheetViews>
  <sheetFormatPr baseColWidth="10" defaultColWidth="8.6640625" defaultRowHeight="15"/>
  <cols>
    <col hidden="1" width="10" customWidth="1" min="1" max="1"/>
    <col width="13.5" bestFit="1" customWidth="1" min="2" max="2"/>
    <col width="24.83203125" bestFit="1" customWidth="1" min="3" max="3"/>
    <col width="18.6640625" bestFit="1" customWidth="1" min="4" max="4"/>
    <col width="15.1640625" bestFit="1" customWidth="1" min="5" max="5"/>
    <col width="13.5" bestFit="1" customWidth="1" min="6" max="6"/>
    <col width="7.33203125" bestFit="1" customWidth="1" min="7" max="7"/>
    <col width="20" bestFit="1" customWidth="1" min="8" max="8"/>
    <col width="13.33203125" bestFit="1" customWidth="1" min="9" max="9"/>
    <col width="14.6640625" bestFit="1" customWidth="1" min="10" max="10"/>
    <col width="13.5" bestFit="1" customWidth="1" min="11" max="11"/>
    <col width="13.1640625" bestFit="1" customWidth="1" min="12" max="12"/>
    <col width="7.1640625" bestFit="1" customWidth="1" min="13" max="13"/>
    <col width="10.33203125" bestFit="1" customWidth="1" min="14" max="14"/>
    <col hidden="1" width="27.83203125" customWidth="1" min="15" max="15"/>
    <col hidden="1" width="20.33203125" customWidth="1" min="16" max="16"/>
    <col hidden="1" width="27.83203125" customWidth="1" min="17" max="18"/>
    <col width="8.5" bestFit="1" customWidth="1" min="19" max="31"/>
    <col width="12.5" bestFit="1" customWidth="1" min="32" max="32"/>
  </cols>
  <sheetData>
    <row r="1" ht="15.75" customHeight="1"/>
    <row r="2" ht="15.75" customHeight="1"/>
    <row r="3" ht="15.75" customHeight="1">
      <c r="A3" s="13" t="inlineStr">
        <is>
          <t>This ID is used to reference the promoters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Where is the genetic information coming from, e.g. gene taken from Aequorea victoria if available add in strain name too. This should match the scientific name for the txid in the next column</t>
        </is>
      </c>
      <c r="I3" t="inlineStr">
        <is>
          <t>Specify the transcription factor that interacts with the promoter</t>
        </is>
      </c>
      <c r="K3" t="inlineStr">
        <is>
          <t>Automatically calculated length of the sequence pasted to the right. Use this column for checking there are no paste errors.</t>
        </is>
      </c>
      <c r="L3" t="inlineStr">
        <is>
          <t>The series of ATGCs that make up the part. Spaces can be used within the sequence but no other characters.</t>
        </is>
      </c>
      <c r="O3" s="22" t="inlineStr">
        <is>
          <t>DO NOT CHANGE</t>
        </is>
      </c>
      <c r="P3" s="22" t="inlineStr">
        <is>
          <t>DO NOT CHANGE</t>
        </is>
      </c>
      <c r="Q3" s="22" t="inlineStr">
        <is>
          <t>DO NOT CHANGE</t>
        </is>
      </c>
      <c r="R3" s="22" t="inlineStr">
        <is>
          <t>DO NOT CHANGE</t>
        </is>
      </c>
    </row>
    <row r="4" ht="15.75" customHeight="1">
      <c r="A4" t="inlineStr">
        <is>
          <t>Part ID</t>
        </is>
      </c>
      <c r="B4" t="inlineStr">
        <is>
          <t>Part Name</t>
        </is>
      </c>
      <c r="C4" t="inlineStr">
        <is>
          <t>Previous Version (URI)</t>
        </is>
      </c>
      <c r="D4" t="inlineStr">
        <is>
          <t>Part Description</t>
        </is>
      </c>
      <c r="E4" t="inlineStr">
        <is>
          <t>Data Source</t>
        </is>
      </c>
      <c r="F4" t="inlineStr">
        <is>
          <t>PubMed Id</t>
        </is>
      </c>
      <c r="G4" t="inlineStr">
        <is>
          <t>DOI</t>
        </is>
      </c>
      <c r="H4" t="inlineStr">
        <is>
          <t>Source Organism</t>
        </is>
      </c>
      <c r="I4" t="inlineStr">
        <is>
          <t>Activators</t>
        </is>
      </c>
      <c r="J4" t="inlineStr">
        <is>
          <t>Repressors</t>
        </is>
      </c>
      <c r="K4" t="inlineStr">
        <is>
          <t>length (bp)</t>
        </is>
      </c>
      <c r="L4" t="inlineStr">
        <is>
          <t>Sequence</t>
        </is>
      </c>
      <c r="M4" s="20" t="inlineStr">
        <is>
          <t>URI</t>
        </is>
      </c>
      <c r="N4" s="20" t="inlineStr">
        <is>
          <t>Update</t>
        </is>
      </c>
      <c r="O4" s="23" t="inlineStr">
        <is>
          <t>URL Checker - Data Source</t>
        </is>
      </c>
      <c r="P4" s="24" t="inlineStr">
        <is>
          <t>URL Checker - DOI</t>
        </is>
      </c>
      <c r="Q4" s="23" t="inlineStr">
        <is>
          <t>URL Checker - Previous Version</t>
        </is>
      </c>
      <c r="R4" s="23" t="inlineStr">
        <is>
          <t>URL Checker - URI</t>
        </is>
      </c>
    </row>
    <row r="5" ht="15.75" customHeight="1">
      <c r="A5">
        <f>IF(Table_19[[#This Row],[Part Name]]=0,"",Table_19[[#This Row],[Part Name]])</f>
        <v/>
      </c>
      <c r="K5">
        <f>LEN(TRIM(CLEAN(SUBSTITUTE(SUBSTITUTE(Table_19[[#This Row],[Sequence]],CHAR(160)," ")," ",""))))</f>
        <v/>
      </c>
      <c r="M5" s="21" t="n"/>
      <c r="N5" s="21">
        <f>IF($B5="","FALSE","TRUE")</f>
        <v/>
      </c>
      <c r="O5">
        <f t="array" ref="O5">IsURL(Table_121215[[#This Row],[Data Source]])</f>
        <v/>
      </c>
      <c r="P5">
        <f t="array" ref="P5">IsURL(Table_121215[[#This Row],[DOI]])</f>
        <v/>
      </c>
      <c r="Q5">
        <f t="array" ref="Q5">IsURL(Table_121215[[#This Row],[Data Source]])</f>
        <v/>
      </c>
      <c r="R5">
        <f t="array" ref="R5">IsURL(Table_121215[[#This Row],[Data Source]])</f>
        <v/>
      </c>
    </row>
    <row r="6" ht="15.75" customHeight="1">
      <c r="A6">
        <f>IF(Table_19[[#This Row],[Part Name]]=0,"",Table_19[[#This Row],[Part Name]])</f>
        <v/>
      </c>
      <c r="K6">
        <f>LEN(TRIM(CLEAN(SUBSTITUTE(SUBSTITUTE(Table_19[[#This Row],[Sequence]],CHAR(160)," ")," ",""))))</f>
        <v/>
      </c>
      <c r="M6" s="21" t="n"/>
      <c r="N6" s="21">
        <f>IF($B6="","FALSE","TRUE")</f>
        <v/>
      </c>
      <c r="O6">
        <f t="array" ref="O6">IsURL(Table_121215[[#This Row],[Data Source]])</f>
        <v/>
      </c>
      <c r="P6">
        <f t="array" ref="P6">IsURL(Table_121215[[#This Row],[DOI]])</f>
        <v/>
      </c>
      <c r="Q6">
        <f t="array" ref="Q6">IsURL(Table_121215[[#This Row],[Data Source]])</f>
        <v/>
      </c>
      <c r="R6">
        <f t="array" ref="R6">IsURL(Table_121215[[#This Row],[Data Source]])</f>
        <v/>
      </c>
    </row>
    <row r="7" ht="15.75" customHeight="1">
      <c r="A7">
        <f>IF(Table_19[[#This Row],[Part Name]]=0,"",Table_19[[#This Row],[Part Name]])</f>
        <v/>
      </c>
      <c r="K7">
        <f>LEN(TRIM(CLEAN(SUBSTITUTE(SUBSTITUTE(Table_19[[#This Row],[Sequence]],CHAR(160)," ")," ",""))))</f>
        <v/>
      </c>
      <c r="M7" s="21" t="n"/>
      <c r="N7" s="21">
        <f>IF($B7="","FALSE","TRUE")</f>
        <v/>
      </c>
      <c r="O7">
        <f t="array" ref="O7">IsURL(Table_121215[[#This Row],[Data Source]])</f>
        <v/>
      </c>
      <c r="P7">
        <f t="array" ref="P7">IsURL(Table_121215[[#This Row],[DOI]])</f>
        <v/>
      </c>
      <c r="Q7">
        <f t="array" ref="Q7">IsURL(Table_121215[[#This Row],[Data Source]])</f>
        <v/>
      </c>
      <c r="R7">
        <f t="array" ref="R7">IsURL(Table_121215[[#This Row],[Data Source]])</f>
        <v/>
      </c>
    </row>
    <row r="8" ht="15.75" customHeight="1">
      <c r="A8">
        <f>IF(Table_19[[#This Row],[Part Name]]=0,"",Table_19[[#This Row],[Part Name]])</f>
        <v/>
      </c>
      <c r="E8" s="11" t="n"/>
      <c r="K8">
        <f>LEN(TRIM(CLEAN(SUBSTITUTE(SUBSTITUTE(Table_19[[#This Row],[Sequence]],CHAR(160)," ")," ",""))))</f>
        <v/>
      </c>
      <c r="M8" s="21" t="n"/>
      <c r="N8" s="21">
        <f>IF($B8="","FALSE","TRUE")</f>
        <v/>
      </c>
      <c r="O8">
        <f t="array" ref="O8">IsURL(Table_121215[[#This Row],[Data Source]])</f>
        <v/>
      </c>
      <c r="P8">
        <f t="array" ref="P8">IsURL(Table_121215[[#This Row],[DOI]])</f>
        <v/>
      </c>
      <c r="Q8">
        <f t="array" ref="Q8">IsURL(Table_121215[[#This Row],[Data Source]])</f>
        <v/>
      </c>
      <c r="R8">
        <f t="array" ref="R8">IsURL(Table_121215[[#This Row],[Data Source]])</f>
        <v/>
      </c>
    </row>
    <row r="9" ht="15.75" customHeight="1">
      <c r="A9">
        <f>IF(Table_19[[#This Row],[Part Name]]=0,"",Table_19[[#This Row],[Part Name]])</f>
        <v/>
      </c>
      <c r="E9" s="11" t="n"/>
      <c r="K9">
        <f>LEN(TRIM(CLEAN(SUBSTITUTE(SUBSTITUTE(Table_19[[#This Row],[Sequence]],CHAR(160)," ")," ",""))))</f>
        <v/>
      </c>
      <c r="M9" s="21" t="n"/>
      <c r="N9" s="21">
        <f>IF($B9="","FALSE","TRUE")</f>
        <v/>
      </c>
      <c r="O9">
        <f t="array" ref="O9">IsURL(Table_121215[[#This Row],[Data Source]])</f>
        <v/>
      </c>
      <c r="P9">
        <f t="array" ref="P9">IsURL(Table_121215[[#This Row],[DOI]])</f>
        <v/>
      </c>
      <c r="Q9">
        <f t="array" ref="Q9">IsURL(Table_121215[[#This Row],[Data Source]])</f>
        <v/>
      </c>
      <c r="R9">
        <f t="array" ref="R9">IsURL(Table_121215[[#This Row],[Data Source]])</f>
        <v/>
      </c>
    </row>
    <row r="10" ht="15.75" customHeight="1">
      <c r="A10">
        <f>IF(Table_19[[#This Row],[Part Name]]=0,"",Table_19[[#This Row],[Part Name]])</f>
        <v/>
      </c>
      <c r="K10">
        <f>LEN(TRIM(CLEAN(SUBSTITUTE(SUBSTITUTE(Table_19[[#This Row],[Sequence]],CHAR(160)," ")," ",""))))</f>
        <v/>
      </c>
      <c r="M10" s="21" t="n"/>
      <c r="N10" s="21">
        <f>IF($B10="","FALSE","TRUE")</f>
        <v/>
      </c>
      <c r="O10">
        <f t="array" ref="O10">IsURL(Table_121215[[#This Row],[Data Source]])</f>
        <v/>
      </c>
      <c r="P10">
        <f t="array" ref="P10">IsURL(Table_121215[[#This Row],[DOI]])</f>
        <v/>
      </c>
      <c r="Q10">
        <f t="array" ref="Q10">IsURL(Table_121215[[#This Row],[Data Source]])</f>
        <v/>
      </c>
      <c r="R10">
        <f t="array" ref="R10">IsURL(Table_121215[[#This Row],[Data Source]])</f>
        <v/>
      </c>
    </row>
    <row r="11" ht="15.75" customHeight="1">
      <c r="A11">
        <f>IF(Table_19[[#This Row],[Part Name]]=0,"",Table_19[[#This Row],[Part Name]])</f>
        <v/>
      </c>
      <c r="K11">
        <f>LEN(TRIM(CLEAN(SUBSTITUTE(SUBSTITUTE(Table_19[[#This Row],[Sequence]],CHAR(160)," ")," ",""))))</f>
        <v/>
      </c>
      <c r="M11" s="21" t="n"/>
      <c r="N11" s="21">
        <f>IF($B11="","FALSE","TRUE")</f>
        <v/>
      </c>
      <c r="O11">
        <f t="array" ref="O11">IsURL(Table_121215[[#This Row],[Data Source]])</f>
        <v/>
      </c>
      <c r="P11">
        <f t="array" ref="P11">IsURL(Table_121215[[#This Row],[DOI]])</f>
        <v/>
      </c>
      <c r="Q11">
        <f t="array" ref="Q11">IsURL(Table_121215[[#This Row],[Data Source]])</f>
        <v/>
      </c>
      <c r="R11">
        <f t="array" ref="R11">IsURL(Table_121215[[#This Row],[Data Source]])</f>
        <v/>
      </c>
    </row>
    <row r="12" ht="15.75" customHeight="1">
      <c r="A12">
        <f>IF(Table_19[[#This Row],[Part Name]]=0,"",Table_19[[#This Row],[Part Name]])</f>
        <v/>
      </c>
      <c r="K12">
        <f>LEN(TRIM(CLEAN(SUBSTITUTE(SUBSTITUTE(Table_19[[#This Row],[Sequence]],CHAR(160)," ")," ",""))))</f>
        <v/>
      </c>
      <c r="M12" s="21" t="n"/>
      <c r="N12" s="21">
        <f>IF($B12="","FALSE","TRUE")</f>
        <v/>
      </c>
      <c r="O12">
        <f t="array" ref="O12">IsURL(Table_121215[[#This Row],[Data Source]])</f>
        <v/>
      </c>
      <c r="P12">
        <f t="array" ref="P12">IsURL(Table_121215[[#This Row],[DOI]])</f>
        <v/>
      </c>
      <c r="Q12">
        <f t="array" ref="Q12">IsURL(Table_121215[[#This Row],[Data Source]])</f>
        <v/>
      </c>
      <c r="R12">
        <f t="array" ref="R12">IsURL(Table_121215[[#This Row],[Data Source]])</f>
        <v/>
      </c>
    </row>
    <row r="13" ht="15.75" customHeight="1">
      <c r="A13">
        <f>IF(Table_19[[#This Row],[Part Name]]=0,"",Table_19[[#This Row],[Part Name]])</f>
        <v/>
      </c>
      <c r="K13">
        <f>LEN(TRIM(CLEAN(SUBSTITUTE(SUBSTITUTE(Table_19[[#This Row],[Sequence]],CHAR(160)," ")," ",""))))</f>
        <v/>
      </c>
      <c r="M13" s="21" t="n"/>
      <c r="N13" s="21">
        <f>IF($B13="","FALSE","TRUE")</f>
        <v/>
      </c>
      <c r="O13">
        <f t="array" ref="O13">IsURL(Table_121215[[#This Row],[Data Source]])</f>
        <v/>
      </c>
      <c r="P13">
        <f t="array" ref="P13">IsURL(Table_121215[[#This Row],[DOI]])</f>
        <v/>
      </c>
      <c r="Q13">
        <f t="array" ref="Q13">IsURL(Table_121215[[#This Row],[Data Source]])</f>
        <v/>
      </c>
      <c r="R13">
        <f t="array" ref="R13">IsURL(Table_121215[[#This Row],[Data Source]])</f>
        <v/>
      </c>
    </row>
    <row r="14" ht="15.75" customHeight="1">
      <c r="A14">
        <f>IF(Table_19[[#This Row],[Part Name]]=0,"",Table_19[[#This Row],[Part Name]])</f>
        <v/>
      </c>
      <c r="K14">
        <f>LEN(TRIM(CLEAN(SUBSTITUTE(SUBSTITUTE(Table_19[[#This Row],[Sequence]],CHAR(160)," ")," ",""))))</f>
        <v/>
      </c>
      <c r="M14" s="21" t="n"/>
      <c r="N14" s="21">
        <f>IF($B14="","FALSE","TRUE")</f>
        <v/>
      </c>
      <c r="O14">
        <f t="array" ref="O14">IsURL(Table_121215[[#This Row],[Data Source]])</f>
        <v/>
      </c>
      <c r="P14">
        <f t="array" ref="P14">IsURL(Table_121215[[#This Row],[DOI]])</f>
        <v/>
      </c>
      <c r="Q14">
        <f t="array" ref="Q14">IsURL(Table_121215[[#This Row],[Data Source]])</f>
        <v/>
      </c>
      <c r="R14">
        <f t="array" ref="R14">IsURL(Table_121215[[#This Row],[Data Source]])</f>
        <v/>
      </c>
    </row>
    <row r="15" ht="15.75" customHeight="1">
      <c r="A15">
        <f>IF(Table_19[[#This Row],[Part Name]]=0,"",Table_19[[#This Row],[Part Name]])</f>
        <v/>
      </c>
      <c r="K15">
        <f>LEN(TRIM(CLEAN(SUBSTITUTE(SUBSTITUTE(Table_19[[#This Row],[Sequence]],CHAR(160)," ")," ",""))))</f>
        <v/>
      </c>
      <c r="M15" s="21" t="n"/>
      <c r="N15" s="21">
        <f>IF($B15="","FALSE","TRUE")</f>
        <v/>
      </c>
      <c r="O15">
        <f t="array" ref="O15">IsURL(Table_121215[[#This Row],[Data Source]])</f>
        <v/>
      </c>
      <c r="P15">
        <f t="array" ref="P15">IsURL(Table_121215[[#This Row],[DOI]])</f>
        <v/>
      </c>
      <c r="Q15">
        <f t="array" ref="Q15">IsURL(Table_121215[[#This Row],[Data Source]])</f>
        <v/>
      </c>
      <c r="R15">
        <f t="array" ref="R15">IsURL(Table_121215[[#This Row],[Data Source]])</f>
        <v/>
      </c>
    </row>
    <row r="16" ht="15.75" customHeight="1">
      <c r="A16">
        <f>IF(Table_19[[#This Row],[Part Name]]=0,"",Table_19[[#This Row],[Part Name]])</f>
        <v/>
      </c>
      <c r="K16">
        <f>LEN(TRIM(CLEAN(SUBSTITUTE(SUBSTITUTE(Table_19[[#This Row],[Sequence]],CHAR(160)," ")," ",""))))</f>
        <v/>
      </c>
      <c r="M16" s="21" t="n"/>
      <c r="N16" s="21">
        <f>IF($B16="","FALSE","TRUE")</f>
        <v/>
      </c>
      <c r="O16">
        <f t="array" ref="O16">IsURL(Table_121215[[#This Row],[Data Source]])</f>
        <v/>
      </c>
      <c r="P16">
        <f t="array" ref="P16">IsURL(Table_121215[[#This Row],[DOI]])</f>
        <v/>
      </c>
      <c r="Q16">
        <f t="array" ref="Q16">IsURL(Table_121215[[#This Row],[Data Source]])</f>
        <v/>
      </c>
      <c r="R16">
        <f t="array" ref="R16">IsURL(Table_121215[[#This Row],[Data Source]])</f>
        <v/>
      </c>
    </row>
    <row r="17" ht="15.75" customHeight="1">
      <c r="A17">
        <f>IF(Table_19[[#This Row],[Part Name]]=0,"",Table_19[[#This Row],[Part Name]])</f>
        <v/>
      </c>
      <c r="K17">
        <f>LEN(TRIM(CLEAN(SUBSTITUTE(SUBSTITUTE(Table_19[[#This Row],[Sequence]],CHAR(160)," ")," ",""))))</f>
        <v/>
      </c>
      <c r="M17" s="21" t="n"/>
      <c r="N17" s="21">
        <f>IF($B17="","FALSE","TRUE")</f>
        <v/>
      </c>
      <c r="O17">
        <f t="array" ref="O17">IsURL(Table_121215[[#This Row],[Data Source]])</f>
        <v/>
      </c>
      <c r="P17">
        <f t="array" ref="P17">IsURL(Table_121215[[#This Row],[DOI]])</f>
        <v/>
      </c>
      <c r="Q17">
        <f t="array" ref="Q17">IsURL(Table_121215[[#This Row],[Data Source]])</f>
        <v/>
      </c>
      <c r="R17">
        <f t="array" ref="R17">IsURL(Table_121215[[#This Row],[Data Source]])</f>
        <v/>
      </c>
    </row>
    <row r="18" ht="15.75" customHeight="1">
      <c r="A18">
        <f>IF(Table_19[[#This Row],[Part Name]]=0,"",Table_19[[#This Row],[Part Name]])</f>
        <v/>
      </c>
      <c r="K18">
        <f>LEN(TRIM(CLEAN(SUBSTITUTE(SUBSTITUTE(Table_19[[#This Row],[Sequence]],CHAR(160)," ")," ",""))))</f>
        <v/>
      </c>
      <c r="M18" s="21" t="n"/>
      <c r="N18" s="21">
        <f>IF($B18="","FALSE","TRUE")</f>
        <v/>
      </c>
      <c r="O18">
        <f t="array" ref="O18">IsURL(Table_121215[[#This Row],[Data Source]])</f>
        <v/>
      </c>
      <c r="P18">
        <f t="array" ref="P18">IsURL(Table_121215[[#This Row],[DOI]])</f>
        <v/>
      </c>
      <c r="Q18">
        <f t="array" ref="Q18">IsURL(Table_121215[[#This Row],[Data Source]])</f>
        <v/>
      </c>
      <c r="R18">
        <f t="array" ref="R18">IsURL(Table_121215[[#This Row],[Data Source]])</f>
        <v/>
      </c>
    </row>
    <row r="19" ht="15.75" customHeight="1">
      <c r="A19">
        <f>IF(Table_19[[#This Row],[Part Name]]=0,"",Table_19[[#This Row],[Part Name]])</f>
        <v/>
      </c>
      <c r="K19">
        <f>LEN(TRIM(CLEAN(SUBSTITUTE(SUBSTITUTE(Table_19[[#This Row],[Sequence]],CHAR(160)," ")," ",""))))</f>
        <v/>
      </c>
      <c r="M19" s="21" t="n"/>
      <c r="N19" s="21">
        <f>IF($B19="","FALSE","TRUE")</f>
        <v/>
      </c>
      <c r="O19">
        <f t="array" ref="O19">IsURL(Table_121215[[#This Row],[Data Source]])</f>
        <v/>
      </c>
      <c r="P19">
        <f t="array" ref="P19">IsURL(Table_121215[[#This Row],[DOI]])</f>
        <v/>
      </c>
      <c r="Q19">
        <f t="array" ref="Q19">IsURL(Table_121215[[#This Row],[Data Source]])</f>
        <v/>
      </c>
      <c r="R19">
        <f t="array" ref="R19">IsURL(Table_121215[[#This Row],[Data Source]])</f>
        <v/>
      </c>
    </row>
    <row r="20" ht="15.75" customHeight="1">
      <c r="A20">
        <f>IF(Table_19[[#This Row],[Part Name]]=0,"",Table_19[[#This Row],[Part Name]])</f>
        <v/>
      </c>
      <c r="K20">
        <f>LEN(TRIM(CLEAN(SUBSTITUTE(SUBSTITUTE(Table_19[[#This Row],[Sequence]],CHAR(160)," ")," ",""))))</f>
        <v/>
      </c>
      <c r="M20" s="21" t="n"/>
      <c r="N20" s="21">
        <f>IF($B20="","FALSE","TRUE")</f>
        <v/>
      </c>
      <c r="O20">
        <f t="array" ref="O20">IsURL(Table_121215[[#This Row],[Data Source]])</f>
        <v/>
      </c>
      <c r="P20">
        <f t="array" ref="P20">IsURL(Table_121215[[#This Row],[DOI]])</f>
        <v/>
      </c>
      <c r="Q20">
        <f t="array" ref="Q20">IsURL(Table_121215[[#This Row],[Data Source]])</f>
        <v/>
      </c>
      <c r="R20">
        <f t="array" ref="R20">IsURL(Table_121215[[#This Row],[Data Source]])</f>
        <v/>
      </c>
    </row>
    <row r="21" ht="15.75" customHeight="1">
      <c r="A21">
        <f>IF(Table_19[[#This Row],[Part Name]]=0,"",Table_19[[#This Row],[Part Name]])</f>
        <v/>
      </c>
      <c r="K21">
        <f>LEN(TRIM(CLEAN(SUBSTITUTE(SUBSTITUTE(Table_19[[#This Row],[Sequence]],CHAR(160)," ")," ",""))))</f>
        <v/>
      </c>
      <c r="M21" s="21" t="n"/>
      <c r="N21" s="21">
        <f>IF($B21="","FALSE","TRUE")</f>
        <v/>
      </c>
      <c r="O21">
        <f t="array" ref="O21">IsURL(Table_121215[[#This Row],[Data Source]])</f>
        <v/>
      </c>
      <c r="P21">
        <f t="array" ref="P21">IsURL(Table_121215[[#This Row],[DOI]])</f>
        <v/>
      </c>
      <c r="Q21">
        <f t="array" ref="Q21">IsURL(Table_121215[[#This Row],[Data Source]])</f>
        <v/>
      </c>
      <c r="R21">
        <f t="array" ref="R21">IsURL(Table_121215[[#This Row],[Data Source]])</f>
        <v/>
      </c>
    </row>
    <row r="22" ht="15.75" customHeight="1">
      <c r="A22">
        <f>IF(Table_19[[#This Row],[Part Name]]=0,"",Table_19[[#This Row],[Part Name]])</f>
        <v/>
      </c>
      <c r="K22">
        <f>LEN(TRIM(CLEAN(SUBSTITUTE(SUBSTITUTE(Table_19[[#This Row],[Sequence]],CHAR(160)," ")," ",""))))</f>
        <v/>
      </c>
      <c r="M22" s="21" t="n"/>
      <c r="N22" s="21">
        <f>IF($B22="","FALSE","TRUE")</f>
        <v/>
      </c>
      <c r="O22">
        <f t="array" ref="O22">IsURL(Table_121215[[#This Row],[Data Source]])</f>
        <v/>
      </c>
      <c r="P22">
        <f t="array" ref="P22">IsURL(Table_121215[[#This Row],[DOI]])</f>
        <v/>
      </c>
      <c r="Q22">
        <f t="array" ref="Q22">IsURL(Table_121215[[#This Row],[Data Source]])</f>
        <v/>
      </c>
      <c r="R22">
        <f t="array" ref="R22">IsURL(Table_121215[[#This Row],[Data Source]])</f>
        <v/>
      </c>
    </row>
    <row r="23" ht="15.75" customHeight="1">
      <c r="A23">
        <f>IF(Table_19[[#This Row],[Part Name]]=0,"",Table_19[[#This Row],[Part Name]])</f>
        <v/>
      </c>
      <c r="K23">
        <f>LEN(TRIM(CLEAN(SUBSTITUTE(SUBSTITUTE(Table_19[[#This Row],[Sequence]],CHAR(160)," ")," ",""))))</f>
        <v/>
      </c>
      <c r="M23" s="21" t="n"/>
      <c r="N23" s="21">
        <f>IF($B23="","FALSE","TRUE")</f>
        <v/>
      </c>
      <c r="O23">
        <f t="array" ref="O23">IsURL(Table_121215[[#This Row],[Data Source]])</f>
        <v/>
      </c>
      <c r="P23">
        <f t="array" ref="P23">IsURL(Table_121215[[#This Row],[DOI]])</f>
        <v/>
      </c>
      <c r="Q23">
        <f t="array" ref="Q23">IsURL(Table_121215[[#This Row],[Data Source]])</f>
        <v/>
      </c>
      <c r="R23">
        <f t="array" ref="R23">IsURL(Table_121215[[#This Row],[Data Source]])</f>
        <v/>
      </c>
    </row>
    <row r="24" ht="15.75" customHeight="1">
      <c r="A24">
        <f>IF(Table_19[[#This Row],[Part Name]]=0,"",Table_19[[#This Row],[Part Name]])</f>
        <v/>
      </c>
      <c r="K24">
        <f>LEN(TRIM(CLEAN(SUBSTITUTE(SUBSTITUTE(Table_19[[#This Row],[Sequence]],CHAR(160)," ")," ",""))))</f>
        <v/>
      </c>
      <c r="M24" s="21" t="n"/>
      <c r="N24" s="21">
        <f>IF($B24="","FALSE","TRUE")</f>
        <v/>
      </c>
      <c r="O24">
        <f t="array" ref="O24">IsURL(Table_121215[[#This Row],[Data Source]])</f>
        <v/>
      </c>
      <c r="P24">
        <f t="array" ref="P24">IsURL(Table_121215[[#This Row],[DOI]])</f>
        <v/>
      </c>
      <c r="Q24">
        <f t="array" ref="Q24">IsURL(Table_121215[[#This Row],[Data Source]])</f>
        <v/>
      </c>
      <c r="R24">
        <f t="array" ref="R24">IsURL(Table_121215[[#This Row],[Data Source]])</f>
        <v/>
      </c>
    </row>
    <row r="25" ht="15.75" customHeight="1">
      <c r="A25">
        <f>IF(Table_19[[#This Row],[Part Name]]=0,"",Table_19[[#This Row],[Part Name]])</f>
        <v/>
      </c>
      <c r="K25">
        <f>LEN(TRIM(CLEAN(SUBSTITUTE(SUBSTITUTE(Table_19[[#This Row],[Sequence]],CHAR(160)," ")," ",""))))</f>
        <v/>
      </c>
      <c r="M25" s="21" t="n"/>
      <c r="N25" s="21">
        <f>IF($B25="","FALSE","TRUE")</f>
        <v/>
      </c>
      <c r="O25">
        <f t="array" ref="O25">IsURL(Table_121215[[#This Row],[Data Source]])</f>
        <v/>
      </c>
      <c r="P25">
        <f t="array" ref="P25">IsURL(Table_121215[[#This Row],[DOI]])</f>
        <v/>
      </c>
      <c r="Q25">
        <f t="array" ref="Q25">IsURL(Table_121215[[#This Row],[Data Source]])</f>
        <v/>
      </c>
      <c r="R25">
        <f t="array" ref="R25">IsURL(Table_121215[[#This Row],[Data Source]])</f>
        <v/>
      </c>
    </row>
    <row r="26" ht="15.75" customHeight="1">
      <c r="A26">
        <f>IF(Table_19[[#This Row],[Part Name]]=0,"",Table_19[[#This Row],[Part Name]])</f>
        <v/>
      </c>
      <c r="K26">
        <f>LEN(TRIM(CLEAN(SUBSTITUTE(SUBSTITUTE(Table_19[[#This Row],[Sequence]],CHAR(160)," ")," ",""))))</f>
        <v/>
      </c>
      <c r="M26" s="21" t="n"/>
      <c r="N26" s="21">
        <f>IF($B26="","FALSE","TRUE")</f>
        <v/>
      </c>
      <c r="O26">
        <f t="array" ref="O26">IsURL(Table_121215[[#This Row],[Data Source]])</f>
        <v/>
      </c>
      <c r="P26">
        <f t="array" ref="P26">IsURL(Table_121215[[#This Row],[DOI]])</f>
        <v/>
      </c>
      <c r="Q26">
        <f t="array" ref="Q26">IsURL(Table_121215[[#This Row],[Data Source]])</f>
        <v/>
      </c>
      <c r="R26">
        <f t="array" ref="R26">IsURL(Table_121215[[#This Row],[Data Source]])</f>
        <v/>
      </c>
    </row>
    <row r="27" ht="15.75" customHeight="1">
      <c r="A27">
        <f>IF(Table_19[[#This Row],[Part Name]]=0,"",Table_19[[#This Row],[Part Name]])</f>
        <v/>
      </c>
      <c r="K27">
        <f>LEN(TRIM(CLEAN(SUBSTITUTE(SUBSTITUTE(Table_19[[#This Row],[Sequence]],CHAR(160)," ")," ",""))))</f>
        <v/>
      </c>
      <c r="M27" s="21" t="n"/>
      <c r="N27" s="21">
        <f>IF($B27="","FALSE","TRUE")</f>
        <v/>
      </c>
      <c r="O27">
        <f t="array" ref="O27">IsURL(Table_121215[[#This Row],[Data Source]])</f>
        <v/>
      </c>
      <c r="P27">
        <f t="array" ref="P27">IsURL(Table_121215[[#This Row],[DOI]])</f>
        <v/>
      </c>
      <c r="Q27">
        <f t="array" ref="Q27">IsURL(Table_121215[[#This Row],[Data Source]])</f>
        <v/>
      </c>
      <c r="R27">
        <f t="array" ref="R27">IsURL(Table_121215[[#This Row],[Data Source]])</f>
        <v/>
      </c>
    </row>
    <row r="28" ht="15.75" customHeight="1">
      <c r="A28">
        <f>IF(Table_19[[#This Row],[Part Name]]=0,"",Table_19[[#This Row],[Part Name]])</f>
        <v/>
      </c>
      <c r="K28">
        <f>LEN(TRIM(CLEAN(SUBSTITUTE(SUBSTITUTE(Table_19[[#This Row],[Sequence]],CHAR(160)," ")," ",""))))</f>
        <v/>
      </c>
      <c r="M28" s="21" t="n"/>
      <c r="N28" s="21">
        <f>IF($B28="","FALSE","TRUE")</f>
        <v/>
      </c>
      <c r="O28">
        <f t="array" ref="O28">IsURL(Table_121215[[#This Row],[Data Source]])</f>
        <v/>
      </c>
      <c r="P28">
        <f t="array" ref="P28">IsURL(Table_121215[[#This Row],[DOI]])</f>
        <v/>
      </c>
      <c r="Q28">
        <f t="array" ref="Q28">IsURL(Table_121215[[#This Row],[Data Source]])</f>
        <v/>
      </c>
      <c r="R28">
        <f t="array" ref="R28">IsURL(Table_121215[[#This Row],[Data Source]])</f>
        <v/>
      </c>
    </row>
    <row r="29" ht="15.75" customHeight="1">
      <c r="A29">
        <f>IF(Table_19[[#This Row],[Part Name]]=0,"",Table_19[[#This Row],[Part Name]])</f>
        <v/>
      </c>
      <c r="K29">
        <f>LEN(TRIM(CLEAN(SUBSTITUTE(SUBSTITUTE(Table_19[[#This Row],[Sequence]],CHAR(160)," ")," ",""))))</f>
        <v/>
      </c>
      <c r="M29" s="21" t="n"/>
      <c r="N29" s="21">
        <f>IF($B29="","FALSE","TRUE")</f>
        <v/>
      </c>
      <c r="O29">
        <f t="array" ref="O29">IsURL(Table_121215[[#This Row],[Data Source]])</f>
        <v/>
      </c>
      <c r="P29">
        <f t="array" ref="P29">IsURL(Table_121215[[#This Row],[DOI]])</f>
        <v/>
      </c>
      <c r="Q29">
        <f t="array" ref="Q29">IsURL(Table_121215[[#This Row],[Data Source]])</f>
        <v/>
      </c>
      <c r="R29">
        <f t="array" ref="R29">IsURL(Table_121215[[#This Row],[Data Source]])</f>
        <v/>
      </c>
    </row>
    <row r="30" ht="15.75" customHeight="1">
      <c r="A30">
        <f>IF(Table_19[[#This Row],[Part Name]]=0,"",Table_19[[#This Row],[Part Name]])</f>
        <v/>
      </c>
      <c r="K30">
        <f>LEN(TRIM(CLEAN(SUBSTITUTE(SUBSTITUTE(Table_19[[#This Row],[Sequence]],CHAR(160)," ")," ",""))))</f>
        <v/>
      </c>
      <c r="M30" s="21" t="n"/>
      <c r="N30" s="21">
        <f>IF($B30="","FALSE","TRUE")</f>
        <v/>
      </c>
      <c r="O30">
        <f t="array" ref="O30">IsURL(Table_121215[[#This Row],[Data Source]])</f>
        <v/>
      </c>
      <c r="P30">
        <f t="array" ref="P30">IsURL(Table_121215[[#This Row],[DOI]])</f>
        <v/>
      </c>
      <c r="Q30">
        <f t="array" ref="Q30">IsURL(Table_121215[[#This Row],[Data Source]])</f>
        <v/>
      </c>
      <c r="R30">
        <f t="array" ref="R30">IsURL(Table_121215[[#This Row],[Data Source]])</f>
        <v/>
      </c>
    </row>
    <row r="31" ht="15.75" customHeight="1">
      <c r="A31">
        <f>IF(Table_19[[#This Row],[Part Name]]=0,"",Table_19[[#This Row],[Part Name]])</f>
        <v/>
      </c>
      <c r="K31">
        <f>LEN(TRIM(CLEAN(SUBSTITUTE(SUBSTITUTE(Table_19[[#This Row],[Sequence]],CHAR(160)," ")," ",""))))</f>
        <v/>
      </c>
      <c r="M31" s="21" t="n"/>
      <c r="N31" s="21">
        <f>IF($B31="","FALSE","TRUE")</f>
        <v/>
      </c>
      <c r="O31">
        <f t="array" ref="O31">IsURL(Table_121215[[#This Row],[Data Source]])</f>
        <v/>
      </c>
      <c r="P31">
        <f t="array" ref="P31">IsURL(Table_121215[[#This Row],[DOI]])</f>
        <v/>
      </c>
      <c r="Q31">
        <f t="array" ref="Q31">IsURL(Table_121215[[#This Row],[Data Source]])</f>
        <v/>
      </c>
      <c r="R31">
        <f t="array" ref="R31">IsURL(Table_121215[[#This Row],[Data Source]])</f>
        <v/>
      </c>
    </row>
    <row r="32" ht="15.75" customHeight="1">
      <c r="A32">
        <f>IF(Table_19[[#This Row],[Part Name]]=0,"",Table_19[[#This Row],[Part Name]])</f>
        <v/>
      </c>
      <c r="K32">
        <f>LEN(TRIM(CLEAN(SUBSTITUTE(SUBSTITUTE(Table_19[[#This Row],[Sequence]],CHAR(160)," ")," ",""))))</f>
        <v/>
      </c>
      <c r="M32" s="21" t="n"/>
      <c r="N32" s="21">
        <f>IF($B32="","FALSE","TRUE")</f>
        <v/>
      </c>
      <c r="O32">
        <f t="array" ref="O32">IsURL(Table_121215[[#This Row],[Data Source]])</f>
        <v/>
      </c>
      <c r="P32">
        <f t="array" ref="P32">IsURL(Table_121215[[#This Row],[DOI]])</f>
        <v/>
      </c>
      <c r="Q32">
        <f t="array" ref="Q32">IsURL(Table_121215[[#This Row],[Data Source]])</f>
        <v/>
      </c>
      <c r="R32">
        <f t="array" ref="R32">IsURL(Table_121215[[#This Row],[Data Source]])</f>
        <v/>
      </c>
    </row>
    <row r="33" ht="15.75" customHeight="1">
      <c r="A33">
        <f>IF(Table_19[[#This Row],[Part Name]]=0,"",Table_19[[#This Row],[Part Name]])</f>
        <v/>
      </c>
      <c r="K33">
        <f>LEN(TRIM(CLEAN(SUBSTITUTE(SUBSTITUTE(Table_19[[#This Row],[Sequence]],CHAR(160)," ")," ",""))))</f>
        <v/>
      </c>
      <c r="M33" s="21" t="n"/>
      <c r="N33" s="21">
        <f>IF($B33="","FALSE","TRUE")</f>
        <v/>
      </c>
      <c r="O33">
        <f t="array" ref="O33">IsURL(Table_121215[[#This Row],[Data Source]])</f>
        <v/>
      </c>
      <c r="P33">
        <f t="array" ref="P33">IsURL(Table_121215[[#This Row],[DOI]])</f>
        <v/>
      </c>
      <c r="Q33">
        <f t="array" ref="Q33">IsURL(Table_121215[[#This Row],[Data Source]])</f>
        <v/>
      </c>
      <c r="R33">
        <f t="array" ref="R33">IsURL(Table_121215[[#This Row],[Data Source]])</f>
        <v/>
      </c>
    </row>
    <row r="34" ht="15.75" customHeight="1">
      <c r="A34">
        <f>IF(Table_19[[#This Row],[Part Name]]=0,"",Table_19[[#This Row],[Part Name]])</f>
        <v/>
      </c>
      <c r="K34">
        <f>LEN(TRIM(CLEAN(SUBSTITUTE(SUBSTITUTE(Table_19[[#This Row],[Sequence]],CHAR(160)," ")," ",""))))</f>
        <v/>
      </c>
      <c r="M34" s="21" t="n"/>
      <c r="N34" s="21">
        <f>IF($B34="","FALSE","TRUE")</f>
        <v/>
      </c>
      <c r="O34">
        <f t="array" ref="O34">IsURL(Table_121215[[#This Row],[Data Source]])</f>
        <v/>
      </c>
      <c r="P34">
        <f t="array" ref="P34">IsURL(Table_121215[[#This Row],[DOI]])</f>
        <v/>
      </c>
      <c r="Q34">
        <f t="array" ref="Q34">IsURL(Table_121215[[#This Row],[Data Source]])</f>
        <v/>
      </c>
      <c r="R34">
        <f t="array" ref="R34">IsURL(Table_121215[[#This Row],[Data Source]])</f>
        <v/>
      </c>
    </row>
    <row r="35" ht="15.75" customHeight="1">
      <c r="A35">
        <f>IF(Table_19[[#This Row],[Part Name]]=0,"",Table_19[[#This Row],[Part Name]])</f>
        <v/>
      </c>
      <c r="K35">
        <f>LEN(TRIM(CLEAN(SUBSTITUTE(SUBSTITUTE(Table_19[[#This Row],[Sequence]],CHAR(160)," ")," ",""))))</f>
        <v/>
      </c>
      <c r="M35" s="21" t="n"/>
      <c r="N35" s="21">
        <f>IF($B35="","FALSE","TRUE")</f>
        <v/>
      </c>
      <c r="O35">
        <f t="array" ref="O35">IsURL(Table_121215[[#This Row],[Data Source]])</f>
        <v/>
      </c>
      <c r="P35">
        <f t="array" ref="P35">IsURL(Table_121215[[#This Row],[DOI]])</f>
        <v/>
      </c>
      <c r="Q35">
        <f t="array" ref="Q35">IsURL(Table_121215[[#This Row],[Data Source]])</f>
        <v/>
      </c>
      <c r="R35">
        <f t="array" ref="R35">IsURL(Table_121215[[#This Row],[Data Source]])</f>
        <v/>
      </c>
    </row>
    <row r="36" ht="15.75" customHeight="1">
      <c r="A36">
        <f>IF(Table_19[[#This Row],[Part Name]]=0,"",Table_19[[#This Row],[Part Name]])</f>
        <v/>
      </c>
      <c r="K36">
        <f>LEN(TRIM(CLEAN(SUBSTITUTE(SUBSTITUTE(Table_19[[#This Row],[Sequence]],CHAR(160)," ")," ",""))))</f>
        <v/>
      </c>
      <c r="M36" s="21" t="n"/>
      <c r="N36" s="21">
        <f>IF($B36="","FALSE","TRUE")</f>
        <v/>
      </c>
      <c r="O36">
        <f t="array" ref="O36">IsURL(Table_121215[[#This Row],[Data Source]])</f>
        <v/>
      </c>
      <c r="P36">
        <f t="array" ref="P36">IsURL(Table_121215[[#This Row],[DOI]])</f>
        <v/>
      </c>
      <c r="Q36">
        <f t="array" ref="Q36">IsURL(Table_121215[[#This Row],[Data Source]])</f>
        <v/>
      </c>
      <c r="R36">
        <f t="array" ref="R36">IsURL(Table_121215[[#This Row],[Data Source]])</f>
        <v/>
      </c>
    </row>
    <row r="37" ht="15.75" customHeight="1">
      <c r="A37">
        <f>IF(Table_19[[#This Row],[Part Name]]=0,"",Table_19[[#This Row],[Part Name]])</f>
        <v/>
      </c>
      <c r="K37">
        <f>LEN(TRIM(CLEAN(SUBSTITUTE(SUBSTITUTE(Table_19[[#This Row],[Sequence]],CHAR(160)," ")," ",""))))</f>
        <v/>
      </c>
      <c r="M37" s="21" t="n"/>
      <c r="N37" s="21">
        <f>IF($B37="","FALSE","TRUE")</f>
        <v/>
      </c>
      <c r="O37">
        <f t="array" ref="O37">IsURL(Table_121215[[#This Row],[Data Source]])</f>
        <v/>
      </c>
      <c r="P37">
        <f t="array" ref="P37">IsURL(Table_121215[[#This Row],[DOI]])</f>
        <v/>
      </c>
      <c r="Q37">
        <f t="array" ref="Q37">IsURL(Table_121215[[#This Row],[Data Source]])</f>
        <v/>
      </c>
      <c r="R37">
        <f t="array" ref="R37">IsURL(Table_121215[[#This Row],[Data Source]])</f>
        <v/>
      </c>
    </row>
    <row r="38" ht="15.75" customHeight="1">
      <c r="A38">
        <f>IF(Table_19[[#This Row],[Part Name]]=0,"",Table_19[[#This Row],[Part Name]])</f>
        <v/>
      </c>
      <c r="K38">
        <f>LEN(TRIM(CLEAN(SUBSTITUTE(SUBSTITUTE(Table_19[[#This Row],[Sequence]],CHAR(160)," ")," ",""))))</f>
        <v/>
      </c>
      <c r="M38" s="21" t="n"/>
      <c r="N38" s="21">
        <f>IF($B38="","FALSE","TRUE")</f>
        <v/>
      </c>
      <c r="O38">
        <f t="array" ref="O38">IsURL(Table_121215[[#This Row],[Data Source]])</f>
        <v/>
      </c>
      <c r="P38">
        <f t="array" ref="P38">IsURL(Table_121215[[#This Row],[DOI]])</f>
        <v/>
      </c>
      <c r="Q38">
        <f t="array" ref="Q38">IsURL(Table_121215[[#This Row],[Data Source]])</f>
        <v/>
      </c>
      <c r="R38">
        <f t="array" ref="R38">IsURL(Table_121215[[#This Row],[Data Source]])</f>
        <v/>
      </c>
    </row>
    <row r="39" ht="15.75" customHeight="1">
      <c r="A39">
        <f>IF(Table_19[[#This Row],[Part Name]]=0,"",Table_19[[#This Row],[Part Name]])</f>
        <v/>
      </c>
      <c r="K39">
        <f>LEN(TRIM(CLEAN(SUBSTITUTE(SUBSTITUTE(Table_19[[#This Row],[Sequence]],CHAR(160)," ")," ",""))))</f>
        <v/>
      </c>
      <c r="M39" s="21" t="n"/>
      <c r="N39" s="21">
        <f>IF($B39="","FALSE","TRUE")</f>
        <v/>
      </c>
      <c r="O39">
        <f t="array" ref="O39">IsURL(Table_121215[[#This Row],[Data Source]])</f>
        <v/>
      </c>
      <c r="P39">
        <f t="array" ref="P39">IsURL(Table_121215[[#This Row],[DOI]])</f>
        <v/>
      </c>
      <c r="Q39">
        <f t="array" ref="Q39">IsURL(Table_121215[[#This Row],[Data Source]])</f>
        <v/>
      </c>
      <c r="R39">
        <f t="array" ref="R39">IsURL(Table_121215[[#This Row],[Data Source]])</f>
        <v/>
      </c>
    </row>
    <row r="40" ht="15.75" customHeight="1">
      <c r="A40">
        <f>IF(Table_19[[#This Row],[Part Name]]=0,"",Table_19[[#This Row],[Part Name]])</f>
        <v/>
      </c>
      <c r="K40">
        <f>LEN(TRIM(CLEAN(SUBSTITUTE(SUBSTITUTE(Table_19[[#This Row],[Sequence]],CHAR(160)," ")," ",""))))</f>
        <v/>
      </c>
      <c r="M40" s="21" t="n"/>
      <c r="N40" s="21">
        <f>IF($B40="","FALSE","TRUE")</f>
        <v/>
      </c>
      <c r="O40">
        <f t="array" ref="O40">IsURL(Table_121215[[#This Row],[Data Source]])</f>
        <v/>
      </c>
      <c r="P40">
        <f t="array" ref="P40">IsURL(Table_121215[[#This Row],[DOI]])</f>
        <v/>
      </c>
      <c r="Q40">
        <f t="array" ref="Q40">IsURL(Table_121215[[#This Row],[Data Source]])</f>
        <v/>
      </c>
      <c r="R40">
        <f t="array" ref="R40">IsURL(Table_121215[[#This Row],[Data Source]])</f>
        <v/>
      </c>
    </row>
    <row r="41" ht="15.75" customHeight="1">
      <c r="A41">
        <f>IF(Table_19[[#This Row],[Part Name]]=0,"",Table_19[[#This Row],[Part Name]])</f>
        <v/>
      </c>
      <c r="K41">
        <f>LEN(TRIM(CLEAN(SUBSTITUTE(SUBSTITUTE(Table_19[[#This Row],[Sequence]],CHAR(160)," ")," ",""))))</f>
        <v/>
      </c>
      <c r="M41" s="21" t="n"/>
      <c r="N41" s="21">
        <f>IF($B41="","FALSE","TRUE")</f>
        <v/>
      </c>
      <c r="O41">
        <f t="array" ref="O41">IsURL(Table_121215[[#This Row],[Data Source]])</f>
        <v/>
      </c>
      <c r="P41">
        <f t="array" ref="P41">IsURL(Table_121215[[#This Row],[DOI]])</f>
        <v/>
      </c>
      <c r="Q41">
        <f t="array" ref="Q41">IsURL(Table_121215[[#This Row],[Data Source]])</f>
        <v/>
      </c>
      <c r="R41">
        <f t="array" ref="R41">IsURL(Table_121215[[#This Row],[Data Source]])</f>
        <v/>
      </c>
    </row>
    <row r="42" ht="15.75" customHeight="1">
      <c r="A42">
        <f>IF(Table_19[[#This Row],[Part Name]]=0,"",Table_19[[#This Row],[Part Name]])</f>
        <v/>
      </c>
      <c r="K42">
        <f>LEN(TRIM(CLEAN(SUBSTITUTE(SUBSTITUTE(Table_19[[#This Row],[Sequence]],CHAR(160)," ")," ",""))))</f>
        <v/>
      </c>
      <c r="M42" s="21" t="n"/>
      <c r="N42" s="21">
        <f>IF($B42="","FALSE","TRUE")</f>
        <v/>
      </c>
      <c r="O42">
        <f t="array" ref="O42">IsURL(Table_121215[[#This Row],[Data Source]])</f>
        <v/>
      </c>
      <c r="P42">
        <f t="array" ref="P42">IsURL(Table_121215[[#This Row],[DOI]])</f>
        <v/>
      </c>
      <c r="Q42">
        <f t="array" ref="Q42">IsURL(Table_121215[[#This Row],[Data Source]])</f>
        <v/>
      </c>
      <c r="R42">
        <f t="array" ref="R42">IsURL(Table_121215[[#This Row],[Data Source]])</f>
        <v/>
      </c>
    </row>
    <row r="43" ht="15.75" customHeight="1">
      <c r="A43">
        <f>IF(Table_19[[#This Row],[Part Name]]=0,"",Table_19[[#This Row],[Part Name]])</f>
        <v/>
      </c>
      <c r="K43">
        <f>LEN(TRIM(CLEAN(SUBSTITUTE(SUBSTITUTE(Table_19[[#This Row],[Sequence]],CHAR(160)," ")," ",""))))</f>
        <v/>
      </c>
      <c r="M43" s="21" t="n"/>
      <c r="N43" s="21">
        <f>IF($B43="","FALSE","TRUE")</f>
        <v/>
      </c>
      <c r="O43">
        <f t="array" ref="O43">IsURL(Table_121215[[#This Row],[Data Source]])</f>
        <v/>
      </c>
      <c r="P43">
        <f t="array" ref="P43">IsURL(Table_121215[[#This Row],[DOI]])</f>
        <v/>
      </c>
      <c r="Q43">
        <f t="array" ref="Q43">IsURL(Table_121215[[#This Row],[Data Source]])</f>
        <v/>
      </c>
      <c r="R43">
        <f t="array" ref="R43">IsURL(Table_121215[[#This Row],[Data Source]])</f>
        <v/>
      </c>
    </row>
    <row r="44" ht="15.75" customHeight="1">
      <c r="A44">
        <f>IF(Table_19[[#This Row],[Part Name]]=0,"",Table_19[[#This Row],[Part Name]])</f>
        <v/>
      </c>
      <c r="K44">
        <f>LEN(TRIM(CLEAN(SUBSTITUTE(SUBSTITUTE(Table_19[[#This Row],[Sequence]],CHAR(160)," ")," ",""))))</f>
        <v/>
      </c>
      <c r="M44" s="21" t="n"/>
      <c r="N44" s="21">
        <f>IF($B44="","FALSE","TRUE")</f>
        <v/>
      </c>
      <c r="O44">
        <f t="array" ref="O44">IsURL(Table_121215[[#This Row],[Data Source]])</f>
        <v/>
      </c>
      <c r="P44">
        <f t="array" ref="P44">IsURL(Table_121215[[#This Row],[DOI]])</f>
        <v/>
      </c>
      <c r="Q44">
        <f t="array" ref="Q44">IsURL(Table_121215[[#This Row],[Data Source]])</f>
        <v/>
      </c>
      <c r="R44">
        <f t="array" ref="R44">IsURL(Table_121215[[#This Row],[Data Source]])</f>
        <v/>
      </c>
    </row>
    <row r="45" ht="15.75" customHeight="1">
      <c r="A45">
        <f>IF(Table_19[[#This Row],[Part Name]]=0,"",Table_19[[#This Row],[Part Name]])</f>
        <v/>
      </c>
      <c r="K45">
        <f>LEN(TRIM(CLEAN(SUBSTITUTE(SUBSTITUTE(Table_19[[#This Row],[Sequence]],CHAR(160)," ")," ",""))))</f>
        <v/>
      </c>
      <c r="M45" s="21" t="n"/>
      <c r="N45" s="21">
        <f>IF($B45="","FALSE","TRUE")</f>
        <v/>
      </c>
      <c r="O45">
        <f t="array" ref="O45">IsURL(Table_121215[[#This Row],[Data Source]])</f>
        <v/>
      </c>
      <c r="P45">
        <f t="array" ref="P45">IsURL(Table_121215[[#This Row],[DOI]])</f>
        <v/>
      </c>
      <c r="Q45">
        <f t="array" ref="Q45">IsURL(Table_121215[[#This Row],[Data Source]])</f>
        <v/>
      </c>
      <c r="R45">
        <f t="array" ref="R45">IsURL(Table_121215[[#This Row],[Data Source]])</f>
        <v/>
      </c>
    </row>
    <row r="46" ht="15.75" customHeight="1">
      <c r="A46">
        <f>IF(Table_19[[#This Row],[Part Name]]=0,"",Table_19[[#This Row],[Part Name]])</f>
        <v/>
      </c>
      <c r="K46">
        <f>LEN(TRIM(CLEAN(SUBSTITUTE(SUBSTITUTE(Table_19[[#This Row],[Sequence]],CHAR(160)," ")," ",""))))</f>
        <v/>
      </c>
      <c r="M46" s="21" t="n"/>
      <c r="N46" s="21">
        <f>IF($B46="","FALSE","TRUE")</f>
        <v/>
      </c>
      <c r="O46">
        <f t="array" ref="O46">IsURL(Table_121215[[#This Row],[Data Source]])</f>
        <v/>
      </c>
      <c r="P46">
        <f t="array" ref="P46">IsURL(Table_121215[[#This Row],[DOI]])</f>
        <v/>
      </c>
      <c r="Q46">
        <f t="array" ref="Q46">IsURL(Table_121215[[#This Row],[Data Source]])</f>
        <v/>
      </c>
      <c r="R46">
        <f t="array" ref="R46">IsURL(Table_121215[[#This Row],[Data Source]])</f>
        <v/>
      </c>
    </row>
    <row r="47" ht="15.75" customHeight="1">
      <c r="A47">
        <f>IF(Table_19[[#This Row],[Part Name]]=0,"",Table_19[[#This Row],[Part Name]])</f>
        <v/>
      </c>
      <c r="K47">
        <f>LEN(TRIM(CLEAN(SUBSTITUTE(SUBSTITUTE(Table_19[[#This Row],[Sequence]],CHAR(160)," ")," ",""))))</f>
        <v/>
      </c>
      <c r="M47" s="21" t="n"/>
      <c r="N47" s="21">
        <f>IF($B47="","FALSE","TRUE")</f>
        <v/>
      </c>
      <c r="O47">
        <f t="array" ref="O47">IsURL(Table_121215[[#This Row],[Data Source]])</f>
        <v/>
      </c>
      <c r="P47">
        <f t="array" ref="P47">IsURL(Table_121215[[#This Row],[DOI]])</f>
        <v/>
      </c>
      <c r="Q47">
        <f t="array" ref="Q47">IsURL(Table_121215[[#This Row],[Data Source]])</f>
        <v/>
      </c>
      <c r="R47">
        <f t="array" ref="R47">IsURL(Table_121215[[#This Row],[Data Source]])</f>
        <v/>
      </c>
    </row>
    <row r="48" ht="15.75" customHeight="1">
      <c r="A48">
        <f>IF(Table_19[[#This Row],[Part Name]]=0,"",Table_19[[#This Row],[Part Name]])</f>
        <v/>
      </c>
      <c r="K48">
        <f>LEN(TRIM(CLEAN(SUBSTITUTE(SUBSTITUTE(Table_19[[#This Row],[Sequence]],CHAR(160)," ")," ",""))))</f>
        <v/>
      </c>
      <c r="M48" s="21" t="n"/>
      <c r="N48" s="21">
        <f>IF($B48="","FALSE","TRUE")</f>
        <v/>
      </c>
      <c r="O48">
        <f t="array" ref="O48">IsURL(Table_121215[[#This Row],[Data Source]])</f>
        <v/>
      </c>
      <c r="P48">
        <f t="array" ref="P48">IsURL(Table_121215[[#This Row],[DOI]])</f>
        <v/>
      </c>
      <c r="Q48">
        <f t="array" ref="Q48">IsURL(Table_121215[[#This Row],[Data Source]])</f>
        <v/>
      </c>
      <c r="R48">
        <f t="array" ref="R48">IsURL(Table_121215[[#This Row],[Data Source]])</f>
        <v/>
      </c>
    </row>
    <row r="49" ht="15.75" customHeight="1">
      <c r="A49">
        <f>IF(Table_19[[#This Row],[Part Name]]=0,"",Table_19[[#This Row],[Part Name]])</f>
        <v/>
      </c>
      <c r="K49">
        <f>LEN(TRIM(CLEAN(SUBSTITUTE(SUBSTITUTE(Table_19[[#This Row],[Sequence]],CHAR(160)," ")," ",""))))</f>
        <v/>
      </c>
      <c r="M49" s="21" t="n"/>
      <c r="N49" s="21">
        <f>IF($B49="","FALSE","TRUE")</f>
        <v/>
      </c>
      <c r="O49">
        <f t="array" ref="O49">IsURL(Table_121215[[#This Row],[Data Source]])</f>
        <v/>
      </c>
      <c r="P49">
        <f t="array" ref="P49">IsURL(Table_121215[[#This Row],[DOI]])</f>
        <v/>
      </c>
      <c r="Q49">
        <f t="array" ref="Q49">IsURL(Table_121215[[#This Row],[Data Source]])</f>
        <v/>
      </c>
      <c r="R49">
        <f t="array" ref="R49">IsURL(Table_121215[[#This Row],[Data Source]])</f>
        <v/>
      </c>
    </row>
    <row r="50" ht="15.75" customHeight="1">
      <c r="A50">
        <f>IF(Table_19[[#This Row],[Part Name]]=0,"",Table_19[[#This Row],[Part Name]])</f>
        <v/>
      </c>
      <c r="K50">
        <f>LEN(TRIM(CLEAN(SUBSTITUTE(SUBSTITUTE(Table_19[[#This Row],[Sequence]],CHAR(160)," ")," ",""))))</f>
        <v/>
      </c>
      <c r="M50" s="21" t="n"/>
      <c r="N50" s="21">
        <f>IF($B50="","FALSE","TRUE")</f>
        <v/>
      </c>
      <c r="O50">
        <f t="array" ref="O50">IsURL(Table_121215[[#This Row],[Data Source]])</f>
        <v/>
      </c>
      <c r="P50">
        <f t="array" ref="P50">IsURL(Table_121215[[#This Row],[DOI]])</f>
        <v/>
      </c>
      <c r="Q50">
        <f t="array" ref="Q50">IsURL(Table_121215[[#This Row],[Data Source]])</f>
        <v/>
      </c>
      <c r="R50">
        <f t="array" ref="R50">IsURL(Table_121215[[#This Row],[Data Source]])</f>
        <v/>
      </c>
    </row>
    <row r="51" ht="15.75" customHeight="1">
      <c r="A51">
        <f>IF(Table_19[[#This Row],[Part Name]]=0,"",Table_19[[#This Row],[Part Name]])</f>
        <v/>
      </c>
      <c r="K51">
        <f>LEN(TRIM(CLEAN(SUBSTITUTE(SUBSTITUTE(Table_19[[#This Row],[Sequence]],CHAR(160)," ")," ",""))))</f>
        <v/>
      </c>
      <c r="M51" s="21" t="n"/>
      <c r="N51" s="21">
        <f>IF($B51="","FALSE","TRUE")</f>
        <v/>
      </c>
      <c r="O51">
        <f t="array" ref="O51">IsURL(Table_121215[[#This Row],[Data Source]])</f>
        <v/>
      </c>
      <c r="P51">
        <f t="array" ref="P51">IsURL(Table_121215[[#This Row],[DOI]])</f>
        <v/>
      </c>
      <c r="Q51">
        <f t="array" ref="Q51">IsURL(Table_121215[[#This Row],[Data Source]])</f>
        <v/>
      </c>
      <c r="R51">
        <f t="array" ref="R51">IsURL(Table_121215[[#This Row],[Data Source]])</f>
        <v/>
      </c>
    </row>
    <row r="52" ht="15.75" customHeight="1">
      <c r="A52">
        <f>IF(Table_19[[#This Row],[Part Name]]=0,"",Table_19[[#This Row],[Part Name]])</f>
        <v/>
      </c>
      <c r="K52">
        <f>LEN(TRIM(CLEAN(SUBSTITUTE(SUBSTITUTE(Table_19[[#This Row],[Sequence]],CHAR(160)," ")," ",""))))</f>
        <v/>
      </c>
      <c r="M52" s="21" t="n"/>
      <c r="N52" s="21">
        <f>IF($B52="","FALSE","TRUE")</f>
        <v/>
      </c>
      <c r="O52">
        <f t="array" ref="O52">IsURL(Table_121215[[#This Row],[Data Source]])</f>
        <v/>
      </c>
      <c r="P52">
        <f t="array" ref="P52">IsURL(Table_121215[[#This Row],[DOI]])</f>
        <v/>
      </c>
      <c r="Q52">
        <f t="array" ref="Q52">IsURL(Table_121215[[#This Row],[Data Source]])</f>
        <v/>
      </c>
      <c r="R52">
        <f t="array" ref="R52">IsURL(Table_121215[[#This Row],[Data Source]])</f>
        <v/>
      </c>
    </row>
    <row r="53" ht="15.75" customHeight="1">
      <c r="A53">
        <f>IF(Table_19[[#This Row],[Part Name]]=0,"",Table_19[[#This Row],[Part Name]])</f>
        <v/>
      </c>
      <c r="K53">
        <f>LEN(TRIM(CLEAN(SUBSTITUTE(SUBSTITUTE(Table_19[[#This Row],[Sequence]],CHAR(160)," ")," ",""))))</f>
        <v/>
      </c>
      <c r="M53" s="21" t="n"/>
      <c r="N53" s="21">
        <f>IF($B53="","FALSE","TRUE")</f>
        <v/>
      </c>
      <c r="O53">
        <f t="array" ref="O53">IsURL(Table_121215[[#This Row],[Data Source]])</f>
        <v/>
      </c>
      <c r="P53">
        <f t="array" ref="P53">IsURL(Table_121215[[#This Row],[DOI]])</f>
        <v/>
      </c>
      <c r="Q53">
        <f t="array" ref="Q53">IsURL(Table_121215[[#This Row],[Data Source]])</f>
        <v/>
      </c>
      <c r="R53">
        <f t="array" ref="R53">IsURL(Table_121215[[#This Row],[Data Source]])</f>
        <v/>
      </c>
    </row>
    <row r="54" ht="15.75" customHeight="1">
      <c r="A54">
        <f>IF(Table_19[[#This Row],[Part Name]]=0,"",Table_19[[#This Row],[Part Name]])</f>
        <v/>
      </c>
      <c r="K54">
        <f>LEN(TRIM(CLEAN(SUBSTITUTE(SUBSTITUTE(Table_19[[#This Row],[Sequence]],CHAR(160)," ")," ",""))))</f>
        <v/>
      </c>
      <c r="M54" s="21" t="n"/>
      <c r="N54" s="21">
        <f>IF($B54="","FALSE","TRUE")</f>
        <v/>
      </c>
      <c r="O54">
        <f t="array" ref="O54">IsURL(Table_121215[[#This Row],[Data Source]])</f>
        <v/>
      </c>
      <c r="P54">
        <f t="array" ref="P54">IsURL(Table_121215[[#This Row],[DOI]])</f>
        <v/>
      </c>
      <c r="Q54">
        <f t="array" ref="Q54">IsURL(Table_121215[[#This Row],[Data Source]])</f>
        <v/>
      </c>
      <c r="R54">
        <f t="array" ref="R54">IsURL(Table_121215[[#This Row],[Data Source]])</f>
        <v/>
      </c>
    </row>
    <row r="55" ht="15.75" customHeight="1">
      <c r="A55">
        <f>IF(Table_19[[#This Row],[Part Name]]=0,"",Table_19[[#This Row],[Part Name]])</f>
        <v/>
      </c>
      <c r="K55">
        <f>LEN(TRIM(CLEAN(SUBSTITUTE(SUBSTITUTE(Table_19[[#This Row],[Sequence]],CHAR(160)," ")," ",""))))</f>
        <v/>
      </c>
      <c r="M55" s="21" t="n"/>
      <c r="N55" s="21">
        <f>IF($B55="","FALSE","TRUE")</f>
        <v/>
      </c>
      <c r="O55">
        <f t="array" ref="O55">IsURL(Table_121215[[#This Row],[Data Source]])</f>
        <v/>
      </c>
      <c r="P55">
        <f t="array" ref="P55">IsURL(Table_121215[[#This Row],[DOI]])</f>
        <v/>
      </c>
      <c r="Q55">
        <f t="array" ref="Q55">IsURL(Table_121215[[#This Row],[Data Source]])</f>
        <v/>
      </c>
      <c r="R55">
        <f t="array" ref="R55">IsURL(Table_121215[[#This Row],[Data Source]])</f>
        <v/>
      </c>
    </row>
    <row r="56" ht="15.75" customHeight="1">
      <c r="A56">
        <f>IF(Table_19[[#This Row],[Part Name]]=0,"",Table_19[[#This Row],[Part Name]])</f>
        <v/>
      </c>
      <c r="K56">
        <f>LEN(TRIM(CLEAN(SUBSTITUTE(SUBSTITUTE(Table_19[[#This Row],[Sequence]],CHAR(160)," ")," ",""))))</f>
        <v/>
      </c>
      <c r="M56" s="21" t="n"/>
      <c r="N56" s="21">
        <f>IF($B56="","FALSE","TRUE")</f>
        <v/>
      </c>
      <c r="O56">
        <f t="array" ref="O56">IsURL(Table_121215[[#This Row],[Data Source]])</f>
        <v/>
      </c>
      <c r="P56">
        <f t="array" ref="P56">IsURL(Table_121215[[#This Row],[DOI]])</f>
        <v/>
      </c>
      <c r="Q56">
        <f t="array" ref="Q56">IsURL(Table_121215[[#This Row],[Data Source]])</f>
        <v/>
      </c>
      <c r="R56">
        <f t="array" ref="R56">IsURL(Table_121215[[#This Row],[Data Source]])</f>
        <v/>
      </c>
    </row>
    <row r="57" ht="15.75" customHeight="1">
      <c r="A57">
        <f>IF(Table_19[[#This Row],[Part Name]]=0,"",Table_19[[#This Row],[Part Name]])</f>
        <v/>
      </c>
      <c r="K57">
        <f>LEN(TRIM(CLEAN(SUBSTITUTE(SUBSTITUTE(Table_19[[#This Row],[Sequence]],CHAR(160)," ")," ",""))))</f>
        <v/>
      </c>
      <c r="M57" s="21" t="n"/>
      <c r="N57" s="21">
        <f>IF($B57="","FALSE","TRUE")</f>
        <v/>
      </c>
      <c r="O57">
        <f t="array" ref="O57">IsURL(Table_121215[[#This Row],[Data Source]])</f>
        <v/>
      </c>
      <c r="P57">
        <f t="array" ref="P57">IsURL(Table_121215[[#This Row],[DOI]])</f>
        <v/>
      </c>
      <c r="Q57">
        <f t="array" ref="Q57">IsURL(Table_121215[[#This Row],[Data Source]])</f>
        <v/>
      </c>
      <c r="R57">
        <f t="array" ref="R57">IsURL(Table_121215[[#This Row],[Data Source]])</f>
        <v/>
      </c>
    </row>
    <row r="58" ht="15.75" customHeight="1">
      <c r="A58">
        <f>IF(Table_19[[#This Row],[Part Name]]=0,"",Table_19[[#This Row],[Part Name]])</f>
        <v/>
      </c>
      <c r="K58">
        <f>LEN(TRIM(CLEAN(SUBSTITUTE(SUBSTITUTE(Table_19[[#This Row],[Sequence]],CHAR(160)," ")," ",""))))</f>
        <v/>
      </c>
      <c r="M58" s="21" t="n"/>
      <c r="N58" s="21">
        <f>IF($B58="","FALSE","TRUE")</f>
        <v/>
      </c>
      <c r="O58">
        <f t="array" ref="O58">IsURL(Table_121215[[#This Row],[Data Source]])</f>
        <v/>
      </c>
      <c r="P58">
        <f t="array" ref="P58">IsURL(Table_121215[[#This Row],[DOI]])</f>
        <v/>
      </c>
      <c r="Q58">
        <f t="array" ref="Q58">IsURL(Table_121215[[#This Row],[Data Source]])</f>
        <v/>
      </c>
      <c r="R58">
        <f t="array" ref="R58">IsURL(Table_121215[[#This Row],[Data Source]])</f>
        <v/>
      </c>
    </row>
    <row r="59" ht="15.75" customHeight="1">
      <c r="A59">
        <f>IF(Table_19[[#This Row],[Part Name]]=0,"",Table_19[[#This Row],[Part Name]])</f>
        <v/>
      </c>
      <c r="K59">
        <f>LEN(TRIM(CLEAN(SUBSTITUTE(SUBSTITUTE(Table_19[[#This Row],[Sequence]],CHAR(160)," ")," ",""))))</f>
        <v/>
      </c>
      <c r="M59" s="21" t="n"/>
      <c r="N59" s="21">
        <f>IF($B59="","FALSE","TRUE")</f>
        <v/>
      </c>
      <c r="O59">
        <f t="array" ref="O59">IsURL(Table_121215[[#This Row],[Data Source]])</f>
        <v/>
      </c>
      <c r="P59">
        <f t="array" ref="P59">IsURL(Table_121215[[#This Row],[DOI]])</f>
        <v/>
      </c>
      <c r="Q59">
        <f t="array" ref="Q59">IsURL(Table_121215[[#This Row],[Data Source]])</f>
        <v/>
      </c>
      <c r="R59">
        <f t="array" ref="R59">IsURL(Table_121215[[#This Row],[Data Source]])</f>
        <v/>
      </c>
    </row>
    <row r="60" ht="15.75" customHeight="1">
      <c r="A60">
        <f>IF(Table_19[[#This Row],[Part Name]]=0,"",Table_19[[#This Row],[Part Name]])</f>
        <v/>
      </c>
      <c r="K60">
        <f>LEN(TRIM(CLEAN(SUBSTITUTE(SUBSTITUTE(Table_19[[#This Row],[Sequence]],CHAR(160)," ")," ",""))))</f>
        <v/>
      </c>
      <c r="M60" s="21" t="n"/>
      <c r="N60" s="21">
        <f>IF($B60="","FALSE","TRUE")</f>
        <v/>
      </c>
      <c r="O60">
        <f t="array" ref="O60">IsURL(Table_121215[[#This Row],[Data Source]])</f>
        <v/>
      </c>
      <c r="P60">
        <f t="array" ref="P60">IsURL(Table_121215[[#This Row],[DOI]])</f>
        <v/>
      </c>
      <c r="Q60">
        <f t="array" ref="Q60">IsURL(Table_121215[[#This Row],[Data Source]])</f>
        <v/>
      </c>
      <c r="R60">
        <f t="array" ref="R60">IsURL(Table_121215[[#This Row],[Data Source]])</f>
        <v/>
      </c>
    </row>
    <row r="61" ht="15.75" customHeight="1">
      <c r="A61">
        <f>IF(Table_19[[#This Row],[Part Name]]=0,"",Table_19[[#This Row],[Part Name]])</f>
        <v/>
      </c>
      <c r="K61">
        <f>LEN(TRIM(CLEAN(SUBSTITUTE(SUBSTITUTE(Table_19[[#This Row],[Sequence]],CHAR(160)," ")," ",""))))</f>
        <v/>
      </c>
      <c r="M61" s="21" t="n"/>
      <c r="N61" s="21">
        <f>IF($B61="","FALSE","TRUE")</f>
        <v/>
      </c>
      <c r="O61">
        <f t="array" ref="O61">IsURL(Table_121215[[#This Row],[Data Source]])</f>
        <v/>
      </c>
      <c r="P61">
        <f t="array" ref="P61">IsURL(Table_121215[[#This Row],[DOI]])</f>
        <v/>
      </c>
      <c r="Q61">
        <f t="array" ref="Q61">IsURL(Table_121215[[#This Row],[Data Source]])</f>
        <v/>
      </c>
      <c r="R61">
        <f t="array" ref="R61">IsURL(Table_121215[[#This Row],[Data Source]])</f>
        <v/>
      </c>
    </row>
    <row r="62" ht="15.75" customHeight="1">
      <c r="A62">
        <f>IF(Table_19[[#This Row],[Part Name]]=0,"",Table_19[[#This Row],[Part Name]])</f>
        <v/>
      </c>
      <c r="K62">
        <f>LEN(TRIM(CLEAN(SUBSTITUTE(SUBSTITUTE(Table_19[[#This Row],[Sequence]],CHAR(160)," ")," ",""))))</f>
        <v/>
      </c>
      <c r="M62" s="21" t="n"/>
      <c r="N62" s="21">
        <f>IF($B62="","FALSE","TRUE")</f>
        <v/>
      </c>
      <c r="O62">
        <f t="array" ref="O62">IsURL(Table_121215[[#This Row],[Data Source]])</f>
        <v/>
      </c>
      <c r="P62">
        <f t="array" ref="P62">IsURL(Table_121215[[#This Row],[DOI]])</f>
        <v/>
      </c>
      <c r="Q62">
        <f t="array" ref="Q62">IsURL(Table_121215[[#This Row],[Data Source]])</f>
        <v/>
      </c>
      <c r="R62">
        <f t="array" ref="R62">IsURL(Table_121215[[#This Row],[Data Source]])</f>
        <v/>
      </c>
    </row>
    <row r="63" ht="15.75" customHeight="1">
      <c r="A63">
        <f>IF(Table_19[[#This Row],[Part Name]]=0,"",Table_19[[#This Row],[Part Name]])</f>
        <v/>
      </c>
      <c r="K63">
        <f>LEN(TRIM(CLEAN(SUBSTITUTE(SUBSTITUTE(Table_19[[#This Row],[Sequence]],CHAR(160)," ")," ",""))))</f>
        <v/>
      </c>
      <c r="M63" s="21" t="n"/>
      <c r="N63" s="21">
        <f>IF($B63="","FALSE","TRUE")</f>
        <v/>
      </c>
      <c r="O63">
        <f t="array" ref="O63">IsURL(Table_121215[[#This Row],[Data Source]])</f>
        <v/>
      </c>
      <c r="P63">
        <f t="array" ref="P63">IsURL(Table_121215[[#This Row],[DOI]])</f>
        <v/>
      </c>
      <c r="Q63">
        <f t="array" ref="Q63">IsURL(Table_121215[[#This Row],[Data Source]])</f>
        <v/>
      </c>
      <c r="R63">
        <f t="array" ref="R63">IsURL(Table_121215[[#This Row],[Data Source]])</f>
        <v/>
      </c>
    </row>
    <row r="64" ht="15.75" customHeight="1">
      <c r="A64">
        <f>IF(Table_19[[#This Row],[Part Name]]=0,"",Table_19[[#This Row],[Part Name]])</f>
        <v/>
      </c>
      <c r="K64">
        <f>LEN(TRIM(CLEAN(SUBSTITUTE(SUBSTITUTE(Table_19[[#This Row],[Sequence]],CHAR(160)," ")," ",""))))</f>
        <v/>
      </c>
      <c r="M64" s="21" t="n"/>
      <c r="N64" s="21">
        <f>IF($B64="","FALSE","TRUE")</f>
        <v/>
      </c>
      <c r="O64">
        <f t="array" ref="O64">IsURL(Table_121215[[#This Row],[Data Source]])</f>
        <v/>
      </c>
      <c r="P64">
        <f t="array" ref="P64">IsURL(Table_121215[[#This Row],[DOI]])</f>
        <v/>
      </c>
      <c r="Q64">
        <f t="array" ref="Q64">IsURL(Table_121215[[#This Row],[Data Source]])</f>
        <v/>
      </c>
      <c r="R64">
        <f t="array" ref="R64">IsURL(Table_121215[[#This Row],[Data Source]])</f>
        <v/>
      </c>
    </row>
    <row r="65" ht="15.75" customHeight="1">
      <c r="A65">
        <f>IF(Table_19[[#This Row],[Part Name]]=0,"",Table_19[[#This Row],[Part Name]])</f>
        <v/>
      </c>
      <c r="K65">
        <f>LEN(TRIM(CLEAN(SUBSTITUTE(SUBSTITUTE(Table_19[[#This Row],[Sequence]],CHAR(160)," ")," ",""))))</f>
        <v/>
      </c>
      <c r="M65" s="21" t="n"/>
      <c r="N65" s="21">
        <f>IF($B65="","FALSE","TRUE")</f>
        <v/>
      </c>
      <c r="O65">
        <f t="array" ref="O65">IsURL(Table_121215[[#This Row],[Data Source]])</f>
        <v/>
      </c>
      <c r="P65">
        <f t="array" ref="P65">IsURL(Table_121215[[#This Row],[DOI]])</f>
        <v/>
      </c>
      <c r="Q65">
        <f t="array" ref="Q65">IsURL(Table_121215[[#This Row],[Data Source]])</f>
        <v/>
      </c>
      <c r="R65">
        <f t="array" ref="R65">IsURL(Table_121215[[#This Row],[Data Source]])</f>
        <v/>
      </c>
    </row>
    <row r="66" ht="15.75" customHeight="1">
      <c r="A66">
        <f>IF(Table_19[[#This Row],[Part Name]]=0,"",Table_19[[#This Row],[Part Name]])</f>
        <v/>
      </c>
      <c r="K66">
        <f>LEN(TRIM(CLEAN(SUBSTITUTE(SUBSTITUTE(Table_19[[#This Row],[Sequence]],CHAR(160)," ")," ",""))))</f>
        <v/>
      </c>
      <c r="M66" s="21" t="n"/>
      <c r="N66" s="21">
        <f>IF($B66="","FALSE","TRUE")</f>
        <v/>
      </c>
      <c r="O66">
        <f t="array" ref="O66">IsURL(Table_121215[[#This Row],[Data Source]])</f>
        <v/>
      </c>
      <c r="P66">
        <f t="array" ref="P66">IsURL(Table_121215[[#This Row],[DOI]])</f>
        <v/>
      </c>
      <c r="Q66">
        <f t="array" ref="Q66">IsURL(Table_121215[[#This Row],[Data Source]])</f>
        <v/>
      </c>
      <c r="R66">
        <f t="array" ref="R66">IsURL(Table_121215[[#This Row],[Data Source]])</f>
        <v/>
      </c>
    </row>
    <row r="67" ht="15.75" customHeight="1">
      <c r="A67">
        <f>IF(Table_19[[#This Row],[Part Name]]=0,"",Table_19[[#This Row],[Part Name]])</f>
        <v/>
      </c>
      <c r="K67">
        <f>LEN(TRIM(CLEAN(SUBSTITUTE(SUBSTITUTE(Table_19[[#This Row],[Sequence]],CHAR(160)," ")," ",""))))</f>
        <v/>
      </c>
      <c r="M67" s="21" t="n"/>
      <c r="N67" s="21">
        <f>IF($B67="","FALSE","TRUE")</f>
        <v/>
      </c>
      <c r="O67">
        <f t="array" ref="O67">IsURL(Table_121215[[#This Row],[Data Source]])</f>
        <v/>
      </c>
      <c r="P67">
        <f t="array" ref="P67">IsURL(Table_121215[[#This Row],[DOI]])</f>
        <v/>
      </c>
      <c r="Q67">
        <f t="array" ref="Q67">IsURL(Table_121215[[#This Row],[Data Source]])</f>
        <v/>
      </c>
      <c r="R67">
        <f t="array" ref="R67">IsURL(Table_121215[[#This Row],[Data Source]])</f>
        <v/>
      </c>
    </row>
    <row r="68" ht="15.75" customHeight="1">
      <c r="A68">
        <f>IF(Table_19[[#This Row],[Part Name]]=0,"",Table_19[[#This Row],[Part Name]])</f>
        <v/>
      </c>
      <c r="K68">
        <f>LEN(TRIM(CLEAN(SUBSTITUTE(SUBSTITUTE(Table_19[[#This Row],[Sequence]],CHAR(160)," ")," ",""))))</f>
        <v/>
      </c>
      <c r="M68" s="21" t="n"/>
      <c r="N68" s="21">
        <f>IF($B68="","FALSE","TRUE")</f>
        <v/>
      </c>
      <c r="O68">
        <f t="array" ref="O68">IsURL(Table_121215[[#This Row],[Data Source]])</f>
        <v/>
      </c>
      <c r="P68">
        <f t="array" ref="P68">IsURL(Table_121215[[#This Row],[DOI]])</f>
        <v/>
      </c>
      <c r="Q68">
        <f t="array" ref="Q68">IsURL(Table_121215[[#This Row],[Data Source]])</f>
        <v/>
      </c>
      <c r="R68">
        <f t="array" ref="R68">IsURL(Table_121215[[#This Row],[Data Source]])</f>
        <v/>
      </c>
    </row>
    <row r="69" ht="15.75" customHeight="1">
      <c r="A69">
        <f>IF(Table_19[[#This Row],[Part Name]]=0,"",Table_19[[#This Row],[Part Name]])</f>
        <v/>
      </c>
      <c r="K69">
        <f>LEN(TRIM(CLEAN(SUBSTITUTE(SUBSTITUTE(Table_19[[#This Row],[Sequence]],CHAR(160)," ")," ",""))))</f>
        <v/>
      </c>
      <c r="M69" s="21" t="n"/>
      <c r="N69" s="21">
        <f>IF($B69="","FALSE","TRUE")</f>
        <v/>
      </c>
      <c r="O69">
        <f t="array" ref="O69">IsURL(Table_121215[[#This Row],[Data Source]])</f>
        <v/>
      </c>
      <c r="P69">
        <f t="array" ref="P69">IsURL(Table_121215[[#This Row],[DOI]])</f>
        <v/>
      </c>
      <c r="Q69">
        <f t="array" ref="Q69">IsURL(Table_121215[[#This Row],[Data Source]])</f>
        <v/>
      </c>
      <c r="R69">
        <f t="array" ref="R69">IsURL(Table_121215[[#This Row],[Data Source]])</f>
        <v/>
      </c>
    </row>
    <row r="70" ht="15.75" customHeight="1">
      <c r="A70">
        <f>IF(Table_19[[#This Row],[Part Name]]=0,"",Table_19[[#This Row],[Part Name]])</f>
        <v/>
      </c>
      <c r="K70">
        <f>LEN(TRIM(CLEAN(SUBSTITUTE(SUBSTITUTE(Table_19[[#This Row],[Sequence]],CHAR(160)," ")," ",""))))</f>
        <v/>
      </c>
      <c r="M70" s="21" t="n"/>
      <c r="N70" s="21">
        <f>IF($B70="","FALSE","TRUE")</f>
        <v/>
      </c>
      <c r="O70">
        <f t="array" ref="O70">IsURL(Table_121215[[#This Row],[Data Source]])</f>
        <v/>
      </c>
      <c r="P70">
        <f t="array" ref="P70">IsURL(Table_121215[[#This Row],[DOI]])</f>
        <v/>
      </c>
      <c r="Q70">
        <f t="array" ref="Q70">IsURL(Table_121215[[#This Row],[Data Source]])</f>
        <v/>
      </c>
      <c r="R70">
        <f t="array" ref="R70">IsURL(Table_121215[[#This Row],[Data Source]])</f>
        <v/>
      </c>
    </row>
    <row r="71" ht="15.75" customHeight="1">
      <c r="A71">
        <f>IF(Table_19[[#This Row],[Part Name]]=0,"",Table_19[[#This Row],[Part Name]])</f>
        <v/>
      </c>
      <c r="K71">
        <f>LEN(TRIM(CLEAN(SUBSTITUTE(SUBSTITUTE(Table_19[[#This Row],[Sequence]],CHAR(160)," ")," ",""))))</f>
        <v/>
      </c>
      <c r="M71" s="21" t="n"/>
      <c r="N71" s="21">
        <f>IF($B71="","FALSE","TRUE")</f>
        <v/>
      </c>
      <c r="O71">
        <f t="array" ref="O71">IsURL(Table_121215[[#This Row],[Data Source]])</f>
        <v/>
      </c>
      <c r="P71">
        <f t="array" ref="P71">IsURL(Table_121215[[#This Row],[DOI]])</f>
        <v/>
      </c>
      <c r="Q71">
        <f t="array" ref="Q71">IsURL(Table_121215[[#This Row],[Data Source]])</f>
        <v/>
      </c>
      <c r="R71">
        <f t="array" ref="R71">IsURL(Table_121215[[#This Row],[Data Source]])</f>
        <v/>
      </c>
    </row>
    <row r="72" ht="15.75" customHeight="1">
      <c r="A72">
        <f>IF(Table_19[[#This Row],[Part Name]]=0,"",Table_19[[#This Row],[Part Name]])</f>
        <v/>
      </c>
      <c r="K72">
        <f>LEN(TRIM(CLEAN(SUBSTITUTE(SUBSTITUTE(Table_19[[#This Row],[Sequence]],CHAR(160)," ")," ",""))))</f>
        <v/>
      </c>
      <c r="M72" s="21" t="n"/>
      <c r="N72" s="21">
        <f>IF($B72="","FALSE","TRUE")</f>
        <v/>
      </c>
      <c r="O72">
        <f t="array" ref="O72">IsURL(Table_121215[[#This Row],[Data Source]])</f>
        <v/>
      </c>
      <c r="P72">
        <f t="array" ref="P72">IsURL(Table_121215[[#This Row],[DOI]])</f>
        <v/>
      </c>
      <c r="Q72">
        <f t="array" ref="Q72">IsURL(Table_121215[[#This Row],[Data Source]])</f>
        <v/>
      </c>
      <c r="R72">
        <f t="array" ref="R72">IsURL(Table_121215[[#This Row],[Data Source]])</f>
        <v/>
      </c>
    </row>
    <row r="73" ht="15.75" customHeight="1">
      <c r="A73">
        <f>IF(Table_19[[#This Row],[Part Name]]=0,"",Table_19[[#This Row],[Part Name]])</f>
        <v/>
      </c>
      <c r="K73">
        <f>LEN(TRIM(CLEAN(SUBSTITUTE(SUBSTITUTE(Table_19[[#This Row],[Sequence]],CHAR(160)," ")," ",""))))</f>
        <v/>
      </c>
      <c r="M73" s="21" t="n"/>
      <c r="N73" s="21">
        <f>IF($B73="","FALSE","TRUE")</f>
        <v/>
      </c>
      <c r="O73">
        <f t="array" ref="O73">IsURL(Table_121215[[#This Row],[Data Source]])</f>
        <v/>
      </c>
      <c r="P73">
        <f t="array" ref="P73">IsURL(Table_121215[[#This Row],[DOI]])</f>
        <v/>
      </c>
      <c r="Q73">
        <f t="array" ref="Q73">IsURL(Table_121215[[#This Row],[Data Source]])</f>
        <v/>
      </c>
      <c r="R73">
        <f t="array" ref="R73">IsURL(Table_121215[[#This Row],[Data Source]])</f>
        <v/>
      </c>
    </row>
    <row r="74" ht="15.75" customHeight="1">
      <c r="A74">
        <f>IF(Table_19[[#This Row],[Part Name]]=0,"",Table_19[[#This Row],[Part Name]])</f>
        <v/>
      </c>
      <c r="K74">
        <f>LEN(TRIM(CLEAN(SUBSTITUTE(SUBSTITUTE(Table_19[[#This Row],[Sequence]],CHAR(160)," ")," ",""))))</f>
        <v/>
      </c>
      <c r="M74" s="21" t="n"/>
      <c r="N74" s="21">
        <f>IF($B74="","FALSE","TRUE")</f>
        <v/>
      </c>
      <c r="O74">
        <f t="array" ref="O74">IsURL(Table_121215[[#This Row],[Data Source]])</f>
        <v/>
      </c>
      <c r="P74">
        <f t="array" ref="P74">IsURL(Table_121215[[#This Row],[DOI]])</f>
        <v/>
      </c>
      <c r="Q74">
        <f t="array" ref="Q74">IsURL(Table_121215[[#This Row],[Data Source]])</f>
        <v/>
      </c>
      <c r="R74">
        <f t="array" ref="R74">IsURL(Table_121215[[#This Row],[Data Source]])</f>
        <v/>
      </c>
    </row>
    <row r="75" ht="15.75" customHeight="1">
      <c r="A75">
        <f>IF(Table_19[[#This Row],[Part Name]]=0,"",Table_19[[#This Row],[Part Name]])</f>
        <v/>
      </c>
      <c r="K75">
        <f>LEN(TRIM(CLEAN(SUBSTITUTE(SUBSTITUTE(Table_19[[#This Row],[Sequence]],CHAR(160)," ")," ",""))))</f>
        <v/>
      </c>
      <c r="M75" s="21" t="n"/>
      <c r="N75" s="21">
        <f>IF($B75="","FALSE","TRUE")</f>
        <v/>
      </c>
      <c r="O75">
        <f t="array" ref="O75">IsURL(Table_121215[[#This Row],[Data Source]])</f>
        <v/>
      </c>
      <c r="P75">
        <f t="array" ref="P75">IsURL(Table_121215[[#This Row],[DOI]])</f>
        <v/>
      </c>
      <c r="Q75">
        <f t="array" ref="Q75">IsURL(Table_121215[[#This Row],[Data Source]])</f>
        <v/>
      </c>
      <c r="R75">
        <f t="array" ref="R75">IsURL(Table_121215[[#This Row],[Data Source]])</f>
        <v/>
      </c>
    </row>
    <row r="76" ht="15.75" customHeight="1">
      <c r="A76">
        <f>IF(Table_19[[#This Row],[Part Name]]=0,"",Table_19[[#This Row],[Part Name]])</f>
        <v/>
      </c>
      <c r="K76">
        <f>LEN(TRIM(CLEAN(SUBSTITUTE(SUBSTITUTE(Table_19[[#This Row],[Sequence]],CHAR(160)," ")," ",""))))</f>
        <v/>
      </c>
      <c r="M76" s="21" t="n"/>
      <c r="N76" s="21">
        <f>IF($B76="","FALSE","TRUE")</f>
        <v/>
      </c>
      <c r="O76">
        <f t="array" ref="O76">IsURL(Table_121215[[#This Row],[Data Source]])</f>
        <v/>
      </c>
      <c r="P76">
        <f t="array" ref="P76">IsURL(Table_121215[[#This Row],[DOI]])</f>
        <v/>
      </c>
      <c r="Q76">
        <f t="array" ref="Q76">IsURL(Table_121215[[#This Row],[Data Source]])</f>
        <v/>
      </c>
      <c r="R76">
        <f t="array" ref="R76">IsURL(Table_121215[[#This Row],[Data Source]])</f>
        <v/>
      </c>
    </row>
    <row r="77" ht="15.75" customHeight="1">
      <c r="A77">
        <f>IF(Table_19[[#This Row],[Part Name]]=0,"",Table_19[[#This Row],[Part Name]])</f>
        <v/>
      </c>
      <c r="K77">
        <f>LEN(TRIM(CLEAN(SUBSTITUTE(SUBSTITUTE(Table_19[[#This Row],[Sequence]],CHAR(160)," ")," ",""))))</f>
        <v/>
      </c>
      <c r="M77" s="21" t="n"/>
      <c r="N77" s="21">
        <f>IF($B77="","FALSE","TRUE")</f>
        <v/>
      </c>
      <c r="O77">
        <f t="array" ref="O77">IsURL(Table_121215[[#This Row],[Data Source]])</f>
        <v/>
      </c>
      <c r="P77">
        <f t="array" ref="P77">IsURL(Table_121215[[#This Row],[DOI]])</f>
        <v/>
      </c>
      <c r="Q77">
        <f t="array" ref="Q77">IsURL(Table_121215[[#This Row],[Data Source]])</f>
        <v/>
      </c>
      <c r="R77">
        <f t="array" ref="R77">IsURL(Table_121215[[#This Row],[Data Source]])</f>
        <v/>
      </c>
    </row>
    <row r="78" ht="15.75" customHeight="1">
      <c r="A78">
        <f>IF(Table_19[[#This Row],[Part Name]]=0,"",Table_19[[#This Row],[Part Name]])</f>
        <v/>
      </c>
      <c r="K78">
        <f>LEN(TRIM(CLEAN(SUBSTITUTE(SUBSTITUTE(Table_19[[#This Row],[Sequence]],CHAR(160)," ")," ",""))))</f>
        <v/>
      </c>
      <c r="M78" s="21" t="n"/>
      <c r="N78" s="21">
        <f>IF($B78="","FALSE","TRUE")</f>
        <v/>
      </c>
      <c r="O78">
        <f t="array" ref="O78">IsURL(Table_121215[[#This Row],[Data Source]])</f>
        <v/>
      </c>
      <c r="P78">
        <f t="array" ref="P78">IsURL(Table_121215[[#This Row],[DOI]])</f>
        <v/>
      </c>
      <c r="Q78">
        <f t="array" ref="Q78">IsURL(Table_121215[[#This Row],[Data Source]])</f>
        <v/>
      </c>
      <c r="R78">
        <f t="array" ref="R78">IsURL(Table_121215[[#This Row],[Data Source]])</f>
        <v/>
      </c>
    </row>
    <row r="79" ht="15.75" customHeight="1">
      <c r="A79">
        <f>IF(Table_19[[#This Row],[Part Name]]=0,"",Table_19[[#This Row],[Part Name]])</f>
        <v/>
      </c>
      <c r="K79">
        <f>LEN(TRIM(CLEAN(SUBSTITUTE(SUBSTITUTE(Table_19[[#This Row],[Sequence]],CHAR(160)," ")," ",""))))</f>
        <v/>
      </c>
      <c r="M79" s="21" t="n"/>
      <c r="N79" s="21">
        <f>IF($B79="","FALSE","TRUE")</f>
        <v/>
      </c>
      <c r="O79">
        <f t="array" ref="O79">IsURL(Table_121215[[#This Row],[Data Source]])</f>
        <v/>
      </c>
      <c r="P79">
        <f t="array" ref="P79">IsURL(Table_121215[[#This Row],[DOI]])</f>
        <v/>
      </c>
      <c r="Q79">
        <f t="array" ref="Q79">IsURL(Table_121215[[#This Row],[Data Source]])</f>
        <v/>
      </c>
      <c r="R79">
        <f t="array" ref="R79">IsURL(Table_121215[[#This Row],[Data Source]])</f>
        <v/>
      </c>
    </row>
    <row r="80" ht="15.75" customHeight="1">
      <c r="A80">
        <f>IF(Table_19[[#This Row],[Part Name]]=0,"",Table_19[[#This Row],[Part Name]])</f>
        <v/>
      </c>
      <c r="K80">
        <f>LEN(TRIM(CLEAN(SUBSTITUTE(SUBSTITUTE(Table_19[[#This Row],[Sequence]],CHAR(160)," ")," ",""))))</f>
        <v/>
      </c>
      <c r="M80" s="21" t="n"/>
      <c r="N80" s="21">
        <f>IF($B80="","FALSE","TRUE")</f>
        <v/>
      </c>
      <c r="O80">
        <f t="array" ref="O80">IsURL(Table_121215[[#This Row],[Data Source]])</f>
        <v/>
      </c>
      <c r="P80">
        <f t="array" ref="P80">IsURL(Table_121215[[#This Row],[DOI]])</f>
        <v/>
      </c>
      <c r="Q80">
        <f t="array" ref="Q80">IsURL(Table_121215[[#This Row],[Data Source]])</f>
        <v/>
      </c>
      <c r="R80">
        <f t="array" ref="R80">IsURL(Table_121215[[#This Row],[Data Source]])</f>
        <v/>
      </c>
    </row>
    <row r="81" ht="15.75" customHeight="1">
      <c r="A81">
        <f>IF(Table_19[[#This Row],[Part Name]]=0,"",Table_19[[#This Row],[Part Name]])</f>
        <v/>
      </c>
      <c r="K81">
        <f>LEN(TRIM(CLEAN(SUBSTITUTE(SUBSTITUTE(Table_19[[#This Row],[Sequence]],CHAR(160)," ")," ",""))))</f>
        <v/>
      </c>
      <c r="M81" s="21" t="n"/>
      <c r="N81" s="21">
        <f>IF($B81="","FALSE","TRUE")</f>
        <v/>
      </c>
      <c r="O81">
        <f t="array" ref="O81">IsURL(Table_121215[[#This Row],[Data Source]])</f>
        <v/>
      </c>
      <c r="P81">
        <f t="array" ref="P81">IsURL(Table_121215[[#This Row],[DOI]])</f>
        <v/>
      </c>
      <c r="Q81">
        <f t="array" ref="Q81">IsURL(Table_121215[[#This Row],[Data Source]])</f>
        <v/>
      </c>
      <c r="R81">
        <f t="array" ref="R81">IsURL(Table_121215[[#This Row],[Data Source]])</f>
        <v/>
      </c>
    </row>
    <row r="82" ht="15.75" customHeight="1">
      <c r="A82">
        <f>IF(Table_19[[#This Row],[Part Name]]=0,"",Table_19[[#This Row],[Part Name]])</f>
        <v/>
      </c>
      <c r="K82">
        <f>LEN(TRIM(CLEAN(SUBSTITUTE(SUBSTITUTE(Table_19[[#This Row],[Sequence]],CHAR(160)," ")," ",""))))</f>
        <v/>
      </c>
      <c r="M82" s="21" t="n"/>
      <c r="N82" s="21">
        <f>IF($B82="","FALSE","TRUE")</f>
        <v/>
      </c>
      <c r="O82">
        <f t="array" ref="O82">IsURL(Table_121215[[#This Row],[Data Source]])</f>
        <v/>
      </c>
      <c r="P82">
        <f t="array" ref="P82">IsURL(Table_121215[[#This Row],[DOI]])</f>
        <v/>
      </c>
      <c r="Q82">
        <f t="array" ref="Q82">IsURL(Table_121215[[#This Row],[Data Source]])</f>
        <v/>
      </c>
      <c r="R82">
        <f t="array" ref="R82">IsURL(Table_121215[[#This Row],[Data Source]])</f>
        <v/>
      </c>
    </row>
    <row r="83" ht="15.75" customHeight="1">
      <c r="A83">
        <f>IF(Table_19[[#This Row],[Part Name]]=0,"",Table_19[[#This Row],[Part Name]])</f>
        <v/>
      </c>
      <c r="K83">
        <f>LEN(TRIM(CLEAN(SUBSTITUTE(SUBSTITUTE(Table_19[[#This Row],[Sequence]],CHAR(160)," ")," ",""))))</f>
        <v/>
      </c>
      <c r="M83" s="21" t="n"/>
      <c r="N83" s="21">
        <f>IF($B83="","FALSE","TRUE")</f>
        <v/>
      </c>
      <c r="O83">
        <f t="array" ref="O83">IsURL(Table_121215[[#This Row],[Data Source]])</f>
        <v/>
      </c>
      <c r="P83">
        <f t="array" ref="P83">IsURL(Table_121215[[#This Row],[DOI]])</f>
        <v/>
      </c>
      <c r="Q83">
        <f t="array" ref="Q83">IsURL(Table_121215[[#This Row],[Data Source]])</f>
        <v/>
      </c>
      <c r="R83">
        <f t="array" ref="R83">IsURL(Table_121215[[#This Row],[Data Source]])</f>
        <v/>
      </c>
    </row>
    <row r="84" ht="15.75" customHeight="1">
      <c r="A84">
        <f>IF(Table_19[[#This Row],[Part Name]]=0,"",Table_19[[#This Row],[Part Name]])</f>
        <v/>
      </c>
      <c r="K84">
        <f>LEN(TRIM(CLEAN(SUBSTITUTE(SUBSTITUTE(Table_19[[#This Row],[Sequence]],CHAR(160)," ")," ",""))))</f>
        <v/>
      </c>
      <c r="M84" s="21" t="n"/>
      <c r="N84" s="21">
        <f>IF($B84="","FALSE","TRUE")</f>
        <v/>
      </c>
      <c r="O84">
        <f t="array" ref="O84">IsURL(Table_121215[[#This Row],[Data Source]])</f>
        <v/>
      </c>
      <c r="P84">
        <f t="array" ref="P84">IsURL(Table_121215[[#This Row],[DOI]])</f>
        <v/>
      </c>
      <c r="Q84">
        <f t="array" ref="Q84">IsURL(Table_121215[[#This Row],[Data Source]])</f>
        <v/>
      </c>
      <c r="R84">
        <f t="array" ref="R84">IsURL(Table_121215[[#This Row],[Data Source]])</f>
        <v/>
      </c>
    </row>
    <row r="85" ht="15.75" customHeight="1">
      <c r="A85">
        <f>IF(Table_19[[#This Row],[Part Name]]=0,"",Table_19[[#This Row],[Part Name]])</f>
        <v/>
      </c>
      <c r="K85">
        <f>LEN(TRIM(CLEAN(SUBSTITUTE(SUBSTITUTE(Table_19[[#This Row],[Sequence]],CHAR(160)," ")," ",""))))</f>
        <v/>
      </c>
      <c r="M85" s="21" t="n"/>
      <c r="N85" s="21">
        <f>IF($B85="","FALSE","TRUE")</f>
        <v/>
      </c>
      <c r="O85">
        <f t="array" ref="O85">IsURL(Table_121215[[#This Row],[Data Source]])</f>
        <v/>
      </c>
      <c r="P85">
        <f t="array" ref="P85">IsURL(Table_121215[[#This Row],[DOI]])</f>
        <v/>
      </c>
      <c r="Q85">
        <f t="array" ref="Q85">IsURL(Table_121215[[#This Row],[Data Source]])</f>
        <v/>
      </c>
      <c r="R85">
        <f t="array" ref="R85">IsURL(Table_121215[[#This Row],[Data Source]])</f>
        <v/>
      </c>
    </row>
    <row r="86" ht="15.75" customHeight="1">
      <c r="A86">
        <f>IF(Table_19[[#This Row],[Part Name]]=0,"",Table_19[[#This Row],[Part Name]])</f>
        <v/>
      </c>
      <c r="K86">
        <f>LEN(TRIM(CLEAN(SUBSTITUTE(SUBSTITUTE(Table_19[[#This Row],[Sequence]],CHAR(160)," ")," ",""))))</f>
        <v/>
      </c>
      <c r="M86" s="21" t="n"/>
      <c r="N86" s="21">
        <f>IF($B86="","FALSE","TRUE")</f>
        <v/>
      </c>
      <c r="O86">
        <f t="array" ref="O86">IsURL(Table_121215[[#This Row],[Data Source]])</f>
        <v/>
      </c>
      <c r="P86">
        <f t="array" ref="P86">IsURL(Table_121215[[#This Row],[DOI]])</f>
        <v/>
      </c>
      <c r="Q86">
        <f t="array" ref="Q86">IsURL(Table_121215[[#This Row],[Data Source]])</f>
        <v/>
      </c>
      <c r="R86">
        <f t="array" ref="R86">IsURL(Table_121215[[#This Row],[Data Source]])</f>
        <v/>
      </c>
    </row>
    <row r="87" ht="15.75" customHeight="1">
      <c r="A87">
        <f>IF(Table_19[[#This Row],[Part Name]]=0,"",Table_19[[#This Row],[Part Name]])</f>
        <v/>
      </c>
      <c r="K87">
        <f>LEN(TRIM(CLEAN(SUBSTITUTE(SUBSTITUTE(Table_19[[#This Row],[Sequence]],CHAR(160)," ")," ",""))))</f>
        <v/>
      </c>
      <c r="M87" s="21" t="n"/>
      <c r="N87" s="21">
        <f>IF($B87="","FALSE","TRUE")</f>
        <v/>
      </c>
      <c r="O87">
        <f t="array" ref="O87">IsURL(Table_121215[[#This Row],[Data Source]])</f>
        <v/>
      </c>
      <c r="P87">
        <f t="array" ref="P87">IsURL(Table_121215[[#This Row],[DOI]])</f>
        <v/>
      </c>
      <c r="Q87">
        <f t="array" ref="Q87">IsURL(Table_121215[[#This Row],[Data Source]])</f>
        <v/>
      </c>
      <c r="R87">
        <f t="array" ref="R87">IsURL(Table_121215[[#This Row],[Data Source]])</f>
        <v/>
      </c>
    </row>
    <row r="88" ht="15.75" customHeight="1">
      <c r="A88">
        <f>IF(Table_19[[#This Row],[Part Name]]=0,"",Table_19[[#This Row],[Part Name]])</f>
        <v/>
      </c>
      <c r="K88">
        <f>LEN(TRIM(CLEAN(SUBSTITUTE(SUBSTITUTE(Table_19[[#This Row],[Sequence]],CHAR(160)," ")," ",""))))</f>
        <v/>
      </c>
      <c r="M88" s="21" t="n"/>
      <c r="N88" s="21">
        <f>IF($B88="","FALSE","TRUE")</f>
        <v/>
      </c>
      <c r="O88">
        <f t="array" ref="O88">IsURL(Table_121215[[#This Row],[Data Source]])</f>
        <v/>
      </c>
      <c r="P88">
        <f t="array" ref="P88">IsURL(Table_121215[[#This Row],[DOI]])</f>
        <v/>
      </c>
      <c r="Q88">
        <f t="array" ref="Q88">IsURL(Table_121215[[#This Row],[Data Source]])</f>
        <v/>
      </c>
      <c r="R88">
        <f t="array" ref="R88">IsURL(Table_121215[[#This Row],[Data Source]])</f>
        <v/>
      </c>
    </row>
    <row r="89" ht="15.75" customHeight="1">
      <c r="A89">
        <f>IF(Table_19[[#This Row],[Part Name]]=0,"",Table_19[[#This Row],[Part Name]])</f>
        <v/>
      </c>
      <c r="K89">
        <f>LEN(TRIM(CLEAN(SUBSTITUTE(SUBSTITUTE(Table_19[[#This Row],[Sequence]],CHAR(160)," ")," ",""))))</f>
        <v/>
      </c>
      <c r="M89" s="21" t="n"/>
      <c r="N89" s="21">
        <f>IF($B89="","FALSE","TRUE")</f>
        <v/>
      </c>
      <c r="O89">
        <f t="array" ref="O89">IsURL(Table_121215[[#This Row],[Data Source]])</f>
        <v/>
      </c>
      <c r="P89">
        <f t="array" ref="P89">IsURL(Table_121215[[#This Row],[DOI]])</f>
        <v/>
      </c>
      <c r="Q89">
        <f t="array" ref="Q89">IsURL(Table_121215[[#This Row],[Data Source]])</f>
        <v/>
      </c>
      <c r="R89">
        <f t="array" ref="R89">IsURL(Table_121215[[#This Row],[Data Source]])</f>
        <v/>
      </c>
    </row>
    <row r="90" ht="15.75" customHeight="1">
      <c r="A90">
        <f>IF(Table_19[[#This Row],[Part Name]]=0,"",Table_19[[#This Row],[Part Name]])</f>
        <v/>
      </c>
      <c r="K90">
        <f>LEN(TRIM(CLEAN(SUBSTITUTE(SUBSTITUTE(Table_19[[#This Row],[Sequence]],CHAR(160)," ")," ",""))))</f>
        <v/>
      </c>
      <c r="M90" s="21" t="n"/>
      <c r="N90" s="21">
        <f>IF($B90="","FALSE","TRUE")</f>
        <v/>
      </c>
      <c r="O90">
        <f t="array" ref="O90">IsURL(Table_121215[[#This Row],[Data Source]])</f>
        <v/>
      </c>
      <c r="P90">
        <f t="array" ref="P90">IsURL(Table_121215[[#This Row],[DOI]])</f>
        <v/>
      </c>
      <c r="Q90">
        <f t="array" ref="Q90">IsURL(Table_121215[[#This Row],[Data Source]])</f>
        <v/>
      </c>
      <c r="R90">
        <f t="array" ref="R90">IsURL(Table_121215[[#This Row],[Data Source]])</f>
        <v/>
      </c>
    </row>
    <row r="91" ht="15.75" customHeight="1">
      <c r="A91">
        <f>IF(Table_19[[#This Row],[Part Name]]=0,"",Table_19[[#This Row],[Part Name]])</f>
        <v/>
      </c>
      <c r="K91">
        <f>LEN(TRIM(CLEAN(SUBSTITUTE(SUBSTITUTE(Table_19[[#This Row],[Sequence]],CHAR(160)," ")," ",""))))</f>
        <v/>
      </c>
      <c r="M91" s="21" t="n"/>
      <c r="N91" s="21">
        <f>IF($B91="","FALSE","TRUE")</f>
        <v/>
      </c>
      <c r="O91">
        <f t="array" ref="O91">IsURL(Table_121215[[#This Row],[Data Source]])</f>
        <v/>
      </c>
      <c r="P91">
        <f t="array" ref="P91">IsURL(Table_121215[[#This Row],[DOI]])</f>
        <v/>
      </c>
      <c r="Q91">
        <f t="array" ref="Q91">IsURL(Table_121215[[#This Row],[Data Source]])</f>
        <v/>
      </c>
      <c r="R91">
        <f t="array" ref="R91">IsURL(Table_121215[[#This Row],[Data Source]])</f>
        <v/>
      </c>
    </row>
    <row r="92" ht="15.75" customHeight="1">
      <c r="A92">
        <f>IF(Table_19[[#This Row],[Part Name]]=0,"",Table_19[[#This Row],[Part Name]])</f>
        <v/>
      </c>
      <c r="K92">
        <f>LEN(TRIM(CLEAN(SUBSTITUTE(SUBSTITUTE(Table_19[[#This Row],[Sequence]],CHAR(160)," ")," ",""))))</f>
        <v/>
      </c>
      <c r="M92" s="21" t="n"/>
      <c r="N92" s="21">
        <f>IF($B92="","FALSE","TRUE")</f>
        <v/>
      </c>
      <c r="O92">
        <f t="array" ref="O92">IsURL(Table_121215[[#This Row],[Data Source]])</f>
        <v/>
      </c>
      <c r="P92">
        <f t="array" ref="P92">IsURL(Table_121215[[#This Row],[DOI]])</f>
        <v/>
      </c>
      <c r="Q92">
        <f t="array" ref="Q92">IsURL(Table_121215[[#This Row],[Data Source]])</f>
        <v/>
      </c>
      <c r="R92">
        <f t="array" ref="R92">IsURL(Table_121215[[#This Row],[Data Source]])</f>
        <v/>
      </c>
    </row>
    <row r="93" ht="15.75" customHeight="1">
      <c r="A93">
        <f>IF(Table_19[[#This Row],[Part Name]]=0,"",Table_19[[#This Row],[Part Name]])</f>
        <v/>
      </c>
      <c r="K93">
        <f>LEN(TRIM(CLEAN(SUBSTITUTE(SUBSTITUTE(Table_19[[#This Row],[Sequence]],CHAR(160)," ")," ",""))))</f>
        <v/>
      </c>
      <c r="M93" s="21" t="n"/>
      <c r="N93" s="21">
        <f>IF($B93="","FALSE","TRUE")</f>
        <v/>
      </c>
      <c r="O93">
        <f t="array" ref="O93">IsURL(Table_121215[[#This Row],[Data Source]])</f>
        <v/>
      </c>
      <c r="P93">
        <f t="array" ref="P93">IsURL(Table_121215[[#This Row],[DOI]])</f>
        <v/>
      </c>
      <c r="Q93">
        <f t="array" ref="Q93">IsURL(Table_121215[[#This Row],[Data Source]])</f>
        <v/>
      </c>
      <c r="R93">
        <f t="array" ref="R93">IsURL(Table_121215[[#This Row],[Data Source]])</f>
        <v/>
      </c>
    </row>
    <row r="94" ht="15.75" customHeight="1">
      <c r="A94">
        <f>IF(Table_19[[#This Row],[Part Name]]=0,"",Table_19[[#This Row],[Part Name]])</f>
        <v/>
      </c>
      <c r="K94">
        <f>LEN(TRIM(CLEAN(SUBSTITUTE(SUBSTITUTE(Table_19[[#This Row],[Sequence]],CHAR(160)," ")," ",""))))</f>
        <v/>
      </c>
      <c r="M94" s="21" t="n"/>
      <c r="N94" s="21">
        <f>IF($B94="","FALSE","TRUE")</f>
        <v/>
      </c>
      <c r="O94">
        <f t="array" ref="O94">IsURL(Table_121215[[#This Row],[Data Source]])</f>
        <v/>
      </c>
      <c r="P94">
        <f t="array" ref="P94">IsURL(Table_121215[[#This Row],[DOI]])</f>
        <v/>
      </c>
      <c r="Q94">
        <f t="array" ref="Q94">IsURL(Table_121215[[#This Row],[Data Source]])</f>
        <v/>
      </c>
      <c r="R94">
        <f t="array" ref="R94">IsURL(Table_121215[[#This Row],[Data Source]])</f>
        <v/>
      </c>
    </row>
    <row r="95" ht="15.75" customHeight="1">
      <c r="A95">
        <f>IF(Table_19[[#This Row],[Part Name]]=0,"",Table_19[[#This Row],[Part Name]])</f>
        <v/>
      </c>
      <c r="K95">
        <f>LEN(TRIM(CLEAN(SUBSTITUTE(SUBSTITUTE(Table_19[[#This Row],[Sequence]],CHAR(160)," ")," ",""))))</f>
        <v/>
      </c>
      <c r="M95" s="21" t="n"/>
      <c r="N95" s="21">
        <f>IF($B95="","FALSE","TRUE")</f>
        <v/>
      </c>
      <c r="O95">
        <f t="array" ref="O95">IsURL(Table_121215[[#This Row],[Data Source]])</f>
        <v/>
      </c>
      <c r="P95">
        <f t="array" ref="P95">IsURL(Table_121215[[#This Row],[DOI]])</f>
        <v/>
      </c>
      <c r="Q95">
        <f t="array" ref="Q95">IsURL(Table_121215[[#This Row],[Data Source]])</f>
        <v/>
      </c>
      <c r="R95">
        <f t="array" ref="R95">IsURL(Table_121215[[#This Row],[Data Source]])</f>
        <v/>
      </c>
    </row>
    <row r="96" ht="15.75" customHeight="1">
      <c r="A96">
        <f>IF(Table_19[[#This Row],[Part Name]]=0,"",Table_19[[#This Row],[Part Name]])</f>
        <v/>
      </c>
      <c r="K96">
        <f>LEN(TRIM(CLEAN(SUBSTITUTE(SUBSTITUTE(Table_19[[#This Row],[Sequence]],CHAR(160)," ")," ",""))))</f>
        <v/>
      </c>
      <c r="M96" s="21" t="n"/>
      <c r="N96" s="21">
        <f>IF($B96="","FALSE","TRUE")</f>
        <v/>
      </c>
      <c r="O96">
        <f t="array" ref="O96">IsURL(Table_121215[[#This Row],[Data Source]])</f>
        <v/>
      </c>
      <c r="P96">
        <f t="array" ref="P96">IsURL(Table_121215[[#This Row],[DOI]])</f>
        <v/>
      </c>
      <c r="Q96">
        <f t="array" ref="Q96">IsURL(Table_121215[[#This Row],[Data Source]])</f>
        <v/>
      </c>
      <c r="R96">
        <f t="array" ref="R96">IsURL(Table_121215[[#This Row],[Data Source]])</f>
        <v/>
      </c>
    </row>
    <row r="97" ht="15.75" customHeight="1">
      <c r="A97">
        <f>IF(Table_19[[#This Row],[Part Name]]=0,"",Table_19[[#This Row],[Part Name]])</f>
        <v/>
      </c>
      <c r="K97">
        <f>LEN(TRIM(CLEAN(SUBSTITUTE(SUBSTITUTE(Table_19[[#This Row],[Sequence]],CHAR(160)," ")," ",""))))</f>
        <v/>
      </c>
      <c r="M97" s="21" t="n"/>
      <c r="N97" s="21">
        <f>IF($B97="","FALSE","TRUE")</f>
        <v/>
      </c>
      <c r="O97">
        <f t="array" ref="O97">IsURL(Table_121215[[#This Row],[Data Source]])</f>
        <v/>
      </c>
      <c r="P97">
        <f t="array" ref="P97">IsURL(Table_121215[[#This Row],[DOI]])</f>
        <v/>
      </c>
      <c r="Q97">
        <f t="array" ref="Q97">IsURL(Table_121215[[#This Row],[Data Source]])</f>
        <v/>
      </c>
      <c r="R97">
        <f t="array" ref="R97">IsURL(Table_121215[[#This Row],[Data Source]])</f>
        <v/>
      </c>
    </row>
    <row r="98" ht="15.75" customHeight="1">
      <c r="A98">
        <f>IF(Table_19[[#This Row],[Part Name]]=0,"",Table_19[[#This Row],[Part Name]])</f>
        <v/>
      </c>
      <c r="K98">
        <f>LEN(TRIM(CLEAN(SUBSTITUTE(SUBSTITUTE(Table_19[[#This Row],[Sequence]],CHAR(160)," ")," ",""))))</f>
        <v/>
      </c>
      <c r="M98" s="21" t="n"/>
      <c r="N98" s="21">
        <f>IF($B98="","FALSE","TRUE")</f>
        <v/>
      </c>
      <c r="O98">
        <f t="array" ref="O98">IsURL(Table_121215[[#This Row],[Data Source]])</f>
        <v/>
      </c>
      <c r="P98">
        <f t="array" ref="P98">IsURL(Table_121215[[#This Row],[DOI]])</f>
        <v/>
      </c>
      <c r="Q98">
        <f t="array" ref="Q98">IsURL(Table_121215[[#This Row],[Data Source]])</f>
        <v/>
      </c>
      <c r="R98">
        <f t="array" ref="R98">IsURL(Table_121215[[#This Row],[Data Source]])</f>
        <v/>
      </c>
    </row>
    <row r="99" ht="15.75" customHeight="1">
      <c r="A99">
        <f>IF(Table_19[[#This Row],[Part Name]]=0,"",Table_19[[#This Row],[Part Name]])</f>
        <v/>
      </c>
      <c r="K99">
        <f>LEN(TRIM(CLEAN(SUBSTITUTE(SUBSTITUTE(Table_19[[#This Row],[Sequence]],CHAR(160)," ")," ",""))))</f>
        <v/>
      </c>
      <c r="M99" s="21" t="n"/>
      <c r="N99" s="21">
        <f>IF($B99="","FALSE","TRUE")</f>
        <v/>
      </c>
      <c r="O99">
        <f t="array" ref="O99">IsURL(Table_121215[[#This Row],[Data Source]])</f>
        <v/>
      </c>
      <c r="P99">
        <f t="array" ref="P99">IsURL(Table_121215[[#This Row],[DOI]])</f>
        <v/>
      </c>
      <c r="Q99">
        <f t="array" ref="Q99">IsURL(Table_121215[[#This Row],[Data Source]])</f>
        <v/>
      </c>
      <c r="R99">
        <f t="array" ref="R99">IsURL(Table_121215[[#This Row],[Data Source]])</f>
        <v/>
      </c>
    </row>
    <row r="100" ht="15.75" customHeight="1">
      <c r="A100">
        <f>IF(Table_19[[#This Row],[Part Name]]=0,"",Table_19[[#This Row],[Part Name]])</f>
        <v/>
      </c>
      <c r="K100">
        <f>LEN(TRIM(CLEAN(SUBSTITUTE(SUBSTITUTE(Table_19[[#This Row],[Sequence]],CHAR(160)," ")," ",""))))</f>
        <v/>
      </c>
      <c r="M100" s="21" t="n"/>
      <c r="N100" s="21">
        <f>IF($B100="","FALSE","TRUE")</f>
        <v/>
      </c>
      <c r="O100">
        <f t="array" ref="O100">IsURL(Table_121215[[#This Row],[Data Source]])</f>
        <v/>
      </c>
      <c r="P100">
        <f t="array" ref="P100">IsURL(Table_121215[[#This Row],[DOI]])</f>
        <v/>
      </c>
      <c r="Q100">
        <f t="array" ref="Q100">IsURL(Table_121215[[#This Row],[Data Source]])</f>
        <v/>
      </c>
      <c r="R100">
        <f t="array" ref="R100">IsURL(Table_121215[[#This Row],[Data Source]])</f>
        <v/>
      </c>
    </row>
    <row r="101" ht="15.75" customHeight="1">
      <c r="A101">
        <f>IF(Table_19[[#This Row],[Part Name]]=0,"",Table_19[[#This Row],[Part Name]])</f>
        <v/>
      </c>
      <c r="K101">
        <f>LEN(TRIM(CLEAN(SUBSTITUTE(SUBSTITUTE(Table_19[[#This Row],[Sequence]],CHAR(160)," ")," ",""))))</f>
        <v/>
      </c>
      <c r="M101" s="21" t="n"/>
      <c r="N101" s="21">
        <f>IF($B101="","FALSE","TRUE")</f>
        <v/>
      </c>
      <c r="O101">
        <f t="array" ref="O101">IsURL(Table_121215[[#This Row],[Data Source]])</f>
        <v/>
      </c>
      <c r="P101">
        <f t="array" ref="P101">IsURL(Table_121215[[#This Row],[DOI]])</f>
        <v/>
      </c>
      <c r="Q101">
        <f t="array" ref="Q101">IsURL(Table_121215[[#This Row],[Data Source]])</f>
        <v/>
      </c>
      <c r="R101">
        <f t="array" ref="R101">IsURL(Table_121215[[#This Row],[Data Source]])</f>
        <v/>
      </c>
    </row>
    <row r="102" ht="15.75" customHeight="1">
      <c r="A102">
        <f>IF(Table_19[[#This Row],[Part Name]]=0,"",Table_19[[#This Row],[Part Name]])</f>
        <v/>
      </c>
      <c r="K102">
        <f>LEN(TRIM(CLEAN(SUBSTITUTE(SUBSTITUTE(Table_19[[#This Row],[Sequence]],CHAR(160)," ")," ",""))))</f>
        <v/>
      </c>
      <c r="M102" s="21" t="n"/>
      <c r="N102" s="21">
        <f>IF($B102="","FALSE","TRUE")</f>
        <v/>
      </c>
      <c r="O102">
        <f t="array" ref="O102">IsURL(Table_121215[[#This Row],[Data Source]])</f>
        <v/>
      </c>
      <c r="P102">
        <f t="array" ref="P102">IsURL(Table_121215[[#This Row],[DOI]])</f>
        <v/>
      </c>
      <c r="Q102">
        <f t="array" ref="Q102">IsURL(Table_121215[[#This Row],[Data Source]])</f>
        <v/>
      </c>
      <c r="R102">
        <f t="array" ref="R102">IsURL(Table_121215[[#This Row],[Data Source]])</f>
        <v/>
      </c>
    </row>
    <row r="103" ht="15.75" customHeight="1">
      <c r="A103">
        <f>IF(Table_19[[#This Row],[Part Name]]=0,"",Table_19[[#This Row],[Part Name]])</f>
        <v/>
      </c>
      <c r="K103">
        <f>LEN(TRIM(CLEAN(SUBSTITUTE(SUBSTITUTE(Table_19[[#This Row],[Sequence]],CHAR(160)," ")," ",""))))</f>
        <v/>
      </c>
      <c r="M103" s="21" t="n"/>
      <c r="N103" s="21">
        <f>IF($B103="","FALSE","TRUE")</f>
        <v/>
      </c>
      <c r="O103">
        <f t="array" ref="O103">IsURL(Table_121215[[#This Row],[Data Source]])</f>
        <v/>
      </c>
      <c r="P103">
        <f t="array" ref="P103">IsURL(Table_121215[[#This Row],[DOI]])</f>
        <v/>
      </c>
      <c r="Q103">
        <f t="array" ref="Q103">IsURL(Table_121215[[#This Row],[Data Source]])</f>
        <v/>
      </c>
      <c r="R103">
        <f t="array" ref="R103">IsURL(Table_121215[[#This Row],[Data Source]])</f>
        <v/>
      </c>
    </row>
    <row r="104" ht="15.75" customHeight="1">
      <c r="A104">
        <f>IF(Table_19[[#This Row],[Part Name]]=0,"",Table_19[[#This Row],[Part Name]])</f>
        <v/>
      </c>
      <c r="K104">
        <f>LEN(TRIM(CLEAN(SUBSTITUTE(SUBSTITUTE(Table_19[[#This Row],[Sequence]],CHAR(160)," ")," ",""))))</f>
        <v/>
      </c>
      <c r="M104" s="21" t="n"/>
      <c r="N104" s="21">
        <f>IF($B104="","FALSE","TRUE")</f>
        <v/>
      </c>
      <c r="O104">
        <f t="array" ref="O104">IsURL(Table_121215[[#This Row],[Data Source]])</f>
        <v/>
      </c>
      <c r="P104">
        <f t="array" ref="P104">IsURL(Table_121215[[#This Row],[DOI]])</f>
        <v/>
      </c>
      <c r="Q104">
        <f t="array" ref="Q104">IsURL(Table_121215[[#This Row],[Data Source]])</f>
        <v/>
      </c>
      <c r="R104">
        <f t="array" ref="R104">IsURL(Table_121215[[#This Row],[Data Source]])</f>
        <v/>
      </c>
    </row>
    <row r="105" ht="15.75" customHeight="1">
      <c r="A105">
        <f>IF(Table_19[[#This Row],[Part Name]]=0,"",Table_19[[#This Row],[Part Name]])</f>
        <v/>
      </c>
      <c r="K105">
        <f>LEN(TRIM(CLEAN(SUBSTITUTE(SUBSTITUTE(Table_19[[#This Row],[Sequence]],CHAR(160)," ")," ",""))))</f>
        <v/>
      </c>
      <c r="M105" s="21" t="n"/>
      <c r="N105" s="21">
        <f>IF($B105="","FALSE","TRUE")</f>
        <v/>
      </c>
      <c r="O105">
        <f t="array" ref="O105">IsURL(Table_121215[[#This Row],[Data Source]])</f>
        <v/>
      </c>
      <c r="P105">
        <f t="array" ref="P105">IsURL(Table_121215[[#This Row],[DOI]])</f>
        <v/>
      </c>
      <c r="Q105">
        <f t="array" ref="Q105">IsURL(Table_121215[[#This Row],[Data Source]])</f>
        <v/>
      </c>
      <c r="R105">
        <f t="array" ref="R105">IsURL(Table_121215[[#This Row],[Data Source]])</f>
        <v/>
      </c>
    </row>
    <row r="106" ht="15.75" customHeight="1">
      <c r="A106">
        <f>IF(Table_19[[#This Row],[Part Name]]=0,"",Table_19[[#This Row],[Part Name]])</f>
        <v/>
      </c>
      <c r="K106">
        <f>LEN(TRIM(CLEAN(SUBSTITUTE(SUBSTITUTE(Table_19[[#This Row],[Sequence]],CHAR(160)," ")," ",""))))</f>
        <v/>
      </c>
      <c r="M106" s="21" t="n"/>
      <c r="N106" s="21">
        <f>IF($B106="","FALSE","TRUE")</f>
        <v/>
      </c>
      <c r="O106">
        <f t="array" ref="O106">IsURL(Table_121215[[#This Row],[Data Source]])</f>
        <v/>
      </c>
      <c r="P106">
        <f t="array" ref="P106">IsURL(Table_121215[[#This Row],[DOI]])</f>
        <v/>
      </c>
      <c r="Q106">
        <f t="array" ref="Q106">IsURL(Table_121215[[#This Row],[Data Source]])</f>
        <v/>
      </c>
      <c r="R106">
        <f t="array" ref="R106">IsURL(Table_121215[[#This Row],[Data Source]])</f>
        <v/>
      </c>
    </row>
    <row r="107" ht="15.75" customHeight="1">
      <c r="A107">
        <f>IF(Table_19[[#This Row],[Part Name]]=0,"",Table_19[[#This Row],[Part Name]])</f>
        <v/>
      </c>
      <c r="K107">
        <f>LEN(TRIM(CLEAN(SUBSTITUTE(SUBSTITUTE(Table_19[[#This Row],[Sequence]],CHAR(160)," ")," ",""))))</f>
        <v/>
      </c>
      <c r="M107" s="21" t="n"/>
      <c r="N107" s="21">
        <f>IF($B107="","FALSE","TRUE")</f>
        <v/>
      </c>
      <c r="O107">
        <f t="array" ref="O107">IsURL(Table_121215[[#This Row],[Data Source]])</f>
        <v/>
      </c>
      <c r="P107">
        <f t="array" ref="P107">IsURL(Table_121215[[#This Row],[DOI]])</f>
        <v/>
      </c>
      <c r="Q107">
        <f t="array" ref="Q107">IsURL(Table_121215[[#This Row],[Data Source]])</f>
        <v/>
      </c>
      <c r="R107">
        <f t="array" ref="R107">IsURL(Table_121215[[#This Row],[Data Source]])</f>
        <v/>
      </c>
    </row>
    <row r="108" ht="15.75" customHeight="1">
      <c r="A108">
        <f>IF(Table_19[[#This Row],[Part Name]]=0,"",Table_19[[#This Row],[Part Name]])</f>
        <v/>
      </c>
      <c r="K108">
        <f>LEN(TRIM(CLEAN(SUBSTITUTE(SUBSTITUTE(Table_19[[#This Row],[Sequence]],CHAR(160)," ")," ",""))))</f>
        <v/>
      </c>
      <c r="M108" s="21" t="n"/>
      <c r="N108" s="21">
        <f>IF($B108="","FALSE","TRUE")</f>
        <v/>
      </c>
      <c r="O108">
        <f t="array" ref="O108">IsURL(Table_121215[[#This Row],[Data Source]])</f>
        <v/>
      </c>
      <c r="P108">
        <f t="array" ref="P108">IsURL(Table_121215[[#This Row],[DOI]])</f>
        <v/>
      </c>
      <c r="Q108">
        <f t="array" ref="Q108">IsURL(Table_121215[[#This Row],[Data Source]])</f>
        <v/>
      </c>
      <c r="R108">
        <f t="array" ref="R108">IsURL(Table_121215[[#This Row],[Data Source]])</f>
        <v/>
      </c>
    </row>
    <row r="109" ht="15.75" customHeight="1">
      <c r="A109">
        <f>IF(Table_19[[#This Row],[Part Name]]=0,"",Table_19[[#This Row],[Part Name]])</f>
        <v/>
      </c>
      <c r="K109">
        <f>LEN(TRIM(CLEAN(SUBSTITUTE(SUBSTITUTE(Table_19[[#This Row],[Sequence]],CHAR(160)," ")," ",""))))</f>
        <v/>
      </c>
      <c r="M109" s="21" t="n"/>
      <c r="N109" s="21">
        <f>IF($B109="","FALSE","TRUE")</f>
        <v/>
      </c>
      <c r="O109">
        <f t="array" ref="O109">IsURL(Table_121215[[#This Row],[Data Source]])</f>
        <v/>
      </c>
      <c r="P109">
        <f t="array" ref="P109">IsURL(Table_121215[[#This Row],[DOI]])</f>
        <v/>
      </c>
      <c r="Q109">
        <f t="array" ref="Q109">IsURL(Table_121215[[#This Row],[Data Source]])</f>
        <v/>
      </c>
      <c r="R109">
        <f t="array" ref="R109">IsURL(Table_121215[[#This Row],[Data Source]])</f>
        <v/>
      </c>
    </row>
    <row r="110" ht="15.75" customHeight="1">
      <c r="A110">
        <f>IF(Table_19[[#This Row],[Part Name]]=0,"",Table_19[[#This Row],[Part Name]])</f>
        <v/>
      </c>
      <c r="K110">
        <f>LEN(TRIM(CLEAN(SUBSTITUTE(SUBSTITUTE(Table_19[[#This Row],[Sequence]],CHAR(160)," ")," ",""))))</f>
        <v/>
      </c>
      <c r="M110" s="21" t="n"/>
      <c r="N110" s="21">
        <f>IF($B110="","FALSE","TRUE")</f>
        <v/>
      </c>
      <c r="O110">
        <f t="array" ref="O110">IsURL(Table_121215[[#This Row],[Data Source]])</f>
        <v/>
      </c>
      <c r="P110">
        <f t="array" ref="P110">IsURL(Table_121215[[#This Row],[DOI]])</f>
        <v/>
      </c>
      <c r="Q110">
        <f t="array" ref="Q110">IsURL(Table_121215[[#This Row],[Data Source]])</f>
        <v/>
      </c>
      <c r="R110">
        <f t="array" ref="R110">IsURL(Table_121215[[#This Row],[Data Source]])</f>
        <v/>
      </c>
    </row>
    <row r="111" ht="15.75" customHeight="1">
      <c r="A111">
        <f>IF(Table_19[[#This Row],[Part Name]]=0,"",Table_19[[#This Row],[Part Name]])</f>
        <v/>
      </c>
      <c r="K111">
        <f>LEN(TRIM(CLEAN(SUBSTITUTE(SUBSTITUTE(Table_19[[#This Row],[Sequence]],CHAR(160)," ")," ",""))))</f>
        <v/>
      </c>
      <c r="M111" s="21" t="n"/>
      <c r="N111" s="21">
        <f>IF($B111="","FALSE","TRUE")</f>
        <v/>
      </c>
      <c r="O111">
        <f t="array" ref="O111">IsURL(Table_121215[[#This Row],[Data Source]])</f>
        <v/>
      </c>
      <c r="P111">
        <f t="array" ref="P111">IsURL(Table_121215[[#This Row],[DOI]])</f>
        <v/>
      </c>
      <c r="Q111">
        <f t="array" ref="Q111">IsURL(Table_121215[[#This Row],[Data Source]])</f>
        <v/>
      </c>
      <c r="R111">
        <f t="array" ref="R111">IsURL(Table_121215[[#This Row],[Data Source]])</f>
        <v/>
      </c>
    </row>
    <row r="112" ht="15.75" customHeight="1">
      <c r="A112">
        <f>IF(Table_19[[#This Row],[Part Name]]=0,"",Table_19[[#This Row],[Part Name]])</f>
        <v/>
      </c>
      <c r="K112">
        <f>LEN(TRIM(CLEAN(SUBSTITUTE(SUBSTITUTE(Table_19[[#This Row],[Sequence]],CHAR(160)," ")," ",""))))</f>
        <v/>
      </c>
      <c r="M112" s="21" t="n"/>
      <c r="N112" s="21">
        <f>IF($B112="","FALSE","TRUE")</f>
        <v/>
      </c>
      <c r="O112">
        <f t="array" ref="O112">IsURL(Table_121215[[#This Row],[Data Source]])</f>
        <v/>
      </c>
      <c r="P112">
        <f t="array" ref="P112">IsURL(Table_121215[[#This Row],[DOI]])</f>
        <v/>
      </c>
      <c r="Q112">
        <f t="array" ref="Q112">IsURL(Table_121215[[#This Row],[Data Source]])</f>
        <v/>
      </c>
      <c r="R112">
        <f t="array" ref="R112">IsURL(Table_121215[[#This Row],[Data Source]])</f>
        <v/>
      </c>
    </row>
    <row r="113" ht="15.75" customHeight="1">
      <c r="A113">
        <f>IF(Table_19[[#This Row],[Part Name]]=0,"",Table_19[[#This Row],[Part Name]])</f>
        <v/>
      </c>
      <c r="K113">
        <f>LEN(TRIM(CLEAN(SUBSTITUTE(SUBSTITUTE(Table_19[[#This Row],[Sequence]],CHAR(160)," ")," ",""))))</f>
        <v/>
      </c>
      <c r="M113" s="21" t="n"/>
      <c r="N113" s="21">
        <f>IF($B113="","FALSE","TRUE")</f>
        <v/>
      </c>
      <c r="O113">
        <f t="array" ref="O113">IsURL(Table_121215[[#This Row],[Data Source]])</f>
        <v/>
      </c>
      <c r="P113">
        <f t="array" ref="P113">IsURL(Table_121215[[#This Row],[DOI]])</f>
        <v/>
      </c>
      <c r="Q113">
        <f t="array" ref="Q113">IsURL(Table_121215[[#This Row],[Data Source]])</f>
        <v/>
      </c>
      <c r="R113">
        <f t="array" ref="R113">IsURL(Table_121215[[#This Row],[Data Source]])</f>
        <v/>
      </c>
    </row>
    <row r="114" ht="15.75" customHeight="1">
      <c r="A114">
        <f>IF(Table_19[[#This Row],[Part Name]]=0,"",Table_19[[#This Row],[Part Name]])</f>
        <v/>
      </c>
      <c r="K114">
        <f>LEN(TRIM(CLEAN(SUBSTITUTE(SUBSTITUTE(Table_19[[#This Row],[Sequence]],CHAR(160)," ")," ",""))))</f>
        <v/>
      </c>
      <c r="M114" s="21" t="n"/>
      <c r="N114" s="21">
        <f>IF($B114="","FALSE","TRUE")</f>
        <v/>
      </c>
      <c r="O114">
        <f t="array" ref="O114">IsURL(Table_121215[[#This Row],[Data Source]])</f>
        <v/>
      </c>
      <c r="P114">
        <f t="array" ref="P114">IsURL(Table_121215[[#This Row],[DOI]])</f>
        <v/>
      </c>
      <c r="Q114">
        <f t="array" ref="Q114">IsURL(Table_121215[[#This Row],[Data Source]])</f>
        <v/>
      </c>
      <c r="R114">
        <f t="array" ref="R114">IsURL(Table_121215[[#This Row],[Data Source]])</f>
        <v/>
      </c>
    </row>
    <row r="115" ht="15.75" customHeight="1">
      <c r="A115">
        <f>IF(Table_19[[#This Row],[Part Name]]=0,"",Table_19[[#This Row],[Part Name]])</f>
        <v/>
      </c>
      <c r="K115">
        <f>LEN(TRIM(CLEAN(SUBSTITUTE(SUBSTITUTE(Table_19[[#This Row],[Sequence]],CHAR(160)," ")," ",""))))</f>
        <v/>
      </c>
      <c r="M115" s="21" t="n"/>
      <c r="N115" s="21">
        <f>IF($B115="","FALSE","TRUE")</f>
        <v/>
      </c>
      <c r="O115">
        <f t="array" ref="O115">IsURL(Table_121215[[#This Row],[Data Source]])</f>
        <v/>
      </c>
      <c r="P115">
        <f t="array" ref="P115">IsURL(Table_121215[[#This Row],[DOI]])</f>
        <v/>
      </c>
      <c r="Q115">
        <f t="array" ref="Q115">IsURL(Table_121215[[#This Row],[Data Source]])</f>
        <v/>
      </c>
      <c r="R115">
        <f t="array" ref="R115">IsURL(Table_121215[[#This Row],[Data Source]])</f>
        <v/>
      </c>
    </row>
    <row r="116" ht="15.75" customHeight="1">
      <c r="A116">
        <f>IF(Table_19[[#This Row],[Part Name]]=0,"",Table_19[[#This Row],[Part Name]])</f>
        <v/>
      </c>
      <c r="K116">
        <f>LEN(TRIM(CLEAN(SUBSTITUTE(SUBSTITUTE(Table_19[[#This Row],[Sequence]],CHAR(160)," ")," ",""))))</f>
        <v/>
      </c>
      <c r="M116" s="21" t="n"/>
      <c r="N116" s="21">
        <f>IF($B116="","FALSE","TRUE")</f>
        <v/>
      </c>
      <c r="O116">
        <f t="array" ref="O116">IsURL(Table_121215[[#This Row],[Data Source]])</f>
        <v/>
      </c>
      <c r="P116">
        <f t="array" ref="P116">IsURL(Table_121215[[#This Row],[DOI]])</f>
        <v/>
      </c>
      <c r="Q116">
        <f t="array" ref="Q116">IsURL(Table_121215[[#This Row],[Data Source]])</f>
        <v/>
      </c>
      <c r="R116">
        <f t="array" ref="R116">IsURL(Table_121215[[#This Row],[Data Source]])</f>
        <v/>
      </c>
    </row>
    <row r="117" ht="15.75" customHeight="1">
      <c r="A117">
        <f>IF(Table_19[[#This Row],[Part Name]]=0,"",Table_19[[#This Row],[Part Name]])</f>
        <v/>
      </c>
      <c r="K117">
        <f>LEN(TRIM(CLEAN(SUBSTITUTE(SUBSTITUTE(Table_19[[#This Row],[Sequence]],CHAR(160)," ")," ",""))))</f>
        <v/>
      </c>
      <c r="M117" s="21" t="n"/>
      <c r="N117" s="21">
        <f>IF($B117="","FALSE","TRUE")</f>
        <v/>
      </c>
      <c r="O117">
        <f t="array" ref="O117">IsURL(Table_121215[[#This Row],[Data Source]])</f>
        <v/>
      </c>
      <c r="P117">
        <f t="array" ref="P117">IsURL(Table_121215[[#This Row],[DOI]])</f>
        <v/>
      </c>
      <c r="Q117">
        <f t="array" ref="Q117">IsURL(Table_121215[[#This Row],[Data Source]])</f>
        <v/>
      </c>
      <c r="R117">
        <f t="array" ref="R117">IsURL(Table_121215[[#This Row],[Data Source]])</f>
        <v/>
      </c>
    </row>
    <row r="118" ht="15.75" customHeight="1">
      <c r="A118">
        <f>IF(Table_19[[#This Row],[Part Name]]=0,"",Table_19[[#This Row],[Part Name]])</f>
        <v/>
      </c>
      <c r="K118">
        <f>LEN(TRIM(CLEAN(SUBSTITUTE(SUBSTITUTE(Table_19[[#This Row],[Sequence]],CHAR(160)," ")," ",""))))</f>
        <v/>
      </c>
      <c r="M118" s="21" t="n"/>
      <c r="N118" s="21">
        <f>IF($B118="","FALSE","TRUE")</f>
        <v/>
      </c>
      <c r="O118">
        <f t="array" ref="O118">IsURL(Table_121215[[#This Row],[Data Source]])</f>
        <v/>
      </c>
      <c r="P118">
        <f t="array" ref="P118">IsURL(Table_121215[[#This Row],[DOI]])</f>
        <v/>
      </c>
      <c r="Q118">
        <f t="array" ref="Q118">IsURL(Table_121215[[#This Row],[Data Source]])</f>
        <v/>
      </c>
      <c r="R118">
        <f t="array" ref="R118">IsURL(Table_121215[[#This Row],[Data Source]])</f>
        <v/>
      </c>
    </row>
    <row r="119" ht="15.75" customHeight="1">
      <c r="A119">
        <f>IF(Table_19[[#This Row],[Part Name]]=0,"",Table_19[[#This Row],[Part Name]])</f>
        <v/>
      </c>
      <c r="K119">
        <f>LEN(TRIM(CLEAN(SUBSTITUTE(SUBSTITUTE(Table_19[[#This Row],[Sequence]],CHAR(160)," ")," ",""))))</f>
        <v/>
      </c>
      <c r="M119" s="21" t="n"/>
      <c r="N119" s="21">
        <f>IF($B119="","FALSE","TRUE")</f>
        <v/>
      </c>
      <c r="O119">
        <f t="array" ref="O119">IsURL(Table_121215[[#This Row],[Data Source]])</f>
        <v/>
      </c>
      <c r="P119">
        <f t="array" ref="P119">IsURL(Table_121215[[#This Row],[DOI]])</f>
        <v/>
      </c>
      <c r="Q119">
        <f t="array" ref="Q119">IsURL(Table_121215[[#This Row],[Data Source]])</f>
        <v/>
      </c>
      <c r="R119">
        <f t="array" ref="R119">IsURL(Table_121215[[#This Row],[Data Source]])</f>
        <v/>
      </c>
    </row>
    <row r="120" ht="15.75" customHeight="1">
      <c r="A120">
        <f>IF(Table_19[[#This Row],[Part Name]]=0,"",Table_19[[#This Row],[Part Name]])</f>
        <v/>
      </c>
      <c r="K120">
        <f>LEN(TRIM(CLEAN(SUBSTITUTE(SUBSTITUTE(Table_19[[#This Row],[Sequence]],CHAR(160)," ")," ",""))))</f>
        <v/>
      </c>
      <c r="M120" s="21" t="n"/>
      <c r="N120" s="21">
        <f>IF($B120="","FALSE","TRUE")</f>
        <v/>
      </c>
      <c r="O120">
        <f t="array" ref="O120">IsURL(Table_121215[[#This Row],[Data Source]])</f>
        <v/>
      </c>
      <c r="P120">
        <f t="array" ref="P120">IsURL(Table_121215[[#This Row],[DOI]])</f>
        <v/>
      </c>
      <c r="Q120">
        <f t="array" ref="Q120">IsURL(Table_121215[[#This Row],[Data Source]])</f>
        <v/>
      </c>
      <c r="R120">
        <f t="array" ref="R120">IsURL(Table_121215[[#This Row],[Data Source]])</f>
        <v/>
      </c>
    </row>
    <row r="121" ht="15.75" customHeight="1">
      <c r="A121">
        <f>IF(Table_19[[#This Row],[Part Name]]=0,"",Table_19[[#This Row],[Part Name]])</f>
        <v/>
      </c>
      <c r="K121">
        <f>LEN(TRIM(CLEAN(SUBSTITUTE(SUBSTITUTE(Table_19[[#This Row],[Sequence]],CHAR(160)," ")," ",""))))</f>
        <v/>
      </c>
      <c r="M121" s="21" t="n"/>
      <c r="N121" s="21">
        <f>IF($B121="","FALSE","TRUE")</f>
        <v/>
      </c>
      <c r="O121">
        <f t="array" ref="O121">IsURL(Table_121215[[#This Row],[Data Source]])</f>
        <v/>
      </c>
      <c r="P121">
        <f t="array" ref="P121">IsURL(Table_121215[[#This Row],[DOI]])</f>
        <v/>
      </c>
      <c r="Q121">
        <f t="array" ref="Q121">IsURL(Table_121215[[#This Row],[Data Source]])</f>
        <v/>
      </c>
      <c r="R121">
        <f t="array" ref="R121">IsURL(Table_121215[[#This Row],[Data Source]])</f>
        <v/>
      </c>
    </row>
    <row r="122" ht="15.75" customHeight="1">
      <c r="A122">
        <f>IF(Table_19[[#This Row],[Part Name]]=0,"",Table_19[[#This Row],[Part Name]])</f>
        <v/>
      </c>
      <c r="K122">
        <f>LEN(TRIM(CLEAN(SUBSTITUTE(SUBSTITUTE(Table_19[[#This Row],[Sequence]],CHAR(160)," ")," ",""))))</f>
        <v/>
      </c>
      <c r="M122" s="21" t="n"/>
      <c r="N122" s="21">
        <f>IF($B122="","FALSE","TRUE")</f>
        <v/>
      </c>
      <c r="O122">
        <f t="array" ref="O122">IsURL(Table_121215[[#This Row],[Data Source]])</f>
        <v/>
      </c>
      <c r="P122">
        <f t="array" ref="P122">IsURL(Table_121215[[#This Row],[DOI]])</f>
        <v/>
      </c>
      <c r="Q122">
        <f t="array" ref="Q122">IsURL(Table_121215[[#This Row],[Data Source]])</f>
        <v/>
      </c>
      <c r="R122">
        <f t="array" ref="R122">IsURL(Table_121215[[#This Row],[Data Source]])</f>
        <v/>
      </c>
    </row>
    <row r="123" ht="15.75" customHeight="1">
      <c r="A123">
        <f>IF(Table_19[[#This Row],[Part Name]]=0,"",Table_19[[#This Row],[Part Name]])</f>
        <v/>
      </c>
      <c r="K123">
        <f>LEN(TRIM(CLEAN(SUBSTITUTE(SUBSTITUTE(Table_19[[#This Row],[Sequence]],CHAR(160)," ")," ",""))))</f>
        <v/>
      </c>
      <c r="M123" s="21" t="n"/>
      <c r="N123" s="21">
        <f>IF($B123="","FALSE","TRUE")</f>
        <v/>
      </c>
      <c r="O123">
        <f t="array" ref="O123">IsURL(Table_121215[[#This Row],[Data Source]])</f>
        <v/>
      </c>
      <c r="P123">
        <f t="array" ref="P123">IsURL(Table_121215[[#This Row],[DOI]])</f>
        <v/>
      </c>
      <c r="Q123">
        <f t="array" ref="Q123">IsURL(Table_121215[[#This Row],[Data Source]])</f>
        <v/>
      </c>
      <c r="R123">
        <f t="array" ref="R123">IsURL(Table_121215[[#This Row],[Data Source]])</f>
        <v/>
      </c>
    </row>
    <row r="124" ht="15.75" customHeight="1">
      <c r="A124">
        <f>IF(Table_19[[#This Row],[Part Name]]=0,"",Table_19[[#This Row],[Part Name]])</f>
        <v/>
      </c>
      <c r="K124">
        <f>LEN(TRIM(CLEAN(SUBSTITUTE(SUBSTITUTE(Table_19[[#This Row],[Sequence]],CHAR(160)," ")," ",""))))</f>
        <v/>
      </c>
      <c r="M124" s="21" t="n"/>
      <c r="N124" s="21">
        <f>IF($B124="","FALSE","TRUE")</f>
        <v/>
      </c>
      <c r="O124">
        <f t="array" ref="O124">IsURL(Table_121215[[#This Row],[Data Source]])</f>
        <v/>
      </c>
      <c r="P124">
        <f t="array" ref="P124">IsURL(Table_121215[[#This Row],[DOI]])</f>
        <v/>
      </c>
      <c r="Q124">
        <f t="array" ref="Q124">IsURL(Table_121215[[#This Row],[Data Source]])</f>
        <v/>
      </c>
      <c r="R124">
        <f t="array" ref="R124">IsURL(Table_121215[[#This Row],[Data Source]])</f>
        <v/>
      </c>
    </row>
    <row r="125" ht="15.75" customHeight="1">
      <c r="A125">
        <f>IF(Table_19[[#This Row],[Part Name]]=0,"",Table_19[[#This Row],[Part Name]])</f>
        <v/>
      </c>
      <c r="K125">
        <f>LEN(TRIM(CLEAN(SUBSTITUTE(SUBSTITUTE(Table_19[[#This Row],[Sequence]],CHAR(160)," ")," ",""))))</f>
        <v/>
      </c>
      <c r="M125" s="21" t="n"/>
      <c r="N125" s="21">
        <f>IF($B125="","FALSE","TRUE")</f>
        <v/>
      </c>
      <c r="O125">
        <f t="array" ref="O125">IsURL(Table_121215[[#This Row],[Data Source]])</f>
        <v/>
      </c>
      <c r="P125">
        <f t="array" ref="P125">IsURL(Table_121215[[#This Row],[DOI]])</f>
        <v/>
      </c>
      <c r="Q125">
        <f t="array" ref="Q125">IsURL(Table_121215[[#This Row],[Data Source]])</f>
        <v/>
      </c>
      <c r="R125">
        <f t="array" ref="R125">IsURL(Table_121215[[#This Row],[Data Source]])</f>
        <v/>
      </c>
    </row>
    <row r="126" ht="15.75" customHeight="1">
      <c r="A126">
        <f>IF(Table_19[[#This Row],[Part Name]]=0,"",Table_19[[#This Row],[Part Name]])</f>
        <v/>
      </c>
      <c r="K126">
        <f>LEN(TRIM(CLEAN(SUBSTITUTE(SUBSTITUTE(Table_19[[#This Row],[Sequence]],CHAR(160)," ")," ",""))))</f>
        <v/>
      </c>
      <c r="M126" s="21" t="n"/>
      <c r="N126" s="21">
        <f>IF($B126="","FALSE","TRUE")</f>
        <v/>
      </c>
      <c r="O126">
        <f t="array" ref="O126">IsURL(Table_121215[[#This Row],[Data Source]])</f>
        <v/>
      </c>
      <c r="P126">
        <f t="array" ref="P126">IsURL(Table_121215[[#This Row],[DOI]])</f>
        <v/>
      </c>
      <c r="Q126">
        <f t="array" ref="Q126">IsURL(Table_121215[[#This Row],[Data Source]])</f>
        <v/>
      </c>
      <c r="R126">
        <f t="array" ref="R126">IsURL(Table_121215[[#This Row],[Data Source]])</f>
        <v/>
      </c>
    </row>
    <row r="127" ht="15.75" customHeight="1">
      <c r="A127">
        <f>IF(Table_19[[#This Row],[Part Name]]=0,"",Table_19[[#This Row],[Part Name]])</f>
        <v/>
      </c>
      <c r="K127">
        <f>LEN(TRIM(CLEAN(SUBSTITUTE(SUBSTITUTE(Table_19[[#This Row],[Sequence]],CHAR(160)," ")," ",""))))</f>
        <v/>
      </c>
      <c r="M127" s="21" t="n"/>
      <c r="N127" s="21">
        <f>IF($B127="","FALSE","TRUE")</f>
        <v/>
      </c>
      <c r="O127">
        <f t="array" ref="O127">IsURL(Table_121215[[#This Row],[Data Source]])</f>
        <v/>
      </c>
      <c r="P127">
        <f t="array" ref="P127">IsURL(Table_121215[[#This Row],[DOI]])</f>
        <v/>
      </c>
      <c r="Q127">
        <f t="array" ref="Q127">IsURL(Table_121215[[#This Row],[Data Source]])</f>
        <v/>
      </c>
      <c r="R127">
        <f t="array" ref="R127">IsURL(Table_121215[[#This Row],[Data Source]])</f>
        <v/>
      </c>
    </row>
    <row r="128" ht="15.75" customHeight="1">
      <c r="A128">
        <f>IF(Table_19[[#This Row],[Part Name]]=0,"",Table_19[[#This Row],[Part Name]])</f>
        <v/>
      </c>
      <c r="K128">
        <f>LEN(TRIM(CLEAN(SUBSTITUTE(SUBSTITUTE(Table_19[[#This Row],[Sequence]],CHAR(160)," ")," ",""))))</f>
        <v/>
      </c>
      <c r="M128" s="21" t="n"/>
      <c r="N128" s="21">
        <f>IF($B128="","FALSE","TRUE")</f>
        <v/>
      </c>
      <c r="O128">
        <f t="array" ref="O128">IsURL(Table_121215[[#This Row],[Data Source]])</f>
        <v/>
      </c>
      <c r="P128">
        <f t="array" ref="P128">IsURL(Table_121215[[#This Row],[DOI]])</f>
        <v/>
      </c>
      <c r="Q128">
        <f t="array" ref="Q128">IsURL(Table_121215[[#This Row],[Data Source]])</f>
        <v/>
      </c>
      <c r="R128">
        <f t="array" ref="R128">IsURL(Table_121215[[#This Row],[Data Source]])</f>
        <v/>
      </c>
    </row>
    <row r="129" ht="15.75" customHeight="1">
      <c r="A129">
        <f>IF(Table_19[[#This Row],[Part Name]]=0,"",Table_19[[#This Row],[Part Name]])</f>
        <v/>
      </c>
      <c r="K129">
        <f>LEN(TRIM(CLEAN(SUBSTITUTE(SUBSTITUTE(Table_19[[#This Row],[Sequence]],CHAR(160)," ")," ",""))))</f>
        <v/>
      </c>
      <c r="M129" s="21" t="n"/>
      <c r="N129" s="21">
        <f>IF($B129="","FALSE","TRUE")</f>
        <v/>
      </c>
      <c r="O129">
        <f t="array" ref="O129">IsURL(Table_121215[[#This Row],[Data Source]])</f>
        <v/>
      </c>
      <c r="P129">
        <f t="array" ref="P129">IsURL(Table_121215[[#This Row],[DOI]])</f>
        <v/>
      </c>
      <c r="Q129">
        <f t="array" ref="Q129">IsURL(Table_121215[[#This Row],[Data Source]])</f>
        <v/>
      </c>
      <c r="R129">
        <f t="array" ref="R129">IsURL(Table_121215[[#This Row],[Data Source]])</f>
        <v/>
      </c>
    </row>
    <row r="130" ht="15.75" customHeight="1">
      <c r="A130">
        <f>IF(Table_19[[#This Row],[Part Name]]=0,"",Table_19[[#This Row],[Part Name]])</f>
        <v/>
      </c>
      <c r="K130">
        <f>LEN(TRIM(CLEAN(SUBSTITUTE(SUBSTITUTE(Table_19[[#This Row],[Sequence]],CHAR(160)," ")," ",""))))</f>
        <v/>
      </c>
      <c r="M130" s="21" t="n"/>
      <c r="N130" s="21">
        <f>IF($B130="","FALSE","TRUE")</f>
        <v/>
      </c>
      <c r="O130">
        <f t="array" ref="O130">IsURL(Table_121215[[#This Row],[Data Source]])</f>
        <v/>
      </c>
      <c r="P130">
        <f t="array" ref="P130">IsURL(Table_121215[[#This Row],[DOI]])</f>
        <v/>
      </c>
      <c r="Q130">
        <f t="array" ref="Q130">IsURL(Table_121215[[#This Row],[Data Source]])</f>
        <v/>
      </c>
      <c r="R130">
        <f t="array" ref="R130">IsURL(Table_121215[[#This Row],[Data Source]])</f>
        <v/>
      </c>
    </row>
    <row r="131" ht="15.75" customHeight="1">
      <c r="A131">
        <f>IF(Table_19[[#This Row],[Part Name]]=0,"",Table_19[[#This Row],[Part Name]])</f>
        <v/>
      </c>
      <c r="K131">
        <f>LEN(TRIM(CLEAN(SUBSTITUTE(SUBSTITUTE(Table_19[[#This Row],[Sequence]],CHAR(160)," ")," ",""))))</f>
        <v/>
      </c>
      <c r="M131" s="21" t="n"/>
      <c r="N131" s="21">
        <f>IF($B131="","FALSE","TRUE")</f>
        <v/>
      </c>
      <c r="O131">
        <f t="array" ref="O131">IsURL(Table_121215[[#This Row],[Data Source]])</f>
        <v/>
      </c>
      <c r="P131">
        <f t="array" ref="P131">IsURL(Table_121215[[#This Row],[DOI]])</f>
        <v/>
      </c>
      <c r="Q131">
        <f t="array" ref="Q131">IsURL(Table_121215[[#This Row],[Data Source]])</f>
        <v/>
      </c>
      <c r="R131">
        <f t="array" ref="R131">IsURL(Table_121215[[#This Row],[Data Source]])</f>
        <v/>
      </c>
    </row>
    <row r="132" ht="15.75" customHeight="1">
      <c r="A132">
        <f>IF(Table_19[[#This Row],[Part Name]]=0,"",Table_19[[#This Row],[Part Name]])</f>
        <v/>
      </c>
      <c r="K132">
        <f>LEN(TRIM(CLEAN(SUBSTITUTE(SUBSTITUTE(Table_19[[#This Row],[Sequence]],CHAR(160)," ")," ",""))))</f>
        <v/>
      </c>
      <c r="M132" s="21" t="n"/>
      <c r="N132" s="21">
        <f>IF($B132="","FALSE","TRUE")</f>
        <v/>
      </c>
      <c r="O132">
        <f t="array" ref="O132">IsURL(Table_121215[[#This Row],[Data Source]])</f>
        <v/>
      </c>
      <c r="P132">
        <f t="array" ref="P132">IsURL(Table_121215[[#This Row],[DOI]])</f>
        <v/>
      </c>
      <c r="Q132">
        <f t="array" ref="Q132">IsURL(Table_121215[[#This Row],[Data Source]])</f>
        <v/>
      </c>
      <c r="R132">
        <f t="array" ref="R132">IsURL(Table_121215[[#This Row],[Data Source]])</f>
        <v/>
      </c>
    </row>
    <row r="133" ht="15.75" customHeight="1">
      <c r="A133">
        <f>IF(Table_19[[#This Row],[Part Name]]=0,"",Table_19[[#This Row],[Part Name]])</f>
        <v/>
      </c>
      <c r="K133">
        <f>LEN(TRIM(CLEAN(SUBSTITUTE(SUBSTITUTE(Table_19[[#This Row],[Sequence]],CHAR(160)," ")," ",""))))</f>
        <v/>
      </c>
      <c r="M133" s="21" t="n"/>
      <c r="N133" s="21">
        <f>IF($B133="","FALSE","TRUE")</f>
        <v/>
      </c>
      <c r="O133">
        <f t="array" ref="O133">IsURL(Table_121215[[#This Row],[Data Source]])</f>
        <v/>
      </c>
      <c r="P133">
        <f t="array" ref="P133">IsURL(Table_121215[[#This Row],[DOI]])</f>
        <v/>
      </c>
      <c r="Q133">
        <f t="array" ref="Q133">IsURL(Table_121215[[#This Row],[Data Source]])</f>
        <v/>
      </c>
      <c r="R133">
        <f t="array" ref="R133">IsURL(Table_121215[[#This Row],[Data Source]])</f>
        <v/>
      </c>
    </row>
    <row r="134" ht="15.75" customHeight="1">
      <c r="A134">
        <f>IF(Table_19[[#This Row],[Part Name]]=0,"",Table_19[[#This Row],[Part Name]])</f>
        <v/>
      </c>
      <c r="K134">
        <f>LEN(TRIM(CLEAN(SUBSTITUTE(SUBSTITUTE(Table_19[[#This Row],[Sequence]],CHAR(160)," ")," ",""))))</f>
        <v/>
      </c>
      <c r="M134" s="21" t="n"/>
      <c r="N134" s="21">
        <f>IF($B134="","FALSE","TRUE")</f>
        <v/>
      </c>
      <c r="O134">
        <f t="array" ref="O134">IsURL(Table_121215[[#This Row],[Data Source]])</f>
        <v/>
      </c>
      <c r="P134">
        <f t="array" ref="P134">IsURL(Table_121215[[#This Row],[DOI]])</f>
        <v/>
      </c>
      <c r="Q134">
        <f t="array" ref="Q134">IsURL(Table_121215[[#This Row],[Data Source]])</f>
        <v/>
      </c>
      <c r="R134">
        <f t="array" ref="R134">IsURL(Table_121215[[#This Row],[Data Source]])</f>
        <v/>
      </c>
    </row>
    <row r="135" ht="15.75" customHeight="1">
      <c r="A135">
        <f>IF(Table_19[[#This Row],[Part Name]]=0,"",Table_19[[#This Row],[Part Name]])</f>
        <v/>
      </c>
      <c r="K135">
        <f>LEN(TRIM(CLEAN(SUBSTITUTE(SUBSTITUTE(Table_19[[#This Row],[Sequence]],CHAR(160)," ")," ",""))))</f>
        <v/>
      </c>
      <c r="M135" s="21" t="n"/>
      <c r="N135" s="21">
        <f>IF($B135="","FALSE","TRUE")</f>
        <v/>
      </c>
      <c r="O135">
        <f t="array" ref="O135">IsURL(Table_121215[[#This Row],[Data Source]])</f>
        <v/>
      </c>
      <c r="P135">
        <f t="array" ref="P135">IsURL(Table_121215[[#This Row],[DOI]])</f>
        <v/>
      </c>
      <c r="Q135">
        <f t="array" ref="Q135">IsURL(Table_121215[[#This Row],[Data Source]])</f>
        <v/>
      </c>
      <c r="R135">
        <f t="array" ref="R135">IsURL(Table_121215[[#This Row],[Data Source]])</f>
        <v/>
      </c>
    </row>
    <row r="136" ht="15.75" customHeight="1">
      <c r="A136">
        <f>IF(Table_19[[#This Row],[Part Name]]=0,"",Table_19[[#This Row],[Part Name]])</f>
        <v/>
      </c>
      <c r="K136">
        <f>LEN(TRIM(CLEAN(SUBSTITUTE(SUBSTITUTE(Table_19[[#This Row],[Sequence]],CHAR(160)," ")," ",""))))</f>
        <v/>
      </c>
      <c r="M136" s="21" t="n"/>
      <c r="N136" s="21">
        <f>IF($B136="","FALSE","TRUE")</f>
        <v/>
      </c>
      <c r="O136">
        <f t="array" ref="O136">IsURL(Table_121215[[#This Row],[Data Source]])</f>
        <v/>
      </c>
      <c r="P136">
        <f t="array" ref="P136">IsURL(Table_121215[[#This Row],[DOI]])</f>
        <v/>
      </c>
      <c r="Q136">
        <f t="array" ref="Q136">IsURL(Table_121215[[#This Row],[Data Source]])</f>
        <v/>
      </c>
      <c r="R136">
        <f t="array" ref="R136">IsURL(Table_121215[[#This Row],[Data Source]])</f>
        <v/>
      </c>
    </row>
    <row r="137" ht="15.75" customHeight="1">
      <c r="A137">
        <f>IF(Table_19[[#This Row],[Part Name]]=0,"",Table_19[[#This Row],[Part Name]])</f>
        <v/>
      </c>
      <c r="K137">
        <f>LEN(TRIM(CLEAN(SUBSTITUTE(SUBSTITUTE(Table_19[[#This Row],[Sequence]],CHAR(160)," ")," ",""))))</f>
        <v/>
      </c>
      <c r="M137" s="21" t="n"/>
      <c r="N137" s="21">
        <f>IF($B137="","FALSE","TRUE")</f>
        <v/>
      </c>
      <c r="O137">
        <f t="array" ref="O137">IsURL(Table_121215[[#This Row],[Data Source]])</f>
        <v/>
      </c>
      <c r="P137">
        <f t="array" ref="P137">IsURL(Table_121215[[#This Row],[DOI]])</f>
        <v/>
      </c>
      <c r="Q137">
        <f t="array" ref="Q137">IsURL(Table_121215[[#This Row],[Data Source]])</f>
        <v/>
      </c>
      <c r="R137">
        <f t="array" ref="R137">IsURL(Table_121215[[#This Row],[Data Source]])</f>
        <v/>
      </c>
    </row>
    <row r="138" ht="15.75" customHeight="1">
      <c r="A138">
        <f>IF(Table_19[[#This Row],[Part Name]]=0,"",Table_19[[#This Row],[Part Name]])</f>
        <v/>
      </c>
      <c r="K138">
        <f>LEN(TRIM(CLEAN(SUBSTITUTE(SUBSTITUTE(Table_19[[#This Row],[Sequence]],CHAR(160)," ")," ",""))))</f>
        <v/>
      </c>
      <c r="M138" s="21" t="n"/>
      <c r="N138" s="21">
        <f>IF($B138="","FALSE","TRUE")</f>
        <v/>
      </c>
      <c r="O138">
        <f t="array" ref="O138">IsURL(Table_121215[[#This Row],[Data Source]])</f>
        <v/>
      </c>
      <c r="P138">
        <f t="array" ref="P138">IsURL(Table_121215[[#This Row],[DOI]])</f>
        <v/>
      </c>
      <c r="Q138">
        <f t="array" ref="Q138">IsURL(Table_121215[[#This Row],[Data Source]])</f>
        <v/>
      </c>
      <c r="R138">
        <f t="array" ref="R138">IsURL(Table_121215[[#This Row],[Data Source]])</f>
        <v/>
      </c>
    </row>
    <row r="139" ht="15.75" customHeight="1">
      <c r="A139">
        <f>IF(Table_19[[#This Row],[Part Name]]=0,"",Table_19[[#This Row],[Part Name]])</f>
        <v/>
      </c>
      <c r="K139">
        <f>LEN(TRIM(CLEAN(SUBSTITUTE(SUBSTITUTE(Table_19[[#This Row],[Sequence]],CHAR(160)," ")," ",""))))</f>
        <v/>
      </c>
      <c r="M139" s="21" t="n"/>
      <c r="N139" s="21">
        <f>IF($B139="","FALSE","TRUE")</f>
        <v/>
      </c>
      <c r="O139">
        <f t="array" ref="O139">IsURL(Table_121215[[#This Row],[Data Source]])</f>
        <v/>
      </c>
      <c r="P139">
        <f t="array" ref="P139">IsURL(Table_121215[[#This Row],[DOI]])</f>
        <v/>
      </c>
      <c r="Q139">
        <f t="array" ref="Q139">IsURL(Table_121215[[#This Row],[Data Source]])</f>
        <v/>
      </c>
      <c r="R139">
        <f t="array" ref="R139">IsURL(Table_121215[[#This Row],[Data Source]])</f>
        <v/>
      </c>
    </row>
    <row r="140" ht="15.75" customHeight="1">
      <c r="A140">
        <f>IF(Table_19[[#This Row],[Part Name]]=0,"",Table_19[[#This Row],[Part Name]])</f>
        <v/>
      </c>
      <c r="K140">
        <f>LEN(TRIM(CLEAN(SUBSTITUTE(SUBSTITUTE(Table_19[[#This Row],[Sequence]],CHAR(160)," ")," ",""))))</f>
        <v/>
      </c>
      <c r="M140" s="21" t="n"/>
      <c r="N140" s="21">
        <f>IF($B140="","FALSE","TRUE")</f>
        <v/>
      </c>
      <c r="O140">
        <f t="array" ref="O140">IsURL(Table_121215[[#This Row],[Data Source]])</f>
        <v/>
      </c>
      <c r="P140">
        <f t="array" ref="P140">IsURL(Table_121215[[#This Row],[DOI]])</f>
        <v/>
      </c>
      <c r="Q140">
        <f t="array" ref="Q140">IsURL(Table_121215[[#This Row],[Data Source]])</f>
        <v/>
      </c>
      <c r="R140">
        <f t="array" ref="R140">IsURL(Table_121215[[#This Row],[Data Source]])</f>
        <v/>
      </c>
    </row>
    <row r="141" ht="15.75" customHeight="1">
      <c r="A141">
        <f>IF(Table_19[[#This Row],[Part Name]]=0,"",Table_19[[#This Row],[Part Name]])</f>
        <v/>
      </c>
      <c r="K141">
        <f>LEN(TRIM(CLEAN(SUBSTITUTE(SUBSTITUTE(Table_19[[#This Row],[Sequence]],CHAR(160)," ")," ",""))))</f>
        <v/>
      </c>
      <c r="M141" s="21" t="n"/>
      <c r="N141" s="21">
        <f>IF($B141="","FALSE","TRUE")</f>
        <v/>
      </c>
      <c r="O141">
        <f t="array" ref="O141">IsURL(Table_121215[[#This Row],[Data Source]])</f>
        <v/>
      </c>
      <c r="P141">
        <f t="array" ref="P141">IsURL(Table_121215[[#This Row],[DOI]])</f>
        <v/>
      </c>
      <c r="Q141">
        <f t="array" ref="Q141">IsURL(Table_121215[[#This Row],[Data Source]])</f>
        <v/>
      </c>
      <c r="R141">
        <f t="array" ref="R141">IsURL(Table_121215[[#This Row],[Data Source]])</f>
        <v/>
      </c>
    </row>
    <row r="142" ht="15.75" customHeight="1">
      <c r="A142">
        <f>IF(Table_19[[#This Row],[Part Name]]=0,"",Table_19[[#This Row],[Part Name]])</f>
        <v/>
      </c>
      <c r="K142">
        <f>LEN(TRIM(CLEAN(SUBSTITUTE(SUBSTITUTE(Table_19[[#This Row],[Sequence]],CHAR(160)," ")," ",""))))</f>
        <v/>
      </c>
      <c r="M142" s="21" t="n"/>
      <c r="N142" s="21">
        <f>IF($B142="","FALSE","TRUE")</f>
        <v/>
      </c>
      <c r="O142">
        <f t="array" ref="O142">IsURL(Table_121215[[#This Row],[Data Source]])</f>
        <v/>
      </c>
      <c r="P142">
        <f t="array" ref="P142">IsURL(Table_121215[[#This Row],[DOI]])</f>
        <v/>
      </c>
      <c r="Q142">
        <f t="array" ref="Q142">IsURL(Table_121215[[#This Row],[Data Source]])</f>
        <v/>
      </c>
      <c r="R142">
        <f t="array" ref="R142">IsURL(Table_121215[[#This Row],[Data Source]])</f>
        <v/>
      </c>
    </row>
    <row r="143" ht="15.75" customHeight="1">
      <c r="A143">
        <f>IF(Table_19[[#This Row],[Part Name]]=0,"",Table_19[[#This Row],[Part Name]])</f>
        <v/>
      </c>
      <c r="K143">
        <f>LEN(TRIM(CLEAN(SUBSTITUTE(SUBSTITUTE(Table_19[[#This Row],[Sequence]],CHAR(160)," ")," ",""))))</f>
        <v/>
      </c>
      <c r="M143" s="21" t="n"/>
      <c r="N143" s="21">
        <f>IF($B143="","FALSE","TRUE")</f>
        <v/>
      </c>
      <c r="O143">
        <f t="array" ref="O143">IsURL(Table_121215[[#This Row],[Data Source]])</f>
        <v/>
      </c>
      <c r="P143">
        <f t="array" ref="P143">IsURL(Table_121215[[#This Row],[DOI]])</f>
        <v/>
      </c>
      <c r="Q143">
        <f t="array" ref="Q143">IsURL(Table_121215[[#This Row],[Data Source]])</f>
        <v/>
      </c>
      <c r="R143">
        <f t="array" ref="R143">IsURL(Table_121215[[#This Row],[Data Source]])</f>
        <v/>
      </c>
    </row>
    <row r="144" ht="15.75" customHeight="1">
      <c r="A144">
        <f>IF(Table_19[[#This Row],[Part Name]]=0,"",Table_19[[#This Row],[Part Name]])</f>
        <v/>
      </c>
      <c r="K144">
        <f>LEN(TRIM(CLEAN(SUBSTITUTE(SUBSTITUTE(Table_19[[#This Row],[Sequence]],CHAR(160)," ")," ",""))))</f>
        <v/>
      </c>
      <c r="M144" s="21" t="n"/>
      <c r="N144" s="21">
        <f>IF($B144="","FALSE","TRUE")</f>
        <v/>
      </c>
      <c r="O144">
        <f t="array" ref="O144">IsURL(Table_121215[[#This Row],[Data Source]])</f>
        <v/>
      </c>
      <c r="P144">
        <f t="array" ref="P144">IsURL(Table_121215[[#This Row],[DOI]])</f>
        <v/>
      </c>
      <c r="Q144">
        <f t="array" ref="Q144">IsURL(Table_121215[[#This Row],[Data Source]])</f>
        <v/>
      </c>
      <c r="R144">
        <f t="array" ref="R144">IsURL(Table_121215[[#This Row],[Data Source]])</f>
        <v/>
      </c>
    </row>
    <row r="145" ht="15.75" customHeight="1">
      <c r="A145">
        <f>IF(Table_19[[#This Row],[Part Name]]=0,"",Table_19[[#This Row],[Part Name]])</f>
        <v/>
      </c>
      <c r="K145">
        <f>LEN(TRIM(CLEAN(SUBSTITUTE(SUBSTITUTE(Table_19[[#This Row],[Sequence]],CHAR(160)," ")," ",""))))</f>
        <v/>
      </c>
      <c r="M145" s="21" t="n"/>
      <c r="N145" s="21">
        <f>IF($B145="","FALSE","TRUE")</f>
        <v/>
      </c>
      <c r="O145">
        <f t="array" ref="O145">IsURL(Table_121215[[#This Row],[Data Source]])</f>
        <v/>
      </c>
      <c r="P145">
        <f t="array" ref="P145">IsURL(Table_121215[[#This Row],[DOI]])</f>
        <v/>
      </c>
      <c r="Q145">
        <f t="array" ref="Q145">IsURL(Table_121215[[#This Row],[Data Source]])</f>
        <v/>
      </c>
      <c r="R145">
        <f t="array" ref="R145">IsURL(Table_121215[[#This Row],[Data Source]])</f>
        <v/>
      </c>
    </row>
    <row r="146" ht="15.75" customHeight="1">
      <c r="A146">
        <f>IF(Table_19[[#This Row],[Part Name]]=0,"",Table_19[[#This Row],[Part Name]])</f>
        <v/>
      </c>
      <c r="K146">
        <f>LEN(TRIM(CLEAN(SUBSTITUTE(SUBSTITUTE(Table_19[[#This Row],[Sequence]],CHAR(160)," ")," ",""))))</f>
        <v/>
      </c>
      <c r="M146" s="21" t="n"/>
      <c r="N146" s="21">
        <f>IF($B146="","FALSE","TRUE")</f>
        <v/>
      </c>
      <c r="O146">
        <f t="array" ref="O146">IsURL(Table_121215[[#This Row],[Data Source]])</f>
        <v/>
      </c>
      <c r="P146">
        <f t="array" ref="P146">IsURL(Table_121215[[#This Row],[DOI]])</f>
        <v/>
      </c>
      <c r="Q146">
        <f t="array" ref="Q146">IsURL(Table_121215[[#This Row],[Data Source]])</f>
        <v/>
      </c>
      <c r="R146">
        <f t="array" ref="R146">IsURL(Table_121215[[#This Row],[Data Source]])</f>
        <v/>
      </c>
    </row>
    <row r="147" ht="15.75" customHeight="1">
      <c r="A147">
        <f>IF(Table_19[[#This Row],[Part Name]]=0,"",Table_19[[#This Row],[Part Name]])</f>
        <v/>
      </c>
      <c r="K147">
        <f>LEN(TRIM(CLEAN(SUBSTITUTE(SUBSTITUTE(Table_19[[#This Row],[Sequence]],CHAR(160)," ")," ",""))))</f>
        <v/>
      </c>
      <c r="M147" s="21" t="n"/>
      <c r="N147" s="21">
        <f>IF($B147="","FALSE","TRUE")</f>
        <v/>
      </c>
      <c r="O147">
        <f t="array" ref="O147">IsURL(Table_121215[[#This Row],[Data Source]])</f>
        <v/>
      </c>
      <c r="P147">
        <f t="array" ref="P147">IsURL(Table_121215[[#This Row],[DOI]])</f>
        <v/>
      </c>
      <c r="Q147">
        <f t="array" ref="Q147">IsURL(Table_121215[[#This Row],[Data Source]])</f>
        <v/>
      </c>
      <c r="R147">
        <f t="array" ref="R147">IsURL(Table_121215[[#This Row],[Data Source]])</f>
        <v/>
      </c>
    </row>
    <row r="148" ht="15.75" customHeight="1">
      <c r="A148">
        <f>IF(Table_19[[#This Row],[Part Name]]=0,"",Table_19[[#This Row],[Part Name]])</f>
        <v/>
      </c>
      <c r="K148">
        <f>LEN(TRIM(CLEAN(SUBSTITUTE(SUBSTITUTE(Table_19[[#This Row],[Sequence]],CHAR(160)," ")," ",""))))</f>
        <v/>
      </c>
      <c r="M148" s="21" t="n"/>
      <c r="N148" s="21">
        <f>IF($B148="","FALSE","TRUE")</f>
        <v/>
      </c>
      <c r="O148">
        <f t="array" ref="O148">IsURL(Table_121215[[#This Row],[Data Source]])</f>
        <v/>
      </c>
      <c r="P148">
        <f t="array" ref="P148">IsURL(Table_121215[[#This Row],[DOI]])</f>
        <v/>
      </c>
      <c r="Q148">
        <f t="array" ref="Q148">IsURL(Table_121215[[#This Row],[Data Source]])</f>
        <v/>
      </c>
      <c r="R148">
        <f t="array" ref="R148">IsURL(Table_121215[[#This Row],[Data Source]])</f>
        <v/>
      </c>
    </row>
    <row r="149" ht="15.75" customHeight="1">
      <c r="A149">
        <f>IF(Table_19[[#This Row],[Part Name]]=0,"",Table_19[[#This Row],[Part Name]])</f>
        <v/>
      </c>
      <c r="K149">
        <f>LEN(TRIM(CLEAN(SUBSTITUTE(SUBSTITUTE(Table_19[[#This Row],[Sequence]],CHAR(160)," ")," ",""))))</f>
        <v/>
      </c>
      <c r="M149" s="21" t="n"/>
      <c r="N149" s="21">
        <f>IF($B149="","FALSE","TRUE")</f>
        <v/>
      </c>
      <c r="O149">
        <f t="array" ref="O149">IsURL(Table_121215[[#This Row],[Data Source]])</f>
        <v/>
      </c>
      <c r="P149">
        <f t="array" ref="P149">IsURL(Table_121215[[#This Row],[DOI]])</f>
        <v/>
      </c>
      <c r="Q149">
        <f t="array" ref="Q149">IsURL(Table_121215[[#This Row],[Data Source]])</f>
        <v/>
      </c>
      <c r="R149">
        <f t="array" ref="R149">IsURL(Table_121215[[#This Row],[Data Source]])</f>
        <v/>
      </c>
    </row>
    <row r="150" ht="15.75" customHeight="1">
      <c r="A150">
        <f>IF(Table_19[[#This Row],[Part Name]]=0,"",Table_19[[#This Row],[Part Name]])</f>
        <v/>
      </c>
      <c r="K150">
        <f>LEN(TRIM(CLEAN(SUBSTITUTE(SUBSTITUTE(Table_19[[#This Row],[Sequence]],CHAR(160)," ")," ",""))))</f>
        <v/>
      </c>
      <c r="M150" s="21" t="n"/>
      <c r="N150" s="21">
        <f>IF($B150="","FALSE","TRUE")</f>
        <v/>
      </c>
      <c r="O150">
        <f t="array" ref="O150">IsURL(Table_121215[[#This Row],[Data Source]])</f>
        <v/>
      </c>
      <c r="P150">
        <f t="array" ref="P150">IsURL(Table_121215[[#This Row],[DOI]])</f>
        <v/>
      </c>
      <c r="Q150">
        <f t="array" ref="Q150">IsURL(Table_121215[[#This Row],[Data Source]])</f>
        <v/>
      </c>
      <c r="R150">
        <f t="array" ref="R150">IsURL(Table_121215[[#This Row],[Data Source]])</f>
        <v/>
      </c>
    </row>
    <row r="151" ht="15.75" customHeight="1">
      <c r="A151">
        <f>IF(Table_19[[#This Row],[Part Name]]=0,"",Table_19[[#This Row],[Part Name]])</f>
        <v/>
      </c>
      <c r="K151">
        <f>LEN(TRIM(CLEAN(SUBSTITUTE(SUBSTITUTE(Table_19[[#This Row],[Sequence]],CHAR(160)," ")," ",""))))</f>
        <v/>
      </c>
      <c r="M151" s="21" t="n"/>
      <c r="N151" s="21">
        <f>IF($B151="","FALSE","TRUE")</f>
        <v/>
      </c>
      <c r="O151">
        <f t="array" ref="O151">IsURL(Table_121215[[#This Row],[Data Source]])</f>
        <v/>
      </c>
      <c r="P151">
        <f t="array" ref="P151">IsURL(Table_121215[[#This Row],[DOI]])</f>
        <v/>
      </c>
      <c r="Q151">
        <f t="array" ref="Q151">IsURL(Table_121215[[#This Row],[Data Source]])</f>
        <v/>
      </c>
      <c r="R151">
        <f t="array" ref="R151">IsURL(Table_121215[[#This Row],[Data Source]])</f>
        <v/>
      </c>
    </row>
    <row r="152" ht="15.75" customHeight="1">
      <c r="A152">
        <f>IF(Table_19[[#This Row],[Part Name]]=0,"",Table_19[[#This Row],[Part Name]])</f>
        <v/>
      </c>
      <c r="K152">
        <f>LEN(TRIM(CLEAN(SUBSTITUTE(SUBSTITUTE(Table_19[[#This Row],[Sequence]],CHAR(160)," ")," ",""))))</f>
        <v/>
      </c>
      <c r="M152" s="21" t="n"/>
      <c r="N152" s="21">
        <f>IF($B152="","FALSE","TRUE")</f>
        <v/>
      </c>
      <c r="O152">
        <f t="array" ref="O152">IsURL(Table_121215[[#This Row],[Data Source]])</f>
        <v/>
      </c>
      <c r="P152">
        <f t="array" ref="P152">IsURL(Table_121215[[#This Row],[DOI]])</f>
        <v/>
      </c>
      <c r="Q152">
        <f t="array" ref="Q152">IsURL(Table_121215[[#This Row],[Data Source]])</f>
        <v/>
      </c>
      <c r="R152">
        <f t="array" ref="R152">IsURL(Table_121215[[#This Row],[Data Source]])</f>
        <v/>
      </c>
    </row>
    <row r="153" ht="15.75" customHeight="1">
      <c r="A153">
        <f>IF(Table_19[[#This Row],[Part Name]]=0,"",Table_19[[#This Row],[Part Name]])</f>
        <v/>
      </c>
      <c r="K153">
        <f>LEN(TRIM(CLEAN(SUBSTITUTE(SUBSTITUTE(Table_19[[#This Row],[Sequence]],CHAR(160)," ")," ",""))))</f>
        <v/>
      </c>
      <c r="M153" s="21" t="n"/>
      <c r="N153" s="21">
        <f>IF($B153="","FALSE","TRUE")</f>
        <v/>
      </c>
      <c r="O153">
        <f t="array" ref="O153">IsURL(Table_121215[[#This Row],[Data Source]])</f>
        <v/>
      </c>
      <c r="P153">
        <f t="array" ref="P153">IsURL(Table_121215[[#This Row],[DOI]])</f>
        <v/>
      </c>
      <c r="Q153">
        <f t="array" ref="Q153">IsURL(Table_121215[[#This Row],[Data Source]])</f>
        <v/>
      </c>
      <c r="R153">
        <f t="array" ref="R153">IsURL(Table_121215[[#This Row],[Data Source]])</f>
        <v/>
      </c>
    </row>
    <row r="154" ht="15.75" customHeight="1">
      <c r="A154">
        <f>IF(Table_19[[#This Row],[Part Name]]=0,"",Table_19[[#This Row],[Part Name]])</f>
        <v/>
      </c>
      <c r="K154">
        <f>LEN(TRIM(CLEAN(SUBSTITUTE(SUBSTITUTE(Table_19[[#This Row],[Sequence]],CHAR(160)," ")," ",""))))</f>
        <v/>
      </c>
      <c r="M154" s="21" t="n"/>
      <c r="N154" s="21">
        <f>IF($B154="","FALSE","TRUE")</f>
        <v/>
      </c>
      <c r="O154">
        <f t="array" ref="O154">IsURL(Table_121215[[#This Row],[Data Source]])</f>
        <v/>
      </c>
      <c r="P154">
        <f t="array" ref="P154">IsURL(Table_121215[[#This Row],[DOI]])</f>
        <v/>
      </c>
      <c r="Q154">
        <f t="array" ref="Q154">IsURL(Table_121215[[#This Row],[Data Source]])</f>
        <v/>
      </c>
      <c r="R154">
        <f t="array" ref="R154">IsURL(Table_121215[[#This Row],[Data Source]])</f>
        <v/>
      </c>
    </row>
    <row r="155" ht="15.75" customHeight="1">
      <c r="A155">
        <f>IF(Table_19[[#This Row],[Part Name]]=0,"",Table_19[[#This Row],[Part Name]])</f>
        <v/>
      </c>
      <c r="K155">
        <f>LEN(TRIM(CLEAN(SUBSTITUTE(SUBSTITUTE(Table_19[[#This Row],[Sequence]],CHAR(160)," ")," ",""))))</f>
        <v/>
      </c>
      <c r="M155" s="21" t="n"/>
      <c r="N155" s="21">
        <f>IF($B155="","FALSE","TRUE")</f>
        <v/>
      </c>
      <c r="O155">
        <f t="array" ref="O155">IsURL(Table_121215[[#This Row],[Data Source]])</f>
        <v/>
      </c>
      <c r="P155">
        <f t="array" ref="P155">IsURL(Table_121215[[#This Row],[DOI]])</f>
        <v/>
      </c>
      <c r="Q155">
        <f t="array" ref="Q155">IsURL(Table_121215[[#This Row],[Data Source]])</f>
        <v/>
      </c>
      <c r="R155">
        <f t="array" ref="R155">IsURL(Table_121215[[#This Row],[Data Source]])</f>
        <v/>
      </c>
    </row>
    <row r="156" ht="15.75" customHeight="1">
      <c r="A156">
        <f>IF(Table_19[[#This Row],[Part Name]]=0,"",Table_19[[#This Row],[Part Name]])</f>
        <v/>
      </c>
      <c r="K156">
        <f>LEN(TRIM(CLEAN(SUBSTITUTE(SUBSTITUTE(Table_19[[#This Row],[Sequence]],CHAR(160)," ")," ",""))))</f>
        <v/>
      </c>
      <c r="M156" s="21" t="n"/>
      <c r="N156" s="21">
        <f>IF($B156="","FALSE","TRUE")</f>
        <v/>
      </c>
      <c r="O156">
        <f t="array" ref="O156">IsURL(Table_121215[[#This Row],[Data Source]])</f>
        <v/>
      </c>
      <c r="P156">
        <f t="array" ref="P156">IsURL(Table_121215[[#This Row],[DOI]])</f>
        <v/>
      </c>
      <c r="Q156">
        <f t="array" ref="Q156">IsURL(Table_121215[[#This Row],[Data Source]])</f>
        <v/>
      </c>
      <c r="R156">
        <f t="array" ref="R156">IsURL(Table_121215[[#This Row],[Data Source]])</f>
        <v/>
      </c>
    </row>
    <row r="157" ht="15.75" customHeight="1">
      <c r="A157">
        <f>IF(Table_19[[#This Row],[Part Name]]=0,"",Table_19[[#This Row],[Part Name]])</f>
        <v/>
      </c>
      <c r="K157">
        <f>LEN(TRIM(CLEAN(SUBSTITUTE(SUBSTITUTE(Table_19[[#This Row],[Sequence]],CHAR(160)," ")," ",""))))</f>
        <v/>
      </c>
      <c r="M157" s="21" t="n"/>
      <c r="N157" s="21">
        <f>IF($B157="","FALSE","TRUE")</f>
        <v/>
      </c>
      <c r="O157">
        <f t="array" ref="O157">IsURL(Table_121215[[#This Row],[Data Source]])</f>
        <v/>
      </c>
      <c r="P157">
        <f t="array" ref="P157">IsURL(Table_121215[[#This Row],[DOI]])</f>
        <v/>
      </c>
      <c r="Q157">
        <f t="array" ref="Q157">IsURL(Table_121215[[#This Row],[Data Source]])</f>
        <v/>
      </c>
      <c r="R157">
        <f t="array" ref="R157">IsURL(Table_121215[[#This Row],[Data Source]])</f>
        <v/>
      </c>
    </row>
    <row r="158" ht="15.75" customHeight="1">
      <c r="A158">
        <f>IF(Table_19[[#This Row],[Part Name]]=0,"",Table_19[[#This Row],[Part Name]])</f>
        <v/>
      </c>
      <c r="K158">
        <f>LEN(TRIM(CLEAN(SUBSTITUTE(SUBSTITUTE(Table_19[[#This Row],[Sequence]],CHAR(160)," ")," ",""))))</f>
        <v/>
      </c>
      <c r="M158" s="21" t="n"/>
      <c r="N158" s="21">
        <f>IF($B158="","FALSE","TRUE")</f>
        <v/>
      </c>
      <c r="O158">
        <f t="array" ref="O158">IsURL(Table_121215[[#This Row],[Data Source]])</f>
        <v/>
      </c>
      <c r="P158">
        <f t="array" ref="P158">IsURL(Table_121215[[#This Row],[DOI]])</f>
        <v/>
      </c>
      <c r="Q158">
        <f t="array" ref="Q158">IsURL(Table_121215[[#This Row],[Data Source]])</f>
        <v/>
      </c>
      <c r="R158">
        <f t="array" ref="R158">IsURL(Table_121215[[#This Row],[Data Source]])</f>
        <v/>
      </c>
    </row>
    <row r="159" ht="15.75" customHeight="1">
      <c r="A159">
        <f>IF(Table_19[[#This Row],[Part Name]]=0,"",Table_19[[#This Row],[Part Name]])</f>
        <v/>
      </c>
      <c r="K159">
        <f>LEN(TRIM(CLEAN(SUBSTITUTE(SUBSTITUTE(Table_19[[#This Row],[Sequence]],CHAR(160)," ")," ",""))))</f>
        <v/>
      </c>
      <c r="M159" s="21" t="n"/>
      <c r="N159" s="21">
        <f>IF($B159="","FALSE","TRUE")</f>
        <v/>
      </c>
      <c r="O159">
        <f t="array" ref="O159">IsURL(Table_121215[[#This Row],[Data Source]])</f>
        <v/>
      </c>
      <c r="P159">
        <f t="array" ref="P159">IsURL(Table_121215[[#This Row],[DOI]])</f>
        <v/>
      </c>
      <c r="Q159">
        <f t="array" ref="Q159">IsURL(Table_121215[[#This Row],[Data Source]])</f>
        <v/>
      </c>
      <c r="R159">
        <f t="array" ref="R159">IsURL(Table_121215[[#This Row],[Data Source]])</f>
        <v/>
      </c>
    </row>
    <row r="160" ht="15.75" customHeight="1">
      <c r="A160">
        <f>IF(Table_19[[#This Row],[Part Name]]=0,"",Table_19[[#This Row],[Part Name]])</f>
        <v/>
      </c>
      <c r="K160">
        <f>LEN(TRIM(CLEAN(SUBSTITUTE(SUBSTITUTE(Table_19[[#This Row],[Sequence]],CHAR(160)," ")," ",""))))</f>
        <v/>
      </c>
      <c r="M160" s="21" t="n"/>
      <c r="N160" s="21">
        <f>IF($B160="","FALSE","TRUE")</f>
        <v/>
      </c>
      <c r="O160">
        <f t="array" ref="O160">IsURL(Table_121215[[#This Row],[Data Source]])</f>
        <v/>
      </c>
      <c r="P160">
        <f t="array" ref="P160">IsURL(Table_121215[[#This Row],[DOI]])</f>
        <v/>
      </c>
      <c r="Q160">
        <f t="array" ref="Q160">IsURL(Table_121215[[#This Row],[Data Source]])</f>
        <v/>
      </c>
      <c r="R160">
        <f t="array" ref="R160">IsURL(Table_121215[[#This Row],[Data Source]])</f>
        <v/>
      </c>
    </row>
    <row r="161" ht="15.75" customHeight="1">
      <c r="A161">
        <f>IF(Table_19[[#This Row],[Part Name]]=0,"",Table_19[[#This Row],[Part Name]])</f>
        <v/>
      </c>
      <c r="K161">
        <f>LEN(TRIM(CLEAN(SUBSTITUTE(SUBSTITUTE(Table_19[[#This Row],[Sequence]],CHAR(160)," ")," ",""))))</f>
        <v/>
      </c>
      <c r="M161" s="21" t="n"/>
      <c r="N161" s="21">
        <f>IF($B161="","FALSE","TRUE")</f>
        <v/>
      </c>
      <c r="O161">
        <f t="array" ref="O161">IsURL(Table_121215[[#This Row],[Data Source]])</f>
        <v/>
      </c>
      <c r="P161">
        <f t="array" ref="P161">IsURL(Table_121215[[#This Row],[DOI]])</f>
        <v/>
      </c>
      <c r="Q161">
        <f t="array" ref="Q161">IsURL(Table_121215[[#This Row],[Data Source]])</f>
        <v/>
      </c>
      <c r="R161">
        <f t="array" ref="R161">IsURL(Table_121215[[#This Row],[Data Source]])</f>
        <v/>
      </c>
    </row>
    <row r="162" ht="15.75" customHeight="1">
      <c r="A162">
        <f>IF(Table_19[[#This Row],[Part Name]]=0,"",Table_19[[#This Row],[Part Name]])</f>
        <v/>
      </c>
      <c r="K162">
        <f>LEN(TRIM(CLEAN(SUBSTITUTE(SUBSTITUTE(Table_19[[#This Row],[Sequence]],CHAR(160)," ")," ",""))))</f>
        <v/>
      </c>
      <c r="M162" s="21" t="n"/>
      <c r="N162" s="21">
        <f>IF($B162="","FALSE","TRUE")</f>
        <v/>
      </c>
      <c r="O162">
        <f t="array" ref="O162">IsURL(Table_121215[[#This Row],[Data Source]])</f>
        <v/>
      </c>
      <c r="P162">
        <f t="array" ref="P162">IsURL(Table_121215[[#This Row],[DOI]])</f>
        <v/>
      </c>
      <c r="Q162">
        <f t="array" ref="Q162">IsURL(Table_121215[[#This Row],[Data Source]])</f>
        <v/>
      </c>
      <c r="R162">
        <f t="array" ref="R162">IsURL(Table_121215[[#This Row],[Data Source]])</f>
        <v/>
      </c>
    </row>
    <row r="163" ht="15.75" customHeight="1">
      <c r="A163">
        <f>IF(Table_19[[#This Row],[Part Name]]=0,"",Table_19[[#This Row],[Part Name]])</f>
        <v/>
      </c>
      <c r="K163">
        <f>LEN(TRIM(CLEAN(SUBSTITUTE(SUBSTITUTE(Table_19[[#This Row],[Sequence]],CHAR(160)," ")," ",""))))</f>
        <v/>
      </c>
      <c r="M163" s="21" t="n"/>
      <c r="N163" s="21">
        <f>IF($B163="","FALSE","TRUE")</f>
        <v/>
      </c>
      <c r="O163">
        <f t="array" ref="O163">IsURL(Table_121215[[#This Row],[Data Source]])</f>
        <v/>
      </c>
      <c r="P163">
        <f t="array" ref="P163">IsURL(Table_121215[[#This Row],[DOI]])</f>
        <v/>
      </c>
      <c r="Q163">
        <f t="array" ref="Q163">IsURL(Table_121215[[#This Row],[Data Source]])</f>
        <v/>
      </c>
      <c r="R163">
        <f t="array" ref="R163">IsURL(Table_121215[[#This Row],[Data Source]])</f>
        <v/>
      </c>
    </row>
    <row r="164" ht="15.75" customHeight="1">
      <c r="A164">
        <f>IF(Table_19[[#This Row],[Part Name]]=0,"",Table_19[[#This Row],[Part Name]])</f>
        <v/>
      </c>
      <c r="K164">
        <f>LEN(TRIM(CLEAN(SUBSTITUTE(SUBSTITUTE(Table_19[[#This Row],[Sequence]],CHAR(160)," ")," ",""))))</f>
        <v/>
      </c>
      <c r="M164" s="21" t="n"/>
      <c r="N164" s="21">
        <f>IF($B164="","FALSE","TRUE")</f>
        <v/>
      </c>
      <c r="O164">
        <f t="array" ref="O164">IsURL(Table_121215[[#This Row],[Data Source]])</f>
        <v/>
      </c>
      <c r="P164">
        <f t="array" ref="P164">IsURL(Table_121215[[#This Row],[DOI]])</f>
        <v/>
      </c>
      <c r="Q164">
        <f t="array" ref="Q164">IsURL(Table_121215[[#This Row],[Data Source]])</f>
        <v/>
      </c>
      <c r="R164">
        <f t="array" ref="R164">IsURL(Table_121215[[#This Row],[Data Source]])</f>
        <v/>
      </c>
    </row>
    <row r="165" ht="15.75" customHeight="1">
      <c r="A165">
        <f>IF(Table_19[[#This Row],[Part Name]]=0,"",Table_19[[#This Row],[Part Name]])</f>
        <v/>
      </c>
      <c r="K165">
        <f>LEN(TRIM(CLEAN(SUBSTITUTE(SUBSTITUTE(Table_19[[#This Row],[Sequence]],CHAR(160)," ")," ",""))))</f>
        <v/>
      </c>
      <c r="M165" s="21" t="n"/>
      <c r="N165" s="21">
        <f>IF($B165="","FALSE","TRUE")</f>
        <v/>
      </c>
      <c r="O165">
        <f t="array" ref="O165">IsURL(Table_121215[[#This Row],[Data Source]])</f>
        <v/>
      </c>
      <c r="P165">
        <f t="array" ref="P165">IsURL(Table_121215[[#This Row],[DOI]])</f>
        <v/>
      </c>
      <c r="Q165">
        <f t="array" ref="Q165">IsURL(Table_121215[[#This Row],[Data Source]])</f>
        <v/>
      </c>
      <c r="R165">
        <f t="array" ref="R165">IsURL(Table_121215[[#This Row],[Data Source]])</f>
        <v/>
      </c>
    </row>
    <row r="166" ht="15.75" customHeight="1">
      <c r="A166">
        <f>IF(Table_19[[#This Row],[Part Name]]=0,"",Table_19[[#This Row],[Part Name]])</f>
        <v/>
      </c>
      <c r="K166">
        <f>LEN(TRIM(CLEAN(SUBSTITUTE(SUBSTITUTE(Table_19[[#This Row],[Sequence]],CHAR(160)," ")," ",""))))</f>
        <v/>
      </c>
      <c r="M166" s="21" t="n"/>
      <c r="N166" s="21">
        <f>IF($B166="","FALSE","TRUE")</f>
        <v/>
      </c>
      <c r="O166">
        <f t="array" ref="O166">IsURL(Table_121215[[#This Row],[Data Source]])</f>
        <v/>
      </c>
      <c r="P166">
        <f t="array" ref="P166">IsURL(Table_121215[[#This Row],[DOI]])</f>
        <v/>
      </c>
      <c r="Q166">
        <f t="array" ref="Q166">IsURL(Table_121215[[#This Row],[Data Source]])</f>
        <v/>
      </c>
      <c r="R166">
        <f t="array" ref="R166">IsURL(Table_121215[[#This Row],[Data Source]])</f>
        <v/>
      </c>
    </row>
    <row r="167" ht="15.75" customHeight="1">
      <c r="A167">
        <f>IF(Table_19[[#This Row],[Part Name]]=0,"",Table_19[[#This Row],[Part Name]])</f>
        <v/>
      </c>
      <c r="K167">
        <f>LEN(TRIM(CLEAN(SUBSTITUTE(SUBSTITUTE(Table_19[[#This Row],[Sequence]],CHAR(160)," ")," ",""))))</f>
        <v/>
      </c>
      <c r="M167" s="21" t="n"/>
      <c r="N167" s="21">
        <f>IF($B167="","FALSE","TRUE")</f>
        <v/>
      </c>
      <c r="O167">
        <f t="array" ref="O167">IsURL(Table_121215[[#This Row],[Data Source]])</f>
        <v/>
      </c>
      <c r="P167">
        <f t="array" ref="P167">IsURL(Table_121215[[#This Row],[DOI]])</f>
        <v/>
      </c>
      <c r="Q167">
        <f t="array" ref="Q167">IsURL(Table_121215[[#This Row],[Data Source]])</f>
        <v/>
      </c>
      <c r="R167">
        <f t="array" ref="R167">IsURL(Table_121215[[#This Row],[Data Source]])</f>
        <v/>
      </c>
    </row>
    <row r="168" ht="15.75" customHeight="1">
      <c r="A168">
        <f>IF(Table_19[[#This Row],[Part Name]]=0,"",Table_19[[#This Row],[Part Name]])</f>
        <v/>
      </c>
      <c r="K168">
        <f>LEN(TRIM(CLEAN(SUBSTITUTE(SUBSTITUTE(Table_19[[#This Row],[Sequence]],CHAR(160)," ")," ",""))))</f>
        <v/>
      </c>
      <c r="M168" s="21" t="n"/>
      <c r="N168" s="21">
        <f>IF($B168="","FALSE","TRUE")</f>
        <v/>
      </c>
      <c r="O168">
        <f t="array" ref="O168">IsURL(Table_121215[[#This Row],[Data Source]])</f>
        <v/>
      </c>
      <c r="P168">
        <f t="array" ref="P168">IsURL(Table_121215[[#This Row],[DOI]])</f>
        <v/>
      </c>
      <c r="Q168">
        <f t="array" ref="Q168">IsURL(Table_121215[[#This Row],[Data Source]])</f>
        <v/>
      </c>
      <c r="R168">
        <f t="array" ref="R168">IsURL(Table_121215[[#This Row],[Data Source]])</f>
        <v/>
      </c>
    </row>
    <row r="169" ht="15.75" customHeight="1">
      <c r="A169">
        <f>IF(Table_19[[#This Row],[Part Name]]=0,"",Table_19[[#This Row],[Part Name]])</f>
        <v/>
      </c>
      <c r="K169">
        <f>LEN(TRIM(CLEAN(SUBSTITUTE(SUBSTITUTE(Table_19[[#This Row],[Sequence]],CHAR(160)," ")," ",""))))</f>
        <v/>
      </c>
      <c r="M169" s="21" t="n"/>
      <c r="N169" s="21">
        <f>IF($B169="","FALSE","TRUE")</f>
        <v/>
      </c>
      <c r="O169">
        <f t="array" ref="O169">IsURL(Table_121215[[#This Row],[Data Source]])</f>
        <v/>
      </c>
      <c r="P169">
        <f t="array" ref="P169">IsURL(Table_121215[[#This Row],[DOI]])</f>
        <v/>
      </c>
      <c r="Q169">
        <f t="array" ref="Q169">IsURL(Table_121215[[#This Row],[Data Source]])</f>
        <v/>
      </c>
      <c r="R169">
        <f t="array" ref="R169">IsURL(Table_121215[[#This Row],[Data Source]])</f>
        <v/>
      </c>
    </row>
    <row r="170" ht="15.75" customHeight="1">
      <c r="A170">
        <f>IF(Table_19[[#This Row],[Part Name]]=0,"",Table_19[[#This Row],[Part Name]])</f>
        <v/>
      </c>
      <c r="K170">
        <f>LEN(TRIM(CLEAN(SUBSTITUTE(SUBSTITUTE(Table_19[[#This Row],[Sequence]],CHAR(160)," ")," ",""))))</f>
        <v/>
      </c>
      <c r="M170" s="21" t="n"/>
      <c r="N170" s="21">
        <f>IF($B170="","FALSE","TRUE")</f>
        <v/>
      </c>
      <c r="O170">
        <f t="array" ref="O170">IsURL(Table_121215[[#This Row],[Data Source]])</f>
        <v/>
      </c>
      <c r="P170">
        <f t="array" ref="P170">IsURL(Table_121215[[#This Row],[DOI]])</f>
        <v/>
      </c>
      <c r="Q170">
        <f t="array" ref="Q170">IsURL(Table_121215[[#This Row],[Data Source]])</f>
        <v/>
      </c>
      <c r="R170">
        <f t="array" ref="R170">IsURL(Table_121215[[#This Row],[Data Source]])</f>
        <v/>
      </c>
    </row>
    <row r="171" ht="15.75" customHeight="1">
      <c r="A171">
        <f>IF(Table_19[[#This Row],[Part Name]]=0,"",Table_19[[#This Row],[Part Name]])</f>
        <v/>
      </c>
      <c r="K171">
        <f>LEN(TRIM(CLEAN(SUBSTITUTE(SUBSTITUTE(Table_19[[#This Row],[Sequence]],CHAR(160)," ")," ",""))))</f>
        <v/>
      </c>
      <c r="M171" s="21" t="n"/>
      <c r="N171" s="21">
        <f>IF($B171="","FALSE","TRUE")</f>
        <v/>
      </c>
      <c r="O171">
        <f t="array" ref="O171">IsURL(Table_121215[[#This Row],[Data Source]])</f>
        <v/>
      </c>
      <c r="P171">
        <f t="array" ref="P171">IsURL(Table_121215[[#This Row],[DOI]])</f>
        <v/>
      </c>
      <c r="Q171">
        <f t="array" ref="Q171">IsURL(Table_121215[[#This Row],[Data Source]])</f>
        <v/>
      </c>
      <c r="R171">
        <f t="array" ref="R171">IsURL(Table_121215[[#This Row],[Data Source]])</f>
        <v/>
      </c>
    </row>
    <row r="172" ht="15.75" customHeight="1">
      <c r="A172">
        <f>IF(Table_19[[#This Row],[Part Name]]=0,"",Table_19[[#This Row],[Part Name]])</f>
        <v/>
      </c>
      <c r="K172">
        <f>LEN(TRIM(CLEAN(SUBSTITUTE(SUBSTITUTE(Table_19[[#This Row],[Sequence]],CHAR(160)," ")," ",""))))</f>
        <v/>
      </c>
      <c r="M172" s="21" t="n"/>
      <c r="N172" s="21">
        <f>IF($B172="","FALSE","TRUE")</f>
        <v/>
      </c>
      <c r="O172">
        <f t="array" ref="O172">IsURL(Table_121215[[#This Row],[Data Source]])</f>
        <v/>
      </c>
      <c r="P172">
        <f t="array" ref="P172">IsURL(Table_121215[[#This Row],[DOI]])</f>
        <v/>
      </c>
      <c r="Q172">
        <f t="array" ref="Q172">IsURL(Table_121215[[#This Row],[Data Source]])</f>
        <v/>
      </c>
      <c r="R172">
        <f t="array" ref="R172">IsURL(Table_121215[[#This Row],[Data Source]])</f>
        <v/>
      </c>
    </row>
    <row r="173" ht="15.75" customHeight="1">
      <c r="A173">
        <f>IF(Table_19[[#This Row],[Part Name]]=0,"",Table_19[[#This Row],[Part Name]])</f>
        <v/>
      </c>
      <c r="K173">
        <f>LEN(TRIM(CLEAN(SUBSTITUTE(SUBSTITUTE(Table_19[[#This Row],[Sequence]],CHAR(160)," ")," ",""))))</f>
        <v/>
      </c>
      <c r="M173" s="21" t="n"/>
      <c r="N173" s="21">
        <f>IF($B173="","FALSE","TRUE")</f>
        <v/>
      </c>
      <c r="O173">
        <f t="array" ref="O173">IsURL(Table_121215[[#This Row],[Data Source]])</f>
        <v/>
      </c>
      <c r="P173">
        <f t="array" ref="P173">IsURL(Table_121215[[#This Row],[DOI]])</f>
        <v/>
      </c>
      <c r="Q173">
        <f t="array" ref="Q173">IsURL(Table_121215[[#This Row],[Data Source]])</f>
        <v/>
      </c>
      <c r="R173">
        <f t="array" ref="R173">IsURL(Table_121215[[#This Row],[Data Source]])</f>
        <v/>
      </c>
    </row>
    <row r="174" ht="15.75" customHeight="1">
      <c r="A174">
        <f>IF(Table_19[[#This Row],[Part Name]]=0,"",Table_19[[#This Row],[Part Name]])</f>
        <v/>
      </c>
      <c r="K174">
        <f>LEN(TRIM(CLEAN(SUBSTITUTE(SUBSTITUTE(Table_19[[#This Row],[Sequence]],CHAR(160)," ")," ",""))))</f>
        <v/>
      </c>
      <c r="M174" s="21" t="n"/>
      <c r="N174" s="21">
        <f>IF($B174="","FALSE","TRUE")</f>
        <v/>
      </c>
      <c r="O174">
        <f t="array" ref="O174">IsURL(Table_121215[[#This Row],[Data Source]])</f>
        <v/>
      </c>
      <c r="P174">
        <f t="array" ref="P174">IsURL(Table_121215[[#This Row],[DOI]])</f>
        <v/>
      </c>
      <c r="Q174">
        <f t="array" ref="Q174">IsURL(Table_121215[[#This Row],[Data Source]])</f>
        <v/>
      </c>
      <c r="R174">
        <f t="array" ref="R174">IsURL(Table_121215[[#This Row],[Data Source]])</f>
        <v/>
      </c>
    </row>
    <row r="175" ht="15.75" customHeight="1">
      <c r="A175">
        <f>IF(Table_19[[#This Row],[Part Name]]=0,"",Table_19[[#This Row],[Part Name]])</f>
        <v/>
      </c>
      <c r="K175">
        <f>LEN(TRIM(CLEAN(SUBSTITUTE(SUBSTITUTE(Table_19[[#This Row],[Sequence]],CHAR(160)," ")," ",""))))</f>
        <v/>
      </c>
      <c r="M175" s="21" t="n"/>
      <c r="N175" s="21">
        <f>IF($B175="","FALSE","TRUE")</f>
        <v/>
      </c>
      <c r="O175">
        <f t="array" ref="O175">IsURL(Table_121215[[#This Row],[Data Source]])</f>
        <v/>
      </c>
      <c r="P175">
        <f t="array" ref="P175">IsURL(Table_121215[[#This Row],[DOI]])</f>
        <v/>
      </c>
      <c r="Q175">
        <f t="array" ref="Q175">IsURL(Table_121215[[#This Row],[Data Source]])</f>
        <v/>
      </c>
      <c r="R175">
        <f t="array" ref="R175">IsURL(Table_121215[[#This Row],[Data Source]])</f>
        <v/>
      </c>
    </row>
    <row r="176" ht="15.75" customHeight="1">
      <c r="A176">
        <f>IF(Table_19[[#This Row],[Part Name]]=0,"",Table_19[[#This Row],[Part Name]])</f>
        <v/>
      </c>
      <c r="K176">
        <f>LEN(TRIM(CLEAN(SUBSTITUTE(SUBSTITUTE(Table_19[[#This Row],[Sequence]],CHAR(160)," ")," ",""))))</f>
        <v/>
      </c>
      <c r="M176" s="21" t="n"/>
      <c r="N176" s="21">
        <f>IF($B176="","FALSE","TRUE")</f>
        <v/>
      </c>
      <c r="O176">
        <f t="array" ref="O176">IsURL(Table_121215[[#This Row],[Data Source]])</f>
        <v/>
      </c>
      <c r="P176">
        <f t="array" ref="P176">IsURL(Table_121215[[#This Row],[DOI]])</f>
        <v/>
      </c>
      <c r="Q176">
        <f t="array" ref="Q176">IsURL(Table_121215[[#This Row],[Data Source]])</f>
        <v/>
      </c>
      <c r="R176">
        <f t="array" ref="R176">IsURL(Table_121215[[#This Row],[Data Source]])</f>
        <v/>
      </c>
    </row>
    <row r="177" ht="15.75" customHeight="1">
      <c r="A177">
        <f>IF(Table_19[[#This Row],[Part Name]]=0,"",Table_19[[#This Row],[Part Name]])</f>
        <v/>
      </c>
      <c r="K177">
        <f>LEN(TRIM(CLEAN(SUBSTITUTE(SUBSTITUTE(Table_19[[#This Row],[Sequence]],CHAR(160)," ")," ",""))))</f>
        <v/>
      </c>
      <c r="M177" s="21" t="n"/>
      <c r="N177" s="21">
        <f>IF($B177="","FALSE","TRUE")</f>
        <v/>
      </c>
      <c r="O177">
        <f t="array" ref="O177">IsURL(Table_121215[[#This Row],[Data Source]])</f>
        <v/>
      </c>
      <c r="P177">
        <f t="array" ref="P177">IsURL(Table_121215[[#This Row],[DOI]])</f>
        <v/>
      </c>
      <c r="Q177">
        <f t="array" ref="Q177">IsURL(Table_121215[[#This Row],[Data Source]])</f>
        <v/>
      </c>
      <c r="R177">
        <f t="array" ref="R177">IsURL(Table_121215[[#This Row],[Data Source]])</f>
        <v/>
      </c>
    </row>
    <row r="178" ht="15.75" customHeight="1">
      <c r="A178">
        <f>IF(Table_19[[#This Row],[Part Name]]=0,"",Table_19[[#This Row],[Part Name]])</f>
        <v/>
      </c>
      <c r="K178">
        <f>LEN(TRIM(CLEAN(SUBSTITUTE(SUBSTITUTE(Table_19[[#This Row],[Sequence]],CHAR(160)," ")," ",""))))</f>
        <v/>
      </c>
      <c r="M178" s="21" t="n"/>
      <c r="N178" s="21">
        <f>IF($B178="","FALSE","TRUE")</f>
        <v/>
      </c>
      <c r="O178">
        <f t="array" ref="O178">IsURL(Table_121215[[#This Row],[Data Source]])</f>
        <v/>
      </c>
      <c r="P178">
        <f t="array" ref="P178">IsURL(Table_121215[[#This Row],[DOI]])</f>
        <v/>
      </c>
      <c r="Q178">
        <f t="array" ref="Q178">IsURL(Table_121215[[#This Row],[Data Source]])</f>
        <v/>
      </c>
      <c r="R178">
        <f t="array" ref="R178">IsURL(Table_121215[[#This Row],[Data Source]])</f>
        <v/>
      </c>
    </row>
    <row r="179" ht="15.75" customHeight="1">
      <c r="A179">
        <f>IF(Table_19[[#This Row],[Part Name]]=0,"",Table_19[[#This Row],[Part Name]])</f>
        <v/>
      </c>
      <c r="K179">
        <f>LEN(TRIM(CLEAN(SUBSTITUTE(SUBSTITUTE(Table_19[[#This Row],[Sequence]],CHAR(160)," ")," ",""))))</f>
        <v/>
      </c>
      <c r="M179" s="21" t="n"/>
      <c r="N179" s="21">
        <f>IF($B179="","FALSE","TRUE")</f>
        <v/>
      </c>
      <c r="O179">
        <f t="array" ref="O179">IsURL(Table_121215[[#This Row],[Data Source]])</f>
        <v/>
      </c>
      <c r="P179">
        <f t="array" ref="P179">IsURL(Table_121215[[#This Row],[DOI]])</f>
        <v/>
      </c>
      <c r="Q179">
        <f t="array" ref="Q179">IsURL(Table_121215[[#This Row],[Data Source]])</f>
        <v/>
      </c>
      <c r="R179">
        <f t="array" ref="R179">IsURL(Table_121215[[#This Row],[Data Source]])</f>
        <v/>
      </c>
    </row>
    <row r="180" ht="15.75" customHeight="1">
      <c r="A180">
        <f>IF(Table_19[[#This Row],[Part Name]]=0,"",Table_19[[#This Row],[Part Name]])</f>
        <v/>
      </c>
      <c r="K180">
        <f>LEN(TRIM(CLEAN(SUBSTITUTE(SUBSTITUTE(Table_19[[#This Row],[Sequence]],CHAR(160)," ")," ",""))))</f>
        <v/>
      </c>
      <c r="M180" s="21" t="n"/>
      <c r="N180" s="21">
        <f>IF($B180="","FALSE","TRUE")</f>
        <v/>
      </c>
      <c r="O180">
        <f t="array" ref="O180">IsURL(Table_121215[[#This Row],[Data Source]])</f>
        <v/>
      </c>
      <c r="P180">
        <f t="array" ref="P180">IsURL(Table_121215[[#This Row],[DOI]])</f>
        <v/>
      </c>
      <c r="Q180">
        <f t="array" ref="Q180">IsURL(Table_121215[[#This Row],[Data Source]])</f>
        <v/>
      </c>
      <c r="R180">
        <f t="array" ref="R180">IsURL(Table_121215[[#This Row],[Data Source]])</f>
        <v/>
      </c>
    </row>
    <row r="181" ht="15.75" customHeight="1">
      <c r="A181">
        <f>IF(Table_19[[#This Row],[Part Name]]=0,"",Table_19[[#This Row],[Part Name]])</f>
        <v/>
      </c>
      <c r="K181">
        <f>LEN(TRIM(CLEAN(SUBSTITUTE(SUBSTITUTE(Table_19[[#This Row],[Sequence]],CHAR(160)," ")," ",""))))</f>
        <v/>
      </c>
      <c r="M181" s="21" t="n"/>
      <c r="N181" s="21">
        <f>IF($B181="","FALSE","TRUE")</f>
        <v/>
      </c>
      <c r="O181">
        <f t="array" ref="O181">IsURL(Table_121215[[#This Row],[Data Source]])</f>
        <v/>
      </c>
      <c r="P181">
        <f t="array" ref="P181">IsURL(Table_121215[[#This Row],[DOI]])</f>
        <v/>
      </c>
      <c r="Q181">
        <f t="array" ref="Q181">IsURL(Table_121215[[#This Row],[Data Source]])</f>
        <v/>
      </c>
      <c r="R181">
        <f t="array" ref="R181">IsURL(Table_121215[[#This Row],[Data Source]])</f>
        <v/>
      </c>
    </row>
    <row r="182" ht="15.75" customHeight="1">
      <c r="A182">
        <f>IF(Table_19[[#This Row],[Part Name]]=0,"",Table_19[[#This Row],[Part Name]])</f>
        <v/>
      </c>
      <c r="K182">
        <f>LEN(TRIM(CLEAN(SUBSTITUTE(SUBSTITUTE(Table_19[[#This Row],[Sequence]],CHAR(160)," ")," ",""))))</f>
        <v/>
      </c>
      <c r="M182" s="21" t="n"/>
      <c r="N182" s="21">
        <f>IF($B182="","FALSE","TRUE")</f>
        <v/>
      </c>
      <c r="O182">
        <f t="array" ref="O182">IsURL(Table_121215[[#This Row],[Data Source]])</f>
        <v/>
      </c>
      <c r="P182">
        <f t="array" ref="P182">IsURL(Table_121215[[#This Row],[DOI]])</f>
        <v/>
      </c>
      <c r="Q182">
        <f t="array" ref="Q182">IsURL(Table_121215[[#This Row],[Data Source]])</f>
        <v/>
      </c>
      <c r="R182">
        <f t="array" ref="R182">IsURL(Table_121215[[#This Row],[Data Source]])</f>
        <v/>
      </c>
    </row>
    <row r="183" ht="15.75" customHeight="1">
      <c r="A183">
        <f>IF(Table_19[[#This Row],[Part Name]]=0,"",Table_19[[#This Row],[Part Name]])</f>
        <v/>
      </c>
      <c r="K183">
        <f>LEN(TRIM(CLEAN(SUBSTITUTE(SUBSTITUTE(Table_19[[#This Row],[Sequence]],CHAR(160)," ")," ",""))))</f>
        <v/>
      </c>
      <c r="M183" s="21" t="n"/>
      <c r="N183" s="21">
        <f>IF($B183="","FALSE","TRUE")</f>
        <v/>
      </c>
      <c r="O183">
        <f t="array" ref="O183">IsURL(Table_121215[[#This Row],[Data Source]])</f>
        <v/>
      </c>
      <c r="P183">
        <f t="array" ref="P183">IsURL(Table_121215[[#This Row],[DOI]])</f>
        <v/>
      </c>
      <c r="Q183">
        <f t="array" ref="Q183">IsURL(Table_121215[[#This Row],[Data Source]])</f>
        <v/>
      </c>
      <c r="R183">
        <f t="array" ref="R183">IsURL(Table_121215[[#This Row],[Data Source]])</f>
        <v/>
      </c>
    </row>
    <row r="184" ht="15.75" customHeight="1">
      <c r="A184">
        <f>IF(Table_19[[#This Row],[Part Name]]=0,"",Table_19[[#This Row],[Part Name]])</f>
        <v/>
      </c>
      <c r="K184">
        <f>LEN(TRIM(CLEAN(SUBSTITUTE(SUBSTITUTE(Table_19[[#This Row],[Sequence]],CHAR(160)," ")," ",""))))</f>
        <v/>
      </c>
      <c r="M184" s="21" t="n"/>
      <c r="N184" s="21">
        <f>IF($B184="","FALSE","TRUE")</f>
        <v/>
      </c>
      <c r="O184">
        <f t="array" ref="O184">IsURL(Table_121215[[#This Row],[Data Source]])</f>
        <v/>
      </c>
      <c r="P184">
        <f t="array" ref="P184">IsURL(Table_121215[[#This Row],[DOI]])</f>
        <v/>
      </c>
      <c r="Q184">
        <f t="array" ref="Q184">IsURL(Table_121215[[#This Row],[Data Source]])</f>
        <v/>
      </c>
      <c r="R184">
        <f t="array" ref="R184">IsURL(Table_121215[[#This Row],[Data Source]])</f>
        <v/>
      </c>
    </row>
    <row r="185" ht="15.75" customHeight="1">
      <c r="A185">
        <f>IF(Table_19[[#This Row],[Part Name]]=0,"",Table_19[[#This Row],[Part Name]])</f>
        <v/>
      </c>
      <c r="K185">
        <f>LEN(TRIM(CLEAN(SUBSTITUTE(SUBSTITUTE(Table_19[[#This Row],[Sequence]],CHAR(160)," ")," ",""))))</f>
        <v/>
      </c>
      <c r="M185" s="21" t="n"/>
      <c r="N185" s="21">
        <f>IF($B185="","FALSE","TRUE")</f>
        <v/>
      </c>
      <c r="O185">
        <f t="array" ref="O185">IsURL(Table_121215[[#This Row],[Data Source]])</f>
        <v/>
      </c>
      <c r="P185">
        <f t="array" ref="P185">IsURL(Table_121215[[#This Row],[DOI]])</f>
        <v/>
      </c>
      <c r="Q185">
        <f t="array" ref="Q185">IsURL(Table_121215[[#This Row],[Data Source]])</f>
        <v/>
      </c>
      <c r="R185">
        <f t="array" ref="R185">IsURL(Table_121215[[#This Row],[Data Source]])</f>
        <v/>
      </c>
    </row>
    <row r="186" ht="15.75" customHeight="1">
      <c r="A186">
        <f>IF(Table_19[[#This Row],[Part Name]]=0,"",Table_19[[#This Row],[Part Name]])</f>
        <v/>
      </c>
      <c r="K186">
        <f>LEN(TRIM(CLEAN(SUBSTITUTE(SUBSTITUTE(Table_19[[#This Row],[Sequence]],CHAR(160)," ")," ",""))))</f>
        <v/>
      </c>
      <c r="M186" s="21" t="n"/>
      <c r="N186" s="21">
        <f>IF($B186="","FALSE","TRUE")</f>
        <v/>
      </c>
      <c r="O186">
        <f t="array" ref="O186">IsURL(Table_121215[[#This Row],[Data Source]])</f>
        <v/>
      </c>
      <c r="P186">
        <f t="array" ref="P186">IsURL(Table_121215[[#This Row],[DOI]])</f>
        <v/>
      </c>
      <c r="Q186">
        <f t="array" ref="Q186">IsURL(Table_121215[[#This Row],[Data Source]])</f>
        <v/>
      </c>
      <c r="R186">
        <f t="array" ref="R186">IsURL(Table_121215[[#This Row],[Data Source]])</f>
        <v/>
      </c>
    </row>
    <row r="187" ht="15.75" customHeight="1">
      <c r="A187">
        <f>IF(Table_19[[#This Row],[Part Name]]=0,"",Table_19[[#This Row],[Part Name]])</f>
        <v/>
      </c>
      <c r="K187">
        <f>LEN(TRIM(CLEAN(SUBSTITUTE(SUBSTITUTE(Table_19[[#This Row],[Sequence]],CHAR(160)," ")," ",""))))</f>
        <v/>
      </c>
      <c r="M187" s="21" t="n"/>
      <c r="N187" s="21">
        <f>IF($B187="","FALSE","TRUE")</f>
        <v/>
      </c>
      <c r="O187">
        <f t="array" ref="O187">IsURL(Table_121215[[#This Row],[Data Source]])</f>
        <v/>
      </c>
      <c r="P187">
        <f t="array" ref="P187">IsURL(Table_121215[[#This Row],[DOI]])</f>
        <v/>
      </c>
      <c r="Q187">
        <f t="array" ref="Q187">IsURL(Table_121215[[#This Row],[Data Source]])</f>
        <v/>
      </c>
      <c r="R187">
        <f t="array" ref="R187">IsURL(Table_121215[[#This Row],[Data Source]])</f>
        <v/>
      </c>
    </row>
    <row r="188" ht="15.75" customHeight="1">
      <c r="A188">
        <f>IF(Table_19[[#This Row],[Part Name]]=0,"",Table_19[[#This Row],[Part Name]])</f>
        <v/>
      </c>
      <c r="K188">
        <f>LEN(TRIM(CLEAN(SUBSTITUTE(SUBSTITUTE(Table_19[[#This Row],[Sequence]],CHAR(160)," ")," ",""))))</f>
        <v/>
      </c>
      <c r="M188" s="21" t="n"/>
      <c r="N188" s="21">
        <f>IF($B188="","FALSE","TRUE")</f>
        <v/>
      </c>
      <c r="O188">
        <f t="array" ref="O188">IsURL(Table_121215[[#This Row],[Data Source]])</f>
        <v/>
      </c>
      <c r="P188">
        <f t="array" ref="P188">IsURL(Table_121215[[#This Row],[DOI]])</f>
        <v/>
      </c>
      <c r="Q188">
        <f t="array" ref="Q188">IsURL(Table_121215[[#This Row],[Data Source]])</f>
        <v/>
      </c>
      <c r="R188">
        <f t="array" ref="R188">IsURL(Table_121215[[#This Row],[Data Source]])</f>
        <v/>
      </c>
    </row>
    <row r="189" ht="15.75" customHeight="1">
      <c r="A189">
        <f>IF(Table_19[[#This Row],[Part Name]]=0,"",Table_19[[#This Row],[Part Name]])</f>
        <v/>
      </c>
      <c r="K189">
        <f>LEN(TRIM(CLEAN(SUBSTITUTE(SUBSTITUTE(Table_19[[#This Row],[Sequence]],CHAR(160)," ")," ",""))))</f>
        <v/>
      </c>
      <c r="M189" s="21" t="n"/>
      <c r="N189" s="21">
        <f>IF($B189="","FALSE","TRUE")</f>
        <v/>
      </c>
      <c r="O189">
        <f t="array" ref="O189">IsURL(Table_121215[[#This Row],[Data Source]])</f>
        <v/>
      </c>
      <c r="P189">
        <f t="array" ref="P189">IsURL(Table_121215[[#This Row],[DOI]])</f>
        <v/>
      </c>
      <c r="Q189">
        <f t="array" ref="Q189">IsURL(Table_121215[[#This Row],[Data Source]])</f>
        <v/>
      </c>
      <c r="R189">
        <f t="array" ref="R189">IsURL(Table_121215[[#This Row],[Data Source]])</f>
        <v/>
      </c>
    </row>
    <row r="190" ht="15.75" customHeight="1">
      <c r="A190">
        <f>IF(Table_19[[#This Row],[Part Name]]=0,"",Table_19[[#This Row],[Part Name]])</f>
        <v/>
      </c>
      <c r="K190">
        <f>LEN(TRIM(CLEAN(SUBSTITUTE(SUBSTITUTE(Table_19[[#This Row],[Sequence]],CHAR(160)," ")," ",""))))</f>
        <v/>
      </c>
      <c r="M190" s="21" t="n"/>
      <c r="N190" s="21">
        <f>IF($B190="","FALSE","TRUE")</f>
        <v/>
      </c>
      <c r="O190">
        <f t="array" ref="O190">IsURL(Table_121215[[#This Row],[Data Source]])</f>
        <v/>
      </c>
      <c r="P190">
        <f t="array" ref="P190">IsURL(Table_121215[[#This Row],[DOI]])</f>
        <v/>
      </c>
      <c r="Q190">
        <f t="array" ref="Q190">IsURL(Table_121215[[#This Row],[Data Source]])</f>
        <v/>
      </c>
      <c r="R190">
        <f t="array" ref="R190">IsURL(Table_121215[[#This Row],[Data Source]])</f>
        <v/>
      </c>
    </row>
    <row r="191" ht="15.75" customHeight="1">
      <c r="A191">
        <f>IF(Table_19[[#This Row],[Part Name]]=0,"",Table_19[[#This Row],[Part Name]])</f>
        <v/>
      </c>
      <c r="K191">
        <f>LEN(TRIM(CLEAN(SUBSTITUTE(SUBSTITUTE(Table_19[[#This Row],[Sequence]],CHAR(160)," ")," ",""))))</f>
        <v/>
      </c>
      <c r="M191" s="21" t="n"/>
      <c r="N191" s="21">
        <f>IF($B191="","FALSE","TRUE")</f>
        <v/>
      </c>
      <c r="O191">
        <f t="array" ref="O191">IsURL(Table_121215[[#This Row],[Data Source]])</f>
        <v/>
      </c>
      <c r="P191">
        <f t="array" ref="P191">IsURL(Table_121215[[#This Row],[DOI]])</f>
        <v/>
      </c>
      <c r="Q191">
        <f t="array" ref="Q191">IsURL(Table_121215[[#This Row],[Data Source]])</f>
        <v/>
      </c>
      <c r="R191">
        <f t="array" ref="R191">IsURL(Table_121215[[#This Row],[Data Source]])</f>
        <v/>
      </c>
    </row>
    <row r="192" ht="15.75" customHeight="1">
      <c r="A192">
        <f>IF(Table_19[[#This Row],[Part Name]]=0,"",Table_19[[#This Row],[Part Name]])</f>
        <v/>
      </c>
      <c r="K192">
        <f>LEN(TRIM(CLEAN(SUBSTITUTE(SUBSTITUTE(Table_19[[#This Row],[Sequence]],CHAR(160)," ")," ",""))))</f>
        <v/>
      </c>
      <c r="M192" s="21" t="n"/>
      <c r="N192" s="21">
        <f>IF($B192="","FALSE","TRUE")</f>
        <v/>
      </c>
      <c r="O192">
        <f t="array" ref="O192">IsURL(Table_121215[[#This Row],[Data Source]])</f>
        <v/>
      </c>
      <c r="P192">
        <f t="array" ref="P192">IsURL(Table_121215[[#This Row],[DOI]])</f>
        <v/>
      </c>
      <c r="Q192">
        <f t="array" ref="Q192">IsURL(Table_121215[[#This Row],[Data Source]])</f>
        <v/>
      </c>
      <c r="R192">
        <f t="array" ref="R192">IsURL(Table_121215[[#This Row],[Data Source]])</f>
        <v/>
      </c>
    </row>
    <row r="193" ht="15.75" customHeight="1">
      <c r="A193">
        <f>IF(Table_19[[#This Row],[Part Name]]=0,"",Table_19[[#This Row],[Part Name]])</f>
        <v/>
      </c>
      <c r="K193">
        <f>LEN(TRIM(CLEAN(SUBSTITUTE(SUBSTITUTE(Table_19[[#This Row],[Sequence]],CHAR(160)," ")," ",""))))</f>
        <v/>
      </c>
      <c r="M193" s="21" t="n"/>
      <c r="N193" s="21">
        <f>IF($B193="","FALSE","TRUE")</f>
        <v/>
      </c>
      <c r="O193">
        <f t="array" ref="O193">IsURL(Table_121215[[#This Row],[Data Source]])</f>
        <v/>
      </c>
      <c r="P193">
        <f t="array" ref="P193">IsURL(Table_121215[[#This Row],[DOI]])</f>
        <v/>
      </c>
      <c r="Q193">
        <f t="array" ref="Q193">IsURL(Table_121215[[#This Row],[Data Source]])</f>
        <v/>
      </c>
      <c r="R193">
        <f t="array" ref="R193">IsURL(Table_121215[[#This Row],[Data Source]])</f>
        <v/>
      </c>
    </row>
    <row r="194" ht="15.75" customHeight="1">
      <c r="A194">
        <f>IF(Table_19[[#This Row],[Part Name]]=0,"",Table_19[[#This Row],[Part Name]])</f>
        <v/>
      </c>
      <c r="K194">
        <f>LEN(TRIM(CLEAN(SUBSTITUTE(SUBSTITUTE(Table_19[[#This Row],[Sequence]],CHAR(160)," ")," ",""))))</f>
        <v/>
      </c>
      <c r="M194" s="21" t="n"/>
      <c r="N194" s="21">
        <f>IF($B194="","FALSE","TRUE")</f>
        <v/>
      </c>
      <c r="O194">
        <f t="array" ref="O194">IsURL(Table_121215[[#This Row],[Data Source]])</f>
        <v/>
      </c>
      <c r="P194">
        <f t="array" ref="P194">IsURL(Table_121215[[#This Row],[DOI]])</f>
        <v/>
      </c>
      <c r="Q194">
        <f t="array" ref="Q194">IsURL(Table_121215[[#This Row],[Data Source]])</f>
        <v/>
      </c>
      <c r="R194">
        <f t="array" ref="R194">IsURL(Table_121215[[#This Row],[Data Source]])</f>
        <v/>
      </c>
    </row>
    <row r="195" ht="15.75" customHeight="1">
      <c r="A195">
        <f>IF(Table_19[[#This Row],[Part Name]]=0,"",Table_19[[#This Row],[Part Name]])</f>
        <v/>
      </c>
      <c r="K195">
        <f>LEN(TRIM(CLEAN(SUBSTITUTE(SUBSTITUTE(Table_19[[#This Row],[Sequence]],CHAR(160)," ")," ",""))))</f>
        <v/>
      </c>
      <c r="M195" s="21" t="n"/>
      <c r="N195" s="21">
        <f>IF($B195="","FALSE","TRUE")</f>
        <v/>
      </c>
      <c r="O195">
        <f t="array" ref="O195">IsURL(Table_121215[[#This Row],[Data Source]])</f>
        <v/>
      </c>
      <c r="P195">
        <f t="array" ref="P195">IsURL(Table_121215[[#This Row],[DOI]])</f>
        <v/>
      </c>
      <c r="Q195">
        <f t="array" ref="Q195">IsURL(Table_121215[[#This Row],[Data Source]])</f>
        <v/>
      </c>
      <c r="R195">
        <f t="array" ref="R195">IsURL(Table_121215[[#This Row],[Data Source]])</f>
        <v/>
      </c>
    </row>
    <row r="196" ht="15.75" customHeight="1">
      <c r="A196">
        <f>IF(Table_19[[#This Row],[Part Name]]=0,"",Table_19[[#This Row],[Part Name]])</f>
        <v/>
      </c>
      <c r="K196">
        <f>LEN(TRIM(CLEAN(SUBSTITUTE(SUBSTITUTE(Table_19[[#This Row],[Sequence]],CHAR(160)," ")," ",""))))</f>
        <v/>
      </c>
      <c r="M196" s="21" t="n"/>
      <c r="N196" s="21">
        <f>IF($B196="","FALSE","TRUE")</f>
        <v/>
      </c>
      <c r="O196">
        <f t="array" ref="O196">IsURL(Table_121215[[#This Row],[Data Source]])</f>
        <v/>
      </c>
      <c r="P196">
        <f t="array" ref="P196">IsURL(Table_121215[[#This Row],[DOI]])</f>
        <v/>
      </c>
      <c r="Q196">
        <f t="array" ref="Q196">IsURL(Table_121215[[#This Row],[Data Source]])</f>
        <v/>
      </c>
      <c r="R196">
        <f t="array" ref="R196">IsURL(Table_121215[[#This Row],[Data Source]])</f>
        <v/>
      </c>
    </row>
    <row r="197" ht="15.75" customHeight="1">
      <c r="A197">
        <f>IF(Table_19[[#This Row],[Part Name]]=0,"",Table_19[[#This Row],[Part Name]])</f>
        <v/>
      </c>
      <c r="K197">
        <f>LEN(TRIM(CLEAN(SUBSTITUTE(SUBSTITUTE(Table_19[[#This Row],[Sequence]],CHAR(160)," ")," ",""))))</f>
        <v/>
      </c>
      <c r="M197" s="21" t="n"/>
      <c r="N197" s="21">
        <f>IF($B197="","FALSE","TRUE")</f>
        <v/>
      </c>
      <c r="O197">
        <f t="array" ref="O197">IsURL(Table_121215[[#This Row],[Data Source]])</f>
        <v/>
      </c>
      <c r="P197">
        <f t="array" ref="P197">IsURL(Table_121215[[#This Row],[DOI]])</f>
        <v/>
      </c>
      <c r="Q197">
        <f t="array" ref="Q197">IsURL(Table_121215[[#This Row],[Data Source]])</f>
        <v/>
      </c>
      <c r="R197">
        <f t="array" ref="R197">IsURL(Table_121215[[#This Row],[Data Source]])</f>
        <v/>
      </c>
    </row>
    <row r="198" ht="15.75" customHeight="1">
      <c r="A198">
        <f>IF(Table_19[[#This Row],[Part Name]]=0,"",Table_19[[#This Row],[Part Name]])</f>
        <v/>
      </c>
      <c r="K198">
        <f>LEN(TRIM(CLEAN(SUBSTITUTE(SUBSTITUTE(Table_19[[#This Row],[Sequence]],CHAR(160)," ")," ",""))))</f>
        <v/>
      </c>
      <c r="M198" s="21" t="n"/>
      <c r="N198" s="21">
        <f>IF($B198="","FALSE","TRUE")</f>
        <v/>
      </c>
      <c r="O198">
        <f t="array" ref="O198">IsURL(Table_121215[[#This Row],[Data Source]])</f>
        <v/>
      </c>
      <c r="P198">
        <f t="array" ref="P198">IsURL(Table_121215[[#This Row],[DOI]])</f>
        <v/>
      </c>
      <c r="Q198">
        <f t="array" ref="Q198">IsURL(Table_121215[[#This Row],[Data Source]])</f>
        <v/>
      </c>
      <c r="R198">
        <f t="array" ref="R198">IsURL(Table_121215[[#This Row],[Data Source]])</f>
        <v/>
      </c>
    </row>
    <row r="199" ht="15.75" customHeight="1">
      <c r="A199">
        <f>IF(Table_19[[#This Row],[Part Name]]=0,"",Table_19[[#This Row],[Part Name]])</f>
        <v/>
      </c>
      <c r="K199">
        <f>LEN(TRIM(CLEAN(SUBSTITUTE(SUBSTITUTE(Table_19[[#This Row],[Sequence]],CHAR(160)," ")," ",""))))</f>
        <v/>
      </c>
      <c r="M199" s="21" t="n"/>
      <c r="N199" s="21">
        <f>IF($B199="","FALSE","TRUE")</f>
        <v/>
      </c>
      <c r="O199">
        <f t="array" ref="O199">IsURL(Table_121215[[#This Row],[Data Source]])</f>
        <v/>
      </c>
      <c r="P199">
        <f t="array" ref="P199">IsURL(Table_121215[[#This Row],[DOI]])</f>
        <v/>
      </c>
      <c r="Q199">
        <f t="array" ref="Q199">IsURL(Table_121215[[#This Row],[Data Source]])</f>
        <v/>
      </c>
      <c r="R199">
        <f t="array" ref="R199">IsURL(Table_121215[[#This Row],[Data Source]])</f>
        <v/>
      </c>
    </row>
    <row r="200" ht="15.75" customHeight="1">
      <c r="A200">
        <f>IF(Table_19[[#This Row],[Part Name]]=0,"",Table_19[[#This Row],[Part Name]])</f>
        <v/>
      </c>
      <c r="K200">
        <f>LEN(TRIM(CLEAN(SUBSTITUTE(SUBSTITUTE(Table_19[[#This Row],[Sequence]],CHAR(160)," ")," ",""))))</f>
        <v/>
      </c>
      <c r="M200" s="21" t="n"/>
      <c r="N200" s="21">
        <f>IF($B200="","FALSE","TRUE")</f>
        <v/>
      </c>
      <c r="O200">
        <f t="array" ref="O200">IsURL(Table_121215[[#This Row],[Data Source]])</f>
        <v/>
      </c>
      <c r="P200">
        <f t="array" ref="P200">IsURL(Table_121215[[#This Row],[DOI]])</f>
        <v/>
      </c>
      <c r="Q200">
        <f t="array" ref="Q200">IsURL(Table_121215[[#This Row],[Data Source]])</f>
        <v/>
      </c>
      <c r="R200">
        <f t="array" ref="R200">IsURL(Table_121215[[#This Row],[Data Source]])</f>
        <v/>
      </c>
    </row>
    <row r="201" ht="15.75" customHeight="1">
      <c r="A201">
        <f>IF(Table_19[[#This Row],[Part Name]]=0,"",Table_19[[#This Row],[Part Name]])</f>
        <v/>
      </c>
      <c r="K201">
        <f>LEN(TRIM(CLEAN(SUBSTITUTE(SUBSTITUTE(Table_19[[#This Row],[Sequence]],CHAR(160)," ")," ",""))))</f>
        <v/>
      </c>
      <c r="M201" s="21" t="n"/>
      <c r="N201" s="21">
        <f>IF($B201="","FALSE","TRUE")</f>
        <v/>
      </c>
      <c r="O201">
        <f t="array" ref="O201">IsURL(Table_121215[[#This Row],[Data Source]])</f>
        <v/>
      </c>
      <c r="P201">
        <f t="array" ref="P201">IsURL(Table_121215[[#This Row],[DOI]])</f>
        <v/>
      </c>
      <c r="Q201">
        <f t="array" ref="Q201">IsURL(Table_121215[[#This Row],[Data Source]])</f>
        <v/>
      </c>
      <c r="R201">
        <f t="array" ref="R201">IsURL(Table_121215[[#This Row],[Data Source]])</f>
        <v/>
      </c>
    </row>
    <row r="202" ht="15.75" customHeight="1">
      <c r="A202">
        <f>IF(Table_19[[#This Row],[Part Name]]=0,"",Table_19[[#This Row],[Part Name]])</f>
        <v/>
      </c>
      <c r="K202">
        <f>LEN(TRIM(CLEAN(SUBSTITUTE(SUBSTITUTE(Table_19[[#This Row],[Sequence]],CHAR(160)," ")," ",""))))</f>
        <v/>
      </c>
      <c r="M202" s="21" t="n"/>
      <c r="N202" s="21">
        <f>IF($B202="","FALSE","TRUE")</f>
        <v/>
      </c>
      <c r="O202">
        <f t="array" ref="O202">IsURL(Table_121215[[#This Row],[Data Source]])</f>
        <v/>
      </c>
      <c r="P202">
        <f t="array" ref="P202">IsURL(Table_121215[[#This Row],[DOI]])</f>
        <v/>
      </c>
      <c r="Q202">
        <f t="array" ref="Q202">IsURL(Table_121215[[#This Row],[Data Source]])</f>
        <v/>
      </c>
      <c r="R202">
        <f t="array" ref="R202">IsURL(Table_121215[[#This Row],[Data Source]])</f>
        <v/>
      </c>
    </row>
    <row r="203" ht="15.75" customHeight="1">
      <c r="A203">
        <f>IF(Table_19[[#This Row],[Part Name]]=0,"",Table_19[[#This Row],[Part Name]])</f>
        <v/>
      </c>
      <c r="K203">
        <f>LEN(TRIM(CLEAN(SUBSTITUTE(SUBSTITUTE(Table_19[[#This Row],[Sequence]],CHAR(160)," ")," ",""))))</f>
        <v/>
      </c>
      <c r="M203" s="21" t="n"/>
      <c r="N203" s="21">
        <f>IF($B203="","FALSE","TRUE")</f>
        <v/>
      </c>
      <c r="O203">
        <f t="array" ref="O203">IsURL(Table_121215[[#This Row],[Data Source]])</f>
        <v/>
      </c>
      <c r="P203">
        <f t="array" ref="P203">IsURL(Table_121215[[#This Row],[DOI]])</f>
        <v/>
      </c>
      <c r="Q203">
        <f t="array" ref="Q203">IsURL(Table_121215[[#This Row],[Data Source]])</f>
        <v/>
      </c>
      <c r="R203">
        <f t="array" ref="R203">IsURL(Table_121215[[#This Row],[Data Source]])</f>
        <v/>
      </c>
    </row>
    <row r="204" ht="15.75" customHeight="1">
      <c r="A204">
        <f>IF(Table_19[[#This Row],[Part Name]]=0,"",Table_19[[#This Row],[Part Name]])</f>
        <v/>
      </c>
      <c r="K204">
        <f>LEN(TRIM(CLEAN(SUBSTITUTE(SUBSTITUTE(Table_19[[#This Row],[Sequence]],CHAR(160)," ")," ",""))))</f>
        <v/>
      </c>
      <c r="M204" s="21" t="n"/>
      <c r="N204" s="21">
        <f>IF($B204="","FALSE","TRUE")</f>
        <v/>
      </c>
      <c r="O204">
        <f t="array" ref="O204">IsURL(Table_121215[[#This Row],[Data Source]])</f>
        <v/>
      </c>
      <c r="P204">
        <f t="array" ref="P204">IsURL(Table_121215[[#This Row],[DOI]])</f>
        <v/>
      </c>
      <c r="Q204">
        <f t="array" ref="Q204">IsURL(Table_121215[[#This Row],[Data Source]])</f>
        <v/>
      </c>
      <c r="R204">
        <f t="array" ref="R204">IsURL(Table_121215[[#This Row],[Data Source]])</f>
        <v/>
      </c>
    </row>
    <row r="205" ht="15.75" customHeight="1">
      <c r="A205">
        <f>IF(Table_19[[#This Row],[Part Name]]=0,"",Table_19[[#This Row],[Part Name]])</f>
        <v/>
      </c>
      <c r="K205">
        <f>LEN(TRIM(CLEAN(SUBSTITUTE(SUBSTITUTE(Table_19[[#This Row],[Sequence]],CHAR(160)," ")," ",""))))</f>
        <v/>
      </c>
      <c r="M205" s="21" t="n"/>
      <c r="N205" s="21">
        <f>IF($B205="","FALSE","TRUE")</f>
        <v/>
      </c>
      <c r="O205">
        <f t="array" ref="O205">IsURL(Table_121215[[#This Row],[Data Source]])</f>
        <v/>
      </c>
      <c r="P205">
        <f t="array" ref="P205">IsURL(Table_121215[[#This Row],[DOI]])</f>
        <v/>
      </c>
      <c r="Q205">
        <f t="array" ref="Q205">IsURL(Table_121215[[#This Row],[Data Source]])</f>
        <v/>
      </c>
      <c r="R205">
        <f t="array" ref="R205">IsURL(Table_121215[[#This Row],[Data Source]])</f>
        <v/>
      </c>
    </row>
    <row r="206" ht="15.75" customHeight="1">
      <c r="A206">
        <f>IF(Table_19[[#This Row],[Part Name]]=0,"",Table_19[[#This Row],[Part Name]])</f>
        <v/>
      </c>
      <c r="K206">
        <f>LEN(TRIM(CLEAN(SUBSTITUTE(SUBSTITUTE(Table_19[[#This Row],[Sequence]],CHAR(160)," ")," ",""))))</f>
        <v/>
      </c>
      <c r="M206" s="21" t="n"/>
      <c r="N206" s="21">
        <f>IF($B206="","FALSE","TRUE")</f>
        <v/>
      </c>
      <c r="O206">
        <f t="array" ref="O206">IsURL(Table_121215[[#This Row],[Data Source]])</f>
        <v/>
      </c>
      <c r="P206">
        <f t="array" ref="P206">IsURL(Table_121215[[#This Row],[DOI]])</f>
        <v/>
      </c>
      <c r="Q206">
        <f t="array" ref="Q206">IsURL(Table_121215[[#This Row],[Data Source]])</f>
        <v/>
      </c>
      <c r="R206">
        <f t="array" ref="R206">IsURL(Table_121215[[#This Row],[Data Source]])</f>
        <v/>
      </c>
    </row>
    <row r="207" ht="15.75" customHeight="1">
      <c r="A207">
        <f>IF(Table_19[[#This Row],[Part Name]]=0,"",Table_19[[#This Row],[Part Name]])</f>
        <v/>
      </c>
      <c r="K207">
        <f>LEN(TRIM(CLEAN(SUBSTITUTE(SUBSTITUTE(Table_19[[#This Row],[Sequence]],CHAR(160)," ")," ",""))))</f>
        <v/>
      </c>
      <c r="M207" s="21" t="n"/>
      <c r="N207" s="21">
        <f>IF($B207="","FALSE","TRUE")</f>
        <v/>
      </c>
      <c r="O207">
        <f t="array" ref="O207">IsURL(Table_121215[[#This Row],[Data Source]])</f>
        <v/>
      </c>
      <c r="P207">
        <f t="array" ref="P207">IsURL(Table_121215[[#This Row],[DOI]])</f>
        <v/>
      </c>
      <c r="Q207">
        <f t="array" ref="Q207">IsURL(Table_121215[[#This Row],[Data Source]])</f>
        <v/>
      </c>
      <c r="R207">
        <f t="array" ref="R207">IsURL(Table_121215[[#This Row],[Data Source]])</f>
        <v/>
      </c>
    </row>
    <row r="208" ht="15.75" customHeight="1">
      <c r="A208">
        <f>IF(Table_19[[#This Row],[Part Name]]=0,"",Table_19[[#This Row],[Part Name]])</f>
        <v/>
      </c>
      <c r="K208">
        <f>LEN(TRIM(CLEAN(SUBSTITUTE(SUBSTITUTE(Table_19[[#This Row],[Sequence]],CHAR(160)," ")," ",""))))</f>
        <v/>
      </c>
      <c r="M208" s="21" t="n"/>
      <c r="N208" s="21">
        <f>IF($B208="","FALSE","TRUE")</f>
        <v/>
      </c>
      <c r="O208">
        <f t="array" ref="O208">IsURL(Table_121215[[#This Row],[Data Source]])</f>
        <v/>
      </c>
      <c r="P208">
        <f t="array" ref="P208">IsURL(Table_121215[[#This Row],[DOI]])</f>
        <v/>
      </c>
      <c r="Q208">
        <f t="array" ref="Q208">IsURL(Table_121215[[#This Row],[Data Source]])</f>
        <v/>
      </c>
      <c r="R208">
        <f t="array" ref="R208">IsURL(Table_121215[[#This Row],[Data Source]])</f>
        <v/>
      </c>
    </row>
    <row r="209" ht="15.75" customHeight="1">
      <c r="A209">
        <f>IF(Table_19[[#This Row],[Part Name]]=0,"",Table_19[[#This Row],[Part Name]])</f>
        <v/>
      </c>
      <c r="K209">
        <f>LEN(TRIM(CLEAN(SUBSTITUTE(SUBSTITUTE(Table_19[[#This Row],[Sequence]],CHAR(160)," ")," ",""))))</f>
        <v/>
      </c>
      <c r="M209" s="21" t="n"/>
      <c r="N209" s="21">
        <f>IF($B209="","FALSE","TRUE")</f>
        <v/>
      </c>
      <c r="O209">
        <f t="array" ref="O209">IsURL(Table_121215[[#This Row],[Data Source]])</f>
        <v/>
      </c>
      <c r="P209">
        <f t="array" ref="P209">IsURL(Table_121215[[#This Row],[DOI]])</f>
        <v/>
      </c>
      <c r="Q209">
        <f t="array" ref="Q209">IsURL(Table_121215[[#This Row],[Data Source]])</f>
        <v/>
      </c>
      <c r="R209">
        <f t="array" ref="R209">IsURL(Table_121215[[#This Row],[Data Source]])</f>
        <v/>
      </c>
    </row>
    <row r="210" ht="15.75" customHeight="1">
      <c r="A210">
        <f>IF(Table_19[[#This Row],[Part Name]]=0,"",Table_19[[#This Row],[Part Name]])</f>
        <v/>
      </c>
      <c r="K210">
        <f>LEN(TRIM(CLEAN(SUBSTITUTE(SUBSTITUTE(Table_19[[#This Row],[Sequence]],CHAR(160)," ")," ",""))))</f>
        <v/>
      </c>
      <c r="M210" s="21" t="n"/>
      <c r="N210" s="21">
        <f>IF($B210="","FALSE","TRUE")</f>
        <v/>
      </c>
      <c r="O210">
        <f t="array" ref="O210">IsURL(Table_121215[[#This Row],[Data Source]])</f>
        <v/>
      </c>
      <c r="P210">
        <f t="array" ref="P210">IsURL(Table_121215[[#This Row],[DOI]])</f>
        <v/>
      </c>
      <c r="Q210">
        <f t="array" ref="Q210">IsURL(Table_121215[[#This Row],[Data Source]])</f>
        <v/>
      </c>
      <c r="R210">
        <f t="array" ref="R210">IsURL(Table_121215[[#This Row],[Data Source]])</f>
        <v/>
      </c>
    </row>
    <row r="211" ht="15.75" customHeight="1">
      <c r="A211">
        <f>IF(Table_19[[#This Row],[Part Name]]=0,"",Table_19[[#This Row],[Part Name]])</f>
        <v/>
      </c>
      <c r="K211">
        <f>LEN(TRIM(CLEAN(SUBSTITUTE(SUBSTITUTE(Table_19[[#This Row],[Sequence]],CHAR(160)," ")," ",""))))</f>
        <v/>
      </c>
      <c r="M211" s="21" t="n"/>
      <c r="N211" s="21">
        <f>IF($B211="","FALSE","TRUE")</f>
        <v/>
      </c>
      <c r="O211">
        <f t="array" ref="O211">IsURL(Table_121215[[#This Row],[Data Source]])</f>
        <v/>
      </c>
      <c r="P211">
        <f t="array" ref="P211">IsURL(Table_121215[[#This Row],[DOI]])</f>
        <v/>
      </c>
      <c r="Q211">
        <f t="array" ref="Q211">IsURL(Table_121215[[#This Row],[Data Source]])</f>
        <v/>
      </c>
      <c r="R211">
        <f t="array" ref="R211">IsURL(Table_121215[[#This Row],[Data Source]])</f>
        <v/>
      </c>
    </row>
    <row r="212" ht="15.75" customHeight="1">
      <c r="A212">
        <f>IF(Table_19[[#This Row],[Part Name]]=0,"",Table_19[[#This Row],[Part Name]])</f>
        <v/>
      </c>
      <c r="K212">
        <f>LEN(TRIM(CLEAN(SUBSTITUTE(SUBSTITUTE(Table_19[[#This Row],[Sequence]],CHAR(160)," ")," ",""))))</f>
        <v/>
      </c>
      <c r="M212" s="21" t="n"/>
      <c r="N212" s="21">
        <f>IF($B212="","FALSE","TRUE")</f>
        <v/>
      </c>
      <c r="O212">
        <f t="array" ref="O212">IsURL(Table_121215[[#This Row],[Data Source]])</f>
        <v/>
      </c>
      <c r="P212">
        <f t="array" ref="P212">IsURL(Table_121215[[#This Row],[DOI]])</f>
        <v/>
      </c>
      <c r="Q212">
        <f t="array" ref="Q212">IsURL(Table_121215[[#This Row],[Data Source]])</f>
        <v/>
      </c>
      <c r="R212">
        <f t="array" ref="R212">IsURL(Table_121215[[#This Row],[Data Source]])</f>
        <v/>
      </c>
    </row>
    <row r="213" ht="15.75" customHeight="1">
      <c r="A213">
        <f>IF(Table_19[[#This Row],[Part Name]]=0,"",Table_19[[#This Row],[Part Name]])</f>
        <v/>
      </c>
      <c r="K213">
        <f>LEN(TRIM(CLEAN(SUBSTITUTE(SUBSTITUTE(Table_19[[#This Row],[Sequence]],CHAR(160)," ")," ",""))))</f>
        <v/>
      </c>
      <c r="M213" s="21" t="n"/>
      <c r="N213" s="21">
        <f>IF($B213="","FALSE","TRUE")</f>
        <v/>
      </c>
      <c r="O213">
        <f t="array" ref="O213">IsURL(Table_121215[[#This Row],[Data Source]])</f>
        <v/>
      </c>
      <c r="P213">
        <f t="array" ref="P213">IsURL(Table_121215[[#This Row],[DOI]])</f>
        <v/>
      </c>
      <c r="Q213">
        <f t="array" ref="Q213">IsURL(Table_121215[[#This Row],[Data Source]])</f>
        <v/>
      </c>
      <c r="R213">
        <f t="array" ref="R213">IsURL(Table_121215[[#This Row],[Data Source]])</f>
        <v/>
      </c>
    </row>
    <row r="214" ht="15.75" customHeight="1">
      <c r="A214">
        <f>IF(Table_19[[#This Row],[Part Name]]=0,"",Table_19[[#This Row],[Part Name]])</f>
        <v/>
      </c>
      <c r="K214">
        <f>LEN(TRIM(CLEAN(SUBSTITUTE(SUBSTITUTE(Table_19[[#This Row],[Sequence]],CHAR(160)," ")," ",""))))</f>
        <v/>
      </c>
      <c r="M214" s="21" t="n"/>
      <c r="N214" s="21">
        <f>IF($B214="","FALSE","TRUE")</f>
        <v/>
      </c>
      <c r="O214">
        <f t="array" ref="O214">IsURL(Table_121215[[#This Row],[Data Source]])</f>
        <v/>
      </c>
      <c r="P214">
        <f t="array" ref="P214">IsURL(Table_121215[[#This Row],[DOI]])</f>
        <v/>
      </c>
      <c r="Q214">
        <f t="array" ref="Q214">IsURL(Table_121215[[#This Row],[Data Source]])</f>
        <v/>
      </c>
      <c r="R214">
        <f t="array" ref="R214">IsURL(Table_121215[[#This Row],[Data Source]])</f>
        <v/>
      </c>
    </row>
    <row r="215" ht="15.75" customHeight="1">
      <c r="A215">
        <f>IF(Table_19[[#This Row],[Part Name]]=0,"",Table_19[[#This Row],[Part Name]])</f>
        <v/>
      </c>
      <c r="K215">
        <f>LEN(TRIM(CLEAN(SUBSTITUTE(SUBSTITUTE(Table_19[[#This Row],[Sequence]],CHAR(160)," ")," ",""))))</f>
        <v/>
      </c>
      <c r="M215" s="21" t="n"/>
      <c r="N215" s="21">
        <f>IF($B215="","FALSE","TRUE")</f>
        <v/>
      </c>
      <c r="O215">
        <f t="array" ref="O215">IsURL(Table_121215[[#This Row],[Data Source]])</f>
        <v/>
      </c>
      <c r="P215">
        <f t="array" ref="P215">IsURL(Table_121215[[#This Row],[DOI]])</f>
        <v/>
      </c>
      <c r="Q215">
        <f t="array" ref="Q215">IsURL(Table_121215[[#This Row],[Data Source]])</f>
        <v/>
      </c>
      <c r="R215">
        <f t="array" ref="R215">IsURL(Table_121215[[#This Row],[Data Source]])</f>
        <v/>
      </c>
    </row>
    <row r="216" ht="15.75" customHeight="1">
      <c r="A216">
        <f>IF(Table_19[[#This Row],[Part Name]]=0,"",Table_19[[#This Row],[Part Name]])</f>
        <v/>
      </c>
      <c r="K216">
        <f>LEN(TRIM(CLEAN(SUBSTITUTE(SUBSTITUTE(Table_19[[#This Row],[Sequence]],CHAR(160)," ")," ",""))))</f>
        <v/>
      </c>
      <c r="M216" s="21" t="n"/>
      <c r="N216" s="21">
        <f>IF($B216="","FALSE","TRUE")</f>
        <v/>
      </c>
      <c r="O216">
        <f t="array" ref="O216">IsURL(Table_121215[[#This Row],[Data Source]])</f>
        <v/>
      </c>
      <c r="P216">
        <f t="array" ref="P216">IsURL(Table_121215[[#This Row],[DOI]])</f>
        <v/>
      </c>
      <c r="Q216">
        <f t="array" ref="Q216">IsURL(Table_121215[[#This Row],[Data Source]])</f>
        <v/>
      </c>
      <c r="R216">
        <f t="array" ref="R216">IsURL(Table_121215[[#This Row],[Data Source]])</f>
        <v/>
      </c>
    </row>
    <row r="217" ht="15.75" customHeight="1">
      <c r="A217">
        <f>IF(Table_19[[#This Row],[Part Name]]=0,"",Table_19[[#This Row],[Part Name]])</f>
        <v/>
      </c>
      <c r="K217">
        <f>LEN(TRIM(CLEAN(SUBSTITUTE(SUBSTITUTE(Table_19[[#This Row],[Sequence]],CHAR(160)," ")," ",""))))</f>
        <v/>
      </c>
      <c r="M217" s="21" t="n"/>
      <c r="N217" s="21">
        <f>IF($B217="","FALSE","TRUE")</f>
        <v/>
      </c>
      <c r="O217">
        <f t="array" ref="O217">IsURL(Table_121215[[#This Row],[Data Source]])</f>
        <v/>
      </c>
      <c r="P217">
        <f t="array" ref="P217">IsURL(Table_121215[[#This Row],[DOI]])</f>
        <v/>
      </c>
      <c r="Q217">
        <f t="array" ref="Q217">IsURL(Table_121215[[#This Row],[Data Source]])</f>
        <v/>
      </c>
      <c r="R217">
        <f t="array" ref="R217">IsURL(Table_121215[[#This Row],[Data Source]])</f>
        <v/>
      </c>
    </row>
    <row r="218" ht="15.75" customHeight="1">
      <c r="A218">
        <f>IF(Table_19[[#This Row],[Part Name]]=0,"",Table_19[[#This Row],[Part Name]])</f>
        <v/>
      </c>
      <c r="K218">
        <f>LEN(TRIM(CLEAN(SUBSTITUTE(SUBSTITUTE(Table_19[[#This Row],[Sequence]],CHAR(160)," ")," ",""))))</f>
        <v/>
      </c>
      <c r="M218" s="21" t="n"/>
      <c r="N218" s="21">
        <f>IF($B218="","FALSE","TRUE")</f>
        <v/>
      </c>
      <c r="O218">
        <f t="array" ref="O218">IsURL(Table_121215[[#This Row],[Data Source]])</f>
        <v/>
      </c>
      <c r="P218">
        <f t="array" ref="P218">IsURL(Table_121215[[#This Row],[DOI]])</f>
        <v/>
      </c>
      <c r="Q218">
        <f t="array" ref="Q218">IsURL(Table_121215[[#This Row],[Data Source]])</f>
        <v/>
      </c>
      <c r="R218">
        <f t="array" ref="R218">IsURL(Table_121215[[#This Row],[Data Source]])</f>
        <v/>
      </c>
    </row>
    <row r="219" ht="15.75" customHeight="1">
      <c r="A219">
        <f>IF(Table_19[[#This Row],[Part Name]]=0,"",Table_19[[#This Row],[Part Name]])</f>
        <v/>
      </c>
      <c r="K219">
        <f>LEN(TRIM(CLEAN(SUBSTITUTE(SUBSTITUTE(Table_19[[#This Row],[Sequence]],CHAR(160)," ")," ",""))))</f>
        <v/>
      </c>
      <c r="M219" s="21" t="n"/>
      <c r="N219" s="21">
        <f>IF($B219="","FALSE","TRUE")</f>
        <v/>
      </c>
      <c r="O219">
        <f t="array" ref="O219">IsURL(Table_121215[[#This Row],[Data Source]])</f>
        <v/>
      </c>
      <c r="P219">
        <f t="array" ref="P219">IsURL(Table_121215[[#This Row],[DOI]])</f>
        <v/>
      </c>
      <c r="Q219">
        <f t="array" ref="Q219">IsURL(Table_121215[[#This Row],[Data Source]])</f>
        <v/>
      </c>
      <c r="R219">
        <f t="array" ref="R219">IsURL(Table_121215[[#This Row],[Data Source]])</f>
        <v/>
      </c>
    </row>
    <row r="220" ht="15.75" customHeight="1">
      <c r="A220">
        <f>IF(Table_19[[#This Row],[Part Name]]=0,"",Table_19[[#This Row],[Part Name]])</f>
        <v/>
      </c>
      <c r="K220">
        <f>LEN(TRIM(CLEAN(SUBSTITUTE(SUBSTITUTE(Table_19[[#This Row],[Sequence]],CHAR(160)," ")," ",""))))</f>
        <v/>
      </c>
      <c r="M220" s="21" t="n"/>
      <c r="N220" s="21">
        <f>IF($B220="","FALSE","TRUE")</f>
        <v/>
      </c>
      <c r="O220">
        <f t="array" ref="O220">IsURL(Table_121215[[#This Row],[Data Source]])</f>
        <v/>
      </c>
      <c r="P220">
        <f t="array" ref="P220">IsURL(Table_121215[[#This Row],[DOI]])</f>
        <v/>
      </c>
      <c r="Q220">
        <f t="array" ref="Q220">IsURL(Table_121215[[#This Row],[Data Source]])</f>
        <v/>
      </c>
      <c r="R220">
        <f t="array" ref="R220">IsURL(Table_121215[[#This Row],[Data Source]])</f>
        <v/>
      </c>
    </row>
    <row r="221" ht="15.75" customHeight="1">
      <c r="A221">
        <f>IF(Table_19[[#This Row],[Part Name]]=0,"",Table_19[[#This Row],[Part Name]])</f>
        <v/>
      </c>
      <c r="K221">
        <f>LEN(TRIM(CLEAN(SUBSTITUTE(SUBSTITUTE(Table_19[[#This Row],[Sequence]],CHAR(160)," ")," ",""))))</f>
        <v/>
      </c>
      <c r="M221" s="21" t="n"/>
      <c r="N221" s="21">
        <f>IF($B221="","FALSE","TRUE")</f>
        <v/>
      </c>
      <c r="O221">
        <f t="array" ref="O221">IsURL(Table_121215[[#This Row],[Data Source]])</f>
        <v/>
      </c>
      <c r="P221">
        <f t="array" ref="P221">IsURL(Table_121215[[#This Row],[DOI]])</f>
        <v/>
      </c>
      <c r="Q221">
        <f t="array" ref="Q221">IsURL(Table_121215[[#This Row],[Data Source]])</f>
        <v/>
      </c>
      <c r="R221">
        <f t="array" ref="R221">IsURL(Table_121215[[#This Row],[Data Source]])</f>
        <v/>
      </c>
    </row>
    <row r="222" ht="15.75" customHeight="1">
      <c r="A222">
        <f>IF(Table_19[[#This Row],[Part Name]]=0,"",Table_19[[#This Row],[Part Name]])</f>
        <v/>
      </c>
      <c r="K222">
        <f>LEN(TRIM(CLEAN(SUBSTITUTE(SUBSTITUTE(Table_19[[#This Row],[Sequence]],CHAR(160)," ")," ",""))))</f>
        <v/>
      </c>
      <c r="M222" s="21" t="n"/>
      <c r="N222" s="21">
        <f>IF($B222="","FALSE","TRUE")</f>
        <v/>
      </c>
      <c r="O222">
        <f t="array" ref="O222">IsURL(Table_121215[[#This Row],[Data Source]])</f>
        <v/>
      </c>
      <c r="P222">
        <f t="array" ref="P222">IsURL(Table_121215[[#This Row],[DOI]])</f>
        <v/>
      </c>
      <c r="Q222">
        <f t="array" ref="Q222">IsURL(Table_121215[[#This Row],[Data Source]])</f>
        <v/>
      </c>
      <c r="R222">
        <f t="array" ref="R222">IsURL(Table_121215[[#This Row],[Data Source]])</f>
        <v/>
      </c>
    </row>
    <row r="223" ht="15.75" customHeight="1">
      <c r="A223">
        <f>IF(Table_19[[#This Row],[Part Name]]=0,"",Table_19[[#This Row],[Part Name]])</f>
        <v/>
      </c>
      <c r="K223">
        <f>LEN(TRIM(CLEAN(SUBSTITUTE(SUBSTITUTE(Table_19[[#This Row],[Sequence]],CHAR(160)," ")," ",""))))</f>
        <v/>
      </c>
      <c r="M223" s="21" t="n"/>
      <c r="N223" s="21">
        <f>IF($B223="","FALSE","TRUE")</f>
        <v/>
      </c>
      <c r="O223">
        <f t="array" ref="O223">IsURL(Table_121215[[#This Row],[Data Source]])</f>
        <v/>
      </c>
      <c r="P223">
        <f t="array" ref="P223">IsURL(Table_121215[[#This Row],[DOI]])</f>
        <v/>
      </c>
      <c r="Q223">
        <f t="array" ref="Q223">IsURL(Table_121215[[#This Row],[Data Source]])</f>
        <v/>
      </c>
      <c r="R223">
        <f t="array" ref="R223">IsURL(Table_121215[[#This Row],[Data Source]])</f>
        <v/>
      </c>
    </row>
    <row r="224" ht="15.75" customHeight="1">
      <c r="A224">
        <f>IF(Table_19[[#This Row],[Part Name]]=0,"",Table_19[[#This Row],[Part Name]])</f>
        <v/>
      </c>
      <c r="K224">
        <f>LEN(TRIM(CLEAN(SUBSTITUTE(SUBSTITUTE(Table_19[[#This Row],[Sequence]],CHAR(160)," ")," ",""))))</f>
        <v/>
      </c>
      <c r="M224" s="21" t="n"/>
      <c r="N224" s="21">
        <f>IF($B224="","FALSE","TRUE")</f>
        <v/>
      </c>
      <c r="O224">
        <f t="array" ref="O224">IsURL(Table_121215[[#This Row],[Data Source]])</f>
        <v/>
      </c>
      <c r="P224">
        <f t="array" ref="P224">IsURL(Table_121215[[#This Row],[DOI]])</f>
        <v/>
      </c>
      <c r="Q224">
        <f t="array" ref="Q224">IsURL(Table_121215[[#This Row],[Data Source]])</f>
        <v/>
      </c>
      <c r="R224">
        <f t="array" ref="R224">IsURL(Table_121215[[#This Row],[Data Source]])</f>
        <v/>
      </c>
    </row>
    <row r="225" ht="15.75" customHeight="1">
      <c r="A225">
        <f>IF(Table_19[[#This Row],[Part Name]]=0,"",Table_19[[#This Row],[Part Name]])</f>
        <v/>
      </c>
      <c r="K225">
        <f>LEN(TRIM(CLEAN(SUBSTITUTE(SUBSTITUTE(Table_19[[#This Row],[Sequence]],CHAR(160)," ")," ",""))))</f>
        <v/>
      </c>
      <c r="M225" s="21" t="n"/>
      <c r="N225" s="21">
        <f>IF($B225="","FALSE","TRUE")</f>
        <v/>
      </c>
      <c r="O225">
        <f t="array" ref="O225">IsURL(Table_121215[[#This Row],[Data Source]])</f>
        <v/>
      </c>
      <c r="P225">
        <f t="array" ref="P225">IsURL(Table_121215[[#This Row],[DOI]])</f>
        <v/>
      </c>
      <c r="Q225">
        <f t="array" ref="Q225">IsURL(Table_121215[[#This Row],[Data Source]])</f>
        <v/>
      </c>
      <c r="R225">
        <f t="array" ref="R225">IsURL(Table_121215[[#This Row],[Data Source]])</f>
        <v/>
      </c>
    </row>
    <row r="226" ht="15.75" customHeight="1">
      <c r="A226">
        <f>IF(Table_19[[#This Row],[Part Name]]=0,"",Table_19[[#This Row],[Part Name]])</f>
        <v/>
      </c>
      <c r="K226">
        <f>LEN(TRIM(CLEAN(SUBSTITUTE(SUBSTITUTE(Table_19[[#This Row],[Sequence]],CHAR(160)," ")," ",""))))</f>
        <v/>
      </c>
      <c r="M226" s="21" t="n"/>
      <c r="N226" s="21">
        <f>IF($B226="","FALSE","TRUE")</f>
        <v/>
      </c>
      <c r="O226">
        <f t="array" ref="O226">IsURL(Table_121215[[#This Row],[Data Source]])</f>
        <v/>
      </c>
      <c r="P226">
        <f t="array" ref="P226">IsURL(Table_121215[[#This Row],[DOI]])</f>
        <v/>
      </c>
      <c r="Q226">
        <f t="array" ref="Q226">IsURL(Table_121215[[#This Row],[Data Source]])</f>
        <v/>
      </c>
      <c r="R226">
        <f t="array" ref="R226">IsURL(Table_121215[[#This Row],[Data Source]])</f>
        <v/>
      </c>
    </row>
    <row r="227" ht="15.75" customHeight="1">
      <c r="A227">
        <f>IF(Table_19[[#This Row],[Part Name]]=0,"",Table_19[[#This Row],[Part Name]])</f>
        <v/>
      </c>
      <c r="K227">
        <f>LEN(TRIM(CLEAN(SUBSTITUTE(SUBSTITUTE(Table_19[[#This Row],[Sequence]],CHAR(160)," ")," ",""))))</f>
        <v/>
      </c>
      <c r="M227" s="21" t="n"/>
      <c r="N227" s="21">
        <f>IF($B227="","FALSE","TRUE")</f>
        <v/>
      </c>
      <c r="O227">
        <f t="array" ref="O227">IsURL(Table_121215[[#This Row],[Data Source]])</f>
        <v/>
      </c>
      <c r="P227">
        <f t="array" ref="P227">IsURL(Table_121215[[#This Row],[DOI]])</f>
        <v/>
      </c>
      <c r="Q227">
        <f t="array" ref="Q227">IsURL(Table_121215[[#This Row],[Data Source]])</f>
        <v/>
      </c>
      <c r="R227">
        <f t="array" ref="R227">IsURL(Table_121215[[#This Row],[Data Source]])</f>
        <v/>
      </c>
    </row>
    <row r="228" ht="15.75" customHeight="1">
      <c r="A228">
        <f>IF(Table_19[[#This Row],[Part Name]]=0,"",Table_19[[#This Row],[Part Name]])</f>
        <v/>
      </c>
      <c r="K228">
        <f>LEN(TRIM(CLEAN(SUBSTITUTE(SUBSTITUTE(Table_19[[#This Row],[Sequence]],CHAR(160)," ")," ",""))))</f>
        <v/>
      </c>
      <c r="M228" s="21" t="n"/>
      <c r="N228" s="21">
        <f>IF($B228="","FALSE","TRUE")</f>
        <v/>
      </c>
      <c r="O228">
        <f t="array" ref="O228">IsURL(Table_121215[[#This Row],[Data Source]])</f>
        <v/>
      </c>
      <c r="P228">
        <f t="array" ref="P228">IsURL(Table_121215[[#This Row],[DOI]])</f>
        <v/>
      </c>
      <c r="Q228">
        <f t="array" ref="Q228">IsURL(Table_121215[[#This Row],[Data Source]])</f>
        <v/>
      </c>
      <c r="R228">
        <f t="array" ref="R228">IsURL(Table_121215[[#This Row],[Data Source]])</f>
        <v/>
      </c>
    </row>
    <row r="229" ht="15.75" customHeight="1">
      <c r="A229">
        <f>IF(Table_19[[#This Row],[Part Name]]=0,"",Table_19[[#This Row],[Part Name]])</f>
        <v/>
      </c>
      <c r="K229">
        <f>LEN(TRIM(CLEAN(SUBSTITUTE(SUBSTITUTE(Table_19[[#This Row],[Sequence]],CHAR(160)," ")," ",""))))</f>
        <v/>
      </c>
      <c r="M229" s="21" t="n"/>
      <c r="N229" s="21">
        <f>IF($B229="","FALSE","TRUE")</f>
        <v/>
      </c>
      <c r="O229">
        <f t="array" ref="O229">IsURL(Table_121215[[#This Row],[Data Source]])</f>
        <v/>
      </c>
      <c r="P229">
        <f t="array" ref="P229">IsURL(Table_121215[[#This Row],[DOI]])</f>
        <v/>
      </c>
      <c r="Q229">
        <f t="array" ref="Q229">IsURL(Table_121215[[#This Row],[Data Source]])</f>
        <v/>
      </c>
      <c r="R229">
        <f t="array" ref="R229">IsURL(Table_121215[[#This Row],[Data Source]])</f>
        <v/>
      </c>
    </row>
    <row r="230" ht="15.75" customHeight="1">
      <c r="A230">
        <f>IF(Table_19[[#This Row],[Part Name]]=0,"",Table_19[[#This Row],[Part Name]])</f>
        <v/>
      </c>
      <c r="K230">
        <f>LEN(TRIM(CLEAN(SUBSTITUTE(SUBSTITUTE(Table_19[[#This Row],[Sequence]],CHAR(160)," ")," ",""))))</f>
        <v/>
      </c>
      <c r="M230" s="21" t="n"/>
      <c r="N230" s="21">
        <f>IF($B230="","FALSE","TRUE")</f>
        <v/>
      </c>
      <c r="O230">
        <f t="array" ref="O230">IsURL(Table_121215[[#This Row],[Data Source]])</f>
        <v/>
      </c>
      <c r="P230">
        <f t="array" ref="P230">IsURL(Table_121215[[#This Row],[DOI]])</f>
        <v/>
      </c>
      <c r="Q230">
        <f t="array" ref="Q230">IsURL(Table_121215[[#This Row],[Data Source]])</f>
        <v/>
      </c>
      <c r="R230">
        <f t="array" ref="R230">IsURL(Table_121215[[#This Row],[Data Source]])</f>
        <v/>
      </c>
    </row>
    <row r="231" ht="15.75" customHeight="1">
      <c r="A231">
        <f>IF(Table_19[[#This Row],[Part Name]]=0,"",Table_19[[#This Row],[Part Name]])</f>
        <v/>
      </c>
      <c r="K231">
        <f>LEN(TRIM(CLEAN(SUBSTITUTE(SUBSTITUTE(Table_19[[#This Row],[Sequence]],CHAR(160)," ")," ",""))))</f>
        <v/>
      </c>
      <c r="M231" s="21" t="n"/>
      <c r="N231" s="21">
        <f>IF($B231="","FALSE","TRUE")</f>
        <v/>
      </c>
      <c r="O231">
        <f t="array" ref="O231">IsURL(Table_121215[[#This Row],[Data Source]])</f>
        <v/>
      </c>
      <c r="P231">
        <f t="array" ref="P231">IsURL(Table_121215[[#This Row],[DOI]])</f>
        <v/>
      </c>
      <c r="Q231">
        <f t="array" ref="Q231">IsURL(Table_121215[[#This Row],[Data Source]])</f>
        <v/>
      </c>
      <c r="R231">
        <f t="array" ref="R231">IsURL(Table_121215[[#This Row],[Data Source]])</f>
        <v/>
      </c>
    </row>
    <row r="232" ht="15.75" customHeight="1">
      <c r="A232">
        <f>IF(Table_19[[#This Row],[Part Name]]=0,"",Table_19[[#This Row],[Part Name]])</f>
        <v/>
      </c>
      <c r="K232">
        <f>LEN(TRIM(CLEAN(SUBSTITUTE(SUBSTITUTE(Table_19[[#This Row],[Sequence]],CHAR(160)," ")," ",""))))</f>
        <v/>
      </c>
      <c r="M232" s="21" t="n"/>
      <c r="N232" s="21">
        <f>IF($B232="","FALSE","TRUE")</f>
        <v/>
      </c>
      <c r="O232">
        <f t="array" ref="O232">IsURL(Table_121215[[#This Row],[Data Source]])</f>
        <v/>
      </c>
      <c r="P232">
        <f t="array" ref="P232">IsURL(Table_121215[[#This Row],[DOI]])</f>
        <v/>
      </c>
      <c r="Q232">
        <f t="array" ref="Q232">IsURL(Table_121215[[#This Row],[Data Source]])</f>
        <v/>
      </c>
      <c r="R232">
        <f t="array" ref="R232">IsURL(Table_121215[[#This Row],[Data Source]])</f>
        <v/>
      </c>
    </row>
    <row r="233" ht="15.75" customHeight="1">
      <c r="A233">
        <f>IF(Table_19[[#This Row],[Part Name]]=0,"",Table_19[[#This Row],[Part Name]])</f>
        <v/>
      </c>
      <c r="K233">
        <f>LEN(TRIM(CLEAN(SUBSTITUTE(SUBSTITUTE(Table_19[[#This Row],[Sequence]],CHAR(160)," ")," ",""))))</f>
        <v/>
      </c>
      <c r="M233" s="21" t="n"/>
      <c r="N233" s="21">
        <f>IF($B233="","FALSE","TRUE")</f>
        <v/>
      </c>
      <c r="O233">
        <f t="array" ref="O233">IsURL(Table_121215[[#This Row],[Data Source]])</f>
        <v/>
      </c>
      <c r="P233">
        <f t="array" ref="P233">IsURL(Table_121215[[#This Row],[DOI]])</f>
        <v/>
      </c>
      <c r="Q233">
        <f t="array" ref="Q233">IsURL(Table_121215[[#This Row],[Data Source]])</f>
        <v/>
      </c>
      <c r="R233">
        <f t="array" ref="R233">IsURL(Table_121215[[#This Row],[Data Source]])</f>
        <v/>
      </c>
    </row>
    <row r="234" ht="15.75" customHeight="1">
      <c r="A234">
        <f>IF(Table_19[[#This Row],[Part Name]]=0,"",Table_19[[#This Row],[Part Name]])</f>
        <v/>
      </c>
      <c r="K234">
        <f>LEN(TRIM(CLEAN(SUBSTITUTE(SUBSTITUTE(Table_19[[#This Row],[Sequence]],CHAR(160)," ")," ",""))))</f>
        <v/>
      </c>
      <c r="M234" s="21" t="n"/>
      <c r="N234" s="21">
        <f>IF($B234="","FALSE","TRUE")</f>
        <v/>
      </c>
      <c r="O234">
        <f t="array" ref="O234">IsURL(Table_121215[[#This Row],[Data Source]])</f>
        <v/>
      </c>
      <c r="P234">
        <f t="array" ref="P234">IsURL(Table_121215[[#This Row],[DOI]])</f>
        <v/>
      </c>
      <c r="Q234">
        <f t="array" ref="Q234">IsURL(Table_121215[[#This Row],[Data Source]])</f>
        <v/>
      </c>
      <c r="R234">
        <f t="array" ref="R234">IsURL(Table_121215[[#This Row],[Data Source]])</f>
        <v/>
      </c>
    </row>
    <row r="235" ht="15.75" customHeight="1">
      <c r="A235">
        <f>IF(Table_19[[#This Row],[Part Name]]=0,"",Table_19[[#This Row],[Part Name]])</f>
        <v/>
      </c>
      <c r="K235">
        <f>LEN(TRIM(CLEAN(SUBSTITUTE(SUBSTITUTE(Table_19[[#This Row],[Sequence]],CHAR(160)," ")," ",""))))</f>
        <v/>
      </c>
      <c r="M235" s="21" t="n"/>
      <c r="N235" s="21">
        <f>IF($B235="","FALSE","TRUE")</f>
        <v/>
      </c>
      <c r="O235">
        <f t="array" ref="O235">IsURL(Table_121215[[#This Row],[Data Source]])</f>
        <v/>
      </c>
      <c r="P235">
        <f t="array" ref="P235">IsURL(Table_121215[[#This Row],[DOI]])</f>
        <v/>
      </c>
      <c r="Q235">
        <f t="array" ref="Q235">IsURL(Table_121215[[#This Row],[Data Source]])</f>
        <v/>
      </c>
      <c r="R235">
        <f t="array" ref="R235">IsURL(Table_121215[[#This Row],[Data Source]])</f>
        <v/>
      </c>
    </row>
    <row r="236" ht="15.75" customHeight="1">
      <c r="A236">
        <f>IF(Table_19[[#This Row],[Part Name]]=0,"",Table_19[[#This Row],[Part Name]])</f>
        <v/>
      </c>
      <c r="K236">
        <f>LEN(TRIM(CLEAN(SUBSTITUTE(SUBSTITUTE(Table_19[[#This Row],[Sequence]],CHAR(160)," ")," ",""))))</f>
        <v/>
      </c>
      <c r="M236" s="21" t="n"/>
      <c r="N236" s="21">
        <f>IF($B236="","FALSE","TRUE")</f>
        <v/>
      </c>
      <c r="O236">
        <f t="array" ref="O236">IsURL(Table_121215[[#This Row],[Data Source]])</f>
        <v/>
      </c>
      <c r="P236">
        <f t="array" ref="P236">IsURL(Table_121215[[#This Row],[DOI]])</f>
        <v/>
      </c>
      <c r="Q236">
        <f t="array" ref="Q236">IsURL(Table_121215[[#This Row],[Data Source]])</f>
        <v/>
      </c>
      <c r="R236">
        <f t="array" ref="R236">IsURL(Table_121215[[#This Row],[Data Source]])</f>
        <v/>
      </c>
    </row>
    <row r="237" ht="15.75" customHeight="1">
      <c r="A237">
        <f>IF(Table_19[[#This Row],[Part Name]]=0,"",Table_19[[#This Row],[Part Name]])</f>
        <v/>
      </c>
      <c r="K237">
        <f>LEN(TRIM(CLEAN(SUBSTITUTE(SUBSTITUTE(Table_19[[#This Row],[Sequence]],CHAR(160)," ")," ",""))))</f>
        <v/>
      </c>
      <c r="M237" s="21" t="n"/>
      <c r="N237" s="21">
        <f>IF($B237="","FALSE","TRUE")</f>
        <v/>
      </c>
      <c r="O237">
        <f t="array" ref="O237">IsURL(Table_121215[[#This Row],[Data Source]])</f>
        <v/>
      </c>
      <c r="P237">
        <f t="array" ref="P237">IsURL(Table_121215[[#This Row],[DOI]])</f>
        <v/>
      </c>
      <c r="Q237">
        <f t="array" ref="Q237">IsURL(Table_121215[[#This Row],[Data Source]])</f>
        <v/>
      </c>
      <c r="R237">
        <f t="array" ref="R237">IsURL(Table_121215[[#This Row],[Data Source]])</f>
        <v/>
      </c>
    </row>
    <row r="238" ht="15.75" customHeight="1">
      <c r="A238">
        <f>IF(Table_19[[#This Row],[Part Name]]=0,"",Table_19[[#This Row],[Part Name]])</f>
        <v/>
      </c>
      <c r="K238">
        <f>LEN(TRIM(CLEAN(SUBSTITUTE(SUBSTITUTE(Table_19[[#This Row],[Sequence]],CHAR(160)," ")," ",""))))</f>
        <v/>
      </c>
      <c r="M238" s="21" t="n"/>
      <c r="N238" s="21">
        <f>IF($B238="","FALSE","TRUE")</f>
        <v/>
      </c>
      <c r="O238">
        <f t="array" ref="O238">IsURL(Table_121215[[#This Row],[Data Source]])</f>
        <v/>
      </c>
      <c r="P238">
        <f t="array" ref="P238">IsURL(Table_121215[[#This Row],[DOI]])</f>
        <v/>
      </c>
      <c r="Q238">
        <f t="array" ref="Q238">IsURL(Table_121215[[#This Row],[Data Source]])</f>
        <v/>
      </c>
      <c r="R238">
        <f t="array" ref="R238">IsURL(Table_121215[[#This Row],[Data Source]])</f>
        <v/>
      </c>
    </row>
    <row r="239" ht="15.75" customHeight="1">
      <c r="A239">
        <f>IF(Table_19[[#This Row],[Part Name]]=0,"",Table_19[[#This Row],[Part Name]])</f>
        <v/>
      </c>
      <c r="K239">
        <f>LEN(TRIM(CLEAN(SUBSTITUTE(SUBSTITUTE(Table_19[[#This Row],[Sequence]],CHAR(160)," ")," ",""))))</f>
        <v/>
      </c>
      <c r="M239" s="21" t="n"/>
      <c r="N239" s="21">
        <f>IF($B239="","FALSE","TRUE")</f>
        <v/>
      </c>
      <c r="O239">
        <f t="array" ref="O239">IsURL(Table_121215[[#This Row],[Data Source]])</f>
        <v/>
      </c>
      <c r="P239">
        <f t="array" ref="P239">IsURL(Table_121215[[#This Row],[DOI]])</f>
        <v/>
      </c>
      <c r="Q239">
        <f t="array" ref="Q239">IsURL(Table_121215[[#This Row],[Data Source]])</f>
        <v/>
      </c>
      <c r="R239">
        <f t="array" ref="R239">IsURL(Table_121215[[#This Row],[Data Source]])</f>
        <v/>
      </c>
    </row>
    <row r="240" ht="15.75" customHeight="1">
      <c r="A240">
        <f>IF(Table_19[[#This Row],[Part Name]]=0,"",Table_19[[#This Row],[Part Name]])</f>
        <v/>
      </c>
      <c r="K240">
        <f>LEN(TRIM(CLEAN(SUBSTITUTE(SUBSTITUTE(Table_19[[#This Row],[Sequence]],CHAR(160)," ")," ",""))))</f>
        <v/>
      </c>
      <c r="M240" s="21" t="n"/>
      <c r="N240" s="21">
        <f>IF($B240="","FALSE","TRUE")</f>
        <v/>
      </c>
      <c r="O240">
        <f t="array" ref="O240">IsURL(Table_121215[[#This Row],[Data Source]])</f>
        <v/>
      </c>
      <c r="P240">
        <f t="array" ref="P240">IsURL(Table_121215[[#This Row],[DOI]])</f>
        <v/>
      </c>
      <c r="Q240">
        <f t="array" ref="Q240">IsURL(Table_121215[[#This Row],[Data Source]])</f>
        <v/>
      </c>
      <c r="R240">
        <f t="array" ref="R240">IsURL(Table_121215[[#This Row],[Data Source]])</f>
        <v/>
      </c>
    </row>
    <row r="241" ht="15.75" customHeight="1">
      <c r="A241">
        <f>IF(Table_19[[#This Row],[Part Name]]=0,"",Table_19[[#This Row],[Part Name]])</f>
        <v/>
      </c>
      <c r="K241">
        <f>LEN(TRIM(CLEAN(SUBSTITUTE(SUBSTITUTE(Table_19[[#This Row],[Sequence]],CHAR(160)," ")," ",""))))</f>
        <v/>
      </c>
      <c r="M241" s="21" t="n"/>
      <c r="N241" s="21">
        <f>IF($B241="","FALSE","TRUE")</f>
        <v/>
      </c>
      <c r="O241">
        <f t="array" ref="O241">IsURL(Table_121215[[#This Row],[Data Source]])</f>
        <v/>
      </c>
      <c r="P241">
        <f t="array" ref="P241">IsURL(Table_121215[[#This Row],[DOI]])</f>
        <v/>
      </c>
      <c r="Q241">
        <f t="array" ref="Q241">IsURL(Table_121215[[#This Row],[Data Source]])</f>
        <v/>
      </c>
      <c r="R241">
        <f t="array" ref="R241">IsURL(Table_121215[[#This Row],[Data Source]])</f>
        <v/>
      </c>
    </row>
    <row r="242" ht="15.75" customHeight="1">
      <c r="A242">
        <f>IF(Table_19[[#This Row],[Part Name]]=0,"",Table_19[[#This Row],[Part Name]])</f>
        <v/>
      </c>
      <c r="K242">
        <f>LEN(TRIM(CLEAN(SUBSTITUTE(SUBSTITUTE(Table_19[[#This Row],[Sequence]],CHAR(160)," ")," ",""))))</f>
        <v/>
      </c>
      <c r="M242" s="21" t="n"/>
      <c r="N242" s="21">
        <f>IF($B242="","FALSE","TRUE")</f>
        <v/>
      </c>
      <c r="O242">
        <f t="array" ref="O242">IsURL(Table_121215[[#This Row],[Data Source]])</f>
        <v/>
      </c>
      <c r="P242">
        <f t="array" ref="P242">IsURL(Table_121215[[#This Row],[DOI]])</f>
        <v/>
      </c>
      <c r="Q242">
        <f t="array" ref="Q242">IsURL(Table_121215[[#This Row],[Data Source]])</f>
        <v/>
      </c>
      <c r="R242">
        <f t="array" ref="R242">IsURL(Table_121215[[#This Row],[Data Source]])</f>
        <v/>
      </c>
    </row>
    <row r="243" ht="15.75" customHeight="1">
      <c r="A243">
        <f>IF(Table_19[[#This Row],[Part Name]]=0,"",Table_19[[#This Row],[Part Name]])</f>
        <v/>
      </c>
      <c r="K243">
        <f>LEN(TRIM(CLEAN(SUBSTITUTE(SUBSTITUTE(Table_19[[#This Row],[Sequence]],CHAR(160)," ")," ",""))))</f>
        <v/>
      </c>
      <c r="M243" s="21" t="n"/>
      <c r="N243" s="21">
        <f>IF($B243="","FALSE","TRUE")</f>
        <v/>
      </c>
      <c r="O243">
        <f t="array" ref="O243">IsURL(Table_121215[[#This Row],[Data Source]])</f>
        <v/>
      </c>
      <c r="P243">
        <f t="array" ref="P243">IsURL(Table_121215[[#This Row],[DOI]])</f>
        <v/>
      </c>
      <c r="Q243">
        <f t="array" ref="Q243">IsURL(Table_121215[[#This Row],[Data Source]])</f>
        <v/>
      </c>
      <c r="R243">
        <f t="array" ref="R243">IsURL(Table_121215[[#This Row],[Data Source]])</f>
        <v/>
      </c>
    </row>
    <row r="244" ht="15.75" customHeight="1">
      <c r="A244">
        <f>IF(Table_19[[#This Row],[Part Name]]=0,"",Table_19[[#This Row],[Part Name]])</f>
        <v/>
      </c>
      <c r="K244">
        <f>LEN(TRIM(CLEAN(SUBSTITUTE(SUBSTITUTE(Table_19[[#This Row],[Sequence]],CHAR(160)," ")," ",""))))</f>
        <v/>
      </c>
      <c r="M244" s="21" t="n"/>
      <c r="N244" s="21">
        <f>IF($B244="","FALSE","TRUE")</f>
        <v/>
      </c>
      <c r="O244">
        <f t="array" ref="O244">IsURL(Table_121215[[#This Row],[Data Source]])</f>
        <v/>
      </c>
      <c r="P244">
        <f t="array" ref="P244">IsURL(Table_121215[[#This Row],[DOI]])</f>
        <v/>
      </c>
      <c r="Q244">
        <f t="array" ref="Q244">IsURL(Table_121215[[#This Row],[Data Source]])</f>
        <v/>
      </c>
      <c r="R244">
        <f t="array" ref="R244">IsURL(Table_121215[[#This Row],[Data Source]])</f>
        <v/>
      </c>
    </row>
    <row r="245" ht="15.75" customHeight="1">
      <c r="A245">
        <f>IF(Table_19[[#This Row],[Part Name]]=0,"",Table_19[[#This Row],[Part Name]])</f>
        <v/>
      </c>
      <c r="K245">
        <f>LEN(TRIM(CLEAN(SUBSTITUTE(SUBSTITUTE(Table_19[[#This Row],[Sequence]],CHAR(160)," ")," ",""))))</f>
        <v/>
      </c>
      <c r="M245" s="21" t="n"/>
      <c r="N245" s="21">
        <f>IF($B245="","FALSE","TRUE")</f>
        <v/>
      </c>
      <c r="O245">
        <f t="array" ref="O245">IsURL(Table_121215[[#This Row],[Data Source]])</f>
        <v/>
      </c>
      <c r="P245">
        <f t="array" ref="P245">IsURL(Table_121215[[#This Row],[DOI]])</f>
        <v/>
      </c>
      <c r="Q245">
        <f t="array" ref="Q245">IsURL(Table_121215[[#This Row],[Data Source]])</f>
        <v/>
      </c>
      <c r="R245">
        <f t="array" ref="R245">IsURL(Table_121215[[#This Row],[Data Source]])</f>
        <v/>
      </c>
    </row>
    <row r="246" ht="15.75" customHeight="1">
      <c r="A246">
        <f>IF(Table_19[[#This Row],[Part Name]]=0,"",Table_19[[#This Row],[Part Name]])</f>
        <v/>
      </c>
      <c r="K246">
        <f>LEN(TRIM(CLEAN(SUBSTITUTE(SUBSTITUTE(Table_19[[#This Row],[Sequence]],CHAR(160)," ")," ",""))))</f>
        <v/>
      </c>
      <c r="M246" s="21" t="n"/>
      <c r="N246" s="21">
        <f>IF($B246="","FALSE","TRUE")</f>
        <v/>
      </c>
      <c r="O246">
        <f t="array" ref="O246">IsURL(Table_121215[[#This Row],[Data Source]])</f>
        <v/>
      </c>
      <c r="P246">
        <f t="array" ref="P246">IsURL(Table_121215[[#This Row],[DOI]])</f>
        <v/>
      </c>
      <c r="Q246">
        <f t="array" ref="Q246">IsURL(Table_121215[[#This Row],[Data Source]])</f>
        <v/>
      </c>
      <c r="R246">
        <f t="array" ref="R246">IsURL(Table_121215[[#This Row],[Data Source]])</f>
        <v/>
      </c>
    </row>
    <row r="247" ht="15.75" customHeight="1">
      <c r="A247">
        <f>IF(Table_19[[#This Row],[Part Name]]=0,"",Table_19[[#This Row],[Part Name]])</f>
        <v/>
      </c>
      <c r="K247">
        <f>LEN(TRIM(CLEAN(SUBSTITUTE(SUBSTITUTE(Table_19[[#This Row],[Sequence]],CHAR(160)," ")," ",""))))</f>
        <v/>
      </c>
      <c r="M247" s="21" t="n"/>
      <c r="N247" s="21">
        <f>IF($B247="","FALSE","TRUE")</f>
        <v/>
      </c>
      <c r="O247">
        <f t="array" ref="O247">IsURL(Table_121215[[#This Row],[Data Source]])</f>
        <v/>
      </c>
      <c r="P247">
        <f t="array" ref="P247">IsURL(Table_121215[[#This Row],[DOI]])</f>
        <v/>
      </c>
      <c r="Q247">
        <f t="array" ref="Q247">IsURL(Table_121215[[#This Row],[Data Source]])</f>
        <v/>
      </c>
      <c r="R247">
        <f t="array" ref="R247">IsURL(Table_121215[[#This Row],[Data Source]])</f>
        <v/>
      </c>
    </row>
    <row r="248" ht="15.75" customHeight="1">
      <c r="A248">
        <f>IF(Table_19[[#This Row],[Part Name]]=0,"",Table_19[[#This Row],[Part Name]])</f>
        <v/>
      </c>
      <c r="K248">
        <f>LEN(TRIM(CLEAN(SUBSTITUTE(SUBSTITUTE(Table_19[[#This Row],[Sequence]],CHAR(160)," ")," ",""))))</f>
        <v/>
      </c>
      <c r="M248" s="21" t="n"/>
      <c r="N248" s="21">
        <f>IF($B248="","FALSE","TRUE")</f>
        <v/>
      </c>
      <c r="O248">
        <f t="array" ref="O248">IsURL(Table_121215[[#This Row],[Data Source]])</f>
        <v/>
      </c>
      <c r="P248">
        <f t="array" ref="P248">IsURL(Table_121215[[#This Row],[DOI]])</f>
        <v/>
      </c>
      <c r="Q248">
        <f t="array" ref="Q248">IsURL(Table_121215[[#This Row],[Data Source]])</f>
        <v/>
      </c>
      <c r="R248">
        <f t="array" ref="R248">IsURL(Table_121215[[#This Row],[Data Source]])</f>
        <v/>
      </c>
    </row>
    <row r="249" ht="15.75" customHeight="1">
      <c r="A249">
        <f>IF(Table_19[[#This Row],[Part Name]]=0,"",Table_19[[#This Row],[Part Name]])</f>
        <v/>
      </c>
      <c r="K249">
        <f>LEN(TRIM(CLEAN(SUBSTITUTE(SUBSTITUTE(Table_19[[#This Row],[Sequence]],CHAR(160)," ")," ",""))))</f>
        <v/>
      </c>
      <c r="M249" s="21" t="n"/>
      <c r="N249" s="21">
        <f>IF($B249="","FALSE","TRUE")</f>
        <v/>
      </c>
      <c r="O249">
        <f t="array" ref="O249">IsURL(Table_121215[[#This Row],[Data Source]])</f>
        <v/>
      </c>
      <c r="P249">
        <f t="array" ref="P249">IsURL(Table_121215[[#This Row],[DOI]])</f>
        <v/>
      </c>
      <c r="Q249">
        <f t="array" ref="Q249">IsURL(Table_121215[[#This Row],[Data Source]])</f>
        <v/>
      </c>
      <c r="R249">
        <f t="array" ref="R249">IsURL(Table_121215[[#This Row],[Data Source]])</f>
        <v/>
      </c>
    </row>
    <row r="250" ht="15.75" customHeight="1">
      <c r="A250">
        <f>IF(Table_19[[#This Row],[Part Name]]=0,"",Table_19[[#This Row],[Part Name]])</f>
        <v/>
      </c>
      <c r="K250">
        <f>LEN(TRIM(CLEAN(SUBSTITUTE(SUBSTITUTE(Table_19[[#This Row],[Sequence]],CHAR(160)," ")," ",""))))</f>
        <v/>
      </c>
      <c r="M250" s="21" t="n"/>
      <c r="N250" s="21">
        <f>IF($B250="","FALSE","TRUE")</f>
        <v/>
      </c>
      <c r="O250">
        <f t="array" ref="O250">IsURL(Table_121215[[#This Row],[Data Source]])</f>
        <v/>
      </c>
      <c r="P250">
        <f t="array" ref="P250">IsURL(Table_121215[[#This Row],[DOI]])</f>
        <v/>
      </c>
      <c r="Q250">
        <f t="array" ref="Q250">IsURL(Table_121215[[#This Row],[Data Source]])</f>
        <v/>
      </c>
      <c r="R250">
        <f t="array" ref="R250">IsURL(Table_121215[[#This Row],[Data Source]])</f>
        <v/>
      </c>
    </row>
    <row r="251" ht="15.75" customHeight="1">
      <c r="A251">
        <f>IF(Table_19[[#This Row],[Part Name]]=0,"",Table_19[[#This Row],[Part Name]])</f>
        <v/>
      </c>
      <c r="K251">
        <f>LEN(TRIM(CLEAN(SUBSTITUTE(SUBSTITUTE(Table_19[[#This Row],[Sequence]],CHAR(160)," ")," ",""))))</f>
        <v/>
      </c>
      <c r="M251" s="21" t="n"/>
      <c r="N251" s="21">
        <f>IF($B251="","FALSE","TRUE")</f>
        <v/>
      </c>
      <c r="O251">
        <f t="array" ref="O251">IsURL(Table_121215[[#This Row],[Data Source]])</f>
        <v/>
      </c>
      <c r="P251">
        <f t="array" ref="P251">IsURL(Table_121215[[#This Row],[DOI]])</f>
        <v/>
      </c>
      <c r="Q251">
        <f t="array" ref="Q251">IsURL(Table_121215[[#This Row],[Data Source]])</f>
        <v/>
      </c>
      <c r="R251">
        <f t="array" ref="R251">IsURL(Table_121215[[#This Row],[Data Source]])</f>
        <v/>
      </c>
    </row>
    <row r="252" ht="15.75" customHeight="1">
      <c r="A252">
        <f>IF(Table_19[[#This Row],[Part Name]]=0,"",Table_19[[#This Row],[Part Name]])</f>
        <v/>
      </c>
      <c r="K252">
        <f>LEN(TRIM(CLEAN(SUBSTITUTE(SUBSTITUTE(Table_19[[#This Row],[Sequence]],CHAR(160)," ")," ",""))))</f>
        <v/>
      </c>
      <c r="M252" s="21" t="n"/>
      <c r="N252" s="21">
        <f>IF($B252="","FALSE","TRUE")</f>
        <v/>
      </c>
      <c r="O252">
        <f t="array" ref="O252">IsURL(Table_121215[[#This Row],[Data Source]])</f>
        <v/>
      </c>
      <c r="P252">
        <f t="array" ref="P252">IsURL(Table_121215[[#This Row],[DOI]])</f>
        <v/>
      </c>
      <c r="Q252">
        <f t="array" ref="Q252">IsURL(Table_121215[[#This Row],[Data Source]])</f>
        <v/>
      </c>
      <c r="R252">
        <f t="array" ref="R252">IsURL(Table_121215[[#This Row],[Data Source]])</f>
        <v/>
      </c>
    </row>
    <row r="253" ht="15.75" customHeight="1">
      <c r="A253">
        <f>IF(Table_19[[#This Row],[Part Name]]=0,"",Table_19[[#This Row],[Part Name]])</f>
        <v/>
      </c>
      <c r="K253">
        <f>LEN(TRIM(CLEAN(SUBSTITUTE(SUBSTITUTE(Table_19[[#This Row],[Sequence]],CHAR(160)," ")," ",""))))</f>
        <v/>
      </c>
      <c r="M253" s="21" t="n"/>
      <c r="N253" s="21">
        <f>IF($B253="","FALSE","TRUE")</f>
        <v/>
      </c>
      <c r="O253">
        <f t="array" ref="O253">IsURL(Table_121215[[#This Row],[Data Source]])</f>
        <v/>
      </c>
      <c r="P253">
        <f t="array" ref="P253">IsURL(Table_121215[[#This Row],[DOI]])</f>
        <v/>
      </c>
      <c r="Q253">
        <f t="array" ref="Q253">IsURL(Table_121215[[#This Row],[Data Source]])</f>
        <v/>
      </c>
      <c r="R253">
        <f t="array" ref="R253">IsURL(Table_121215[[#This Row],[Data Source]])</f>
        <v/>
      </c>
    </row>
    <row r="254" ht="15.75" customHeight="1">
      <c r="A254">
        <f>IF(Table_19[[#This Row],[Part Name]]=0,"",Table_19[[#This Row],[Part Name]])</f>
        <v/>
      </c>
      <c r="K254">
        <f>LEN(TRIM(CLEAN(SUBSTITUTE(SUBSTITUTE(Table_19[[#This Row],[Sequence]],CHAR(160)," ")," ",""))))</f>
        <v/>
      </c>
      <c r="M254" s="21" t="n"/>
      <c r="N254" s="21">
        <f>IF($B254="","FALSE","TRUE")</f>
        <v/>
      </c>
      <c r="O254">
        <f t="array" ref="O254">IsURL(Table_121215[[#This Row],[Data Source]])</f>
        <v/>
      </c>
      <c r="P254">
        <f t="array" ref="P254">IsURL(Table_121215[[#This Row],[DOI]])</f>
        <v/>
      </c>
      <c r="Q254">
        <f t="array" ref="Q254">IsURL(Table_121215[[#This Row],[Data Source]])</f>
        <v/>
      </c>
      <c r="R254">
        <f t="array" ref="R254">IsURL(Table_121215[[#This Row],[Data Source]])</f>
        <v/>
      </c>
    </row>
    <row r="255" ht="15.75" customHeight="1">
      <c r="A255">
        <f>IF(Table_19[[#This Row],[Part Name]]=0,"",Table_19[[#This Row],[Part Name]])</f>
        <v/>
      </c>
      <c r="K255">
        <f>LEN(TRIM(CLEAN(SUBSTITUTE(SUBSTITUTE(Table_19[[#This Row],[Sequence]],CHAR(160)," ")," ",""))))</f>
        <v/>
      </c>
      <c r="M255" s="21" t="n"/>
      <c r="N255" s="21">
        <f>IF($B255="","FALSE","TRUE")</f>
        <v/>
      </c>
      <c r="O255">
        <f t="array" ref="O255">IsURL(Table_121215[[#This Row],[Data Source]])</f>
        <v/>
      </c>
      <c r="P255">
        <f t="array" ref="P255">IsURL(Table_121215[[#This Row],[DOI]])</f>
        <v/>
      </c>
      <c r="Q255">
        <f t="array" ref="Q255">IsURL(Table_121215[[#This Row],[Data Source]])</f>
        <v/>
      </c>
      <c r="R255">
        <f t="array" ref="R255">IsURL(Table_121215[[#This Row],[Data Source]])</f>
        <v/>
      </c>
    </row>
    <row r="256" ht="15.75" customHeight="1">
      <c r="A256">
        <f>IF(Table_19[[#This Row],[Part Name]]=0,"",Table_19[[#This Row],[Part Name]])</f>
        <v/>
      </c>
      <c r="K256">
        <f>LEN(TRIM(CLEAN(SUBSTITUTE(SUBSTITUTE(Table_19[[#This Row],[Sequence]],CHAR(160)," ")," ",""))))</f>
        <v/>
      </c>
      <c r="M256" s="21" t="n"/>
      <c r="N256" s="21">
        <f>IF($B256="","FALSE","TRUE")</f>
        <v/>
      </c>
      <c r="O256">
        <f t="array" ref="O256">IsURL(Table_121215[[#This Row],[Data Source]])</f>
        <v/>
      </c>
      <c r="P256">
        <f t="array" ref="P256">IsURL(Table_121215[[#This Row],[DOI]])</f>
        <v/>
      </c>
      <c r="Q256">
        <f t="array" ref="Q256">IsURL(Table_121215[[#This Row],[Data Source]])</f>
        <v/>
      </c>
      <c r="R256">
        <f t="array" ref="R256">IsURL(Table_121215[[#This Row],[Data Source]])</f>
        <v/>
      </c>
    </row>
    <row r="257" ht="15.75" customHeight="1">
      <c r="A257">
        <f>IF(Table_19[[#This Row],[Part Name]]=0,"",Table_19[[#This Row],[Part Name]])</f>
        <v/>
      </c>
      <c r="K257">
        <f>LEN(TRIM(CLEAN(SUBSTITUTE(SUBSTITUTE(Table_19[[#This Row],[Sequence]],CHAR(160)," ")," ",""))))</f>
        <v/>
      </c>
      <c r="M257" s="21" t="n"/>
      <c r="N257" s="21">
        <f>IF($B257="","FALSE","TRUE")</f>
        <v/>
      </c>
      <c r="O257">
        <f t="array" ref="O257">IsURL(Table_121215[[#This Row],[Data Source]])</f>
        <v/>
      </c>
      <c r="P257">
        <f t="array" ref="P257">IsURL(Table_121215[[#This Row],[DOI]])</f>
        <v/>
      </c>
      <c r="Q257">
        <f t="array" ref="Q257">IsURL(Table_121215[[#This Row],[Data Source]])</f>
        <v/>
      </c>
      <c r="R257">
        <f t="array" ref="R257">IsURL(Table_121215[[#This Row],[Data Source]])</f>
        <v/>
      </c>
    </row>
    <row r="258" ht="15.75" customHeight="1">
      <c r="A258">
        <f>IF(Table_19[[#This Row],[Part Name]]=0,"",Table_19[[#This Row],[Part Name]])</f>
        <v/>
      </c>
      <c r="K258">
        <f>LEN(TRIM(CLEAN(SUBSTITUTE(SUBSTITUTE(Table_19[[#This Row],[Sequence]],CHAR(160)," ")," ",""))))</f>
        <v/>
      </c>
      <c r="M258" s="21" t="n"/>
      <c r="N258" s="21">
        <f>IF($B258="","FALSE","TRUE")</f>
        <v/>
      </c>
      <c r="O258">
        <f t="array" ref="O258">IsURL(Table_121215[[#This Row],[Data Source]])</f>
        <v/>
      </c>
      <c r="P258">
        <f t="array" ref="P258">IsURL(Table_121215[[#This Row],[DOI]])</f>
        <v/>
      </c>
      <c r="Q258">
        <f t="array" ref="Q258">IsURL(Table_121215[[#This Row],[Data Source]])</f>
        <v/>
      </c>
      <c r="R258">
        <f t="array" ref="R258">IsURL(Table_121215[[#This Row],[Data Source]])</f>
        <v/>
      </c>
    </row>
    <row r="259" ht="15.75" customHeight="1">
      <c r="A259">
        <f>IF(Table_19[[#This Row],[Part Name]]=0,"",Table_19[[#This Row],[Part Name]])</f>
        <v/>
      </c>
      <c r="K259">
        <f>LEN(TRIM(CLEAN(SUBSTITUTE(SUBSTITUTE(Table_19[[#This Row],[Sequence]],CHAR(160)," ")," ",""))))</f>
        <v/>
      </c>
      <c r="M259" s="21" t="n"/>
      <c r="N259" s="21">
        <f>IF($B259="","FALSE","TRUE")</f>
        <v/>
      </c>
      <c r="O259">
        <f t="array" ref="O259">IsURL(Table_121215[[#This Row],[Data Source]])</f>
        <v/>
      </c>
      <c r="P259">
        <f t="array" ref="P259">IsURL(Table_121215[[#This Row],[DOI]])</f>
        <v/>
      </c>
      <c r="Q259">
        <f t="array" ref="Q259">IsURL(Table_121215[[#This Row],[Data Source]])</f>
        <v/>
      </c>
      <c r="R259">
        <f t="array" ref="R259">IsURL(Table_121215[[#This Row],[Data Source]])</f>
        <v/>
      </c>
    </row>
    <row r="260" ht="15.75" customHeight="1">
      <c r="A260">
        <f>IF(Table_19[[#This Row],[Part Name]]=0,"",Table_19[[#This Row],[Part Name]])</f>
        <v/>
      </c>
      <c r="K260">
        <f>LEN(TRIM(CLEAN(SUBSTITUTE(SUBSTITUTE(Table_19[[#This Row],[Sequence]],CHAR(160)," ")," ",""))))</f>
        <v/>
      </c>
      <c r="M260" s="21" t="n"/>
      <c r="N260" s="21">
        <f>IF($B260="","FALSE","TRUE")</f>
        <v/>
      </c>
      <c r="O260">
        <f t="array" ref="O260">IsURL(Table_121215[[#This Row],[Data Source]])</f>
        <v/>
      </c>
      <c r="P260">
        <f t="array" ref="P260">IsURL(Table_121215[[#This Row],[DOI]])</f>
        <v/>
      </c>
      <c r="Q260">
        <f t="array" ref="Q260">IsURL(Table_121215[[#This Row],[Data Source]])</f>
        <v/>
      </c>
      <c r="R260">
        <f t="array" ref="R260">IsURL(Table_121215[[#This Row],[Data Source]])</f>
        <v/>
      </c>
    </row>
    <row r="261" ht="15.75" customHeight="1">
      <c r="A261">
        <f>IF(Table_19[[#This Row],[Part Name]]=0,"",Table_19[[#This Row],[Part Name]])</f>
        <v/>
      </c>
      <c r="K261">
        <f>LEN(TRIM(CLEAN(SUBSTITUTE(SUBSTITUTE(Table_19[[#This Row],[Sequence]],CHAR(160)," ")," ",""))))</f>
        <v/>
      </c>
      <c r="M261" s="21" t="n"/>
      <c r="N261" s="21">
        <f>IF($B261="","FALSE","TRUE")</f>
        <v/>
      </c>
      <c r="O261">
        <f t="array" ref="O261">IsURL(Table_121215[[#This Row],[Data Source]])</f>
        <v/>
      </c>
      <c r="P261">
        <f t="array" ref="P261">IsURL(Table_121215[[#This Row],[DOI]])</f>
        <v/>
      </c>
      <c r="Q261">
        <f t="array" ref="Q261">IsURL(Table_121215[[#This Row],[Data Source]])</f>
        <v/>
      </c>
      <c r="R261">
        <f t="array" ref="R261">IsURL(Table_121215[[#This Row],[Data Source]])</f>
        <v/>
      </c>
    </row>
    <row r="262" ht="15.75" customHeight="1">
      <c r="A262">
        <f>IF(Table_19[[#This Row],[Part Name]]=0,"",Table_19[[#This Row],[Part Name]])</f>
        <v/>
      </c>
      <c r="K262">
        <f>LEN(TRIM(CLEAN(SUBSTITUTE(SUBSTITUTE(Table_19[[#This Row],[Sequence]],CHAR(160)," ")," ",""))))</f>
        <v/>
      </c>
      <c r="M262" s="21" t="n"/>
      <c r="N262" s="21">
        <f>IF($B262="","FALSE","TRUE")</f>
        <v/>
      </c>
      <c r="O262">
        <f t="array" ref="O262">IsURL(Table_121215[[#This Row],[Data Source]])</f>
        <v/>
      </c>
      <c r="P262">
        <f t="array" ref="P262">IsURL(Table_121215[[#This Row],[DOI]])</f>
        <v/>
      </c>
      <c r="Q262">
        <f t="array" ref="Q262">IsURL(Table_121215[[#This Row],[Data Source]])</f>
        <v/>
      </c>
      <c r="R262">
        <f t="array" ref="R262">IsURL(Table_121215[[#This Row],[Data Source]])</f>
        <v/>
      </c>
    </row>
    <row r="263" ht="15.75" customHeight="1">
      <c r="A263">
        <f>IF(Table_19[[#This Row],[Part Name]]=0,"",Table_19[[#This Row],[Part Name]])</f>
        <v/>
      </c>
      <c r="K263">
        <f>LEN(TRIM(CLEAN(SUBSTITUTE(SUBSTITUTE(Table_19[[#This Row],[Sequence]],CHAR(160)," ")," ",""))))</f>
        <v/>
      </c>
      <c r="M263" s="21" t="n"/>
      <c r="N263" s="21">
        <f>IF($B263="","FALSE","TRUE")</f>
        <v/>
      </c>
      <c r="O263">
        <f t="array" ref="O263">IsURL(Table_121215[[#This Row],[Data Source]])</f>
        <v/>
      </c>
      <c r="P263">
        <f t="array" ref="P263">IsURL(Table_121215[[#This Row],[DOI]])</f>
        <v/>
      </c>
      <c r="Q263">
        <f t="array" ref="Q263">IsURL(Table_121215[[#This Row],[Data Source]])</f>
        <v/>
      </c>
      <c r="R263">
        <f t="array" ref="R263">IsURL(Table_121215[[#This Row],[Data Source]])</f>
        <v/>
      </c>
    </row>
    <row r="264" ht="15.75" customHeight="1">
      <c r="A264">
        <f>IF(Table_19[[#This Row],[Part Name]]=0,"",Table_19[[#This Row],[Part Name]])</f>
        <v/>
      </c>
      <c r="K264">
        <f>LEN(TRIM(CLEAN(SUBSTITUTE(SUBSTITUTE(Table_19[[#This Row],[Sequence]],CHAR(160)," ")," ",""))))</f>
        <v/>
      </c>
      <c r="M264" s="21" t="n"/>
      <c r="N264" s="21">
        <f>IF($B264="","FALSE","TRUE")</f>
        <v/>
      </c>
      <c r="O264">
        <f t="array" ref="O264">IsURL(Table_121215[[#This Row],[Data Source]])</f>
        <v/>
      </c>
      <c r="P264">
        <f t="array" ref="P264">IsURL(Table_121215[[#This Row],[DOI]])</f>
        <v/>
      </c>
      <c r="Q264">
        <f t="array" ref="Q264">IsURL(Table_121215[[#This Row],[Data Source]])</f>
        <v/>
      </c>
      <c r="R264">
        <f t="array" ref="R264">IsURL(Table_121215[[#This Row],[Data Source]])</f>
        <v/>
      </c>
    </row>
    <row r="265" ht="15.75" customHeight="1">
      <c r="A265">
        <f>IF(Table_19[[#This Row],[Part Name]]=0,"",Table_19[[#This Row],[Part Name]])</f>
        <v/>
      </c>
      <c r="K265">
        <f>LEN(TRIM(CLEAN(SUBSTITUTE(SUBSTITUTE(Table_19[[#This Row],[Sequence]],CHAR(160)," ")," ",""))))</f>
        <v/>
      </c>
      <c r="M265" s="21" t="n"/>
      <c r="N265" s="21">
        <f>IF($B265="","FALSE","TRUE")</f>
        <v/>
      </c>
      <c r="O265">
        <f t="array" ref="O265">IsURL(Table_121215[[#This Row],[Data Source]])</f>
        <v/>
      </c>
      <c r="P265">
        <f t="array" ref="P265">IsURL(Table_121215[[#This Row],[DOI]])</f>
        <v/>
      </c>
      <c r="Q265">
        <f t="array" ref="Q265">IsURL(Table_121215[[#This Row],[Data Source]])</f>
        <v/>
      </c>
      <c r="R265">
        <f t="array" ref="R265">IsURL(Table_121215[[#This Row],[Data Source]])</f>
        <v/>
      </c>
    </row>
    <row r="266" ht="15.75" customHeight="1">
      <c r="A266">
        <f>IF(Table_19[[#This Row],[Part Name]]=0,"",Table_19[[#This Row],[Part Name]])</f>
        <v/>
      </c>
      <c r="K266">
        <f>LEN(TRIM(CLEAN(SUBSTITUTE(SUBSTITUTE(Table_19[[#This Row],[Sequence]],CHAR(160)," ")," ",""))))</f>
        <v/>
      </c>
      <c r="M266" s="21" t="n"/>
      <c r="N266" s="21">
        <f>IF($B266="","FALSE","TRUE")</f>
        <v/>
      </c>
      <c r="O266">
        <f t="array" ref="O266">IsURL(Table_121215[[#This Row],[Data Source]])</f>
        <v/>
      </c>
      <c r="P266">
        <f t="array" ref="P266">IsURL(Table_121215[[#This Row],[DOI]])</f>
        <v/>
      </c>
      <c r="Q266">
        <f t="array" ref="Q266">IsURL(Table_121215[[#This Row],[Data Source]])</f>
        <v/>
      </c>
      <c r="R266">
        <f t="array" ref="R266">IsURL(Table_121215[[#This Row],[Data Source]])</f>
        <v/>
      </c>
    </row>
    <row r="267" ht="15.75" customHeight="1">
      <c r="A267">
        <f>IF(Table_19[[#This Row],[Part Name]]=0,"",Table_19[[#This Row],[Part Name]])</f>
        <v/>
      </c>
      <c r="K267">
        <f>LEN(TRIM(CLEAN(SUBSTITUTE(SUBSTITUTE(Table_19[[#This Row],[Sequence]],CHAR(160)," ")," ",""))))</f>
        <v/>
      </c>
      <c r="M267" s="21" t="n"/>
      <c r="N267" s="21">
        <f>IF($B267="","FALSE","TRUE")</f>
        <v/>
      </c>
      <c r="O267">
        <f t="array" ref="O267">IsURL(Table_121215[[#This Row],[Data Source]])</f>
        <v/>
      </c>
      <c r="P267">
        <f t="array" ref="P267">IsURL(Table_121215[[#This Row],[DOI]])</f>
        <v/>
      </c>
      <c r="Q267">
        <f t="array" ref="Q267">IsURL(Table_121215[[#This Row],[Data Source]])</f>
        <v/>
      </c>
      <c r="R267">
        <f t="array" ref="R267">IsURL(Table_121215[[#This Row],[Data Source]])</f>
        <v/>
      </c>
    </row>
    <row r="268" ht="15.75" customHeight="1">
      <c r="A268">
        <f>IF(Table_19[[#This Row],[Part Name]]=0,"",Table_19[[#This Row],[Part Name]])</f>
        <v/>
      </c>
      <c r="K268">
        <f>LEN(TRIM(CLEAN(SUBSTITUTE(SUBSTITUTE(Table_19[[#This Row],[Sequence]],CHAR(160)," ")," ",""))))</f>
        <v/>
      </c>
      <c r="M268" s="21" t="n"/>
      <c r="N268" s="21">
        <f>IF($B268="","FALSE","TRUE")</f>
        <v/>
      </c>
      <c r="O268">
        <f t="array" ref="O268">IsURL(Table_121215[[#This Row],[Data Source]])</f>
        <v/>
      </c>
      <c r="P268">
        <f t="array" ref="P268">IsURL(Table_121215[[#This Row],[DOI]])</f>
        <v/>
      </c>
      <c r="Q268">
        <f t="array" ref="Q268">IsURL(Table_121215[[#This Row],[Data Source]])</f>
        <v/>
      </c>
      <c r="R268">
        <f t="array" ref="R268">IsURL(Table_121215[[#This Row],[Data Source]])</f>
        <v/>
      </c>
    </row>
    <row r="269" ht="15.75" customHeight="1">
      <c r="A269">
        <f>IF(Table_19[[#This Row],[Part Name]]=0,"",Table_19[[#This Row],[Part Name]])</f>
        <v/>
      </c>
      <c r="K269">
        <f>LEN(TRIM(CLEAN(SUBSTITUTE(SUBSTITUTE(Table_19[[#This Row],[Sequence]],CHAR(160)," ")," ",""))))</f>
        <v/>
      </c>
      <c r="M269" s="21" t="n"/>
      <c r="N269" s="21">
        <f>IF($B269="","FALSE","TRUE")</f>
        <v/>
      </c>
      <c r="O269">
        <f t="array" ref="O269">IsURL(Table_121215[[#This Row],[Data Source]])</f>
        <v/>
      </c>
      <c r="P269">
        <f t="array" ref="P269">IsURL(Table_121215[[#This Row],[DOI]])</f>
        <v/>
      </c>
      <c r="Q269">
        <f t="array" ref="Q269">IsURL(Table_121215[[#This Row],[Data Source]])</f>
        <v/>
      </c>
      <c r="R269">
        <f t="array" ref="R269">IsURL(Table_121215[[#This Row],[Data Source]])</f>
        <v/>
      </c>
    </row>
    <row r="270" ht="15.75" customHeight="1">
      <c r="A270">
        <f>IF(Table_19[[#This Row],[Part Name]]=0,"",Table_19[[#This Row],[Part Name]])</f>
        <v/>
      </c>
      <c r="K270">
        <f>LEN(TRIM(CLEAN(SUBSTITUTE(SUBSTITUTE(Table_19[[#This Row],[Sequence]],CHAR(160)," ")," ",""))))</f>
        <v/>
      </c>
      <c r="M270" s="21" t="n"/>
      <c r="N270" s="21">
        <f>IF($B270="","FALSE","TRUE")</f>
        <v/>
      </c>
      <c r="O270">
        <f t="array" ref="O270">IsURL(Table_121215[[#This Row],[Data Source]])</f>
        <v/>
      </c>
      <c r="P270">
        <f t="array" ref="P270">IsURL(Table_121215[[#This Row],[DOI]])</f>
        <v/>
      </c>
      <c r="Q270">
        <f t="array" ref="Q270">IsURL(Table_121215[[#This Row],[Data Source]])</f>
        <v/>
      </c>
      <c r="R270">
        <f t="array" ref="R270">IsURL(Table_121215[[#This Row],[Data Source]])</f>
        <v/>
      </c>
    </row>
    <row r="271" ht="15.75" customHeight="1">
      <c r="A271">
        <f>IF(Table_19[[#This Row],[Part Name]]=0,"",Table_19[[#This Row],[Part Name]])</f>
        <v/>
      </c>
      <c r="K271">
        <f>LEN(TRIM(CLEAN(SUBSTITUTE(SUBSTITUTE(Table_19[[#This Row],[Sequence]],CHAR(160)," ")," ",""))))</f>
        <v/>
      </c>
      <c r="M271" s="21" t="n"/>
      <c r="N271" s="21">
        <f>IF($B271="","FALSE","TRUE")</f>
        <v/>
      </c>
      <c r="O271">
        <f t="array" ref="O271">IsURL(Table_121215[[#This Row],[Data Source]])</f>
        <v/>
      </c>
      <c r="P271">
        <f t="array" ref="P271">IsURL(Table_121215[[#This Row],[DOI]])</f>
        <v/>
      </c>
      <c r="Q271">
        <f t="array" ref="Q271">IsURL(Table_121215[[#This Row],[Data Source]])</f>
        <v/>
      </c>
      <c r="R271">
        <f t="array" ref="R271">IsURL(Table_121215[[#This Row],[Data Source]])</f>
        <v/>
      </c>
    </row>
    <row r="272" ht="15.75" customHeight="1">
      <c r="A272">
        <f>IF(Table_19[[#This Row],[Part Name]]=0,"",Table_19[[#This Row],[Part Name]])</f>
        <v/>
      </c>
      <c r="K272">
        <f>LEN(TRIM(CLEAN(SUBSTITUTE(SUBSTITUTE(Table_19[[#This Row],[Sequence]],CHAR(160)," ")," ",""))))</f>
        <v/>
      </c>
      <c r="M272" s="21" t="n"/>
      <c r="N272" s="21">
        <f>IF($B272="","FALSE","TRUE")</f>
        <v/>
      </c>
      <c r="O272">
        <f t="array" ref="O272">IsURL(Table_121215[[#This Row],[Data Source]])</f>
        <v/>
      </c>
      <c r="P272">
        <f t="array" ref="P272">IsURL(Table_121215[[#This Row],[DOI]])</f>
        <v/>
      </c>
      <c r="Q272">
        <f t="array" ref="Q272">IsURL(Table_121215[[#This Row],[Data Source]])</f>
        <v/>
      </c>
      <c r="R272">
        <f t="array" ref="R272">IsURL(Table_121215[[#This Row],[Data Source]])</f>
        <v/>
      </c>
    </row>
    <row r="273" ht="15.75" customHeight="1">
      <c r="A273">
        <f>IF(Table_19[[#This Row],[Part Name]]=0,"",Table_19[[#This Row],[Part Name]])</f>
        <v/>
      </c>
      <c r="K273">
        <f>LEN(TRIM(CLEAN(SUBSTITUTE(SUBSTITUTE(Table_19[[#This Row],[Sequence]],CHAR(160)," ")," ",""))))</f>
        <v/>
      </c>
      <c r="M273" s="21" t="n"/>
      <c r="N273" s="21">
        <f>IF($B273="","FALSE","TRUE")</f>
        <v/>
      </c>
      <c r="O273">
        <f t="array" ref="O273">IsURL(Table_121215[[#This Row],[Data Source]])</f>
        <v/>
      </c>
      <c r="P273">
        <f t="array" ref="P273">IsURL(Table_121215[[#This Row],[DOI]])</f>
        <v/>
      </c>
      <c r="Q273">
        <f t="array" ref="Q273">IsURL(Table_121215[[#This Row],[Data Source]])</f>
        <v/>
      </c>
      <c r="R273">
        <f t="array" ref="R273">IsURL(Table_121215[[#This Row],[Data Source]])</f>
        <v/>
      </c>
    </row>
    <row r="274" ht="15.75" customHeight="1">
      <c r="A274">
        <f>IF(Table_19[[#This Row],[Part Name]]=0,"",Table_19[[#This Row],[Part Name]])</f>
        <v/>
      </c>
      <c r="K274">
        <f>LEN(TRIM(CLEAN(SUBSTITUTE(SUBSTITUTE(Table_19[[#This Row],[Sequence]],CHAR(160)," ")," ",""))))</f>
        <v/>
      </c>
      <c r="M274" s="21" t="n"/>
      <c r="N274" s="21">
        <f>IF($B274="","FALSE","TRUE")</f>
        <v/>
      </c>
      <c r="O274">
        <f t="array" ref="O274">IsURL(Table_121215[[#This Row],[Data Source]])</f>
        <v/>
      </c>
      <c r="P274">
        <f t="array" ref="P274">IsURL(Table_121215[[#This Row],[DOI]])</f>
        <v/>
      </c>
      <c r="Q274">
        <f t="array" ref="Q274">IsURL(Table_121215[[#This Row],[Data Source]])</f>
        <v/>
      </c>
      <c r="R274">
        <f t="array" ref="R274">IsURL(Table_121215[[#This Row],[Data Source]])</f>
        <v/>
      </c>
    </row>
    <row r="275" ht="15.75" customHeight="1">
      <c r="A275">
        <f>IF(Table_19[[#This Row],[Part Name]]=0,"",Table_19[[#This Row],[Part Name]])</f>
        <v/>
      </c>
      <c r="K275">
        <f>LEN(TRIM(CLEAN(SUBSTITUTE(SUBSTITUTE(Table_19[[#This Row],[Sequence]],CHAR(160)," ")," ",""))))</f>
        <v/>
      </c>
      <c r="M275" s="21" t="n"/>
      <c r="N275" s="21">
        <f>IF($B275="","FALSE","TRUE")</f>
        <v/>
      </c>
      <c r="O275">
        <f t="array" ref="O275">IsURL(Table_121215[[#This Row],[Data Source]])</f>
        <v/>
      </c>
      <c r="P275">
        <f t="array" ref="P275">IsURL(Table_121215[[#This Row],[DOI]])</f>
        <v/>
      </c>
      <c r="Q275">
        <f t="array" ref="Q275">IsURL(Table_121215[[#This Row],[Data Source]])</f>
        <v/>
      </c>
      <c r="R275">
        <f t="array" ref="R275">IsURL(Table_121215[[#This Row],[Data Source]])</f>
        <v/>
      </c>
    </row>
    <row r="276" ht="15.75" customHeight="1">
      <c r="A276">
        <f>IF(Table_19[[#This Row],[Part Name]]=0,"",Table_19[[#This Row],[Part Name]])</f>
        <v/>
      </c>
      <c r="K276">
        <f>LEN(TRIM(CLEAN(SUBSTITUTE(SUBSTITUTE(Table_19[[#This Row],[Sequence]],CHAR(160)," ")," ",""))))</f>
        <v/>
      </c>
      <c r="M276" s="21" t="n"/>
      <c r="N276" s="21">
        <f>IF($B276="","FALSE","TRUE")</f>
        <v/>
      </c>
      <c r="O276">
        <f t="array" ref="O276">IsURL(Table_121215[[#This Row],[Data Source]])</f>
        <v/>
      </c>
      <c r="P276">
        <f t="array" ref="P276">IsURL(Table_121215[[#This Row],[DOI]])</f>
        <v/>
      </c>
      <c r="Q276">
        <f t="array" ref="Q276">IsURL(Table_121215[[#This Row],[Data Source]])</f>
        <v/>
      </c>
      <c r="R276">
        <f t="array" ref="R276">IsURL(Table_121215[[#This Row],[Data Source]])</f>
        <v/>
      </c>
    </row>
    <row r="277" ht="15.75" customHeight="1">
      <c r="A277">
        <f>IF(Table_19[[#This Row],[Part Name]]=0,"",Table_19[[#This Row],[Part Name]])</f>
        <v/>
      </c>
      <c r="K277">
        <f>LEN(TRIM(CLEAN(SUBSTITUTE(SUBSTITUTE(Table_19[[#This Row],[Sequence]],CHAR(160)," ")," ",""))))</f>
        <v/>
      </c>
      <c r="M277" s="21" t="n"/>
      <c r="N277" s="21">
        <f>IF($B277="","FALSE","TRUE")</f>
        <v/>
      </c>
      <c r="O277">
        <f t="array" ref="O277">IsURL(Table_121215[[#This Row],[Data Source]])</f>
        <v/>
      </c>
      <c r="P277">
        <f t="array" ref="P277">IsURL(Table_121215[[#This Row],[DOI]])</f>
        <v/>
      </c>
      <c r="Q277">
        <f t="array" ref="Q277">IsURL(Table_121215[[#This Row],[Data Source]])</f>
        <v/>
      </c>
      <c r="R277">
        <f t="array" ref="R277">IsURL(Table_121215[[#This Row],[Data Source]])</f>
        <v/>
      </c>
    </row>
    <row r="278" ht="15.75" customHeight="1">
      <c r="A278">
        <f>IF(Table_19[[#This Row],[Part Name]]=0,"",Table_19[[#This Row],[Part Name]])</f>
        <v/>
      </c>
      <c r="K278">
        <f>LEN(TRIM(CLEAN(SUBSTITUTE(SUBSTITUTE(Table_19[[#This Row],[Sequence]],CHAR(160)," ")," ",""))))</f>
        <v/>
      </c>
      <c r="M278" s="21" t="n"/>
      <c r="N278" s="21">
        <f>IF($B278="","FALSE","TRUE")</f>
        <v/>
      </c>
      <c r="O278">
        <f t="array" ref="O278">IsURL(Table_121215[[#This Row],[Data Source]])</f>
        <v/>
      </c>
      <c r="P278">
        <f t="array" ref="P278">IsURL(Table_121215[[#This Row],[DOI]])</f>
        <v/>
      </c>
      <c r="Q278">
        <f t="array" ref="Q278">IsURL(Table_121215[[#This Row],[Data Source]])</f>
        <v/>
      </c>
      <c r="R278">
        <f t="array" ref="R278">IsURL(Table_121215[[#This Row],[Data Source]])</f>
        <v/>
      </c>
    </row>
    <row r="279" ht="15.75" customHeight="1">
      <c r="A279">
        <f>IF(Table_19[[#This Row],[Part Name]]=0,"",Table_19[[#This Row],[Part Name]])</f>
        <v/>
      </c>
      <c r="K279">
        <f>LEN(TRIM(CLEAN(SUBSTITUTE(SUBSTITUTE(Table_19[[#This Row],[Sequence]],CHAR(160)," ")," ",""))))</f>
        <v/>
      </c>
      <c r="M279" s="21" t="n"/>
      <c r="N279" s="21">
        <f>IF($B279="","FALSE","TRUE")</f>
        <v/>
      </c>
      <c r="O279">
        <f t="array" ref="O279">IsURL(Table_121215[[#This Row],[Data Source]])</f>
        <v/>
      </c>
      <c r="P279">
        <f t="array" ref="P279">IsURL(Table_121215[[#This Row],[DOI]])</f>
        <v/>
      </c>
      <c r="Q279">
        <f t="array" ref="Q279">IsURL(Table_121215[[#This Row],[Data Source]])</f>
        <v/>
      </c>
      <c r="R279">
        <f t="array" ref="R279">IsURL(Table_121215[[#This Row],[Data Source]])</f>
        <v/>
      </c>
    </row>
    <row r="280" ht="15.75" customHeight="1">
      <c r="A280">
        <f>IF(Table_19[[#This Row],[Part Name]]=0,"",Table_19[[#This Row],[Part Name]])</f>
        <v/>
      </c>
      <c r="K280">
        <f>LEN(TRIM(CLEAN(SUBSTITUTE(SUBSTITUTE(Table_19[[#This Row],[Sequence]],CHAR(160)," ")," ",""))))</f>
        <v/>
      </c>
      <c r="M280" s="21" t="n"/>
      <c r="N280" s="21">
        <f>IF($B280="","FALSE","TRUE")</f>
        <v/>
      </c>
      <c r="O280">
        <f t="array" ref="O280">IsURL(Table_121215[[#This Row],[Data Source]])</f>
        <v/>
      </c>
      <c r="P280">
        <f t="array" ref="P280">IsURL(Table_121215[[#This Row],[DOI]])</f>
        <v/>
      </c>
      <c r="Q280">
        <f t="array" ref="Q280">IsURL(Table_121215[[#This Row],[Data Source]])</f>
        <v/>
      </c>
      <c r="R280">
        <f t="array" ref="R280">IsURL(Table_121215[[#This Row],[Data Source]])</f>
        <v/>
      </c>
    </row>
    <row r="281" ht="15.75" customHeight="1">
      <c r="A281">
        <f>IF(Table_19[[#This Row],[Part Name]]=0,"",Table_19[[#This Row],[Part Name]])</f>
        <v/>
      </c>
      <c r="K281">
        <f>LEN(TRIM(CLEAN(SUBSTITUTE(SUBSTITUTE(Table_19[[#This Row],[Sequence]],CHAR(160)," ")," ",""))))</f>
        <v/>
      </c>
      <c r="M281" s="21" t="n"/>
      <c r="N281" s="21">
        <f>IF($B281="","FALSE","TRUE")</f>
        <v/>
      </c>
      <c r="O281">
        <f t="array" ref="O281">IsURL(Table_121215[[#This Row],[Data Source]])</f>
        <v/>
      </c>
      <c r="P281">
        <f t="array" ref="P281">IsURL(Table_121215[[#This Row],[DOI]])</f>
        <v/>
      </c>
      <c r="Q281">
        <f t="array" ref="Q281">IsURL(Table_121215[[#This Row],[Data Source]])</f>
        <v/>
      </c>
      <c r="R281">
        <f t="array" ref="R281">IsURL(Table_121215[[#This Row],[Data Source]])</f>
        <v/>
      </c>
    </row>
    <row r="282" ht="15.75" customHeight="1">
      <c r="A282">
        <f>IF(Table_19[[#This Row],[Part Name]]=0,"",Table_19[[#This Row],[Part Name]])</f>
        <v/>
      </c>
      <c r="K282">
        <f>LEN(TRIM(CLEAN(SUBSTITUTE(SUBSTITUTE(Table_19[[#This Row],[Sequence]],CHAR(160)," ")," ",""))))</f>
        <v/>
      </c>
      <c r="M282" s="21" t="n"/>
      <c r="N282" s="21">
        <f>IF($B282="","FALSE","TRUE")</f>
        <v/>
      </c>
      <c r="O282">
        <f t="array" ref="O282">IsURL(Table_121215[[#This Row],[Data Source]])</f>
        <v/>
      </c>
      <c r="P282">
        <f t="array" ref="P282">IsURL(Table_121215[[#This Row],[DOI]])</f>
        <v/>
      </c>
      <c r="Q282">
        <f t="array" ref="Q282">IsURL(Table_121215[[#This Row],[Data Source]])</f>
        <v/>
      </c>
      <c r="R282">
        <f t="array" ref="R282">IsURL(Table_121215[[#This Row],[Data Source]])</f>
        <v/>
      </c>
    </row>
    <row r="283" ht="15.75" customHeight="1">
      <c r="A283">
        <f>IF(Table_19[[#This Row],[Part Name]]=0,"",Table_19[[#This Row],[Part Name]])</f>
        <v/>
      </c>
      <c r="K283">
        <f>LEN(TRIM(CLEAN(SUBSTITUTE(SUBSTITUTE(Table_19[[#This Row],[Sequence]],CHAR(160)," ")," ",""))))</f>
        <v/>
      </c>
      <c r="M283" s="21" t="n"/>
      <c r="N283" s="21">
        <f>IF($B283="","FALSE","TRUE")</f>
        <v/>
      </c>
      <c r="O283">
        <f t="array" ref="O283">IsURL(Table_121215[[#This Row],[Data Source]])</f>
        <v/>
      </c>
      <c r="P283">
        <f t="array" ref="P283">IsURL(Table_121215[[#This Row],[DOI]])</f>
        <v/>
      </c>
      <c r="Q283">
        <f t="array" ref="Q283">IsURL(Table_121215[[#This Row],[Data Source]])</f>
        <v/>
      </c>
      <c r="R283">
        <f t="array" ref="R283">IsURL(Table_121215[[#This Row],[Data Source]])</f>
        <v/>
      </c>
    </row>
    <row r="284" ht="15.75" customHeight="1">
      <c r="A284">
        <f>IF(Table_19[[#This Row],[Part Name]]=0,"",Table_19[[#This Row],[Part Name]])</f>
        <v/>
      </c>
      <c r="K284">
        <f>LEN(TRIM(CLEAN(SUBSTITUTE(SUBSTITUTE(Table_19[[#This Row],[Sequence]],CHAR(160)," ")," ",""))))</f>
        <v/>
      </c>
      <c r="M284" s="21" t="n"/>
      <c r="N284" s="21">
        <f>IF($B284="","FALSE","TRUE")</f>
        <v/>
      </c>
      <c r="O284">
        <f t="array" ref="O284">IsURL(Table_121215[[#This Row],[Data Source]])</f>
        <v/>
      </c>
      <c r="P284">
        <f t="array" ref="P284">IsURL(Table_121215[[#This Row],[DOI]])</f>
        <v/>
      </c>
      <c r="Q284">
        <f t="array" ref="Q284">IsURL(Table_121215[[#This Row],[Data Source]])</f>
        <v/>
      </c>
      <c r="R284">
        <f t="array" ref="R284">IsURL(Table_121215[[#This Row],[Data Source]])</f>
        <v/>
      </c>
    </row>
    <row r="285" ht="15.75" customHeight="1">
      <c r="A285">
        <f>IF(Table_19[[#This Row],[Part Name]]=0,"",Table_19[[#This Row],[Part Name]])</f>
        <v/>
      </c>
      <c r="K285">
        <f>LEN(TRIM(CLEAN(SUBSTITUTE(SUBSTITUTE(Table_19[[#This Row],[Sequence]],CHAR(160)," ")," ",""))))</f>
        <v/>
      </c>
      <c r="M285" s="21" t="n"/>
      <c r="N285" s="21">
        <f>IF($B285="","FALSE","TRUE")</f>
        <v/>
      </c>
      <c r="O285">
        <f t="array" ref="O285">IsURL(Table_121215[[#This Row],[Data Source]])</f>
        <v/>
      </c>
      <c r="P285">
        <f t="array" ref="P285">IsURL(Table_121215[[#This Row],[DOI]])</f>
        <v/>
      </c>
      <c r="Q285">
        <f t="array" ref="Q285">IsURL(Table_121215[[#This Row],[Data Source]])</f>
        <v/>
      </c>
      <c r="R285">
        <f t="array" ref="R285">IsURL(Table_121215[[#This Row],[Data Source]])</f>
        <v/>
      </c>
    </row>
    <row r="286" ht="15.75" customHeight="1">
      <c r="A286">
        <f>IF(Table_19[[#This Row],[Part Name]]=0,"",Table_19[[#This Row],[Part Name]])</f>
        <v/>
      </c>
      <c r="K286">
        <f>LEN(TRIM(CLEAN(SUBSTITUTE(SUBSTITUTE(Table_19[[#This Row],[Sequence]],CHAR(160)," ")," ",""))))</f>
        <v/>
      </c>
      <c r="M286" s="21" t="n"/>
      <c r="N286" s="21">
        <f>IF($B286="","FALSE","TRUE")</f>
        <v/>
      </c>
      <c r="O286">
        <f t="array" ref="O286">IsURL(Table_121215[[#This Row],[Data Source]])</f>
        <v/>
      </c>
      <c r="P286">
        <f t="array" ref="P286">IsURL(Table_121215[[#This Row],[DOI]])</f>
        <v/>
      </c>
      <c r="Q286">
        <f t="array" ref="Q286">IsURL(Table_121215[[#This Row],[Data Source]])</f>
        <v/>
      </c>
      <c r="R286">
        <f t="array" ref="R286">IsURL(Table_121215[[#This Row],[Data Source]])</f>
        <v/>
      </c>
    </row>
    <row r="287" ht="15.75" customHeight="1">
      <c r="A287">
        <f>IF(Table_19[[#This Row],[Part Name]]=0,"",Table_19[[#This Row],[Part Name]])</f>
        <v/>
      </c>
      <c r="K287">
        <f>LEN(TRIM(CLEAN(SUBSTITUTE(SUBSTITUTE(Table_19[[#This Row],[Sequence]],CHAR(160)," ")," ",""))))</f>
        <v/>
      </c>
      <c r="M287" s="21" t="n"/>
      <c r="N287" s="21">
        <f>IF($B287="","FALSE","TRUE")</f>
        <v/>
      </c>
      <c r="O287">
        <f t="array" ref="O287">IsURL(Table_121215[[#This Row],[Data Source]])</f>
        <v/>
      </c>
      <c r="P287">
        <f t="array" ref="P287">IsURL(Table_121215[[#This Row],[DOI]])</f>
        <v/>
      </c>
      <c r="Q287">
        <f t="array" ref="Q287">IsURL(Table_121215[[#This Row],[Data Source]])</f>
        <v/>
      </c>
      <c r="R287">
        <f t="array" ref="R287">IsURL(Table_121215[[#This Row],[Data Source]])</f>
        <v/>
      </c>
    </row>
    <row r="288" ht="15.75" customHeight="1">
      <c r="A288">
        <f>IF(Table_19[[#This Row],[Part Name]]=0,"",Table_19[[#This Row],[Part Name]])</f>
        <v/>
      </c>
      <c r="K288">
        <f>LEN(TRIM(CLEAN(SUBSTITUTE(SUBSTITUTE(Table_19[[#This Row],[Sequence]],CHAR(160)," ")," ",""))))</f>
        <v/>
      </c>
      <c r="M288" s="21" t="n"/>
      <c r="N288" s="21">
        <f>IF($B288="","FALSE","TRUE")</f>
        <v/>
      </c>
      <c r="O288">
        <f t="array" ref="O288">IsURL(Table_121215[[#This Row],[Data Source]])</f>
        <v/>
      </c>
      <c r="P288">
        <f t="array" ref="P288">IsURL(Table_121215[[#This Row],[DOI]])</f>
        <v/>
      </c>
      <c r="Q288">
        <f t="array" ref="Q288">IsURL(Table_121215[[#This Row],[Data Source]])</f>
        <v/>
      </c>
      <c r="R288">
        <f t="array" ref="R288">IsURL(Table_121215[[#This Row],[Data Source]])</f>
        <v/>
      </c>
    </row>
    <row r="289" ht="15.75" customHeight="1">
      <c r="A289">
        <f>IF(Table_19[[#This Row],[Part Name]]=0,"",Table_19[[#This Row],[Part Name]])</f>
        <v/>
      </c>
      <c r="K289">
        <f>LEN(TRIM(CLEAN(SUBSTITUTE(SUBSTITUTE(Table_19[[#This Row],[Sequence]],CHAR(160)," ")," ",""))))</f>
        <v/>
      </c>
      <c r="M289" s="21" t="n"/>
      <c r="N289" s="21">
        <f>IF($B289="","FALSE","TRUE")</f>
        <v/>
      </c>
      <c r="O289">
        <f t="array" ref="O289">IsURL(Table_121215[[#This Row],[Data Source]])</f>
        <v/>
      </c>
      <c r="P289">
        <f t="array" ref="P289">IsURL(Table_121215[[#This Row],[DOI]])</f>
        <v/>
      </c>
      <c r="Q289">
        <f t="array" ref="Q289">IsURL(Table_121215[[#This Row],[Data Source]])</f>
        <v/>
      </c>
      <c r="R289">
        <f t="array" ref="R289">IsURL(Table_121215[[#This Row],[Data Source]])</f>
        <v/>
      </c>
    </row>
    <row r="290" ht="15.75" customHeight="1">
      <c r="A290">
        <f>IF(Table_19[[#This Row],[Part Name]]=0,"",Table_19[[#This Row],[Part Name]])</f>
        <v/>
      </c>
      <c r="K290">
        <f>LEN(TRIM(CLEAN(SUBSTITUTE(SUBSTITUTE(Table_19[[#This Row],[Sequence]],CHAR(160)," ")," ",""))))</f>
        <v/>
      </c>
      <c r="M290" s="21" t="n"/>
      <c r="N290" s="21">
        <f>IF($B290="","FALSE","TRUE")</f>
        <v/>
      </c>
      <c r="O290">
        <f t="array" ref="O290">IsURL(Table_121215[[#This Row],[Data Source]])</f>
        <v/>
      </c>
      <c r="P290">
        <f t="array" ref="P290">IsURL(Table_121215[[#This Row],[DOI]])</f>
        <v/>
      </c>
      <c r="Q290">
        <f t="array" ref="Q290">IsURL(Table_121215[[#This Row],[Data Source]])</f>
        <v/>
      </c>
      <c r="R290">
        <f t="array" ref="R290">IsURL(Table_121215[[#This Row],[Data Source]])</f>
        <v/>
      </c>
    </row>
    <row r="291" ht="15.75" customHeight="1">
      <c r="A291">
        <f>IF(Table_19[[#This Row],[Part Name]]=0,"",Table_19[[#This Row],[Part Name]])</f>
        <v/>
      </c>
      <c r="K291">
        <f>LEN(TRIM(CLEAN(SUBSTITUTE(SUBSTITUTE(Table_19[[#This Row],[Sequence]],CHAR(160)," ")," ",""))))</f>
        <v/>
      </c>
      <c r="M291" s="21" t="n"/>
      <c r="N291" s="21">
        <f>IF($B291="","FALSE","TRUE")</f>
        <v/>
      </c>
      <c r="O291">
        <f t="array" ref="O291">IsURL(Table_121215[[#This Row],[Data Source]])</f>
        <v/>
      </c>
      <c r="P291">
        <f t="array" ref="P291">IsURL(Table_121215[[#This Row],[DOI]])</f>
        <v/>
      </c>
      <c r="Q291">
        <f t="array" ref="Q291">IsURL(Table_121215[[#This Row],[Data Source]])</f>
        <v/>
      </c>
      <c r="R291">
        <f t="array" ref="R291">IsURL(Table_121215[[#This Row],[Data Source]])</f>
        <v/>
      </c>
    </row>
    <row r="292" ht="15.75" customHeight="1">
      <c r="A292">
        <f>IF(Table_19[[#This Row],[Part Name]]=0,"",Table_19[[#This Row],[Part Name]])</f>
        <v/>
      </c>
      <c r="K292">
        <f>LEN(TRIM(CLEAN(SUBSTITUTE(SUBSTITUTE(Table_19[[#This Row],[Sequence]],CHAR(160)," ")," ",""))))</f>
        <v/>
      </c>
      <c r="M292" s="21" t="n"/>
      <c r="N292" s="21">
        <f>IF($B292="","FALSE","TRUE")</f>
        <v/>
      </c>
      <c r="O292">
        <f t="array" ref="O292">IsURL(Table_121215[[#This Row],[Data Source]])</f>
        <v/>
      </c>
      <c r="P292">
        <f t="array" ref="P292">IsURL(Table_121215[[#This Row],[DOI]])</f>
        <v/>
      </c>
      <c r="Q292">
        <f t="array" ref="Q292">IsURL(Table_121215[[#This Row],[Data Source]])</f>
        <v/>
      </c>
      <c r="R292">
        <f t="array" ref="R292">IsURL(Table_121215[[#This Row],[Data Source]])</f>
        <v/>
      </c>
    </row>
    <row r="293" ht="15.75" customHeight="1">
      <c r="A293">
        <f>IF(Table_19[[#This Row],[Part Name]]=0,"",Table_19[[#This Row],[Part Name]])</f>
        <v/>
      </c>
      <c r="K293">
        <f>LEN(TRIM(CLEAN(SUBSTITUTE(SUBSTITUTE(Table_19[[#This Row],[Sequence]],CHAR(160)," ")," ",""))))</f>
        <v/>
      </c>
      <c r="M293" s="21" t="n"/>
      <c r="N293" s="21">
        <f>IF($B293="","FALSE","TRUE")</f>
        <v/>
      </c>
      <c r="O293">
        <f t="array" ref="O293">IsURL(Table_121215[[#This Row],[Data Source]])</f>
        <v/>
      </c>
      <c r="P293">
        <f t="array" ref="P293">IsURL(Table_121215[[#This Row],[DOI]])</f>
        <v/>
      </c>
      <c r="Q293">
        <f t="array" ref="Q293">IsURL(Table_121215[[#This Row],[Data Source]])</f>
        <v/>
      </c>
      <c r="R293">
        <f t="array" ref="R293">IsURL(Table_121215[[#This Row],[Data Source]])</f>
        <v/>
      </c>
    </row>
    <row r="294" ht="15.75" customHeight="1">
      <c r="A294">
        <f>IF(Table_19[[#This Row],[Part Name]]=0,"",Table_19[[#This Row],[Part Name]])</f>
        <v/>
      </c>
      <c r="K294">
        <f>LEN(TRIM(CLEAN(SUBSTITUTE(SUBSTITUTE(Table_19[[#This Row],[Sequence]],CHAR(160)," ")," ",""))))</f>
        <v/>
      </c>
      <c r="M294" s="21" t="n"/>
      <c r="N294" s="21">
        <f>IF($B294="","FALSE","TRUE")</f>
        <v/>
      </c>
      <c r="O294">
        <f t="array" ref="O294">IsURL(Table_121215[[#This Row],[Data Source]])</f>
        <v/>
      </c>
      <c r="P294">
        <f t="array" ref="P294">IsURL(Table_121215[[#This Row],[DOI]])</f>
        <v/>
      </c>
      <c r="Q294">
        <f t="array" ref="Q294">IsURL(Table_121215[[#This Row],[Data Source]])</f>
        <v/>
      </c>
      <c r="R294">
        <f t="array" ref="R294">IsURL(Table_121215[[#This Row],[Data Source]])</f>
        <v/>
      </c>
    </row>
    <row r="295" ht="15.75" customHeight="1">
      <c r="A295">
        <f>IF(Table_19[[#This Row],[Part Name]]=0,"",Table_19[[#This Row],[Part Name]])</f>
        <v/>
      </c>
      <c r="K295">
        <f>LEN(TRIM(CLEAN(SUBSTITUTE(SUBSTITUTE(Table_19[[#This Row],[Sequence]],CHAR(160)," ")," ",""))))</f>
        <v/>
      </c>
      <c r="M295" s="21" t="n"/>
      <c r="N295" s="21">
        <f>IF($B295="","FALSE","TRUE")</f>
        <v/>
      </c>
      <c r="O295">
        <f t="array" ref="O295">IsURL(Table_121215[[#This Row],[Data Source]])</f>
        <v/>
      </c>
      <c r="P295">
        <f t="array" ref="P295">IsURL(Table_121215[[#This Row],[DOI]])</f>
        <v/>
      </c>
      <c r="Q295">
        <f t="array" ref="Q295">IsURL(Table_121215[[#This Row],[Data Source]])</f>
        <v/>
      </c>
      <c r="R295">
        <f t="array" ref="R295">IsURL(Table_121215[[#This Row],[Data Source]])</f>
        <v/>
      </c>
    </row>
    <row r="296" ht="15.75" customHeight="1">
      <c r="A296">
        <f>IF(Table_19[[#This Row],[Part Name]]=0,"",Table_19[[#This Row],[Part Name]])</f>
        <v/>
      </c>
      <c r="K296">
        <f>LEN(TRIM(CLEAN(SUBSTITUTE(SUBSTITUTE(Table_19[[#This Row],[Sequence]],CHAR(160)," ")," ",""))))</f>
        <v/>
      </c>
      <c r="M296" s="21" t="n"/>
      <c r="N296" s="21">
        <f>IF($B296="","FALSE","TRUE")</f>
        <v/>
      </c>
      <c r="O296">
        <f t="array" ref="O296">IsURL(Table_121215[[#This Row],[Data Source]])</f>
        <v/>
      </c>
      <c r="P296">
        <f t="array" ref="P296">IsURL(Table_121215[[#This Row],[DOI]])</f>
        <v/>
      </c>
      <c r="Q296">
        <f t="array" ref="Q296">IsURL(Table_121215[[#This Row],[Data Source]])</f>
        <v/>
      </c>
      <c r="R296">
        <f t="array" ref="R296">IsURL(Table_121215[[#This Row],[Data Source]])</f>
        <v/>
      </c>
    </row>
    <row r="297" ht="15.75" customHeight="1">
      <c r="A297">
        <f>IF(Table_19[[#This Row],[Part Name]]=0,"",Table_19[[#This Row],[Part Name]])</f>
        <v/>
      </c>
      <c r="K297">
        <f>LEN(TRIM(CLEAN(SUBSTITUTE(SUBSTITUTE(Table_19[[#This Row],[Sequence]],CHAR(160)," ")," ",""))))</f>
        <v/>
      </c>
      <c r="M297" s="21" t="n"/>
      <c r="N297" s="21">
        <f>IF($B297="","FALSE","TRUE")</f>
        <v/>
      </c>
      <c r="O297">
        <f t="array" ref="O297">IsURL(Table_121215[[#This Row],[Data Source]])</f>
        <v/>
      </c>
      <c r="P297">
        <f t="array" ref="P297">IsURL(Table_121215[[#This Row],[DOI]])</f>
        <v/>
      </c>
      <c r="Q297">
        <f t="array" ref="Q297">IsURL(Table_121215[[#This Row],[Data Source]])</f>
        <v/>
      </c>
      <c r="R297">
        <f t="array" ref="R297">IsURL(Table_121215[[#This Row],[Data Source]])</f>
        <v/>
      </c>
    </row>
    <row r="298" ht="15.75" customHeight="1">
      <c r="A298">
        <f>IF(Table_19[[#This Row],[Part Name]]=0,"",Table_19[[#This Row],[Part Name]])</f>
        <v/>
      </c>
      <c r="K298">
        <f>LEN(TRIM(CLEAN(SUBSTITUTE(SUBSTITUTE(Table_19[[#This Row],[Sequence]],CHAR(160)," ")," ",""))))</f>
        <v/>
      </c>
      <c r="M298" s="21" t="n"/>
      <c r="N298" s="21">
        <f>IF($B298="","FALSE","TRUE")</f>
        <v/>
      </c>
      <c r="O298">
        <f t="array" ref="O298">IsURL(Table_121215[[#This Row],[Data Source]])</f>
        <v/>
      </c>
      <c r="P298">
        <f t="array" ref="P298">IsURL(Table_121215[[#This Row],[DOI]])</f>
        <v/>
      </c>
      <c r="Q298">
        <f t="array" ref="Q298">IsURL(Table_121215[[#This Row],[Data Source]])</f>
        <v/>
      </c>
      <c r="R298">
        <f t="array" ref="R298">IsURL(Table_121215[[#This Row],[Data Source]])</f>
        <v/>
      </c>
    </row>
    <row r="299" ht="15.75" customHeight="1">
      <c r="A299">
        <f>IF(Table_19[[#This Row],[Part Name]]=0,"",Table_19[[#This Row],[Part Name]])</f>
        <v/>
      </c>
      <c r="K299">
        <f>LEN(TRIM(CLEAN(SUBSTITUTE(SUBSTITUTE(Table_19[[#This Row],[Sequence]],CHAR(160)," ")," ",""))))</f>
        <v/>
      </c>
      <c r="M299" s="21" t="n"/>
      <c r="N299" s="21">
        <f>IF($B299="","FALSE","TRUE")</f>
        <v/>
      </c>
      <c r="O299">
        <f t="array" ref="O299">IsURL(Table_121215[[#This Row],[Data Source]])</f>
        <v/>
      </c>
      <c r="P299">
        <f t="array" ref="P299">IsURL(Table_121215[[#This Row],[DOI]])</f>
        <v/>
      </c>
      <c r="Q299">
        <f t="array" ref="Q299">IsURL(Table_121215[[#This Row],[Data Source]])</f>
        <v/>
      </c>
      <c r="R299">
        <f t="array" ref="R299">IsURL(Table_121215[[#This Row],[Data Source]])</f>
        <v/>
      </c>
    </row>
    <row r="300" ht="15.75" customHeight="1">
      <c r="A300">
        <f>IF(Table_19[[#This Row],[Part Name]]=0,"",Table_19[[#This Row],[Part Name]])</f>
        <v/>
      </c>
      <c r="K300">
        <f>LEN(TRIM(CLEAN(SUBSTITUTE(SUBSTITUTE(Table_19[[#This Row],[Sequence]],CHAR(160)," ")," ",""))))</f>
        <v/>
      </c>
      <c r="M300" s="21" t="n"/>
      <c r="N300" s="21">
        <f>IF($B300="","FALSE","TRUE")</f>
        <v/>
      </c>
      <c r="O300">
        <f t="array" ref="O300">IsURL(Table_121215[[#This Row],[Data Source]])</f>
        <v/>
      </c>
      <c r="P300">
        <f t="array" ref="P300">IsURL(Table_121215[[#This Row],[DOI]])</f>
        <v/>
      </c>
      <c r="Q300">
        <f t="array" ref="Q300">IsURL(Table_121215[[#This Row],[Data Source]])</f>
        <v/>
      </c>
      <c r="R300">
        <f t="array" ref="R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sheetData>
  <conditionalFormatting sqref="B5:B300">
    <cfRule type="expression" priority="5" dxfId="6">
      <formula>ISBLANK(B5)</formula>
    </cfRule>
  </conditionalFormatting>
  <conditionalFormatting sqref="L5:L300">
    <cfRule type="duplicateValues" priority="3" dxfId="6"/>
  </conditionalFormatting>
  <dataValidations count="3">
    <dataValidation sqref="L1" showErrorMessage="1" showInputMessage="1" allowBlank="0" type="list">
      <formula1>"True,False"</formula1>
    </dataValidation>
    <dataValidation sqref="N5:N300" showErrorMessage="1" showInputMessage="1" allowBlank="0" type="list">
      <formula1>"TRUE, FALSE"</formula1>
    </dataValidation>
    <dataValidation sqref="E5:E7" showErrorMessage="1" showInputMessage="1" allowBlank="0" errorTitle="Invalid URL" error="The URL entered seems to be invalid, please check again." type="custom">
      <formula1>O5</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6.xml><?xml version="1.0" encoding="utf-8"?>
<worksheet xmlns="http://schemas.openxmlformats.org/spreadsheetml/2006/main">
  <sheetPr codeName="Sheet3">
    <outlinePr summaryBelow="0"/>
    <pageSetUpPr/>
  </sheetPr>
  <dimension ref="A3:P300"/>
  <sheetViews>
    <sheetView topLeftCell="B1" zoomScale="92" zoomScaleNormal="160" workbookViewId="0">
      <selection activeCell="M1" sqref="M1:P1048576"/>
    </sheetView>
  </sheetViews>
  <sheetFormatPr baseColWidth="10" defaultColWidth="8.6640625" defaultRowHeight="15"/>
  <cols>
    <col hidden="1" width="26.5" customWidth="1" min="1" max="1"/>
    <col width="12.6640625" bestFit="1" customWidth="1" min="2" max="2"/>
    <col width="23.6640625" bestFit="1" customWidth="1" min="3" max="3"/>
    <col width="17.83203125" bestFit="1" customWidth="1" min="4" max="4"/>
    <col width="14.33203125" customWidth="1" min="5" max="5"/>
    <col width="13" bestFit="1" customWidth="1" min="6" max="6"/>
    <col width="7" bestFit="1" customWidth="1" min="7" max="7"/>
    <col width="19.1640625" bestFit="1" customWidth="1" min="8" max="8"/>
    <col width="13.5" bestFit="1" customWidth="1" min="9" max="9"/>
    <col width="12.33203125" bestFit="1" customWidth="1" min="10" max="10"/>
    <col width="6.83203125" bestFit="1" customWidth="1" min="11" max="11"/>
    <col width="10" bestFit="1" customWidth="1" min="12" max="12"/>
    <col hidden="1" width="27.83203125" customWidth="1" min="13" max="13"/>
    <col hidden="1" width="20.33203125" customWidth="1" min="14" max="14"/>
    <col hidden="1" width="27.83203125" customWidth="1" min="15" max="16"/>
    <col width="8.5" bestFit="1" customWidth="1" min="17" max="29"/>
    <col width="12.5" bestFit="1" customWidth="1" min="30" max="30"/>
  </cols>
  <sheetData>
    <row r="1" ht="15.75" customHeight="1"/>
    <row r="2" ht="15.75" customHeight="1"/>
    <row r="3" ht="15.75" customHeight="1">
      <c r="A3" s="13" t="inlineStr">
        <is>
          <t>This ID is used to reference the rbss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Where is the genetic information coming from, e.g. gene taken from Aequorea victoria if available add in strain name too. This should match the scientific name for the txid in the next column</t>
        </is>
      </c>
      <c r="I3" t="inlineStr">
        <is>
          <t>Automatically calculated length of the sequence pasted to the right. Use this column for checking there are no paste errors.</t>
        </is>
      </c>
      <c r="J3" t="inlineStr">
        <is>
          <t>The series of ATGCs that make up the part. Spaces can be used within the sequence but no other characters.</t>
        </is>
      </c>
      <c r="M3" s="22" t="inlineStr">
        <is>
          <t>DO NOT CHANGE</t>
        </is>
      </c>
      <c r="N3" s="22" t="inlineStr">
        <is>
          <t>DO NOT CHANGE</t>
        </is>
      </c>
      <c r="O3" s="22" t="inlineStr">
        <is>
          <t>DO NOT CHANGE</t>
        </is>
      </c>
      <c r="P3" s="22" t="inlineStr">
        <is>
          <t>DO NOT CHANGE</t>
        </is>
      </c>
    </row>
    <row r="4" ht="15.75" customHeight="1">
      <c r="A4" t="inlineStr">
        <is>
          <t>Part ID</t>
        </is>
      </c>
      <c r="B4" t="inlineStr">
        <is>
          <t>Part Name</t>
        </is>
      </c>
      <c r="C4" t="inlineStr">
        <is>
          <t>Previous Version (URI)</t>
        </is>
      </c>
      <c r="D4" t="inlineStr">
        <is>
          <t>Part Description</t>
        </is>
      </c>
      <c r="E4" t="inlineStr">
        <is>
          <t>Data Source</t>
        </is>
      </c>
      <c r="F4" t="inlineStr">
        <is>
          <t>PubMed Id</t>
        </is>
      </c>
      <c r="G4" t="inlineStr">
        <is>
          <t>DOI</t>
        </is>
      </c>
      <c r="H4" t="inlineStr">
        <is>
          <t>Source Organism</t>
        </is>
      </c>
      <c r="I4" t="inlineStr">
        <is>
          <t>length (bp)</t>
        </is>
      </c>
      <c r="J4" t="inlineStr">
        <is>
          <t>Sequence</t>
        </is>
      </c>
      <c r="K4" s="20" t="inlineStr">
        <is>
          <t>URI</t>
        </is>
      </c>
      <c r="L4" s="20" t="inlineStr">
        <is>
          <t>Update</t>
        </is>
      </c>
      <c r="M4" s="23" t="inlineStr">
        <is>
          <t>URL Checker - Data Source</t>
        </is>
      </c>
      <c r="N4" s="24" t="inlineStr">
        <is>
          <t>URL Checker - DOI</t>
        </is>
      </c>
      <c r="O4" s="23" t="inlineStr">
        <is>
          <t>URL Checker - Previous Version</t>
        </is>
      </c>
      <c r="P4" s="23" t="inlineStr">
        <is>
          <t>URL Checker - URI</t>
        </is>
      </c>
    </row>
    <row r="5" ht="15.75" customHeight="1">
      <c r="A5">
        <f>IF(Table_18[[#This Row],[Part Name]]=0,"",Table_18[[#This Row],[Part Name]])</f>
        <v/>
      </c>
      <c r="I5">
        <f>LEN(TRIM(CLEAN(SUBSTITUTE(SUBSTITUTE(Table_18[[#This Row],[Sequence]],CHAR(160)," ")," ",""))))</f>
        <v/>
      </c>
      <c r="J5" s="17" t="n"/>
      <c r="K5" s="21" t="n"/>
      <c r="L5" s="21">
        <f>IF($B5="","FALSE","TRUE")</f>
        <v/>
      </c>
      <c r="M5">
        <f t="array" ref="M5">IsURL(Table_121215[[#This Row],[Data Source]])</f>
        <v/>
      </c>
      <c r="N5">
        <f t="array" ref="N5">IsURL(Table_121215[[#This Row],[DOI]])</f>
        <v/>
      </c>
      <c r="O5">
        <f t="array" ref="O5">IsURL(Table_121215[[#This Row],[Data Source]])</f>
        <v/>
      </c>
      <c r="P5">
        <f t="array" ref="P5">IsURL(Table_121215[[#This Row],[Data Source]])</f>
        <v/>
      </c>
    </row>
    <row r="6" ht="15.75" customHeight="1">
      <c r="A6">
        <f>IF(Table_18[[#This Row],[Part Name]]=0,"",Table_18[[#This Row],[Part Name]])</f>
        <v/>
      </c>
      <c r="I6">
        <f>LEN(TRIM(CLEAN(SUBSTITUTE(SUBSTITUTE(Table_18[[#This Row],[Sequence]],CHAR(160)," ")," ",""))))</f>
        <v/>
      </c>
      <c r="J6" s="17" t="n"/>
      <c r="K6" s="21" t="n"/>
      <c r="L6" s="21">
        <f>IF($B6="","FALSE","TRUE")</f>
        <v/>
      </c>
      <c r="M6">
        <f t="array" ref="M6">IsURL(Table_121215[[#This Row],[Data Source]])</f>
        <v/>
      </c>
      <c r="N6">
        <f t="array" ref="N6">IsURL(Table_121215[[#This Row],[DOI]])</f>
        <v/>
      </c>
      <c r="O6">
        <f t="array" ref="O6">IsURL(Table_121215[[#This Row],[Data Source]])</f>
        <v/>
      </c>
      <c r="P6">
        <f t="array" ref="P6">IsURL(Table_121215[[#This Row],[Data Source]])</f>
        <v/>
      </c>
    </row>
    <row r="7" ht="15.75" customHeight="1">
      <c r="A7">
        <f>IF(Table_18[[#This Row],[Part Name]]=0,"",Table_18[[#This Row],[Part Name]])</f>
        <v/>
      </c>
      <c r="I7">
        <f>LEN(TRIM(CLEAN(SUBSTITUTE(SUBSTITUTE(Table_18[[#This Row],[Sequence]],CHAR(160)," ")," ",""))))</f>
        <v/>
      </c>
      <c r="J7" s="17" t="n"/>
      <c r="K7" s="21" t="n"/>
      <c r="L7" s="21">
        <f>IF($B7="","FALSE","TRUE")</f>
        <v/>
      </c>
      <c r="M7">
        <f t="array" ref="M7">IsURL(Table_121215[[#This Row],[Data Source]])</f>
        <v/>
      </c>
      <c r="N7">
        <f t="array" ref="N7">IsURL(Table_121215[[#This Row],[DOI]])</f>
        <v/>
      </c>
      <c r="O7">
        <f t="array" ref="O7">IsURL(Table_121215[[#This Row],[Data Source]])</f>
        <v/>
      </c>
      <c r="P7">
        <f t="array" ref="P7">IsURL(Table_121215[[#This Row],[Data Source]])</f>
        <v/>
      </c>
    </row>
    <row r="8" ht="15.75" customHeight="1">
      <c r="A8">
        <f>IF(Table_18[[#This Row],[Part Name]]=0,"",Table_18[[#This Row],[Part Name]])</f>
        <v/>
      </c>
      <c r="I8">
        <f>LEN(TRIM(CLEAN(SUBSTITUTE(SUBSTITUTE(Table_18[[#This Row],[Sequence]],CHAR(160)," ")," ",""))))</f>
        <v/>
      </c>
      <c r="J8" s="17" t="n"/>
      <c r="K8" s="21" t="n"/>
      <c r="L8" s="21">
        <f>IF($B8="","FALSE","TRUE")</f>
        <v/>
      </c>
      <c r="M8">
        <f t="array" ref="M8">IsURL(Table_121215[[#This Row],[Data Source]])</f>
        <v/>
      </c>
      <c r="N8">
        <f t="array" ref="N8">IsURL(Table_121215[[#This Row],[DOI]])</f>
        <v/>
      </c>
      <c r="O8">
        <f t="array" ref="O8">IsURL(Table_121215[[#This Row],[Data Source]])</f>
        <v/>
      </c>
      <c r="P8">
        <f t="array" ref="P8">IsURL(Table_121215[[#This Row],[Data Source]])</f>
        <v/>
      </c>
    </row>
    <row r="9" ht="15.75" customHeight="1">
      <c r="A9">
        <f>IF(Table_18[[#This Row],[Part Name]]=0,"",Table_18[[#This Row],[Part Name]])</f>
        <v/>
      </c>
      <c r="I9">
        <f>LEN(TRIM(CLEAN(SUBSTITUTE(SUBSTITUTE(Table_18[[#This Row],[Sequence]],CHAR(160)," ")," ",""))))</f>
        <v/>
      </c>
      <c r="J9" s="17" t="n"/>
      <c r="K9" s="21" t="n"/>
      <c r="L9" s="21">
        <f>IF($B9="","FALSE","TRUE")</f>
        <v/>
      </c>
      <c r="M9">
        <f t="array" ref="M9">IsURL(Table_121215[[#This Row],[Data Source]])</f>
        <v/>
      </c>
      <c r="N9">
        <f t="array" ref="N9">IsURL(Table_121215[[#This Row],[DOI]])</f>
        <v/>
      </c>
      <c r="O9">
        <f t="array" ref="O9">IsURL(Table_121215[[#This Row],[Data Source]])</f>
        <v/>
      </c>
      <c r="P9">
        <f t="array" ref="P9">IsURL(Table_121215[[#This Row],[Data Source]])</f>
        <v/>
      </c>
    </row>
    <row r="10" ht="15.75" customHeight="1">
      <c r="A10">
        <f>IF(Table_18[[#This Row],[Part Name]]=0,"",Table_18[[#This Row],[Part Name]])</f>
        <v/>
      </c>
      <c r="I10">
        <f>LEN(TRIM(CLEAN(SUBSTITUTE(SUBSTITUTE(Table_18[[#This Row],[Sequence]],CHAR(160)," ")," ",""))))</f>
        <v/>
      </c>
      <c r="J10" s="17" t="n"/>
      <c r="K10" s="21" t="n"/>
      <c r="L10" s="21">
        <f>IF($B10="","FALSE","TRUE")</f>
        <v/>
      </c>
      <c r="M10">
        <f t="array" ref="M10">IsURL(Table_121215[[#This Row],[Data Source]])</f>
        <v/>
      </c>
      <c r="N10">
        <f t="array" ref="N10">IsURL(Table_121215[[#This Row],[DOI]])</f>
        <v/>
      </c>
      <c r="O10">
        <f t="array" ref="O10">IsURL(Table_121215[[#This Row],[Data Source]])</f>
        <v/>
      </c>
      <c r="P10">
        <f t="array" ref="P10">IsURL(Table_121215[[#This Row],[Data Source]])</f>
        <v/>
      </c>
    </row>
    <row r="11" ht="15.75" customHeight="1">
      <c r="A11">
        <f>IF(Table_18[[#This Row],[Part Name]]=0,"",Table_18[[#This Row],[Part Name]])</f>
        <v/>
      </c>
      <c r="I11">
        <f>LEN(TRIM(CLEAN(SUBSTITUTE(SUBSTITUTE(Table_18[[#This Row],[Sequence]],CHAR(160)," ")," ",""))))</f>
        <v/>
      </c>
      <c r="J11" s="17" t="n"/>
      <c r="K11" s="21" t="n"/>
      <c r="L11" s="21">
        <f>IF($B11="","FALSE","TRUE")</f>
        <v/>
      </c>
      <c r="M11">
        <f t="array" ref="M11">IsURL(Table_121215[[#This Row],[Data Source]])</f>
        <v/>
      </c>
      <c r="N11">
        <f t="array" ref="N11">IsURL(Table_121215[[#This Row],[DOI]])</f>
        <v/>
      </c>
      <c r="O11">
        <f t="array" ref="O11">IsURL(Table_121215[[#This Row],[Data Source]])</f>
        <v/>
      </c>
      <c r="P11">
        <f t="array" ref="P11">IsURL(Table_121215[[#This Row],[Data Source]])</f>
        <v/>
      </c>
    </row>
    <row r="12" ht="15.75" customHeight="1">
      <c r="A12">
        <f>IF(Table_18[[#This Row],[Part Name]]=0,"",Table_18[[#This Row],[Part Name]])</f>
        <v/>
      </c>
      <c r="I12">
        <f>LEN(TRIM(CLEAN(SUBSTITUTE(SUBSTITUTE(Table_18[[#This Row],[Sequence]],CHAR(160)," ")," ",""))))</f>
        <v/>
      </c>
      <c r="J12" s="17" t="n"/>
      <c r="K12" s="21" t="n"/>
      <c r="L12" s="21">
        <f>IF($B12="","FALSE","TRUE")</f>
        <v/>
      </c>
      <c r="M12">
        <f t="array" ref="M12">IsURL(Table_121215[[#This Row],[Data Source]])</f>
        <v/>
      </c>
      <c r="N12">
        <f t="array" ref="N12">IsURL(Table_121215[[#This Row],[DOI]])</f>
        <v/>
      </c>
      <c r="O12">
        <f t="array" ref="O12">IsURL(Table_121215[[#This Row],[Data Source]])</f>
        <v/>
      </c>
      <c r="P12">
        <f t="array" ref="P12">IsURL(Table_121215[[#This Row],[Data Source]])</f>
        <v/>
      </c>
    </row>
    <row r="13" ht="15.75" customHeight="1">
      <c r="A13">
        <f>IF(Table_18[[#This Row],[Part Name]]=0,"",Table_18[[#This Row],[Part Name]])</f>
        <v/>
      </c>
      <c r="I13">
        <f>LEN(TRIM(CLEAN(SUBSTITUTE(SUBSTITUTE(Table_18[[#This Row],[Sequence]],CHAR(160)," ")," ",""))))</f>
        <v/>
      </c>
      <c r="J13" s="17" t="n"/>
      <c r="K13" s="21" t="n"/>
      <c r="L13" s="21">
        <f>IF($B13="","FALSE","TRUE")</f>
        <v/>
      </c>
      <c r="M13">
        <f t="array" ref="M13">IsURL(Table_121215[[#This Row],[Data Source]])</f>
        <v/>
      </c>
      <c r="N13">
        <f t="array" ref="N13">IsURL(Table_121215[[#This Row],[DOI]])</f>
        <v/>
      </c>
      <c r="O13">
        <f t="array" ref="O13">IsURL(Table_121215[[#This Row],[Data Source]])</f>
        <v/>
      </c>
      <c r="P13">
        <f t="array" ref="P13">IsURL(Table_121215[[#This Row],[Data Source]])</f>
        <v/>
      </c>
    </row>
    <row r="14" ht="15.75" customHeight="1">
      <c r="A14">
        <f>IF(Table_18[[#This Row],[Part Name]]=0,"",Table_18[[#This Row],[Part Name]])</f>
        <v/>
      </c>
      <c r="I14">
        <f>LEN(TRIM(CLEAN(SUBSTITUTE(SUBSTITUTE(Table_18[[#This Row],[Sequence]],CHAR(160)," ")," ",""))))</f>
        <v/>
      </c>
      <c r="J14" s="17" t="n"/>
      <c r="K14" s="21" t="n"/>
      <c r="L14" s="21">
        <f>IF($B14="","FALSE","TRUE")</f>
        <v/>
      </c>
      <c r="M14">
        <f t="array" ref="M14">IsURL(Table_121215[[#This Row],[Data Source]])</f>
        <v/>
      </c>
      <c r="N14">
        <f t="array" ref="N14">IsURL(Table_121215[[#This Row],[DOI]])</f>
        <v/>
      </c>
      <c r="O14">
        <f t="array" ref="O14">IsURL(Table_121215[[#This Row],[Data Source]])</f>
        <v/>
      </c>
      <c r="P14">
        <f t="array" ref="P14">IsURL(Table_121215[[#This Row],[Data Source]])</f>
        <v/>
      </c>
    </row>
    <row r="15" ht="15.75" customHeight="1">
      <c r="A15">
        <f>IF(Table_18[[#This Row],[Part Name]]=0,"",Table_18[[#This Row],[Part Name]])</f>
        <v/>
      </c>
      <c r="I15">
        <f>LEN(TRIM(CLEAN(SUBSTITUTE(SUBSTITUTE(Table_18[[#This Row],[Sequence]],CHAR(160)," ")," ",""))))</f>
        <v/>
      </c>
      <c r="J15" s="17" t="n"/>
      <c r="K15" s="21" t="n"/>
      <c r="L15" s="21">
        <f>IF($B15="","FALSE","TRUE")</f>
        <v/>
      </c>
      <c r="M15">
        <f t="array" ref="M15">IsURL(Table_121215[[#This Row],[Data Source]])</f>
        <v/>
      </c>
      <c r="N15">
        <f t="array" ref="N15">IsURL(Table_121215[[#This Row],[DOI]])</f>
        <v/>
      </c>
      <c r="O15">
        <f t="array" ref="O15">IsURL(Table_121215[[#This Row],[Data Source]])</f>
        <v/>
      </c>
      <c r="P15">
        <f t="array" ref="P15">IsURL(Table_121215[[#This Row],[Data Source]])</f>
        <v/>
      </c>
    </row>
    <row r="16" ht="15.75" customHeight="1">
      <c r="A16">
        <f>IF(Table_18[[#This Row],[Part Name]]=0,"",Table_18[[#This Row],[Part Name]])</f>
        <v/>
      </c>
      <c r="I16">
        <f>LEN(TRIM(CLEAN(SUBSTITUTE(SUBSTITUTE(Table_18[[#This Row],[Sequence]],CHAR(160)," ")," ",""))))</f>
        <v/>
      </c>
      <c r="J16" s="17" t="n"/>
      <c r="K16" s="21" t="n"/>
      <c r="L16" s="21">
        <f>IF($B16="","FALSE","TRUE")</f>
        <v/>
      </c>
      <c r="M16">
        <f t="array" ref="M16">IsURL(Table_121215[[#This Row],[Data Source]])</f>
        <v/>
      </c>
      <c r="N16">
        <f t="array" ref="N16">IsURL(Table_121215[[#This Row],[DOI]])</f>
        <v/>
      </c>
      <c r="O16">
        <f t="array" ref="O16">IsURL(Table_121215[[#This Row],[Data Source]])</f>
        <v/>
      </c>
      <c r="P16">
        <f t="array" ref="P16">IsURL(Table_121215[[#This Row],[Data Source]])</f>
        <v/>
      </c>
    </row>
    <row r="17" ht="15.75" customHeight="1">
      <c r="A17">
        <f>IF(Table_18[[#This Row],[Part Name]]=0,"",Table_18[[#This Row],[Part Name]])</f>
        <v/>
      </c>
      <c r="I17">
        <f>LEN(TRIM(CLEAN(SUBSTITUTE(SUBSTITUTE(Table_18[[#This Row],[Sequence]],CHAR(160)," ")," ",""))))</f>
        <v/>
      </c>
      <c r="J17" s="17" t="n"/>
      <c r="K17" s="21" t="n"/>
      <c r="L17" s="21">
        <f>IF($B17="","FALSE","TRUE")</f>
        <v/>
      </c>
      <c r="M17">
        <f t="array" ref="M17">IsURL(Table_121215[[#This Row],[Data Source]])</f>
        <v/>
      </c>
      <c r="N17">
        <f t="array" ref="N17">IsURL(Table_121215[[#This Row],[DOI]])</f>
        <v/>
      </c>
      <c r="O17">
        <f t="array" ref="O17">IsURL(Table_121215[[#This Row],[Data Source]])</f>
        <v/>
      </c>
      <c r="P17">
        <f t="array" ref="P17">IsURL(Table_121215[[#This Row],[Data Source]])</f>
        <v/>
      </c>
    </row>
    <row r="18" ht="15.75" customHeight="1">
      <c r="A18">
        <f>IF(Table_18[[#This Row],[Part Name]]=0,"",Table_18[[#This Row],[Part Name]])</f>
        <v/>
      </c>
      <c r="I18">
        <f>LEN(TRIM(CLEAN(SUBSTITUTE(SUBSTITUTE(Table_18[[#This Row],[Sequence]],CHAR(160)," ")," ",""))))</f>
        <v/>
      </c>
      <c r="J18" s="17" t="n"/>
      <c r="K18" s="21" t="n"/>
      <c r="L18" s="21">
        <f>IF($B18="","FALSE","TRUE")</f>
        <v/>
      </c>
      <c r="M18">
        <f t="array" ref="M18">IsURL(Table_121215[[#This Row],[Data Source]])</f>
        <v/>
      </c>
      <c r="N18">
        <f t="array" ref="N18">IsURL(Table_121215[[#This Row],[DOI]])</f>
        <v/>
      </c>
      <c r="O18">
        <f t="array" ref="O18">IsURL(Table_121215[[#This Row],[Data Source]])</f>
        <v/>
      </c>
      <c r="P18">
        <f t="array" ref="P18">IsURL(Table_121215[[#This Row],[Data Source]])</f>
        <v/>
      </c>
    </row>
    <row r="19" ht="15.75" customHeight="1">
      <c r="A19">
        <f>IF(Table_18[[#This Row],[Part Name]]=0,"",Table_18[[#This Row],[Part Name]])</f>
        <v/>
      </c>
      <c r="I19">
        <f>LEN(TRIM(CLEAN(SUBSTITUTE(SUBSTITUTE(Table_18[[#This Row],[Sequence]],CHAR(160)," ")," ",""))))</f>
        <v/>
      </c>
      <c r="J19" s="17" t="n"/>
      <c r="K19" s="21" t="n"/>
      <c r="L19" s="21">
        <f>IF($B19="","FALSE","TRUE")</f>
        <v/>
      </c>
      <c r="M19">
        <f t="array" ref="M19">IsURL(Table_121215[[#This Row],[Data Source]])</f>
        <v/>
      </c>
      <c r="N19">
        <f t="array" ref="N19">IsURL(Table_121215[[#This Row],[DOI]])</f>
        <v/>
      </c>
      <c r="O19">
        <f t="array" ref="O19">IsURL(Table_121215[[#This Row],[Data Source]])</f>
        <v/>
      </c>
      <c r="P19">
        <f t="array" ref="P19">IsURL(Table_121215[[#This Row],[Data Source]])</f>
        <v/>
      </c>
    </row>
    <row r="20" ht="15.75" customHeight="1">
      <c r="A20">
        <f>IF(Table_18[[#This Row],[Part Name]]=0,"",Table_18[[#This Row],[Part Name]])</f>
        <v/>
      </c>
      <c r="I20">
        <f>LEN(TRIM(CLEAN(SUBSTITUTE(SUBSTITUTE(Table_18[[#This Row],[Sequence]],CHAR(160)," ")," ",""))))</f>
        <v/>
      </c>
      <c r="J20" s="17" t="n"/>
      <c r="K20" s="21" t="n"/>
      <c r="L20" s="21">
        <f>IF($B20="","FALSE","TRUE")</f>
        <v/>
      </c>
      <c r="M20">
        <f t="array" ref="M20">IsURL(Table_121215[[#This Row],[Data Source]])</f>
        <v/>
      </c>
      <c r="N20">
        <f t="array" ref="N20">IsURL(Table_121215[[#This Row],[DOI]])</f>
        <v/>
      </c>
      <c r="O20">
        <f t="array" ref="O20">IsURL(Table_121215[[#This Row],[Data Source]])</f>
        <v/>
      </c>
      <c r="P20">
        <f t="array" ref="P20">IsURL(Table_121215[[#This Row],[Data Source]])</f>
        <v/>
      </c>
    </row>
    <row r="21" ht="15.75" customHeight="1">
      <c r="A21">
        <f>IF(Table_18[[#This Row],[Part Name]]=0,"",Table_18[[#This Row],[Part Name]])</f>
        <v/>
      </c>
      <c r="I21">
        <f>LEN(TRIM(CLEAN(SUBSTITUTE(SUBSTITUTE(Table_18[[#This Row],[Sequence]],CHAR(160)," ")," ",""))))</f>
        <v/>
      </c>
      <c r="J21" s="17" t="n"/>
      <c r="K21" s="21" t="n"/>
      <c r="L21" s="21">
        <f>IF($B21="","FALSE","TRUE")</f>
        <v/>
      </c>
      <c r="M21">
        <f t="array" ref="M21">IsURL(Table_121215[[#This Row],[Data Source]])</f>
        <v/>
      </c>
      <c r="N21">
        <f t="array" ref="N21">IsURL(Table_121215[[#This Row],[DOI]])</f>
        <v/>
      </c>
      <c r="O21">
        <f t="array" ref="O21">IsURL(Table_121215[[#This Row],[Data Source]])</f>
        <v/>
      </c>
      <c r="P21">
        <f t="array" ref="P21">IsURL(Table_121215[[#This Row],[Data Source]])</f>
        <v/>
      </c>
    </row>
    <row r="22" ht="15.75" customHeight="1">
      <c r="A22">
        <f>IF(Table_18[[#This Row],[Part Name]]=0,"",Table_18[[#This Row],[Part Name]])</f>
        <v/>
      </c>
      <c r="I22">
        <f>LEN(TRIM(CLEAN(SUBSTITUTE(SUBSTITUTE(Table_18[[#This Row],[Sequence]],CHAR(160)," ")," ",""))))</f>
        <v/>
      </c>
      <c r="J22" s="17" t="n"/>
      <c r="K22" s="21" t="n"/>
      <c r="L22" s="21">
        <f>IF($B22="","FALSE","TRUE")</f>
        <v/>
      </c>
      <c r="M22">
        <f t="array" ref="M22">IsURL(Table_121215[[#This Row],[Data Source]])</f>
        <v/>
      </c>
      <c r="N22">
        <f t="array" ref="N22">IsURL(Table_121215[[#This Row],[DOI]])</f>
        <v/>
      </c>
      <c r="O22">
        <f t="array" ref="O22">IsURL(Table_121215[[#This Row],[Data Source]])</f>
        <v/>
      </c>
      <c r="P22">
        <f t="array" ref="P22">IsURL(Table_121215[[#This Row],[Data Source]])</f>
        <v/>
      </c>
    </row>
    <row r="23" ht="15.75" customHeight="1">
      <c r="A23">
        <f>IF(Table_18[[#This Row],[Part Name]]=0,"",Table_18[[#This Row],[Part Name]])</f>
        <v/>
      </c>
      <c r="I23">
        <f>LEN(TRIM(CLEAN(SUBSTITUTE(SUBSTITUTE(Table_18[[#This Row],[Sequence]],CHAR(160)," ")," ",""))))</f>
        <v/>
      </c>
      <c r="J23" s="17" t="n"/>
      <c r="K23" s="21" t="n"/>
      <c r="L23" s="21">
        <f>IF($B23="","FALSE","TRUE")</f>
        <v/>
      </c>
      <c r="M23">
        <f t="array" ref="M23">IsURL(Table_121215[[#This Row],[Data Source]])</f>
        <v/>
      </c>
      <c r="N23">
        <f t="array" ref="N23">IsURL(Table_121215[[#This Row],[DOI]])</f>
        <v/>
      </c>
      <c r="O23">
        <f t="array" ref="O23">IsURL(Table_121215[[#This Row],[Data Source]])</f>
        <v/>
      </c>
      <c r="P23">
        <f t="array" ref="P23">IsURL(Table_121215[[#This Row],[Data Source]])</f>
        <v/>
      </c>
    </row>
    <row r="24" ht="15.75" customHeight="1">
      <c r="A24">
        <f>IF(Table_18[[#This Row],[Part Name]]=0,"",Table_18[[#This Row],[Part Name]])</f>
        <v/>
      </c>
      <c r="I24">
        <f>LEN(TRIM(CLEAN(SUBSTITUTE(SUBSTITUTE(Table_18[[#This Row],[Sequence]],CHAR(160)," ")," ",""))))</f>
        <v/>
      </c>
      <c r="J24" s="17" t="n"/>
      <c r="K24" s="21" t="n"/>
      <c r="L24" s="21">
        <f>IF($B24="","FALSE","TRUE")</f>
        <v/>
      </c>
      <c r="M24">
        <f t="array" ref="M24">IsURL(Table_121215[[#This Row],[Data Source]])</f>
        <v/>
      </c>
      <c r="N24">
        <f t="array" ref="N24">IsURL(Table_121215[[#This Row],[DOI]])</f>
        <v/>
      </c>
      <c r="O24">
        <f t="array" ref="O24">IsURL(Table_121215[[#This Row],[Data Source]])</f>
        <v/>
      </c>
      <c r="P24">
        <f t="array" ref="P24">IsURL(Table_121215[[#This Row],[Data Source]])</f>
        <v/>
      </c>
    </row>
    <row r="25" ht="15.75" customHeight="1">
      <c r="A25">
        <f>IF(Table_18[[#This Row],[Part Name]]=0,"",Table_18[[#This Row],[Part Name]])</f>
        <v/>
      </c>
      <c r="I25">
        <f>LEN(TRIM(CLEAN(SUBSTITUTE(SUBSTITUTE(Table_18[[#This Row],[Sequence]],CHAR(160)," ")," ",""))))</f>
        <v/>
      </c>
      <c r="J25" s="17" t="n"/>
      <c r="K25" s="21" t="n"/>
      <c r="L25" s="21">
        <f>IF($B25="","FALSE","TRUE")</f>
        <v/>
      </c>
      <c r="M25">
        <f t="array" ref="M25">IsURL(Table_121215[[#This Row],[Data Source]])</f>
        <v/>
      </c>
      <c r="N25">
        <f t="array" ref="N25">IsURL(Table_121215[[#This Row],[DOI]])</f>
        <v/>
      </c>
      <c r="O25">
        <f t="array" ref="O25">IsURL(Table_121215[[#This Row],[Data Source]])</f>
        <v/>
      </c>
      <c r="P25">
        <f t="array" ref="P25">IsURL(Table_121215[[#This Row],[Data Source]])</f>
        <v/>
      </c>
    </row>
    <row r="26" ht="15.75" customHeight="1">
      <c r="A26">
        <f>IF(Table_18[[#This Row],[Part Name]]=0,"",Table_18[[#This Row],[Part Name]])</f>
        <v/>
      </c>
      <c r="I26">
        <f>LEN(TRIM(CLEAN(SUBSTITUTE(SUBSTITUTE(Table_18[[#This Row],[Sequence]],CHAR(160)," ")," ",""))))</f>
        <v/>
      </c>
      <c r="J26" s="17" t="n"/>
      <c r="K26" s="21" t="n"/>
      <c r="L26" s="21">
        <f>IF($B26="","FALSE","TRUE")</f>
        <v/>
      </c>
      <c r="M26">
        <f t="array" ref="M26">IsURL(Table_121215[[#This Row],[Data Source]])</f>
        <v/>
      </c>
      <c r="N26">
        <f t="array" ref="N26">IsURL(Table_121215[[#This Row],[DOI]])</f>
        <v/>
      </c>
      <c r="O26">
        <f t="array" ref="O26">IsURL(Table_121215[[#This Row],[Data Source]])</f>
        <v/>
      </c>
      <c r="P26">
        <f t="array" ref="P26">IsURL(Table_121215[[#This Row],[Data Source]])</f>
        <v/>
      </c>
    </row>
    <row r="27" ht="15.75" customHeight="1">
      <c r="A27">
        <f>IF(Table_18[[#This Row],[Part Name]]=0,"",Table_18[[#This Row],[Part Name]])</f>
        <v/>
      </c>
      <c r="I27">
        <f>LEN(TRIM(CLEAN(SUBSTITUTE(SUBSTITUTE(Table_18[[#This Row],[Sequence]],CHAR(160)," ")," ",""))))</f>
        <v/>
      </c>
      <c r="J27" s="17" t="n"/>
      <c r="K27" s="21" t="n"/>
      <c r="L27" s="21">
        <f>IF($B27="","FALSE","TRUE")</f>
        <v/>
      </c>
      <c r="M27">
        <f t="array" ref="M27">IsURL(Table_121215[[#This Row],[Data Source]])</f>
        <v/>
      </c>
      <c r="N27">
        <f t="array" ref="N27">IsURL(Table_121215[[#This Row],[DOI]])</f>
        <v/>
      </c>
      <c r="O27">
        <f t="array" ref="O27">IsURL(Table_121215[[#This Row],[Data Source]])</f>
        <v/>
      </c>
      <c r="P27">
        <f t="array" ref="P27">IsURL(Table_121215[[#This Row],[Data Source]])</f>
        <v/>
      </c>
    </row>
    <row r="28" ht="15.75" customHeight="1">
      <c r="A28">
        <f>IF(Table_18[[#This Row],[Part Name]]=0,"",Table_18[[#This Row],[Part Name]])</f>
        <v/>
      </c>
      <c r="I28">
        <f>LEN(TRIM(CLEAN(SUBSTITUTE(SUBSTITUTE(Table_18[[#This Row],[Sequence]],CHAR(160)," ")," ",""))))</f>
        <v/>
      </c>
      <c r="J28" s="17" t="n"/>
      <c r="K28" s="21" t="n"/>
      <c r="L28" s="21">
        <f>IF($B28="","FALSE","TRUE")</f>
        <v/>
      </c>
      <c r="M28">
        <f t="array" ref="M28">IsURL(Table_121215[[#This Row],[Data Source]])</f>
        <v/>
      </c>
      <c r="N28">
        <f t="array" ref="N28">IsURL(Table_121215[[#This Row],[DOI]])</f>
        <v/>
      </c>
      <c r="O28">
        <f t="array" ref="O28">IsURL(Table_121215[[#This Row],[Data Source]])</f>
        <v/>
      </c>
      <c r="P28">
        <f t="array" ref="P28">IsURL(Table_121215[[#This Row],[Data Source]])</f>
        <v/>
      </c>
    </row>
    <row r="29" ht="15.75" customHeight="1">
      <c r="A29">
        <f>IF(Table_18[[#This Row],[Part Name]]=0,"",Table_18[[#This Row],[Part Name]])</f>
        <v/>
      </c>
      <c r="I29">
        <f>LEN(TRIM(CLEAN(SUBSTITUTE(SUBSTITUTE(Table_18[[#This Row],[Sequence]],CHAR(160)," ")," ",""))))</f>
        <v/>
      </c>
      <c r="J29" s="17" t="n"/>
      <c r="K29" s="21" t="n"/>
      <c r="L29" s="21">
        <f>IF($B29="","FALSE","TRUE")</f>
        <v/>
      </c>
      <c r="M29">
        <f t="array" ref="M29">IsURL(Table_121215[[#This Row],[Data Source]])</f>
        <v/>
      </c>
      <c r="N29">
        <f t="array" ref="N29">IsURL(Table_121215[[#This Row],[DOI]])</f>
        <v/>
      </c>
      <c r="O29">
        <f t="array" ref="O29">IsURL(Table_121215[[#This Row],[Data Source]])</f>
        <v/>
      </c>
      <c r="P29">
        <f t="array" ref="P29">IsURL(Table_121215[[#This Row],[Data Source]])</f>
        <v/>
      </c>
    </row>
    <row r="30" ht="15.75" customHeight="1">
      <c r="A30">
        <f>IF(Table_18[[#This Row],[Part Name]]=0,"",Table_18[[#This Row],[Part Name]])</f>
        <v/>
      </c>
      <c r="I30">
        <f>LEN(TRIM(CLEAN(SUBSTITUTE(SUBSTITUTE(Table_18[[#This Row],[Sequence]],CHAR(160)," ")," ",""))))</f>
        <v/>
      </c>
      <c r="J30" s="17" t="n"/>
      <c r="K30" s="21" t="n"/>
      <c r="L30" s="21">
        <f>IF($B30="","FALSE","TRUE")</f>
        <v/>
      </c>
      <c r="M30">
        <f t="array" ref="M30">IsURL(Table_121215[[#This Row],[Data Source]])</f>
        <v/>
      </c>
      <c r="N30">
        <f t="array" ref="N30">IsURL(Table_121215[[#This Row],[DOI]])</f>
        <v/>
      </c>
      <c r="O30">
        <f t="array" ref="O30">IsURL(Table_121215[[#This Row],[Data Source]])</f>
        <v/>
      </c>
      <c r="P30">
        <f t="array" ref="P30">IsURL(Table_121215[[#This Row],[Data Source]])</f>
        <v/>
      </c>
    </row>
    <row r="31" ht="15.75" customHeight="1">
      <c r="A31">
        <f>IF(Table_18[[#This Row],[Part Name]]=0,"",Table_18[[#This Row],[Part Name]])</f>
        <v/>
      </c>
      <c r="I31">
        <f>LEN(TRIM(CLEAN(SUBSTITUTE(SUBSTITUTE(Table_18[[#This Row],[Sequence]],CHAR(160)," ")," ",""))))</f>
        <v/>
      </c>
      <c r="J31" s="17" t="n"/>
      <c r="K31" s="21" t="n"/>
      <c r="L31" s="21">
        <f>IF($B31="","FALSE","TRUE")</f>
        <v/>
      </c>
      <c r="M31">
        <f t="array" ref="M31">IsURL(Table_121215[[#This Row],[Data Source]])</f>
        <v/>
      </c>
      <c r="N31">
        <f t="array" ref="N31">IsURL(Table_121215[[#This Row],[DOI]])</f>
        <v/>
      </c>
      <c r="O31">
        <f t="array" ref="O31">IsURL(Table_121215[[#This Row],[Data Source]])</f>
        <v/>
      </c>
      <c r="P31">
        <f t="array" ref="P31">IsURL(Table_121215[[#This Row],[Data Source]])</f>
        <v/>
      </c>
    </row>
    <row r="32" ht="15.75" customHeight="1">
      <c r="A32">
        <f>IF(Table_18[[#This Row],[Part Name]]=0,"",Table_18[[#This Row],[Part Name]])</f>
        <v/>
      </c>
      <c r="I32">
        <f>LEN(TRIM(CLEAN(SUBSTITUTE(SUBSTITUTE(Table_18[[#This Row],[Sequence]],CHAR(160)," ")," ",""))))</f>
        <v/>
      </c>
      <c r="J32" s="17" t="n"/>
      <c r="K32" s="21" t="n"/>
      <c r="L32" s="21">
        <f>IF($B32="","FALSE","TRUE")</f>
        <v/>
      </c>
      <c r="M32">
        <f t="array" ref="M32">IsURL(Table_121215[[#This Row],[Data Source]])</f>
        <v/>
      </c>
      <c r="N32">
        <f t="array" ref="N32">IsURL(Table_121215[[#This Row],[DOI]])</f>
        <v/>
      </c>
      <c r="O32">
        <f t="array" ref="O32">IsURL(Table_121215[[#This Row],[Data Source]])</f>
        <v/>
      </c>
      <c r="P32">
        <f t="array" ref="P32">IsURL(Table_121215[[#This Row],[Data Source]])</f>
        <v/>
      </c>
    </row>
    <row r="33" ht="15.75" customHeight="1">
      <c r="A33">
        <f>IF(Table_18[[#This Row],[Part Name]]=0,"",Table_18[[#This Row],[Part Name]])</f>
        <v/>
      </c>
      <c r="I33">
        <f>LEN(TRIM(CLEAN(SUBSTITUTE(SUBSTITUTE(Table_18[[#This Row],[Sequence]],CHAR(160)," ")," ",""))))</f>
        <v/>
      </c>
      <c r="J33" s="17" t="n"/>
      <c r="K33" s="21" t="n"/>
      <c r="L33" s="21">
        <f>IF($B33="","FALSE","TRUE")</f>
        <v/>
      </c>
      <c r="M33">
        <f t="array" ref="M33">IsURL(Table_121215[[#This Row],[Data Source]])</f>
        <v/>
      </c>
      <c r="N33">
        <f t="array" ref="N33">IsURL(Table_121215[[#This Row],[DOI]])</f>
        <v/>
      </c>
      <c r="O33">
        <f t="array" ref="O33">IsURL(Table_121215[[#This Row],[Data Source]])</f>
        <v/>
      </c>
      <c r="P33">
        <f t="array" ref="P33">IsURL(Table_121215[[#This Row],[Data Source]])</f>
        <v/>
      </c>
    </row>
    <row r="34" ht="15.75" customHeight="1">
      <c r="A34">
        <f>IF(Table_18[[#This Row],[Part Name]]=0,"",Table_18[[#This Row],[Part Name]])</f>
        <v/>
      </c>
      <c r="I34">
        <f>LEN(TRIM(CLEAN(SUBSTITUTE(SUBSTITUTE(Table_18[[#This Row],[Sequence]],CHAR(160)," ")," ",""))))</f>
        <v/>
      </c>
      <c r="J34" s="17" t="n"/>
      <c r="K34" s="21" t="n"/>
      <c r="L34" s="21">
        <f>IF($B34="","FALSE","TRUE")</f>
        <v/>
      </c>
      <c r="M34">
        <f t="array" ref="M34">IsURL(Table_121215[[#This Row],[Data Source]])</f>
        <v/>
      </c>
      <c r="N34">
        <f t="array" ref="N34">IsURL(Table_121215[[#This Row],[DOI]])</f>
        <v/>
      </c>
      <c r="O34">
        <f t="array" ref="O34">IsURL(Table_121215[[#This Row],[Data Source]])</f>
        <v/>
      </c>
      <c r="P34">
        <f t="array" ref="P34">IsURL(Table_121215[[#This Row],[Data Source]])</f>
        <v/>
      </c>
    </row>
    <row r="35" ht="15.75" customHeight="1">
      <c r="A35">
        <f>IF(Table_18[[#This Row],[Part Name]]=0,"",Table_18[[#This Row],[Part Name]])</f>
        <v/>
      </c>
      <c r="I35">
        <f>LEN(TRIM(CLEAN(SUBSTITUTE(SUBSTITUTE(Table_18[[#This Row],[Sequence]],CHAR(160)," ")," ",""))))</f>
        <v/>
      </c>
      <c r="J35" s="17" t="n"/>
      <c r="K35" s="21" t="n"/>
      <c r="L35" s="21">
        <f>IF($B35="","FALSE","TRUE")</f>
        <v/>
      </c>
      <c r="M35">
        <f t="array" ref="M35">IsURL(Table_121215[[#This Row],[Data Source]])</f>
        <v/>
      </c>
      <c r="N35">
        <f t="array" ref="N35">IsURL(Table_121215[[#This Row],[DOI]])</f>
        <v/>
      </c>
      <c r="O35">
        <f t="array" ref="O35">IsURL(Table_121215[[#This Row],[Data Source]])</f>
        <v/>
      </c>
      <c r="P35">
        <f t="array" ref="P35">IsURL(Table_121215[[#This Row],[Data Source]])</f>
        <v/>
      </c>
    </row>
    <row r="36" ht="15.75" customHeight="1">
      <c r="A36">
        <f>IF(Table_18[[#This Row],[Part Name]]=0,"",Table_18[[#This Row],[Part Name]])</f>
        <v/>
      </c>
      <c r="I36">
        <f>LEN(TRIM(CLEAN(SUBSTITUTE(SUBSTITUTE(Table_18[[#This Row],[Sequence]],CHAR(160)," ")," ",""))))</f>
        <v/>
      </c>
      <c r="J36" s="17" t="n"/>
      <c r="K36" s="21" t="n"/>
      <c r="L36" s="21">
        <f>IF($B36="","FALSE","TRUE")</f>
        <v/>
      </c>
      <c r="M36">
        <f t="array" ref="M36">IsURL(Table_121215[[#This Row],[Data Source]])</f>
        <v/>
      </c>
      <c r="N36">
        <f t="array" ref="N36">IsURL(Table_121215[[#This Row],[DOI]])</f>
        <v/>
      </c>
      <c r="O36">
        <f t="array" ref="O36">IsURL(Table_121215[[#This Row],[Data Source]])</f>
        <v/>
      </c>
      <c r="P36">
        <f t="array" ref="P36">IsURL(Table_121215[[#This Row],[Data Source]])</f>
        <v/>
      </c>
    </row>
    <row r="37" ht="15.75" customHeight="1">
      <c r="A37">
        <f>IF(Table_18[[#This Row],[Part Name]]=0,"",Table_18[[#This Row],[Part Name]])</f>
        <v/>
      </c>
      <c r="I37">
        <f>LEN(TRIM(CLEAN(SUBSTITUTE(SUBSTITUTE(Table_18[[#This Row],[Sequence]],CHAR(160)," ")," ",""))))</f>
        <v/>
      </c>
      <c r="J37" s="17" t="n"/>
      <c r="K37" s="21" t="n"/>
      <c r="L37" s="21">
        <f>IF($B37="","FALSE","TRUE")</f>
        <v/>
      </c>
      <c r="M37">
        <f t="array" ref="M37">IsURL(Table_121215[[#This Row],[Data Source]])</f>
        <v/>
      </c>
      <c r="N37">
        <f t="array" ref="N37">IsURL(Table_121215[[#This Row],[DOI]])</f>
        <v/>
      </c>
      <c r="O37">
        <f t="array" ref="O37">IsURL(Table_121215[[#This Row],[Data Source]])</f>
        <v/>
      </c>
      <c r="P37">
        <f t="array" ref="P37">IsURL(Table_121215[[#This Row],[Data Source]])</f>
        <v/>
      </c>
    </row>
    <row r="38" ht="15.75" customHeight="1">
      <c r="A38">
        <f>IF(Table_18[[#This Row],[Part Name]]=0,"",Table_18[[#This Row],[Part Name]])</f>
        <v/>
      </c>
      <c r="I38">
        <f>LEN(TRIM(CLEAN(SUBSTITUTE(SUBSTITUTE(Table_18[[#This Row],[Sequence]],CHAR(160)," ")," ",""))))</f>
        <v/>
      </c>
      <c r="J38" s="17" t="n"/>
      <c r="K38" s="21" t="n"/>
      <c r="L38" s="21">
        <f>IF($B38="","FALSE","TRUE")</f>
        <v/>
      </c>
      <c r="M38">
        <f t="array" ref="M38">IsURL(Table_121215[[#This Row],[Data Source]])</f>
        <v/>
      </c>
      <c r="N38">
        <f t="array" ref="N38">IsURL(Table_121215[[#This Row],[DOI]])</f>
        <v/>
      </c>
      <c r="O38">
        <f t="array" ref="O38">IsURL(Table_121215[[#This Row],[Data Source]])</f>
        <v/>
      </c>
      <c r="P38">
        <f t="array" ref="P38">IsURL(Table_121215[[#This Row],[Data Source]])</f>
        <v/>
      </c>
    </row>
    <row r="39" ht="15.75" customHeight="1">
      <c r="A39">
        <f>IF(Table_18[[#This Row],[Part Name]]=0,"",Table_18[[#This Row],[Part Name]])</f>
        <v/>
      </c>
      <c r="I39">
        <f>LEN(TRIM(CLEAN(SUBSTITUTE(SUBSTITUTE(Table_18[[#This Row],[Sequence]],CHAR(160)," ")," ",""))))</f>
        <v/>
      </c>
      <c r="J39" s="17" t="n"/>
      <c r="K39" s="21" t="n"/>
      <c r="L39" s="21">
        <f>IF($B39="","FALSE","TRUE")</f>
        <v/>
      </c>
      <c r="M39">
        <f t="array" ref="M39">IsURL(Table_121215[[#This Row],[Data Source]])</f>
        <v/>
      </c>
      <c r="N39">
        <f t="array" ref="N39">IsURL(Table_121215[[#This Row],[DOI]])</f>
        <v/>
      </c>
      <c r="O39">
        <f t="array" ref="O39">IsURL(Table_121215[[#This Row],[Data Source]])</f>
        <v/>
      </c>
      <c r="P39">
        <f t="array" ref="P39">IsURL(Table_121215[[#This Row],[Data Source]])</f>
        <v/>
      </c>
    </row>
    <row r="40" ht="15.75" customHeight="1">
      <c r="A40">
        <f>IF(Table_18[[#This Row],[Part Name]]=0,"",Table_18[[#This Row],[Part Name]])</f>
        <v/>
      </c>
      <c r="I40">
        <f>LEN(TRIM(CLEAN(SUBSTITUTE(SUBSTITUTE(Table_18[[#This Row],[Sequence]],CHAR(160)," ")," ",""))))</f>
        <v/>
      </c>
      <c r="J40" s="17" t="n"/>
      <c r="K40" s="21" t="n"/>
      <c r="L40" s="21">
        <f>IF($B40="","FALSE","TRUE")</f>
        <v/>
      </c>
      <c r="M40">
        <f t="array" ref="M40">IsURL(Table_121215[[#This Row],[Data Source]])</f>
        <v/>
      </c>
      <c r="N40">
        <f t="array" ref="N40">IsURL(Table_121215[[#This Row],[DOI]])</f>
        <v/>
      </c>
      <c r="O40">
        <f t="array" ref="O40">IsURL(Table_121215[[#This Row],[Data Source]])</f>
        <v/>
      </c>
      <c r="P40">
        <f t="array" ref="P40">IsURL(Table_121215[[#This Row],[Data Source]])</f>
        <v/>
      </c>
    </row>
    <row r="41" ht="15.75" customHeight="1">
      <c r="A41">
        <f>IF(Table_18[[#This Row],[Part Name]]=0,"",Table_18[[#This Row],[Part Name]])</f>
        <v/>
      </c>
      <c r="I41">
        <f>LEN(TRIM(CLEAN(SUBSTITUTE(SUBSTITUTE(Table_18[[#This Row],[Sequence]],CHAR(160)," ")," ",""))))</f>
        <v/>
      </c>
      <c r="J41" s="17" t="n"/>
      <c r="K41" s="21" t="n"/>
      <c r="L41" s="21">
        <f>IF($B41="","FALSE","TRUE")</f>
        <v/>
      </c>
      <c r="M41">
        <f t="array" ref="M41">IsURL(Table_121215[[#This Row],[Data Source]])</f>
        <v/>
      </c>
      <c r="N41">
        <f t="array" ref="N41">IsURL(Table_121215[[#This Row],[DOI]])</f>
        <v/>
      </c>
      <c r="O41">
        <f t="array" ref="O41">IsURL(Table_121215[[#This Row],[Data Source]])</f>
        <v/>
      </c>
      <c r="P41">
        <f t="array" ref="P41">IsURL(Table_121215[[#This Row],[Data Source]])</f>
        <v/>
      </c>
    </row>
    <row r="42" ht="15.75" customHeight="1">
      <c r="A42">
        <f>IF(Table_18[[#This Row],[Part Name]]=0,"",Table_18[[#This Row],[Part Name]])</f>
        <v/>
      </c>
      <c r="I42">
        <f>LEN(TRIM(CLEAN(SUBSTITUTE(SUBSTITUTE(Table_18[[#This Row],[Sequence]],CHAR(160)," ")," ",""))))</f>
        <v/>
      </c>
      <c r="J42" s="17" t="n"/>
      <c r="K42" s="21" t="n"/>
      <c r="L42" s="21">
        <f>IF($B42="","FALSE","TRUE")</f>
        <v/>
      </c>
      <c r="M42">
        <f t="array" ref="M42">IsURL(Table_121215[[#This Row],[Data Source]])</f>
        <v/>
      </c>
      <c r="N42">
        <f t="array" ref="N42">IsURL(Table_121215[[#This Row],[DOI]])</f>
        <v/>
      </c>
      <c r="O42">
        <f t="array" ref="O42">IsURL(Table_121215[[#This Row],[Data Source]])</f>
        <v/>
      </c>
      <c r="P42">
        <f t="array" ref="P42">IsURL(Table_121215[[#This Row],[Data Source]])</f>
        <v/>
      </c>
    </row>
    <row r="43" ht="15.75" customHeight="1">
      <c r="A43">
        <f>IF(Table_18[[#This Row],[Part Name]]=0,"",Table_18[[#This Row],[Part Name]])</f>
        <v/>
      </c>
      <c r="I43">
        <f>LEN(TRIM(CLEAN(SUBSTITUTE(SUBSTITUTE(Table_18[[#This Row],[Sequence]],CHAR(160)," ")," ",""))))</f>
        <v/>
      </c>
      <c r="J43" s="17" t="n"/>
      <c r="K43" s="21" t="n"/>
      <c r="L43" s="21">
        <f>IF($B43="","FALSE","TRUE")</f>
        <v/>
      </c>
      <c r="M43">
        <f t="array" ref="M43">IsURL(Table_121215[[#This Row],[Data Source]])</f>
        <v/>
      </c>
      <c r="N43">
        <f t="array" ref="N43">IsURL(Table_121215[[#This Row],[DOI]])</f>
        <v/>
      </c>
      <c r="O43">
        <f t="array" ref="O43">IsURL(Table_121215[[#This Row],[Data Source]])</f>
        <v/>
      </c>
      <c r="P43">
        <f t="array" ref="P43">IsURL(Table_121215[[#This Row],[Data Source]])</f>
        <v/>
      </c>
    </row>
    <row r="44" ht="15.75" customHeight="1">
      <c r="A44">
        <f>IF(Table_18[[#This Row],[Part Name]]=0,"",Table_18[[#This Row],[Part Name]])</f>
        <v/>
      </c>
      <c r="I44">
        <f>LEN(TRIM(CLEAN(SUBSTITUTE(SUBSTITUTE(Table_18[[#This Row],[Sequence]],CHAR(160)," ")," ",""))))</f>
        <v/>
      </c>
      <c r="J44" s="17" t="n"/>
      <c r="K44" s="21" t="n"/>
      <c r="L44" s="21">
        <f>IF($B44="","FALSE","TRUE")</f>
        <v/>
      </c>
      <c r="M44">
        <f t="array" ref="M44">IsURL(Table_121215[[#This Row],[Data Source]])</f>
        <v/>
      </c>
      <c r="N44">
        <f t="array" ref="N44">IsURL(Table_121215[[#This Row],[DOI]])</f>
        <v/>
      </c>
      <c r="O44">
        <f t="array" ref="O44">IsURL(Table_121215[[#This Row],[Data Source]])</f>
        <v/>
      </c>
      <c r="P44">
        <f t="array" ref="P44">IsURL(Table_121215[[#This Row],[Data Source]])</f>
        <v/>
      </c>
    </row>
    <row r="45" ht="15.75" customHeight="1">
      <c r="A45">
        <f>IF(Table_18[[#This Row],[Part Name]]=0,"",Table_18[[#This Row],[Part Name]])</f>
        <v/>
      </c>
      <c r="I45">
        <f>LEN(TRIM(CLEAN(SUBSTITUTE(SUBSTITUTE(Table_18[[#This Row],[Sequence]],CHAR(160)," ")," ",""))))</f>
        <v/>
      </c>
      <c r="J45" s="17" t="n"/>
      <c r="K45" s="21" t="n"/>
      <c r="L45" s="21">
        <f>IF($B45="","FALSE","TRUE")</f>
        <v/>
      </c>
      <c r="M45">
        <f t="array" ref="M45">IsURL(Table_121215[[#This Row],[Data Source]])</f>
        <v/>
      </c>
      <c r="N45">
        <f t="array" ref="N45">IsURL(Table_121215[[#This Row],[DOI]])</f>
        <v/>
      </c>
      <c r="O45">
        <f t="array" ref="O45">IsURL(Table_121215[[#This Row],[Data Source]])</f>
        <v/>
      </c>
      <c r="P45">
        <f t="array" ref="P45">IsURL(Table_121215[[#This Row],[Data Source]])</f>
        <v/>
      </c>
    </row>
    <row r="46" ht="15.75" customHeight="1">
      <c r="A46">
        <f>IF(Table_18[[#This Row],[Part Name]]=0,"",Table_18[[#This Row],[Part Name]])</f>
        <v/>
      </c>
      <c r="I46">
        <f>LEN(TRIM(CLEAN(SUBSTITUTE(SUBSTITUTE(Table_18[[#This Row],[Sequence]],CHAR(160)," ")," ",""))))</f>
        <v/>
      </c>
      <c r="J46" s="17" t="n"/>
      <c r="K46" s="21" t="n"/>
      <c r="L46" s="21">
        <f>IF($B46="","FALSE","TRUE")</f>
        <v/>
      </c>
      <c r="M46">
        <f t="array" ref="M46">IsURL(Table_121215[[#This Row],[Data Source]])</f>
        <v/>
      </c>
      <c r="N46">
        <f t="array" ref="N46">IsURL(Table_121215[[#This Row],[DOI]])</f>
        <v/>
      </c>
      <c r="O46">
        <f t="array" ref="O46">IsURL(Table_121215[[#This Row],[Data Source]])</f>
        <v/>
      </c>
      <c r="P46">
        <f t="array" ref="P46">IsURL(Table_121215[[#This Row],[Data Source]])</f>
        <v/>
      </c>
    </row>
    <row r="47" ht="15.75" customHeight="1">
      <c r="A47">
        <f>IF(Table_18[[#This Row],[Part Name]]=0,"",Table_18[[#This Row],[Part Name]])</f>
        <v/>
      </c>
      <c r="I47">
        <f>LEN(TRIM(CLEAN(SUBSTITUTE(SUBSTITUTE(Table_18[[#This Row],[Sequence]],CHAR(160)," ")," ",""))))</f>
        <v/>
      </c>
      <c r="J47" s="17" t="n"/>
      <c r="K47" s="21" t="n"/>
      <c r="L47" s="21">
        <f>IF($B47="","FALSE","TRUE")</f>
        <v/>
      </c>
      <c r="M47">
        <f t="array" ref="M47">IsURL(Table_121215[[#This Row],[Data Source]])</f>
        <v/>
      </c>
      <c r="N47">
        <f t="array" ref="N47">IsURL(Table_121215[[#This Row],[DOI]])</f>
        <v/>
      </c>
      <c r="O47">
        <f t="array" ref="O47">IsURL(Table_121215[[#This Row],[Data Source]])</f>
        <v/>
      </c>
      <c r="P47">
        <f t="array" ref="P47">IsURL(Table_121215[[#This Row],[Data Source]])</f>
        <v/>
      </c>
    </row>
    <row r="48" ht="15.75" customHeight="1">
      <c r="A48">
        <f>IF(Table_18[[#This Row],[Part Name]]=0,"",Table_18[[#This Row],[Part Name]])</f>
        <v/>
      </c>
      <c r="I48">
        <f>LEN(TRIM(CLEAN(SUBSTITUTE(SUBSTITUTE(Table_18[[#This Row],[Sequence]],CHAR(160)," ")," ",""))))</f>
        <v/>
      </c>
      <c r="J48" s="17" t="n"/>
      <c r="K48" s="21" t="n"/>
      <c r="L48" s="21">
        <f>IF($B48="","FALSE","TRUE")</f>
        <v/>
      </c>
      <c r="M48">
        <f t="array" ref="M48">IsURL(Table_121215[[#This Row],[Data Source]])</f>
        <v/>
      </c>
      <c r="N48">
        <f t="array" ref="N48">IsURL(Table_121215[[#This Row],[DOI]])</f>
        <v/>
      </c>
      <c r="O48">
        <f t="array" ref="O48">IsURL(Table_121215[[#This Row],[Data Source]])</f>
        <v/>
      </c>
      <c r="P48">
        <f t="array" ref="P48">IsURL(Table_121215[[#This Row],[Data Source]])</f>
        <v/>
      </c>
    </row>
    <row r="49" ht="15.75" customHeight="1">
      <c r="A49">
        <f>IF(Table_18[[#This Row],[Part Name]]=0,"",Table_18[[#This Row],[Part Name]])</f>
        <v/>
      </c>
      <c r="I49">
        <f>LEN(TRIM(CLEAN(SUBSTITUTE(SUBSTITUTE(Table_18[[#This Row],[Sequence]],CHAR(160)," ")," ",""))))</f>
        <v/>
      </c>
      <c r="J49" s="17" t="n"/>
      <c r="K49" s="21" t="n"/>
      <c r="L49" s="21">
        <f>IF($B49="","FALSE","TRUE")</f>
        <v/>
      </c>
      <c r="M49">
        <f t="array" ref="M49">IsURL(Table_121215[[#This Row],[Data Source]])</f>
        <v/>
      </c>
      <c r="N49">
        <f t="array" ref="N49">IsURL(Table_121215[[#This Row],[DOI]])</f>
        <v/>
      </c>
      <c r="O49">
        <f t="array" ref="O49">IsURL(Table_121215[[#This Row],[Data Source]])</f>
        <v/>
      </c>
      <c r="P49">
        <f t="array" ref="P49">IsURL(Table_121215[[#This Row],[Data Source]])</f>
        <v/>
      </c>
    </row>
    <row r="50" ht="15.75" customHeight="1">
      <c r="A50">
        <f>IF(Table_18[[#This Row],[Part Name]]=0,"",Table_18[[#This Row],[Part Name]])</f>
        <v/>
      </c>
      <c r="I50">
        <f>LEN(TRIM(CLEAN(SUBSTITUTE(SUBSTITUTE(Table_18[[#This Row],[Sequence]],CHAR(160)," ")," ",""))))</f>
        <v/>
      </c>
      <c r="J50" s="17" t="n"/>
      <c r="K50" s="21" t="n"/>
      <c r="L50" s="21">
        <f>IF($B50="","FALSE","TRUE")</f>
        <v/>
      </c>
      <c r="M50">
        <f t="array" ref="M50">IsURL(Table_121215[[#This Row],[Data Source]])</f>
        <v/>
      </c>
      <c r="N50">
        <f t="array" ref="N50">IsURL(Table_121215[[#This Row],[DOI]])</f>
        <v/>
      </c>
      <c r="O50">
        <f t="array" ref="O50">IsURL(Table_121215[[#This Row],[Data Source]])</f>
        <v/>
      </c>
      <c r="P50">
        <f t="array" ref="P50">IsURL(Table_121215[[#This Row],[Data Source]])</f>
        <v/>
      </c>
    </row>
    <row r="51" ht="15.75" customHeight="1">
      <c r="A51">
        <f>IF(Table_18[[#This Row],[Part Name]]=0,"",Table_18[[#This Row],[Part Name]])</f>
        <v/>
      </c>
      <c r="I51">
        <f>LEN(TRIM(CLEAN(SUBSTITUTE(SUBSTITUTE(Table_18[[#This Row],[Sequence]],CHAR(160)," ")," ",""))))</f>
        <v/>
      </c>
      <c r="J51" s="17" t="n"/>
      <c r="K51" s="21" t="n"/>
      <c r="L51" s="21">
        <f>IF($B51="","FALSE","TRUE")</f>
        <v/>
      </c>
      <c r="M51">
        <f t="array" ref="M51">IsURL(Table_121215[[#This Row],[Data Source]])</f>
        <v/>
      </c>
      <c r="N51">
        <f t="array" ref="N51">IsURL(Table_121215[[#This Row],[DOI]])</f>
        <v/>
      </c>
      <c r="O51">
        <f t="array" ref="O51">IsURL(Table_121215[[#This Row],[Data Source]])</f>
        <v/>
      </c>
      <c r="P51">
        <f t="array" ref="P51">IsURL(Table_121215[[#This Row],[Data Source]])</f>
        <v/>
      </c>
    </row>
    <row r="52" ht="15.75" customHeight="1">
      <c r="A52">
        <f>IF(Table_18[[#This Row],[Part Name]]=0,"",Table_18[[#This Row],[Part Name]])</f>
        <v/>
      </c>
      <c r="I52">
        <f>LEN(TRIM(CLEAN(SUBSTITUTE(SUBSTITUTE(Table_18[[#This Row],[Sequence]],CHAR(160)," ")," ",""))))</f>
        <v/>
      </c>
      <c r="J52" s="17" t="n"/>
      <c r="K52" s="21" t="n"/>
      <c r="L52" s="21">
        <f>IF($B52="","FALSE","TRUE")</f>
        <v/>
      </c>
      <c r="M52">
        <f t="array" ref="M52">IsURL(Table_121215[[#This Row],[Data Source]])</f>
        <v/>
      </c>
      <c r="N52">
        <f t="array" ref="N52">IsURL(Table_121215[[#This Row],[DOI]])</f>
        <v/>
      </c>
      <c r="O52">
        <f t="array" ref="O52">IsURL(Table_121215[[#This Row],[Data Source]])</f>
        <v/>
      </c>
      <c r="P52">
        <f t="array" ref="P52">IsURL(Table_121215[[#This Row],[Data Source]])</f>
        <v/>
      </c>
    </row>
    <row r="53" ht="15.75" customHeight="1">
      <c r="A53">
        <f>IF(Table_18[[#This Row],[Part Name]]=0,"",Table_18[[#This Row],[Part Name]])</f>
        <v/>
      </c>
      <c r="I53">
        <f>LEN(TRIM(CLEAN(SUBSTITUTE(SUBSTITUTE(Table_18[[#This Row],[Sequence]],CHAR(160)," ")," ",""))))</f>
        <v/>
      </c>
      <c r="J53" s="17" t="n"/>
      <c r="K53" s="21" t="n"/>
      <c r="L53" s="21">
        <f>IF($B53="","FALSE","TRUE")</f>
        <v/>
      </c>
      <c r="M53">
        <f t="array" ref="M53">IsURL(Table_121215[[#This Row],[Data Source]])</f>
        <v/>
      </c>
      <c r="N53">
        <f t="array" ref="N53">IsURL(Table_121215[[#This Row],[DOI]])</f>
        <v/>
      </c>
      <c r="O53">
        <f t="array" ref="O53">IsURL(Table_121215[[#This Row],[Data Source]])</f>
        <v/>
      </c>
      <c r="P53">
        <f t="array" ref="P53">IsURL(Table_121215[[#This Row],[Data Source]])</f>
        <v/>
      </c>
    </row>
    <row r="54" ht="15.75" customHeight="1">
      <c r="A54">
        <f>IF(Table_18[[#This Row],[Part Name]]=0,"",Table_18[[#This Row],[Part Name]])</f>
        <v/>
      </c>
      <c r="I54">
        <f>LEN(TRIM(CLEAN(SUBSTITUTE(SUBSTITUTE(Table_18[[#This Row],[Sequence]],CHAR(160)," ")," ",""))))</f>
        <v/>
      </c>
      <c r="J54" s="17" t="n"/>
      <c r="K54" s="21" t="n"/>
      <c r="L54" s="21">
        <f>IF($B54="","FALSE","TRUE")</f>
        <v/>
      </c>
      <c r="M54">
        <f t="array" ref="M54">IsURL(Table_121215[[#This Row],[Data Source]])</f>
        <v/>
      </c>
      <c r="N54">
        <f t="array" ref="N54">IsURL(Table_121215[[#This Row],[DOI]])</f>
        <v/>
      </c>
      <c r="O54">
        <f t="array" ref="O54">IsURL(Table_121215[[#This Row],[Data Source]])</f>
        <v/>
      </c>
      <c r="P54">
        <f t="array" ref="P54">IsURL(Table_121215[[#This Row],[Data Source]])</f>
        <v/>
      </c>
    </row>
    <row r="55" ht="15.75" customHeight="1">
      <c r="A55">
        <f>IF(Table_18[[#This Row],[Part Name]]=0,"",Table_18[[#This Row],[Part Name]])</f>
        <v/>
      </c>
      <c r="I55">
        <f>LEN(TRIM(CLEAN(SUBSTITUTE(SUBSTITUTE(Table_18[[#This Row],[Sequence]],CHAR(160)," ")," ",""))))</f>
        <v/>
      </c>
      <c r="J55" s="17" t="n"/>
      <c r="K55" s="21" t="n"/>
      <c r="L55" s="21">
        <f>IF($B55="","FALSE","TRUE")</f>
        <v/>
      </c>
      <c r="M55">
        <f t="array" ref="M55">IsURL(Table_121215[[#This Row],[Data Source]])</f>
        <v/>
      </c>
      <c r="N55">
        <f t="array" ref="N55">IsURL(Table_121215[[#This Row],[DOI]])</f>
        <v/>
      </c>
      <c r="O55">
        <f t="array" ref="O55">IsURL(Table_121215[[#This Row],[Data Source]])</f>
        <v/>
      </c>
      <c r="P55">
        <f t="array" ref="P55">IsURL(Table_121215[[#This Row],[Data Source]])</f>
        <v/>
      </c>
    </row>
    <row r="56" ht="15.75" customHeight="1">
      <c r="A56">
        <f>IF(Table_18[[#This Row],[Part Name]]=0,"",Table_18[[#This Row],[Part Name]])</f>
        <v/>
      </c>
      <c r="I56">
        <f>LEN(TRIM(CLEAN(SUBSTITUTE(SUBSTITUTE(Table_18[[#This Row],[Sequence]],CHAR(160)," ")," ",""))))</f>
        <v/>
      </c>
      <c r="J56" s="17" t="n"/>
      <c r="K56" s="21" t="n"/>
      <c r="L56" s="21">
        <f>IF($B56="","FALSE","TRUE")</f>
        <v/>
      </c>
      <c r="M56">
        <f t="array" ref="M56">IsURL(Table_121215[[#This Row],[Data Source]])</f>
        <v/>
      </c>
      <c r="N56">
        <f t="array" ref="N56">IsURL(Table_121215[[#This Row],[DOI]])</f>
        <v/>
      </c>
      <c r="O56">
        <f t="array" ref="O56">IsURL(Table_121215[[#This Row],[Data Source]])</f>
        <v/>
      </c>
      <c r="P56">
        <f t="array" ref="P56">IsURL(Table_121215[[#This Row],[Data Source]])</f>
        <v/>
      </c>
    </row>
    <row r="57" ht="15.75" customHeight="1">
      <c r="A57">
        <f>IF(Table_18[[#This Row],[Part Name]]=0,"",Table_18[[#This Row],[Part Name]])</f>
        <v/>
      </c>
      <c r="I57">
        <f>LEN(TRIM(CLEAN(SUBSTITUTE(SUBSTITUTE(Table_18[[#This Row],[Sequence]],CHAR(160)," ")," ",""))))</f>
        <v/>
      </c>
      <c r="J57" s="17" t="n"/>
      <c r="K57" s="21" t="n"/>
      <c r="L57" s="21">
        <f>IF($B57="","FALSE","TRUE")</f>
        <v/>
      </c>
      <c r="M57">
        <f t="array" ref="M57">IsURL(Table_121215[[#This Row],[Data Source]])</f>
        <v/>
      </c>
      <c r="N57">
        <f t="array" ref="N57">IsURL(Table_121215[[#This Row],[DOI]])</f>
        <v/>
      </c>
      <c r="O57">
        <f t="array" ref="O57">IsURL(Table_121215[[#This Row],[Data Source]])</f>
        <v/>
      </c>
      <c r="P57">
        <f t="array" ref="P57">IsURL(Table_121215[[#This Row],[Data Source]])</f>
        <v/>
      </c>
    </row>
    <row r="58" ht="15.75" customHeight="1">
      <c r="A58">
        <f>IF(Table_18[[#This Row],[Part Name]]=0,"",Table_18[[#This Row],[Part Name]])</f>
        <v/>
      </c>
      <c r="I58">
        <f>LEN(TRIM(CLEAN(SUBSTITUTE(SUBSTITUTE(Table_18[[#This Row],[Sequence]],CHAR(160)," ")," ",""))))</f>
        <v/>
      </c>
      <c r="J58" s="17" t="n"/>
      <c r="K58" s="21" t="n"/>
      <c r="L58" s="21">
        <f>IF($B58="","FALSE","TRUE")</f>
        <v/>
      </c>
      <c r="M58">
        <f t="array" ref="M58">IsURL(Table_121215[[#This Row],[Data Source]])</f>
        <v/>
      </c>
      <c r="N58">
        <f t="array" ref="N58">IsURL(Table_121215[[#This Row],[DOI]])</f>
        <v/>
      </c>
      <c r="O58">
        <f t="array" ref="O58">IsURL(Table_121215[[#This Row],[Data Source]])</f>
        <v/>
      </c>
      <c r="P58">
        <f t="array" ref="P58">IsURL(Table_121215[[#This Row],[Data Source]])</f>
        <v/>
      </c>
    </row>
    <row r="59" ht="15.75" customHeight="1">
      <c r="A59">
        <f>IF(Table_18[[#This Row],[Part Name]]=0,"",Table_18[[#This Row],[Part Name]])</f>
        <v/>
      </c>
      <c r="I59">
        <f>LEN(TRIM(CLEAN(SUBSTITUTE(SUBSTITUTE(Table_18[[#This Row],[Sequence]],CHAR(160)," ")," ",""))))</f>
        <v/>
      </c>
      <c r="J59" s="17" t="n"/>
      <c r="K59" s="21" t="n"/>
      <c r="L59" s="21">
        <f>IF($B59="","FALSE","TRUE")</f>
        <v/>
      </c>
      <c r="M59">
        <f t="array" ref="M59">IsURL(Table_121215[[#This Row],[Data Source]])</f>
        <v/>
      </c>
      <c r="N59">
        <f t="array" ref="N59">IsURL(Table_121215[[#This Row],[DOI]])</f>
        <v/>
      </c>
      <c r="O59">
        <f t="array" ref="O59">IsURL(Table_121215[[#This Row],[Data Source]])</f>
        <v/>
      </c>
      <c r="P59">
        <f t="array" ref="P59">IsURL(Table_121215[[#This Row],[Data Source]])</f>
        <v/>
      </c>
    </row>
    <row r="60" ht="15.75" customHeight="1">
      <c r="A60">
        <f>IF(Table_18[[#This Row],[Part Name]]=0,"",Table_18[[#This Row],[Part Name]])</f>
        <v/>
      </c>
      <c r="I60">
        <f>LEN(TRIM(CLEAN(SUBSTITUTE(SUBSTITUTE(Table_18[[#This Row],[Sequence]],CHAR(160)," ")," ",""))))</f>
        <v/>
      </c>
      <c r="J60" s="17" t="n"/>
      <c r="K60" s="21" t="n"/>
      <c r="L60" s="21">
        <f>IF($B60="","FALSE","TRUE")</f>
        <v/>
      </c>
      <c r="M60">
        <f t="array" ref="M60">IsURL(Table_121215[[#This Row],[Data Source]])</f>
        <v/>
      </c>
      <c r="N60">
        <f t="array" ref="N60">IsURL(Table_121215[[#This Row],[DOI]])</f>
        <v/>
      </c>
      <c r="O60">
        <f t="array" ref="O60">IsURL(Table_121215[[#This Row],[Data Source]])</f>
        <v/>
      </c>
      <c r="P60">
        <f t="array" ref="P60">IsURL(Table_121215[[#This Row],[Data Source]])</f>
        <v/>
      </c>
    </row>
    <row r="61" ht="15.75" customHeight="1">
      <c r="A61">
        <f>IF(Table_18[[#This Row],[Part Name]]=0,"",Table_18[[#This Row],[Part Name]])</f>
        <v/>
      </c>
      <c r="I61">
        <f>LEN(TRIM(CLEAN(SUBSTITUTE(SUBSTITUTE(Table_18[[#This Row],[Sequence]],CHAR(160)," ")," ",""))))</f>
        <v/>
      </c>
      <c r="J61" s="17" t="n"/>
      <c r="K61" s="21" t="n"/>
      <c r="L61" s="21">
        <f>IF($B61="","FALSE","TRUE")</f>
        <v/>
      </c>
      <c r="M61">
        <f t="array" ref="M61">IsURL(Table_121215[[#This Row],[Data Source]])</f>
        <v/>
      </c>
      <c r="N61">
        <f t="array" ref="N61">IsURL(Table_121215[[#This Row],[DOI]])</f>
        <v/>
      </c>
      <c r="O61">
        <f t="array" ref="O61">IsURL(Table_121215[[#This Row],[Data Source]])</f>
        <v/>
      </c>
      <c r="P61">
        <f t="array" ref="P61">IsURL(Table_121215[[#This Row],[Data Source]])</f>
        <v/>
      </c>
    </row>
    <row r="62" ht="15.75" customHeight="1">
      <c r="A62">
        <f>IF(Table_18[[#This Row],[Part Name]]=0,"",Table_18[[#This Row],[Part Name]])</f>
        <v/>
      </c>
      <c r="I62">
        <f>LEN(TRIM(CLEAN(SUBSTITUTE(SUBSTITUTE(Table_18[[#This Row],[Sequence]],CHAR(160)," ")," ",""))))</f>
        <v/>
      </c>
      <c r="J62" s="17" t="n"/>
      <c r="K62" s="21" t="n"/>
      <c r="L62" s="21">
        <f>IF($B62="","FALSE","TRUE")</f>
        <v/>
      </c>
      <c r="M62">
        <f t="array" ref="M62">IsURL(Table_121215[[#This Row],[Data Source]])</f>
        <v/>
      </c>
      <c r="N62">
        <f t="array" ref="N62">IsURL(Table_121215[[#This Row],[DOI]])</f>
        <v/>
      </c>
      <c r="O62">
        <f t="array" ref="O62">IsURL(Table_121215[[#This Row],[Data Source]])</f>
        <v/>
      </c>
      <c r="P62">
        <f t="array" ref="P62">IsURL(Table_121215[[#This Row],[Data Source]])</f>
        <v/>
      </c>
    </row>
    <row r="63" ht="15.75" customHeight="1">
      <c r="A63">
        <f>IF(Table_18[[#This Row],[Part Name]]=0,"",Table_18[[#This Row],[Part Name]])</f>
        <v/>
      </c>
      <c r="I63">
        <f>LEN(TRIM(CLEAN(SUBSTITUTE(SUBSTITUTE(Table_18[[#This Row],[Sequence]],CHAR(160)," ")," ",""))))</f>
        <v/>
      </c>
      <c r="J63" s="17" t="n"/>
      <c r="K63" s="21" t="n"/>
      <c r="L63" s="21">
        <f>IF($B63="","FALSE","TRUE")</f>
        <v/>
      </c>
      <c r="M63">
        <f t="array" ref="M63">IsURL(Table_121215[[#This Row],[Data Source]])</f>
        <v/>
      </c>
      <c r="N63">
        <f t="array" ref="N63">IsURL(Table_121215[[#This Row],[DOI]])</f>
        <v/>
      </c>
      <c r="O63">
        <f t="array" ref="O63">IsURL(Table_121215[[#This Row],[Data Source]])</f>
        <v/>
      </c>
      <c r="P63">
        <f t="array" ref="P63">IsURL(Table_121215[[#This Row],[Data Source]])</f>
        <v/>
      </c>
    </row>
    <row r="64" ht="15.75" customHeight="1">
      <c r="A64">
        <f>IF(Table_18[[#This Row],[Part Name]]=0,"",Table_18[[#This Row],[Part Name]])</f>
        <v/>
      </c>
      <c r="I64">
        <f>LEN(TRIM(CLEAN(SUBSTITUTE(SUBSTITUTE(Table_18[[#This Row],[Sequence]],CHAR(160)," ")," ",""))))</f>
        <v/>
      </c>
      <c r="J64" s="17" t="n"/>
      <c r="K64" s="21" t="n"/>
      <c r="L64" s="21">
        <f>IF($B64="","FALSE","TRUE")</f>
        <v/>
      </c>
      <c r="M64">
        <f t="array" ref="M64">IsURL(Table_121215[[#This Row],[Data Source]])</f>
        <v/>
      </c>
      <c r="N64">
        <f t="array" ref="N64">IsURL(Table_121215[[#This Row],[DOI]])</f>
        <v/>
      </c>
      <c r="O64">
        <f t="array" ref="O64">IsURL(Table_121215[[#This Row],[Data Source]])</f>
        <v/>
      </c>
      <c r="P64">
        <f t="array" ref="P64">IsURL(Table_121215[[#This Row],[Data Source]])</f>
        <v/>
      </c>
    </row>
    <row r="65" ht="15.75" customHeight="1">
      <c r="A65">
        <f>IF(Table_18[[#This Row],[Part Name]]=0,"",Table_18[[#This Row],[Part Name]])</f>
        <v/>
      </c>
      <c r="I65">
        <f>LEN(TRIM(CLEAN(SUBSTITUTE(SUBSTITUTE(Table_18[[#This Row],[Sequence]],CHAR(160)," ")," ",""))))</f>
        <v/>
      </c>
      <c r="J65" s="17" t="n"/>
      <c r="K65" s="21" t="n"/>
      <c r="L65" s="21">
        <f>IF($B65="","FALSE","TRUE")</f>
        <v/>
      </c>
      <c r="M65">
        <f t="array" ref="M65">IsURL(Table_121215[[#This Row],[Data Source]])</f>
        <v/>
      </c>
      <c r="N65">
        <f t="array" ref="N65">IsURL(Table_121215[[#This Row],[DOI]])</f>
        <v/>
      </c>
      <c r="O65">
        <f t="array" ref="O65">IsURL(Table_121215[[#This Row],[Data Source]])</f>
        <v/>
      </c>
      <c r="P65">
        <f t="array" ref="P65">IsURL(Table_121215[[#This Row],[Data Source]])</f>
        <v/>
      </c>
    </row>
    <row r="66" ht="15.75" customHeight="1">
      <c r="A66">
        <f>IF(Table_18[[#This Row],[Part Name]]=0,"",Table_18[[#This Row],[Part Name]])</f>
        <v/>
      </c>
      <c r="I66">
        <f>LEN(TRIM(CLEAN(SUBSTITUTE(SUBSTITUTE(Table_18[[#This Row],[Sequence]],CHAR(160)," ")," ",""))))</f>
        <v/>
      </c>
      <c r="J66" s="17" t="n"/>
      <c r="K66" s="21" t="n"/>
      <c r="L66" s="21">
        <f>IF($B66="","FALSE","TRUE")</f>
        <v/>
      </c>
      <c r="M66">
        <f t="array" ref="M66">IsURL(Table_121215[[#This Row],[Data Source]])</f>
        <v/>
      </c>
      <c r="N66">
        <f t="array" ref="N66">IsURL(Table_121215[[#This Row],[DOI]])</f>
        <v/>
      </c>
      <c r="O66">
        <f t="array" ref="O66">IsURL(Table_121215[[#This Row],[Data Source]])</f>
        <v/>
      </c>
      <c r="P66">
        <f t="array" ref="P66">IsURL(Table_121215[[#This Row],[Data Source]])</f>
        <v/>
      </c>
    </row>
    <row r="67" ht="15.75" customHeight="1">
      <c r="A67">
        <f>IF(Table_18[[#This Row],[Part Name]]=0,"",Table_18[[#This Row],[Part Name]])</f>
        <v/>
      </c>
      <c r="I67">
        <f>LEN(TRIM(CLEAN(SUBSTITUTE(SUBSTITUTE(Table_18[[#This Row],[Sequence]],CHAR(160)," ")," ",""))))</f>
        <v/>
      </c>
      <c r="J67" s="17" t="n"/>
      <c r="K67" s="21" t="n"/>
      <c r="L67" s="21">
        <f>IF($B67="","FALSE","TRUE")</f>
        <v/>
      </c>
      <c r="M67">
        <f t="array" ref="M67">IsURL(Table_121215[[#This Row],[Data Source]])</f>
        <v/>
      </c>
      <c r="N67">
        <f t="array" ref="N67">IsURL(Table_121215[[#This Row],[DOI]])</f>
        <v/>
      </c>
      <c r="O67">
        <f t="array" ref="O67">IsURL(Table_121215[[#This Row],[Data Source]])</f>
        <v/>
      </c>
      <c r="P67">
        <f t="array" ref="P67">IsURL(Table_121215[[#This Row],[Data Source]])</f>
        <v/>
      </c>
    </row>
    <row r="68" ht="15.75" customHeight="1">
      <c r="A68">
        <f>IF(Table_18[[#This Row],[Part Name]]=0,"",Table_18[[#This Row],[Part Name]])</f>
        <v/>
      </c>
      <c r="I68">
        <f>LEN(TRIM(CLEAN(SUBSTITUTE(SUBSTITUTE(Table_18[[#This Row],[Sequence]],CHAR(160)," ")," ",""))))</f>
        <v/>
      </c>
      <c r="J68" s="17" t="n"/>
      <c r="K68" s="21" t="n"/>
      <c r="L68" s="21">
        <f>IF($B68="","FALSE","TRUE")</f>
        <v/>
      </c>
      <c r="M68">
        <f t="array" ref="M68">IsURL(Table_121215[[#This Row],[Data Source]])</f>
        <v/>
      </c>
      <c r="N68">
        <f t="array" ref="N68">IsURL(Table_121215[[#This Row],[DOI]])</f>
        <v/>
      </c>
      <c r="O68">
        <f t="array" ref="O68">IsURL(Table_121215[[#This Row],[Data Source]])</f>
        <v/>
      </c>
      <c r="P68">
        <f t="array" ref="P68">IsURL(Table_121215[[#This Row],[Data Source]])</f>
        <v/>
      </c>
    </row>
    <row r="69" ht="15.75" customHeight="1">
      <c r="A69">
        <f>IF(Table_18[[#This Row],[Part Name]]=0,"",Table_18[[#This Row],[Part Name]])</f>
        <v/>
      </c>
      <c r="I69">
        <f>LEN(TRIM(CLEAN(SUBSTITUTE(SUBSTITUTE(Table_18[[#This Row],[Sequence]],CHAR(160)," ")," ",""))))</f>
        <v/>
      </c>
      <c r="J69" s="17" t="n"/>
      <c r="K69" s="21" t="n"/>
      <c r="L69" s="21">
        <f>IF($B69="","FALSE","TRUE")</f>
        <v/>
      </c>
      <c r="M69">
        <f t="array" ref="M69">IsURL(Table_121215[[#This Row],[Data Source]])</f>
        <v/>
      </c>
      <c r="N69">
        <f t="array" ref="N69">IsURL(Table_121215[[#This Row],[DOI]])</f>
        <v/>
      </c>
      <c r="O69">
        <f t="array" ref="O69">IsURL(Table_121215[[#This Row],[Data Source]])</f>
        <v/>
      </c>
      <c r="P69">
        <f t="array" ref="P69">IsURL(Table_121215[[#This Row],[Data Source]])</f>
        <v/>
      </c>
    </row>
    <row r="70" ht="15.75" customHeight="1">
      <c r="A70">
        <f>IF(Table_18[[#This Row],[Part Name]]=0,"",Table_18[[#This Row],[Part Name]])</f>
        <v/>
      </c>
      <c r="I70">
        <f>LEN(TRIM(CLEAN(SUBSTITUTE(SUBSTITUTE(Table_18[[#This Row],[Sequence]],CHAR(160)," ")," ",""))))</f>
        <v/>
      </c>
      <c r="J70" s="17" t="n"/>
      <c r="K70" s="21" t="n"/>
      <c r="L70" s="21">
        <f>IF($B70="","FALSE","TRUE")</f>
        <v/>
      </c>
      <c r="M70">
        <f t="array" ref="M70">IsURL(Table_121215[[#This Row],[Data Source]])</f>
        <v/>
      </c>
      <c r="N70">
        <f t="array" ref="N70">IsURL(Table_121215[[#This Row],[DOI]])</f>
        <v/>
      </c>
      <c r="O70">
        <f t="array" ref="O70">IsURL(Table_121215[[#This Row],[Data Source]])</f>
        <v/>
      </c>
      <c r="P70">
        <f t="array" ref="P70">IsURL(Table_121215[[#This Row],[Data Source]])</f>
        <v/>
      </c>
    </row>
    <row r="71" ht="15.75" customHeight="1">
      <c r="A71">
        <f>IF(Table_18[[#This Row],[Part Name]]=0,"",Table_18[[#This Row],[Part Name]])</f>
        <v/>
      </c>
      <c r="I71">
        <f>LEN(TRIM(CLEAN(SUBSTITUTE(SUBSTITUTE(Table_18[[#This Row],[Sequence]],CHAR(160)," ")," ",""))))</f>
        <v/>
      </c>
      <c r="J71" s="17" t="n"/>
      <c r="K71" s="21" t="n"/>
      <c r="L71" s="21">
        <f>IF($B71="","FALSE","TRUE")</f>
        <v/>
      </c>
      <c r="M71">
        <f t="array" ref="M71">IsURL(Table_121215[[#This Row],[Data Source]])</f>
        <v/>
      </c>
      <c r="N71">
        <f t="array" ref="N71">IsURL(Table_121215[[#This Row],[DOI]])</f>
        <v/>
      </c>
      <c r="O71">
        <f t="array" ref="O71">IsURL(Table_121215[[#This Row],[Data Source]])</f>
        <v/>
      </c>
      <c r="P71">
        <f t="array" ref="P71">IsURL(Table_121215[[#This Row],[Data Source]])</f>
        <v/>
      </c>
    </row>
    <row r="72" ht="15.75" customHeight="1">
      <c r="A72">
        <f>IF(Table_18[[#This Row],[Part Name]]=0,"",Table_18[[#This Row],[Part Name]])</f>
        <v/>
      </c>
      <c r="I72">
        <f>LEN(TRIM(CLEAN(SUBSTITUTE(SUBSTITUTE(Table_18[[#This Row],[Sequence]],CHAR(160)," ")," ",""))))</f>
        <v/>
      </c>
      <c r="J72" s="17" t="n"/>
      <c r="K72" s="21" t="n"/>
      <c r="L72" s="21">
        <f>IF($B72="","FALSE","TRUE")</f>
        <v/>
      </c>
      <c r="M72">
        <f t="array" ref="M72">IsURL(Table_121215[[#This Row],[Data Source]])</f>
        <v/>
      </c>
      <c r="N72">
        <f t="array" ref="N72">IsURL(Table_121215[[#This Row],[DOI]])</f>
        <v/>
      </c>
      <c r="O72">
        <f t="array" ref="O72">IsURL(Table_121215[[#This Row],[Data Source]])</f>
        <v/>
      </c>
      <c r="P72">
        <f t="array" ref="P72">IsURL(Table_121215[[#This Row],[Data Source]])</f>
        <v/>
      </c>
    </row>
    <row r="73" ht="15.75" customHeight="1">
      <c r="A73">
        <f>IF(Table_18[[#This Row],[Part Name]]=0,"",Table_18[[#This Row],[Part Name]])</f>
        <v/>
      </c>
      <c r="I73">
        <f>LEN(TRIM(CLEAN(SUBSTITUTE(SUBSTITUTE(Table_18[[#This Row],[Sequence]],CHAR(160)," ")," ",""))))</f>
        <v/>
      </c>
      <c r="J73" s="17" t="n"/>
      <c r="K73" s="21" t="n"/>
      <c r="L73" s="21">
        <f>IF($B73="","FALSE","TRUE")</f>
        <v/>
      </c>
      <c r="M73">
        <f t="array" ref="M73">IsURL(Table_121215[[#This Row],[Data Source]])</f>
        <v/>
      </c>
      <c r="N73">
        <f t="array" ref="N73">IsURL(Table_121215[[#This Row],[DOI]])</f>
        <v/>
      </c>
      <c r="O73">
        <f t="array" ref="O73">IsURL(Table_121215[[#This Row],[Data Source]])</f>
        <v/>
      </c>
      <c r="P73">
        <f t="array" ref="P73">IsURL(Table_121215[[#This Row],[Data Source]])</f>
        <v/>
      </c>
    </row>
    <row r="74" ht="15.75" customHeight="1">
      <c r="A74">
        <f>IF(Table_18[[#This Row],[Part Name]]=0,"",Table_18[[#This Row],[Part Name]])</f>
        <v/>
      </c>
      <c r="I74">
        <f>LEN(TRIM(CLEAN(SUBSTITUTE(SUBSTITUTE(Table_18[[#This Row],[Sequence]],CHAR(160)," ")," ",""))))</f>
        <v/>
      </c>
      <c r="J74" s="17" t="n"/>
      <c r="K74" s="21" t="n"/>
      <c r="L74" s="21">
        <f>IF($B74="","FALSE","TRUE")</f>
        <v/>
      </c>
      <c r="M74">
        <f t="array" ref="M74">IsURL(Table_121215[[#This Row],[Data Source]])</f>
        <v/>
      </c>
      <c r="N74">
        <f t="array" ref="N74">IsURL(Table_121215[[#This Row],[DOI]])</f>
        <v/>
      </c>
      <c r="O74">
        <f t="array" ref="O74">IsURL(Table_121215[[#This Row],[Data Source]])</f>
        <v/>
      </c>
      <c r="P74">
        <f t="array" ref="P74">IsURL(Table_121215[[#This Row],[Data Source]])</f>
        <v/>
      </c>
    </row>
    <row r="75" ht="15.75" customHeight="1">
      <c r="A75">
        <f>IF(Table_18[[#This Row],[Part Name]]=0,"",Table_18[[#This Row],[Part Name]])</f>
        <v/>
      </c>
      <c r="I75">
        <f>LEN(TRIM(CLEAN(SUBSTITUTE(SUBSTITUTE(Table_18[[#This Row],[Sequence]],CHAR(160)," ")," ",""))))</f>
        <v/>
      </c>
      <c r="J75" s="17" t="n"/>
      <c r="K75" s="21" t="n"/>
      <c r="L75" s="21">
        <f>IF($B75="","FALSE","TRUE")</f>
        <v/>
      </c>
      <c r="M75">
        <f t="array" ref="M75">IsURL(Table_121215[[#This Row],[Data Source]])</f>
        <v/>
      </c>
      <c r="N75">
        <f t="array" ref="N75">IsURL(Table_121215[[#This Row],[DOI]])</f>
        <v/>
      </c>
      <c r="O75">
        <f t="array" ref="O75">IsURL(Table_121215[[#This Row],[Data Source]])</f>
        <v/>
      </c>
      <c r="P75">
        <f t="array" ref="P75">IsURL(Table_121215[[#This Row],[Data Source]])</f>
        <v/>
      </c>
    </row>
    <row r="76" ht="15.75" customHeight="1">
      <c r="A76">
        <f>IF(Table_18[[#This Row],[Part Name]]=0,"",Table_18[[#This Row],[Part Name]])</f>
        <v/>
      </c>
      <c r="I76">
        <f>LEN(TRIM(CLEAN(SUBSTITUTE(SUBSTITUTE(Table_18[[#This Row],[Sequence]],CHAR(160)," ")," ",""))))</f>
        <v/>
      </c>
      <c r="J76" s="17" t="n"/>
      <c r="K76" s="21" t="n"/>
      <c r="L76" s="21">
        <f>IF($B76="","FALSE","TRUE")</f>
        <v/>
      </c>
      <c r="M76">
        <f t="array" ref="M76">IsURL(Table_121215[[#This Row],[Data Source]])</f>
        <v/>
      </c>
      <c r="N76">
        <f t="array" ref="N76">IsURL(Table_121215[[#This Row],[DOI]])</f>
        <v/>
      </c>
      <c r="O76">
        <f t="array" ref="O76">IsURL(Table_121215[[#This Row],[Data Source]])</f>
        <v/>
      </c>
      <c r="P76">
        <f t="array" ref="P76">IsURL(Table_121215[[#This Row],[Data Source]])</f>
        <v/>
      </c>
    </row>
    <row r="77" ht="15.75" customHeight="1">
      <c r="A77">
        <f>IF(Table_18[[#This Row],[Part Name]]=0,"",Table_18[[#This Row],[Part Name]])</f>
        <v/>
      </c>
      <c r="I77">
        <f>LEN(TRIM(CLEAN(SUBSTITUTE(SUBSTITUTE(Table_18[[#This Row],[Sequence]],CHAR(160)," ")," ",""))))</f>
        <v/>
      </c>
      <c r="J77" s="17" t="n"/>
      <c r="K77" s="21" t="n"/>
      <c r="L77" s="21">
        <f>IF($B77="","FALSE","TRUE")</f>
        <v/>
      </c>
      <c r="M77">
        <f t="array" ref="M77">IsURL(Table_121215[[#This Row],[Data Source]])</f>
        <v/>
      </c>
      <c r="N77">
        <f t="array" ref="N77">IsURL(Table_121215[[#This Row],[DOI]])</f>
        <v/>
      </c>
      <c r="O77">
        <f t="array" ref="O77">IsURL(Table_121215[[#This Row],[Data Source]])</f>
        <v/>
      </c>
      <c r="P77">
        <f t="array" ref="P77">IsURL(Table_121215[[#This Row],[Data Source]])</f>
        <v/>
      </c>
    </row>
    <row r="78" ht="15.75" customHeight="1">
      <c r="A78">
        <f>IF(Table_18[[#This Row],[Part Name]]=0,"",Table_18[[#This Row],[Part Name]])</f>
        <v/>
      </c>
      <c r="I78">
        <f>LEN(TRIM(CLEAN(SUBSTITUTE(SUBSTITUTE(Table_18[[#This Row],[Sequence]],CHAR(160)," ")," ",""))))</f>
        <v/>
      </c>
      <c r="J78" s="17" t="n"/>
      <c r="K78" s="21" t="n"/>
      <c r="L78" s="21">
        <f>IF($B78="","FALSE","TRUE")</f>
        <v/>
      </c>
      <c r="M78">
        <f t="array" ref="M78">IsURL(Table_121215[[#This Row],[Data Source]])</f>
        <v/>
      </c>
      <c r="N78">
        <f t="array" ref="N78">IsURL(Table_121215[[#This Row],[DOI]])</f>
        <v/>
      </c>
      <c r="O78">
        <f t="array" ref="O78">IsURL(Table_121215[[#This Row],[Data Source]])</f>
        <v/>
      </c>
      <c r="P78">
        <f t="array" ref="P78">IsURL(Table_121215[[#This Row],[Data Source]])</f>
        <v/>
      </c>
    </row>
    <row r="79" ht="15.75" customHeight="1">
      <c r="A79">
        <f>IF(Table_18[[#This Row],[Part Name]]=0,"",Table_18[[#This Row],[Part Name]])</f>
        <v/>
      </c>
      <c r="I79">
        <f>LEN(TRIM(CLEAN(SUBSTITUTE(SUBSTITUTE(Table_18[[#This Row],[Sequence]],CHAR(160)," ")," ",""))))</f>
        <v/>
      </c>
      <c r="J79" s="17" t="n"/>
      <c r="K79" s="21" t="n"/>
      <c r="L79" s="21">
        <f>IF($B79="","FALSE","TRUE")</f>
        <v/>
      </c>
      <c r="M79">
        <f t="array" ref="M79">IsURL(Table_121215[[#This Row],[Data Source]])</f>
        <v/>
      </c>
      <c r="N79">
        <f t="array" ref="N79">IsURL(Table_121215[[#This Row],[DOI]])</f>
        <v/>
      </c>
      <c r="O79">
        <f t="array" ref="O79">IsURL(Table_121215[[#This Row],[Data Source]])</f>
        <v/>
      </c>
      <c r="P79">
        <f t="array" ref="P79">IsURL(Table_121215[[#This Row],[Data Source]])</f>
        <v/>
      </c>
    </row>
    <row r="80" ht="15.75" customHeight="1">
      <c r="A80">
        <f>IF(Table_18[[#This Row],[Part Name]]=0,"",Table_18[[#This Row],[Part Name]])</f>
        <v/>
      </c>
      <c r="I80">
        <f>LEN(TRIM(CLEAN(SUBSTITUTE(SUBSTITUTE(Table_18[[#This Row],[Sequence]],CHAR(160)," ")," ",""))))</f>
        <v/>
      </c>
      <c r="J80" s="17" t="n"/>
      <c r="K80" s="21" t="n"/>
      <c r="L80" s="21">
        <f>IF($B80="","FALSE","TRUE")</f>
        <v/>
      </c>
      <c r="M80">
        <f t="array" ref="M80">IsURL(Table_121215[[#This Row],[Data Source]])</f>
        <v/>
      </c>
      <c r="N80">
        <f t="array" ref="N80">IsURL(Table_121215[[#This Row],[DOI]])</f>
        <v/>
      </c>
      <c r="O80">
        <f t="array" ref="O80">IsURL(Table_121215[[#This Row],[Data Source]])</f>
        <v/>
      </c>
      <c r="P80">
        <f t="array" ref="P80">IsURL(Table_121215[[#This Row],[Data Source]])</f>
        <v/>
      </c>
    </row>
    <row r="81" ht="15.75" customHeight="1">
      <c r="A81">
        <f>IF(Table_18[[#This Row],[Part Name]]=0,"",Table_18[[#This Row],[Part Name]])</f>
        <v/>
      </c>
      <c r="I81">
        <f>LEN(TRIM(CLEAN(SUBSTITUTE(SUBSTITUTE(Table_18[[#This Row],[Sequence]],CHAR(160)," ")," ",""))))</f>
        <v/>
      </c>
      <c r="J81" s="17" t="n"/>
      <c r="K81" s="21" t="n"/>
      <c r="L81" s="21">
        <f>IF($B81="","FALSE","TRUE")</f>
        <v/>
      </c>
      <c r="M81">
        <f t="array" ref="M81">IsURL(Table_121215[[#This Row],[Data Source]])</f>
        <v/>
      </c>
      <c r="N81">
        <f t="array" ref="N81">IsURL(Table_121215[[#This Row],[DOI]])</f>
        <v/>
      </c>
      <c r="O81">
        <f t="array" ref="O81">IsURL(Table_121215[[#This Row],[Data Source]])</f>
        <v/>
      </c>
      <c r="P81">
        <f t="array" ref="P81">IsURL(Table_121215[[#This Row],[Data Source]])</f>
        <v/>
      </c>
    </row>
    <row r="82" ht="15.75" customHeight="1">
      <c r="A82">
        <f>IF(Table_18[[#This Row],[Part Name]]=0,"",Table_18[[#This Row],[Part Name]])</f>
        <v/>
      </c>
      <c r="I82">
        <f>LEN(TRIM(CLEAN(SUBSTITUTE(SUBSTITUTE(Table_18[[#This Row],[Sequence]],CHAR(160)," ")," ",""))))</f>
        <v/>
      </c>
      <c r="J82" s="17" t="n"/>
      <c r="K82" s="21" t="n"/>
      <c r="L82" s="21">
        <f>IF($B82="","FALSE","TRUE")</f>
        <v/>
      </c>
      <c r="M82">
        <f t="array" ref="M82">IsURL(Table_121215[[#This Row],[Data Source]])</f>
        <v/>
      </c>
      <c r="N82">
        <f t="array" ref="N82">IsURL(Table_121215[[#This Row],[DOI]])</f>
        <v/>
      </c>
      <c r="O82">
        <f t="array" ref="O82">IsURL(Table_121215[[#This Row],[Data Source]])</f>
        <v/>
      </c>
      <c r="P82">
        <f t="array" ref="P82">IsURL(Table_121215[[#This Row],[Data Source]])</f>
        <v/>
      </c>
    </row>
    <row r="83" ht="15.75" customHeight="1">
      <c r="A83">
        <f>IF(Table_18[[#This Row],[Part Name]]=0,"",Table_18[[#This Row],[Part Name]])</f>
        <v/>
      </c>
      <c r="I83">
        <f>LEN(TRIM(CLEAN(SUBSTITUTE(SUBSTITUTE(Table_18[[#This Row],[Sequence]],CHAR(160)," ")," ",""))))</f>
        <v/>
      </c>
      <c r="J83" s="17" t="n"/>
      <c r="K83" s="21" t="n"/>
      <c r="L83" s="21">
        <f>IF($B83="","FALSE","TRUE")</f>
        <v/>
      </c>
      <c r="M83">
        <f t="array" ref="M83">IsURL(Table_121215[[#This Row],[Data Source]])</f>
        <v/>
      </c>
      <c r="N83">
        <f t="array" ref="N83">IsURL(Table_121215[[#This Row],[DOI]])</f>
        <v/>
      </c>
      <c r="O83">
        <f t="array" ref="O83">IsURL(Table_121215[[#This Row],[Data Source]])</f>
        <v/>
      </c>
      <c r="P83">
        <f t="array" ref="P83">IsURL(Table_121215[[#This Row],[Data Source]])</f>
        <v/>
      </c>
    </row>
    <row r="84" ht="15.75" customHeight="1">
      <c r="A84">
        <f>IF(Table_18[[#This Row],[Part Name]]=0,"",Table_18[[#This Row],[Part Name]])</f>
        <v/>
      </c>
      <c r="I84">
        <f>LEN(TRIM(CLEAN(SUBSTITUTE(SUBSTITUTE(Table_18[[#This Row],[Sequence]],CHAR(160)," ")," ",""))))</f>
        <v/>
      </c>
      <c r="J84" s="17" t="n"/>
      <c r="K84" s="21" t="n"/>
      <c r="L84" s="21">
        <f>IF($B84="","FALSE","TRUE")</f>
        <v/>
      </c>
      <c r="M84">
        <f t="array" ref="M84">IsURL(Table_121215[[#This Row],[Data Source]])</f>
        <v/>
      </c>
      <c r="N84">
        <f t="array" ref="N84">IsURL(Table_121215[[#This Row],[DOI]])</f>
        <v/>
      </c>
      <c r="O84">
        <f t="array" ref="O84">IsURL(Table_121215[[#This Row],[Data Source]])</f>
        <v/>
      </c>
      <c r="P84">
        <f t="array" ref="P84">IsURL(Table_121215[[#This Row],[Data Source]])</f>
        <v/>
      </c>
    </row>
    <row r="85" ht="15.75" customHeight="1">
      <c r="A85">
        <f>IF(Table_18[[#This Row],[Part Name]]=0,"",Table_18[[#This Row],[Part Name]])</f>
        <v/>
      </c>
      <c r="I85">
        <f>LEN(TRIM(CLEAN(SUBSTITUTE(SUBSTITUTE(Table_18[[#This Row],[Sequence]],CHAR(160)," ")," ",""))))</f>
        <v/>
      </c>
      <c r="J85" s="17" t="n"/>
      <c r="K85" s="21" t="n"/>
      <c r="L85" s="21">
        <f>IF($B85="","FALSE","TRUE")</f>
        <v/>
      </c>
      <c r="M85">
        <f t="array" ref="M85">IsURL(Table_121215[[#This Row],[Data Source]])</f>
        <v/>
      </c>
      <c r="N85">
        <f t="array" ref="N85">IsURL(Table_121215[[#This Row],[DOI]])</f>
        <v/>
      </c>
      <c r="O85">
        <f t="array" ref="O85">IsURL(Table_121215[[#This Row],[Data Source]])</f>
        <v/>
      </c>
      <c r="P85">
        <f t="array" ref="P85">IsURL(Table_121215[[#This Row],[Data Source]])</f>
        <v/>
      </c>
    </row>
    <row r="86" ht="15.75" customHeight="1">
      <c r="A86">
        <f>IF(Table_18[[#This Row],[Part Name]]=0,"",Table_18[[#This Row],[Part Name]])</f>
        <v/>
      </c>
      <c r="I86">
        <f>LEN(TRIM(CLEAN(SUBSTITUTE(SUBSTITUTE(Table_18[[#This Row],[Sequence]],CHAR(160)," ")," ",""))))</f>
        <v/>
      </c>
      <c r="J86" s="17" t="n"/>
      <c r="K86" s="21" t="n"/>
      <c r="L86" s="21">
        <f>IF($B86="","FALSE","TRUE")</f>
        <v/>
      </c>
      <c r="M86">
        <f t="array" ref="M86">IsURL(Table_121215[[#This Row],[Data Source]])</f>
        <v/>
      </c>
      <c r="N86">
        <f t="array" ref="N86">IsURL(Table_121215[[#This Row],[DOI]])</f>
        <v/>
      </c>
      <c r="O86">
        <f t="array" ref="O86">IsURL(Table_121215[[#This Row],[Data Source]])</f>
        <v/>
      </c>
      <c r="P86">
        <f t="array" ref="P86">IsURL(Table_121215[[#This Row],[Data Source]])</f>
        <v/>
      </c>
    </row>
    <row r="87" ht="15.75" customHeight="1">
      <c r="A87">
        <f>IF(Table_18[[#This Row],[Part Name]]=0,"",Table_18[[#This Row],[Part Name]])</f>
        <v/>
      </c>
      <c r="I87">
        <f>LEN(TRIM(CLEAN(SUBSTITUTE(SUBSTITUTE(Table_18[[#This Row],[Sequence]],CHAR(160)," ")," ",""))))</f>
        <v/>
      </c>
      <c r="J87" s="17" t="n"/>
      <c r="K87" s="21" t="n"/>
      <c r="L87" s="21">
        <f>IF($B87="","FALSE","TRUE")</f>
        <v/>
      </c>
      <c r="M87">
        <f t="array" ref="M87">IsURL(Table_121215[[#This Row],[Data Source]])</f>
        <v/>
      </c>
      <c r="N87">
        <f t="array" ref="N87">IsURL(Table_121215[[#This Row],[DOI]])</f>
        <v/>
      </c>
      <c r="O87">
        <f t="array" ref="O87">IsURL(Table_121215[[#This Row],[Data Source]])</f>
        <v/>
      </c>
      <c r="P87">
        <f t="array" ref="P87">IsURL(Table_121215[[#This Row],[Data Source]])</f>
        <v/>
      </c>
    </row>
    <row r="88" ht="15.75" customHeight="1">
      <c r="A88">
        <f>IF(Table_18[[#This Row],[Part Name]]=0,"",Table_18[[#This Row],[Part Name]])</f>
        <v/>
      </c>
      <c r="I88">
        <f>LEN(TRIM(CLEAN(SUBSTITUTE(SUBSTITUTE(Table_18[[#This Row],[Sequence]],CHAR(160)," ")," ",""))))</f>
        <v/>
      </c>
      <c r="J88" s="17" t="n"/>
      <c r="K88" s="21" t="n"/>
      <c r="L88" s="21">
        <f>IF($B88="","FALSE","TRUE")</f>
        <v/>
      </c>
      <c r="M88">
        <f t="array" ref="M88">IsURL(Table_121215[[#This Row],[Data Source]])</f>
        <v/>
      </c>
      <c r="N88">
        <f t="array" ref="N88">IsURL(Table_121215[[#This Row],[DOI]])</f>
        <v/>
      </c>
      <c r="O88">
        <f t="array" ref="O88">IsURL(Table_121215[[#This Row],[Data Source]])</f>
        <v/>
      </c>
      <c r="P88">
        <f t="array" ref="P88">IsURL(Table_121215[[#This Row],[Data Source]])</f>
        <v/>
      </c>
    </row>
    <row r="89" ht="15.75" customHeight="1">
      <c r="A89">
        <f>IF(Table_18[[#This Row],[Part Name]]=0,"",Table_18[[#This Row],[Part Name]])</f>
        <v/>
      </c>
      <c r="I89">
        <f>LEN(TRIM(CLEAN(SUBSTITUTE(SUBSTITUTE(Table_18[[#This Row],[Sequence]],CHAR(160)," ")," ",""))))</f>
        <v/>
      </c>
      <c r="J89" s="17" t="n"/>
      <c r="K89" s="21" t="n"/>
      <c r="L89" s="21">
        <f>IF($B89="","FALSE","TRUE")</f>
        <v/>
      </c>
      <c r="M89">
        <f t="array" ref="M89">IsURL(Table_121215[[#This Row],[Data Source]])</f>
        <v/>
      </c>
      <c r="N89">
        <f t="array" ref="N89">IsURL(Table_121215[[#This Row],[DOI]])</f>
        <v/>
      </c>
      <c r="O89">
        <f t="array" ref="O89">IsURL(Table_121215[[#This Row],[Data Source]])</f>
        <v/>
      </c>
      <c r="P89">
        <f t="array" ref="P89">IsURL(Table_121215[[#This Row],[Data Source]])</f>
        <v/>
      </c>
    </row>
    <row r="90" ht="15.75" customHeight="1">
      <c r="A90">
        <f>IF(Table_18[[#This Row],[Part Name]]=0,"",Table_18[[#This Row],[Part Name]])</f>
        <v/>
      </c>
      <c r="I90">
        <f>LEN(TRIM(CLEAN(SUBSTITUTE(SUBSTITUTE(Table_18[[#This Row],[Sequence]],CHAR(160)," ")," ",""))))</f>
        <v/>
      </c>
      <c r="J90" s="17" t="n"/>
      <c r="K90" s="21" t="n"/>
      <c r="L90" s="21">
        <f>IF($B90="","FALSE","TRUE")</f>
        <v/>
      </c>
      <c r="M90">
        <f t="array" ref="M90">IsURL(Table_121215[[#This Row],[Data Source]])</f>
        <v/>
      </c>
      <c r="N90">
        <f t="array" ref="N90">IsURL(Table_121215[[#This Row],[DOI]])</f>
        <v/>
      </c>
      <c r="O90">
        <f t="array" ref="O90">IsURL(Table_121215[[#This Row],[Data Source]])</f>
        <v/>
      </c>
      <c r="P90">
        <f t="array" ref="P90">IsURL(Table_121215[[#This Row],[Data Source]])</f>
        <v/>
      </c>
    </row>
    <row r="91" ht="15.75" customHeight="1">
      <c r="A91">
        <f>IF(Table_18[[#This Row],[Part Name]]=0,"",Table_18[[#This Row],[Part Name]])</f>
        <v/>
      </c>
      <c r="I91">
        <f>LEN(TRIM(CLEAN(SUBSTITUTE(SUBSTITUTE(Table_18[[#This Row],[Sequence]],CHAR(160)," ")," ",""))))</f>
        <v/>
      </c>
      <c r="J91" s="17" t="n"/>
      <c r="K91" s="21" t="n"/>
      <c r="L91" s="21">
        <f>IF($B91="","FALSE","TRUE")</f>
        <v/>
      </c>
      <c r="M91">
        <f t="array" ref="M91">IsURL(Table_121215[[#This Row],[Data Source]])</f>
        <v/>
      </c>
      <c r="N91">
        <f t="array" ref="N91">IsURL(Table_121215[[#This Row],[DOI]])</f>
        <v/>
      </c>
      <c r="O91">
        <f t="array" ref="O91">IsURL(Table_121215[[#This Row],[Data Source]])</f>
        <v/>
      </c>
      <c r="P91">
        <f t="array" ref="P91">IsURL(Table_121215[[#This Row],[Data Source]])</f>
        <v/>
      </c>
    </row>
    <row r="92" ht="15.75" customHeight="1">
      <c r="A92">
        <f>IF(Table_18[[#This Row],[Part Name]]=0,"",Table_18[[#This Row],[Part Name]])</f>
        <v/>
      </c>
      <c r="I92">
        <f>LEN(TRIM(CLEAN(SUBSTITUTE(SUBSTITUTE(Table_18[[#This Row],[Sequence]],CHAR(160)," ")," ",""))))</f>
        <v/>
      </c>
      <c r="J92" s="17" t="n"/>
      <c r="K92" s="21" t="n"/>
      <c r="L92" s="21">
        <f>IF($B92="","FALSE","TRUE")</f>
        <v/>
      </c>
      <c r="M92">
        <f t="array" ref="M92">IsURL(Table_121215[[#This Row],[Data Source]])</f>
        <v/>
      </c>
      <c r="N92">
        <f t="array" ref="N92">IsURL(Table_121215[[#This Row],[DOI]])</f>
        <v/>
      </c>
      <c r="O92">
        <f t="array" ref="O92">IsURL(Table_121215[[#This Row],[Data Source]])</f>
        <v/>
      </c>
      <c r="P92">
        <f t="array" ref="P92">IsURL(Table_121215[[#This Row],[Data Source]])</f>
        <v/>
      </c>
    </row>
    <row r="93" ht="15.75" customHeight="1">
      <c r="A93">
        <f>IF(Table_18[[#This Row],[Part Name]]=0,"",Table_18[[#This Row],[Part Name]])</f>
        <v/>
      </c>
      <c r="I93">
        <f>LEN(TRIM(CLEAN(SUBSTITUTE(SUBSTITUTE(Table_18[[#This Row],[Sequence]],CHAR(160)," ")," ",""))))</f>
        <v/>
      </c>
      <c r="J93" s="17" t="n"/>
      <c r="K93" s="21" t="n"/>
      <c r="L93" s="21">
        <f>IF($B93="","FALSE","TRUE")</f>
        <v/>
      </c>
      <c r="M93">
        <f t="array" ref="M93">IsURL(Table_121215[[#This Row],[Data Source]])</f>
        <v/>
      </c>
      <c r="N93">
        <f t="array" ref="N93">IsURL(Table_121215[[#This Row],[DOI]])</f>
        <v/>
      </c>
      <c r="O93">
        <f t="array" ref="O93">IsURL(Table_121215[[#This Row],[Data Source]])</f>
        <v/>
      </c>
      <c r="P93">
        <f t="array" ref="P93">IsURL(Table_121215[[#This Row],[Data Source]])</f>
        <v/>
      </c>
    </row>
    <row r="94" ht="15.75" customHeight="1">
      <c r="A94">
        <f>IF(Table_18[[#This Row],[Part Name]]=0,"",Table_18[[#This Row],[Part Name]])</f>
        <v/>
      </c>
      <c r="I94">
        <f>LEN(TRIM(CLEAN(SUBSTITUTE(SUBSTITUTE(Table_18[[#This Row],[Sequence]],CHAR(160)," ")," ",""))))</f>
        <v/>
      </c>
      <c r="J94" s="17" t="n"/>
      <c r="K94" s="21" t="n"/>
      <c r="L94" s="21">
        <f>IF($B94="","FALSE","TRUE")</f>
        <v/>
      </c>
      <c r="M94">
        <f t="array" ref="M94">IsURL(Table_121215[[#This Row],[Data Source]])</f>
        <v/>
      </c>
      <c r="N94">
        <f t="array" ref="N94">IsURL(Table_121215[[#This Row],[DOI]])</f>
        <v/>
      </c>
      <c r="O94">
        <f t="array" ref="O94">IsURL(Table_121215[[#This Row],[Data Source]])</f>
        <v/>
      </c>
      <c r="P94">
        <f t="array" ref="P94">IsURL(Table_121215[[#This Row],[Data Source]])</f>
        <v/>
      </c>
    </row>
    <row r="95" ht="15.75" customHeight="1">
      <c r="A95">
        <f>IF(Table_18[[#This Row],[Part Name]]=0,"",Table_18[[#This Row],[Part Name]])</f>
        <v/>
      </c>
      <c r="I95">
        <f>LEN(TRIM(CLEAN(SUBSTITUTE(SUBSTITUTE(Table_18[[#This Row],[Sequence]],CHAR(160)," ")," ",""))))</f>
        <v/>
      </c>
      <c r="J95" s="17" t="n"/>
      <c r="K95" s="21" t="n"/>
      <c r="L95" s="21">
        <f>IF($B95="","FALSE","TRUE")</f>
        <v/>
      </c>
      <c r="M95">
        <f t="array" ref="M95">IsURL(Table_121215[[#This Row],[Data Source]])</f>
        <v/>
      </c>
      <c r="N95">
        <f t="array" ref="N95">IsURL(Table_121215[[#This Row],[DOI]])</f>
        <v/>
      </c>
      <c r="O95">
        <f t="array" ref="O95">IsURL(Table_121215[[#This Row],[Data Source]])</f>
        <v/>
      </c>
      <c r="P95">
        <f t="array" ref="P95">IsURL(Table_121215[[#This Row],[Data Source]])</f>
        <v/>
      </c>
    </row>
    <row r="96" ht="15.75" customHeight="1">
      <c r="A96">
        <f>IF(Table_18[[#This Row],[Part Name]]=0,"",Table_18[[#This Row],[Part Name]])</f>
        <v/>
      </c>
      <c r="I96">
        <f>LEN(TRIM(CLEAN(SUBSTITUTE(SUBSTITUTE(Table_18[[#This Row],[Sequence]],CHAR(160)," ")," ",""))))</f>
        <v/>
      </c>
      <c r="J96" s="17" t="n"/>
      <c r="K96" s="21" t="n"/>
      <c r="L96" s="21">
        <f>IF($B96="","FALSE","TRUE")</f>
        <v/>
      </c>
      <c r="M96">
        <f t="array" ref="M96">IsURL(Table_121215[[#This Row],[Data Source]])</f>
        <v/>
      </c>
      <c r="N96">
        <f t="array" ref="N96">IsURL(Table_121215[[#This Row],[DOI]])</f>
        <v/>
      </c>
      <c r="O96">
        <f t="array" ref="O96">IsURL(Table_121215[[#This Row],[Data Source]])</f>
        <v/>
      </c>
      <c r="P96">
        <f t="array" ref="P96">IsURL(Table_121215[[#This Row],[Data Source]])</f>
        <v/>
      </c>
    </row>
    <row r="97" ht="15.75" customHeight="1">
      <c r="A97">
        <f>IF(Table_18[[#This Row],[Part Name]]=0,"",Table_18[[#This Row],[Part Name]])</f>
        <v/>
      </c>
      <c r="I97">
        <f>LEN(TRIM(CLEAN(SUBSTITUTE(SUBSTITUTE(Table_18[[#This Row],[Sequence]],CHAR(160)," ")," ",""))))</f>
        <v/>
      </c>
      <c r="J97" s="17" t="n"/>
      <c r="K97" s="21" t="n"/>
      <c r="L97" s="21">
        <f>IF($B97="","FALSE","TRUE")</f>
        <v/>
      </c>
      <c r="M97">
        <f t="array" ref="M97">IsURL(Table_121215[[#This Row],[Data Source]])</f>
        <v/>
      </c>
      <c r="N97">
        <f t="array" ref="N97">IsURL(Table_121215[[#This Row],[DOI]])</f>
        <v/>
      </c>
      <c r="O97">
        <f t="array" ref="O97">IsURL(Table_121215[[#This Row],[Data Source]])</f>
        <v/>
      </c>
      <c r="P97">
        <f t="array" ref="P97">IsURL(Table_121215[[#This Row],[Data Source]])</f>
        <v/>
      </c>
    </row>
    <row r="98" ht="15.75" customHeight="1">
      <c r="A98">
        <f>IF(Table_18[[#This Row],[Part Name]]=0,"",Table_18[[#This Row],[Part Name]])</f>
        <v/>
      </c>
      <c r="I98">
        <f>LEN(TRIM(CLEAN(SUBSTITUTE(SUBSTITUTE(Table_18[[#This Row],[Sequence]],CHAR(160)," ")," ",""))))</f>
        <v/>
      </c>
      <c r="J98" s="17" t="n"/>
      <c r="K98" s="21" t="n"/>
      <c r="L98" s="21">
        <f>IF($B98="","FALSE","TRUE")</f>
        <v/>
      </c>
      <c r="M98">
        <f t="array" ref="M98">IsURL(Table_121215[[#This Row],[Data Source]])</f>
        <v/>
      </c>
      <c r="N98">
        <f t="array" ref="N98">IsURL(Table_121215[[#This Row],[DOI]])</f>
        <v/>
      </c>
      <c r="O98">
        <f t="array" ref="O98">IsURL(Table_121215[[#This Row],[Data Source]])</f>
        <v/>
      </c>
      <c r="P98">
        <f t="array" ref="P98">IsURL(Table_121215[[#This Row],[Data Source]])</f>
        <v/>
      </c>
    </row>
    <row r="99" ht="15.75" customHeight="1">
      <c r="A99">
        <f>IF(Table_18[[#This Row],[Part Name]]=0,"",Table_18[[#This Row],[Part Name]])</f>
        <v/>
      </c>
      <c r="I99">
        <f>LEN(TRIM(CLEAN(SUBSTITUTE(SUBSTITUTE(Table_18[[#This Row],[Sequence]],CHAR(160)," ")," ",""))))</f>
        <v/>
      </c>
      <c r="J99" s="17" t="n"/>
      <c r="K99" s="21" t="n"/>
      <c r="L99" s="21">
        <f>IF($B99="","FALSE","TRUE")</f>
        <v/>
      </c>
      <c r="M99">
        <f t="array" ref="M99">IsURL(Table_121215[[#This Row],[Data Source]])</f>
        <v/>
      </c>
      <c r="N99">
        <f t="array" ref="N99">IsURL(Table_121215[[#This Row],[DOI]])</f>
        <v/>
      </c>
      <c r="O99">
        <f t="array" ref="O99">IsURL(Table_121215[[#This Row],[Data Source]])</f>
        <v/>
      </c>
      <c r="P99">
        <f t="array" ref="P99">IsURL(Table_121215[[#This Row],[Data Source]])</f>
        <v/>
      </c>
    </row>
    <row r="100" ht="15.75" customHeight="1">
      <c r="A100">
        <f>IF(Table_18[[#This Row],[Part Name]]=0,"",Table_18[[#This Row],[Part Name]])</f>
        <v/>
      </c>
      <c r="I100">
        <f>LEN(TRIM(CLEAN(SUBSTITUTE(SUBSTITUTE(Table_18[[#This Row],[Sequence]],CHAR(160)," ")," ",""))))</f>
        <v/>
      </c>
      <c r="J100" s="17" t="n"/>
      <c r="K100" s="21" t="n"/>
      <c r="L100" s="21">
        <f>IF($B100="","FALSE","TRUE")</f>
        <v/>
      </c>
      <c r="M100">
        <f t="array" ref="M100">IsURL(Table_121215[[#This Row],[Data Source]])</f>
        <v/>
      </c>
      <c r="N100">
        <f t="array" ref="N100">IsURL(Table_121215[[#This Row],[DOI]])</f>
        <v/>
      </c>
      <c r="O100">
        <f t="array" ref="O100">IsURL(Table_121215[[#This Row],[Data Source]])</f>
        <v/>
      </c>
      <c r="P100">
        <f t="array" ref="P100">IsURL(Table_121215[[#This Row],[Data Source]])</f>
        <v/>
      </c>
    </row>
    <row r="101" ht="15.75" customHeight="1">
      <c r="A101">
        <f>IF(Table_18[[#This Row],[Part Name]]=0,"",Table_18[[#This Row],[Part Name]])</f>
        <v/>
      </c>
      <c r="I101">
        <f>LEN(TRIM(CLEAN(SUBSTITUTE(SUBSTITUTE(Table_18[[#This Row],[Sequence]],CHAR(160)," ")," ",""))))</f>
        <v/>
      </c>
      <c r="J101" s="17" t="n"/>
      <c r="K101" s="21" t="n"/>
      <c r="L101" s="21">
        <f>IF($B101="","FALSE","TRUE")</f>
        <v/>
      </c>
      <c r="M101">
        <f t="array" ref="M101">IsURL(Table_121215[[#This Row],[Data Source]])</f>
        <v/>
      </c>
      <c r="N101">
        <f t="array" ref="N101">IsURL(Table_121215[[#This Row],[DOI]])</f>
        <v/>
      </c>
      <c r="O101">
        <f t="array" ref="O101">IsURL(Table_121215[[#This Row],[Data Source]])</f>
        <v/>
      </c>
      <c r="P101">
        <f t="array" ref="P101">IsURL(Table_121215[[#This Row],[Data Source]])</f>
        <v/>
      </c>
    </row>
    <row r="102" ht="15.75" customHeight="1">
      <c r="A102">
        <f>IF(Table_18[[#This Row],[Part Name]]=0,"",Table_18[[#This Row],[Part Name]])</f>
        <v/>
      </c>
      <c r="I102">
        <f>LEN(TRIM(CLEAN(SUBSTITUTE(SUBSTITUTE(Table_18[[#This Row],[Sequence]],CHAR(160)," ")," ",""))))</f>
        <v/>
      </c>
      <c r="J102" s="17" t="n"/>
      <c r="K102" s="21" t="n"/>
      <c r="L102" s="21">
        <f>IF($B102="","FALSE","TRUE")</f>
        <v/>
      </c>
      <c r="M102">
        <f t="array" ref="M102">IsURL(Table_121215[[#This Row],[Data Source]])</f>
        <v/>
      </c>
      <c r="N102">
        <f t="array" ref="N102">IsURL(Table_121215[[#This Row],[DOI]])</f>
        <v/>
      </c>
      <c r="O102">
        <f t="array" ref="O102">IsURL(Table_121215[[#This Row],[Data Source]])</f>
        <v/>
      </c>
      <c r="P102">
        <f t="array" ref="P102">IsURL(Table_121215[[#This Row],[Data Source]])</f>
        <v/>
      </c>
    </row>
    <row r="103" ht="15.75" customHeight="1">
      <c r="A103">
        <f>IF(Table_18[[#This Row],[Part Name]]=0,"",Table_18[[#This Row],[Part Name]])</f>
        <v/>
      </c>
      <c r="I103">
        <f>LEN(TRIM(CLEAN(SUBSTITUTE(SUBSTITUTE(Table_18[[#This Row],[Sequence]],CHAR(160)," ")," ",""))))</f>
        <v/>
      </c>
      <c r="J103" s="17" t="n"/>
      <c r="K103" s="21" t="n"/>
      <c r="L103" s="21">
        <f>IF($B103="","FALSE","TRUE")</f>
        <v/>
      </c>
      <c r="M103">
        <f t="array" ref="M103">IsURL(Table_121215[[#This Row],[Data Source]])</f>
        <v/>
      </c>
      <c r="N103">
        <f t="array" ref="N103">IsURL(Table_121215[[#This Row],[DOI]])</f>
        <v/>
      </c>
      <c r="O103">
        <f t="array" ref="O103">IsURL(Table_121215[[#This Row],[Data Source]])</f>
        <v/>
      </c>
      <c r="P103">
        <f t="array" ref="P103">IsURL(Table_121215[[#This Row],[Data Source]])</f>
        <v/>
      </c>
    </row>
    <row r="104" ht="15.75" customHeight="1">
      <c r="A104">
        <f>IF(Table_18[[#This Row],[Part Name]]=0,"",Table_18[[#This Row],[Part Name]])</f>
        <v/>
      </c>
      <c r="I104">
        <f>LEN(TRIM(CLEAN(SUBSTITUTE(SUBSTITUTE(Table_18[[#This Row],[Sequence]],CHAR(160)," ")," ",""))))</f>
        <v/>
      </c>
      <c r="J104" s="17" t="n"/>
      <c r="K104" s="21" t="n"/>
      <c r="L104" s="21">
        <f>IF($B104="","FALSE","TRUE")</f>
        <v/>
      </c>
      <c r="M104">
        <f t="array" ref="M104">IsURL(Table_121215[[#This Row],[Data Source]])</f>
        <v/>
      </c>
      <c r="N104">
        <f t="array" ref="N104">IsURL(Table_121215[[#This Row],[DOI]])</f>
        <v/>
      </c>
      <c r="O104">
        <f t="array" ref="O104">IsURL(Table_121215[[#This Row],[Data Source]])</f>
        <v/>
      </c>
      <c r="P104">
        <f t="array" ref="P104">IsURL(Table_121215[[#This Row],[Data Source]])</f>
        <v/>
      </c>
    </row>
    <row r="105" ht="15.75" customHeight="1">
      <c r="A105">
        <f>IF(Table_18[[#This Row],[Part Name]]=0,"",Table_18[[#This Row],[Part Name]])</f>
        <v/>
      </c>
      <c r="I105">
        <f>LEN(TRIM(CLEAN(SUBSTITUTE(SUBSTITUTE(Table_18[[#This Row],[Sequence]],CHAR(160)," ")," ",""))))</f>
        <v/>
      </c>
      <c r="J105" s="17" t="n"/>
      <c r="K105" s="21" t="n"/>
      <c r="L105" s="21">
        <f>IF($B105="","FALSE","TRUE")</f>
        <v/>
      </c>
      <c r="M105">
        <f t="array" ref="M105">IsURL(Table_121215[[#This Row],[Data Source]])</f>
        <v/>
      </c>
      <c r="N105">
        <f t="array" ref="N105">IsURL(Table_121215[[#This Row],[DOI]])</f>
        <v/>
      </c>
      <c r="O105">
        <f t="array" ref="O105">IsURL(Table_121215[[#This Row],[Data Source]])</f>
        <v/>
      </c>
      <c r="P105">
        <f t="array" ref="P105">IsURL(Table_121215[[#This Row],[Data Source]])</f>
        <v/>
      </c>
    </row>
    <row r="106" ht="15.75" customHeight="1">
      <c r="A106">
        <f>IF(Table_18[[#This Row],[Part Name]]=0,"",Table_18[[#This Row],[Part Name]])</f>
        <v/>
      </c>
      <c r="I106">
        <f>LEN(TRIM(CLEAN(SUBSTITUTE(SUBSTITUTE(Table_18[[#This Row],[Sequence]],CHAR(160)," ")," ",""))))</f>
        <v/>
      </c>
      <c r="J106" s="17" t="n"/>
      <c r="K106" s="21" t="n"/>
      <c r="L106" s="21">
        <f>IF($B106="","FALSE","TRUE")</f>
        <v/>
      </c>
      <c r="M106">
        <f t="array" ref="M106">IsURL(Table_121215[[#This Row],[Data Source]])</f>
        <v/>
      </c>
      <c r="N106">
        <f t="array" ref="N106">IsURL(Table_121215[[#This Row],[DOI]])</f>
        <v/>
      </c>
      <c r="O106">
        <f t="array" ref="O106">IsURL(Table_121215[[#This Row],[Data Source]])</f>
        <v/>
      </c>
      <c r="P106">
        <f t="array" ref="P106">IsURL(Table_121215[[#This Row],[Data Source]])</f>
        <v/>
      </c>
    </row>
    <row r="107" ht="15.75" customHeight="1">
      <c r="A107">
        <f>IF(Table_18[[#This Row],[Part Name]]=0,"",Table_18[[#This Row],[Part Name]])</f>
        <v/>
      </c>
      <c r="I107">
        <f>LEN(TRIM(CLEAN(SUBSTITUTE(SUBSTITUTE(Table_18[[#This Row],[Sequence]],CHAR(160)," ")," ",""))))</f>
        <v/>
      </c>
      <c r="J107" s="17" t="n"/>
      <c r="K107" s="21" t="n"/>
      <c r="L107" s="21">
        <f>IF($B107="","FALSE","TRUE")</f>
        <v/>
      </c>
      <c r="M107">
        <f t="array" ref="M107">IsURL(Table_121215[[#This Row],[Data Source]])</f>
        <v/>
      </c>
      <c r="N107">
        <f t="array" ref="N107">IsURL(Table_121215[[#This Row],[DOI]])</f>
        <v/>
      </c>
      <c r="O107">
        <f t="array" ref="O107">IsURL(Table_121215[[#This Row],[Data Source]])</f>
        <v/>
      </c>
      <c r="P107">
        <f t="array" ref="P107">IsURL(Table_121215[[#This Row],[Data Source]])</f>
        <v/>
      </c>
    </row>
    <row r="108" ht="15.75" customHeight="1">
      <c r="A108">
        <f>IF(Table_18[[#This Row],[Part Name]]=0,"",Table_18[[#This Row],[Part Name]])</f>
        <v/>
      </c>
      <c r="I108">
        <f>LEN(TRIM(CLEAN(SUBSTITUTE(SUBSTITUTE(Table_18[[#This Row],[Sequence]],CHAR(160)," ")," ",""))))</f>
        <v/>
      </c>
      <c r="J108" s="17" t="n"/>
      <c r="K108" s="21" t="n"/>
      <c r="L108" s="21">
        <f>IF($B108="","FALSE","TRUE")</f>
        <v/>
      </c>
      <c r="M108">
        <f t="array" ref="M108">IsURL(Table_121215[[#This Row],[Data Source]])</f>
        <v/>
      </c>
      <c r="N108">
        <f t="array" ref="N108">IsURL(Table_121215[[#This Row],[DOI]])</f>
        <v/>
      </c>
      <c r="O108">
        <f t="array" ref="O108">IsURL(Table_121215[[#This Row],[Data Source]])</f>
        <v/>
      </c>
      <c r="P108">
        <f t="array" ref="P108">IsURL(Table_121215[[#This Row],[Data Source]])</f>
        <v/>
      </c>
    </row>
    <row r="109" ht="15.75" customHeight="1">
      <c r="A109">
        <f>IF(Table_18[[#This Row],[Part Name]]=0,"",Table_18[[#This Row],[Part Name]])</f>
        <v/>
      </c>
      <c r="I109">
        <f>LEN(TRIM(CLEAN(SUBSTITUTE(SUBSTITUTE(Table_18[[#This Row],[Sequence]],CHAR(160)," ")," ",""))))</f>
        <v/>
      </c>
      <c r="J109" s="17" t="n"/>
      <c r="K109" s="21" t="n"/>
      <c r="L109" s="21">
        <f>IF($B109="","FALSE","TRUE")</f>
        <v/>
      </c>
      <c r="M109">
        <f t="array" ref="M109">IsURL(Table_121215[[#This Row],[Data Source]])</f>
        <v/>
      </c>
      <c r="N109">
        <f t="array" ref="N109">IsURL(Table_121215[[#This Row],[DOI]])</f>
        <v/>
      </c>
      <c r="O109">
        <f t="array" ref="O109">IsURL(Table_121215[[#This Row],[Data Source]])</f>
        <v/>
      </c>
      <c r="P109">
        <f t="array" ref="P109">IsURL(Table_121215[[#This Row],[Data Source]])</f>
        <v/>
      </c>
    </row>
    <row r="110" ht="15.75" customHeight="1">
      <c r="A110">
        <f>IF(Table_18[[#This Row],[Part Name]]=0,"",Table_18[[#This Row],[Part Name]])</f>
        <v/>
      </c>
      <c r="I110">
        <f>LEN(TRIM(CLEAN(SUBSTITUTE(SUBSTITUTE(Table_18[[#This Row],[Sequence]],CHAR(160)," ")," ",""))))</f>
        <v/>
      </c>
      <c r="J110" s="17" t="n"/>
      <c r="K110" s="21" t="n"/>
      <c r="L110" s="21">
        <f>IF($B110="","FALSE","TRUE")</f>
        <v/>
      </c>
      <c r="M110">
        <f t="array" ref="M110">IsURL(Table_121215[[#This Row],[Data Source]])</f>
        <v/>
      </c>
      <c r="N110">
        <f t="array" ref="N110">IsURL(Table_121215[[#This Row],[DOI]])</f>
        <v/>
      </c>
      <c r="O110">
        <f t="array" ref="O110">IsURL(Table_121215[[#This Row],[Data Source]])</f>
        <v/>
      </c>
      <c r="P110">
        <f t="array" ref="P110">IsURL(Table_121215[[#This Row],[Data Source]])</f>
        <v/>
      </c>
    </row>
    <row r="111" ht="15.75" customHeight="1">
      <c r="A111">
        <f>IF(Table_18[[#This Row],[Part Name]]=0,"",Table_18[[#This Row],[Part Name]])</f>
        <v/>
      </c>
      <c r="I111">
        <f>LEN(TRIM(CLEAN(SUBSTITUTE(SUBSTITUTE(Table_18[[#This Row],[Sequence]],CHAR(160)," ")," ",""))))</f>
        <v/>
      </c>
      <c r="J111" s="17" t="n"/>
      <c r="K111" s="21" t="n"/>
      <c r="L111" s="21">
        <f>IF($B111="","FALSE","TRUE")</f>
        <v/>
      </c>
      <c r="M111">
        <f t="array" ref="M111">IsURL(Table_121215[[#This Row],[Data Source]])</f>
        <v/>
      </c>
      <c r="N111">
        <f t="array" ref="N111">IsURL(Table_121215[[#This Row],[DOI]])</f>
        <v/>
      </c>
      <c r="O111">
        <f t="array" ref="O111">IsURL(Table_121215[[#This Row],[Data Source]])</f>
        <v/>
      </c>
      <c r="P111">
        <f t="array" ref="P111">IsURL(Table_121215[[#This Row],[Data Source]])</f>
        <v/>
      </c>
    </row>
    <row r="112" ht="15.75" customHeight="1">
      <c r="A112">
        <f>IF(Table_18[[#This Row],[Part Name]]=0,"",Table_18[[#This Row],[Part Name]])</f>
        <v/>
      </c>
      <c r="I112">
        <f>LEN(TRIM(CLEAN(SUBSTITUTE(SUBSTITUTE(Table_18[[#This Row],[Sequence]],CHAR(160)," ")," ",""))))</f>
        <v/>
      </c>
      <c r="J112" s="17" t="n"/>
      <c r="K112" s="21" t="n"/>
      <c r="L112" s="21">
        <f>IF($B112="","FALSE","TRUE")</f>
        <v/>
      </c>
      <c r="M112">
        <f t="array" ref="M112">IsURL(Table_121215[[#This Row],[Data Source]])</f>
        <v/>
      </c>
      <c r="N112">
        <f t="array" ref="N112">IsURL(Table_121215[[#This Row],[DOI]])</f>
        <v/>
      </c>
      <c r="O112">
        <f t="array" ref="O112">IsURL(Table_121215[[#This Row],[Data Source]])</f>
        <v/>
      </c>
      <c r="P112">
        <f t="array" ref="P112">IsURL(Table_121215[[#This Row],[Data Source]])</f>
        <v/>
      </c>
    </row>
    <row r="113" ht="15.75" customHeight="1">
      <c r="A113">
        <f>IF(Table_18[[#This Row],[Part Name]]=0,"",Table_18[[#This Row],[Part Name]])</f>
        <v/>
      </c>
      <c r="I113">
        <f>LEN(TRIM(CLEAN(SUBSTITUTE(SUBSTITUTE(Table_18[[#This Row],[Sequence]],CHAR(160)," ")," ",""))))</f>
        <v/>
      </c>
      <c r="J113" s="17" t="n"/>
      <c r="K113" s="21" t="n"/>
      <c r="L113" s="21">
        <f>IF($B113="","FALSE","TRUE")</f>
        <v/>
      </c>
      <c r="M113">
        <f t="array" ref="M113">IsURL(Table_121215[[#This Row],[Data Source]])</f>
        <v/>
      </c>
      <c r="N113">
        <f t="array" ref="N113">IsURL(Table_121215[[#This Row],[DOI]])</f>
        <v/>
      </c>
      <c r="O113">
        <f t="array" ref="O113">IsURL(Table_121215[[#This Row],[Data Source]])</f>
        <v/>
      </c>
      <c r="P113">
        <f t="array" ref="P113">IsURL(Table_121215[[#This Row],[Data Source]])</f>
        <v/>
      </c>
    </row>
    <row r="114" ht="15.75" customHeight="1">
      <c r="A114">
        <f>IF(Table_18[[#This Row],[Part Name]]=0,"",Table_18[[#This Row],[Part Name]])</f>
        <v/>
      </c>
      <c r="I114">
        <f>LEN(TRIM(CLEAN(SUBSTITUTE(SUBSTITUTE(Table_18[[#This Row],[Sequence]],CHAR(160)," ")," ",""))))</f>
        <v/>
      </c>
      <c r="J114" s="17" t="n"/>
      <c r="K114" s="21" t="n"/>
      <c r="L114" s="21">
        <f>IF($B114="","FALSE","TRUE")</f>
        <v/>
      </c>
      <c r="M114">
        <f t="array" ref="M114">IsURL(Table_121215[[#This Row],[Data Source]])</f>
        <v/>
      </c>
      <c r="N114">
        <f t="array" ref="N114">IsURL(Table_121215[[#This Row],[DOI]])</f>
        <v/>
      </c>
      <c r="O114">
        <f t="array" ref="O114">IsURL(Table_121215[[#This Row],[Data Source]])</f>
        <v/>
      </c>
      <c r="P114">
        <f t="array" ref="P114">IsURL(Table_121215[[#This Row],[Data Source]])</f>
        <v/>
      </c>
    </row>
    <row r="115" ht="15.75" customHeight="1">
      <c r="A115">
        <f>IF(Table_18[[#This Row],[Part Name]]=0,"",Table_18[[#This Row],[Part Name]])</f>
        <v/>
      </c>
      <c r="I115">
        <f>LEN(TRIM(CLEAN(SUBSTITUTE(SUBSTITUTE(Table_18[[#This Row],[Sequence]],CHAR(160)," ")," ",""))))</f>
        <v/>
      </c>
      <c r="J115" s="17" t="n"/>
      <c r="K115" s="21" t="n"/>
      <c r="L115" s="21">
        <f>IF($B115="","FALSE","TRUE")</f>
        <v/>
      </c>
      <c r="M115">
        <f t="array" ref="M115">IsURL(Table_121215[[#This Row],[Data Source]])</f>
        <v/>
      </c>
      <c r="N115">
        <f t="array" ref="N115">IsURL(Table_121215[[#This Row],[DOI]])</f>
        <v/>
      </c>
      <c r="O115">
        <f t="array" ref="O115">IsURL(Table_121215[[#This Row],[Data Source]])</f>
        <v/>
      </c>
      <c r="P115">
        <f t="array" ref="P115">IsURL(Table_121215[[#This Row],[Data Source]])</f>
        <v/>
      </c>
    </row>
    <row r="116" ht="15.75" customHeight="1">
      <c r="A116">
        <f>IF(Table_18[[#This Row],[Part Name]]=0,"",Table_18[[#This Row],[Part Name]])</f>
        <v/>
      </c>
      <c r="I116">
        <f>LEN(TRIM(CLEAN(SUBSTITUTE(SUBSTITUTE(Table_18[[#This Row],[Sequence]],CHAR(160)," ")," ",""))))</f>
        <v/>
      </c>
      <c r="J116" s="17" t="n"/>
      <c r="K116" s="21" t="n"/>
      <c r="L116" s="21">
        <f>IF($B116="","FALSE","TRUE")</f>
        <v/>
      </c>
      <c r="M116">
        <f t="array" ref="M116">IsURL(Table_121215[[#This Row],[Data Source]])</f>
        <v/>
      </c>
      <c r="N116">
        <f t="array" ref="N116">IsURL(Table_121215[[#This Row],[DOI]])</f>
        <v/>
      </c>
      <c r="O116">
        <f t="array" ref="O116">IsURL(Table_121215[[#This Row],[Data Source]])</f>
        <v/>
      </c>
      <c r="P116">
        <f t="array" ref="P116">IsURL(Table_121215[[#This Row],[Data Source]])</f>
        <v/>
      </c>
    </row>
    <row r="117" ht="15.75" customHeight="1">
      <c r="A117">
        <f>IF(Table_18[[#This Row],[Part Name]]=0,"",Table_18[[#This Row],[Part Name]])</f>
        <v/>
      </c>
      <c r="I117">
        <f>LEN(TRIM(CLEAN(SUBSTITUTE(SUBSTITUTE(Table_18[[#This Row],[Sequence]],CHAR(160)," ")," ",""))))</f>
        <v/>
      </c>
      <c r="J117" s="17" t="n"/>
      <c r="K117" s="21" t="n"/>
      <c r="L117" s="21">
        <f>IF($B117="","FALSE","TRUE")</f>
        <v/>
      </c>
      <c r="M117">
        <f t="array" ref="M117">IsURL(Table_121215[[#This Row],[Data Source]])</f>
        <v/>
      </c>
      <c r="N117">
        <f t="array" ref="N117">IsURL(Table_121215[[#This Row],[DOI]])</f>
        <v/>
      </c>
      <c r="O117">
        <f t="array" ref="O117">IsURL(Table_121215[[#This Row],[Data Source]])</f>
        <v/>
      </c>
      <c r="P117">
        <f t="array" ref="P117">IsURL(Table_121215[[#This Row],[Data Source]])</f>
        <v/>
      </c>
    </row>
    <row r="118" ht="15.75" customHeight="1">
      <c r="A118">
        <f>IF(Table_18[[#This Row],[Part Name]]=0,"",Table_18[[#This Row],[Part Name]])</f>
        <v/>
      </c>
      <c r="I118">
        <f>LEN(TRIM(CLEAN(SUBSTITUTE(SUBSTITUTE(Table_18[[#This Row],[Sequence]],CHAR(160)," ")," ",""))))</f>
        <v/>
      </c>
      <c r="J118" s="17" t="n"/>
      <c r="K118" s="21" t="n"/>
      <c r="L118" s="21">
        <f>IF($B118="","FALSE","TRUE")</f>
        <v/>
      </c>
      <c r="M118">
        <f t="array" ref="M118">IsURL(Table_121215[[#This Row],[Data Source]])</f>
        <v/>
      </c>
      <c r="N118">
        <f t="array" ref="N118">IsURL(Table_121215[[#This Row],[DOI]])</f>
        <v/>
      </c>
      <c r="O118">
        <f t="array" ref="O118">IsURL(Table_121215[[#This Row],[Data Source]])</f>
        <v/>
      </c>
      <c r="P118">
        <f t="array" ref="P118">IsURL(Table_121215[[#This Row],[Data Source]])</f>
        <v/>
      </c>
    </row>
    <row r="119" ht="15.75" customHeight="1">
      <c r="A119">
        <f>IF(Table_18[[#This Row],[Part Name]]=0,"",Table_18[[#This Row],[Part Name]])</f>
        <v/>
      </c>
      <c r="I119">
        <f>LEN(TRIM(CLEAN(SUBSTITUTE(SUBSTITUTE(Table_18[[#This Row],[Sequence]],CHAR(160)," ")," ",""))))</f>
        <v/>
      </c>
      <c r="J119" s="17" t="n"/>
      <c r="K119" s="21" t="n"/>
      <c r="L119" s="21">
        <f>IF($B119="","FALSE","TRUE")</f>
        <v/>
      </c>
      <c r="M119">
        <f t="array" ref="M119">IsURL(Table_121215[[#This Row],[Data Source]])</f>
        <v/>
      </c>
      <c r="N119">
        <f t="array" ref="N119">IsURL(Table_121215[[#This Row],[DOI]])</f>
        <v/>
      </c>
      <c r="O119">
        <f t="array" ref="O119">IsURL(Table_121215[[#This Row],[Data Source]])</f>
        <v/>
      </c>
      <c r="P119">
        <f t="array" ref="P119">IsURL(Table_121215[[#This Row],[Data Source]])</f>
        <v/>
      </c>
    </row>
    <row r="120" ht="15.75" customHeight="1">
      <c r="A120">
        <f>IF(Table_18[[#This Row],[Part Name]]=0,"",Table_18[[#This Row],[Part Name]])</f>
        <v/>
      </c>
      <c r="I120">
        <f>LEN(TRIM(CLEAN(SUBSTITUTE(SUBSTITUTE(Table_18[[#This Row],[Sequence]],CHAR(160)," ")," ",""))))</f>
        <v/>
      </c>
      <c r="J120" s="17" t="n"/>
      <c r="K120" s="21" t="n"/>
      <c r="L120" s="21">
        <f>IF($B120="","FALSE","TRUE")</f>
        <v/>
      </c>
      <c r="M120">
        <f t="array" ref="M120">IsURL(Table_121215[[#This Row],[Data Source]])</f>
        <v/>
      </c>
      <c r="N120">
        <f t="array" ref="N120">IsURL(Table_121215[[#This Row],[DOI]])</f>
        <v/>
      </c>
      <c r="O120">
        <f t="array" ref="O120">IsURL(Table_121215[[#This Row],[Data Source]])</f>
        <v/>
      </c>
      <c r="P120">
        <f t="array" ref="P120">IsURL(Table_121215[[#This Row],[Data Source]])</f>
        <v/>
      </c>
    </row>
    <row r="121" ht="15.75" customHeight="1">
      <c r="A121">
        <f>IF(Table_18[[#This Row],[Part Name]]=0,"",Table_18[[#This Row],[Part Name]])</f>
        <v/>
      </c>
      <c r="I121">
        <f>LEN(TRIM(CLEAN(SUBSTITUTE(SUBSTITUTE(Table_18[[#This Row],[Sequence]],CHAR(160)," ")," ",""))))</f>
        <v/>
      </c>
      <c r="J121" s="17" t="n"/>
      <c r="K121" s="21" t="n"/>
      <c r="L121" s="21">
        <f>IF($B121="","FALSE","TRUE")</f>
        <v/>
      </c>
      <c r="M121">
        <f t="array" ref="M121">IsURL(Table_121215[[#This Row],[Data Source]])</f>
        <v/>
      </c>
      <c r="N121">
        <f t="array" ref="N121">IsURL(Table_121215[[#This Row],[DOI]])</f>
        <v/>
      </c>
      <c r="O121">
        <f t="array" ref="O121">IsURL(Table_121215[[#This Row],[Data Source]])</f>
        <v/>
      </c>
      <c r="P121">
        <f t="array" ref="P121">IsURL(Table_121215[[#This Row],[Data Source]])</f>
        <v/>
      </c>
    </row>
    <row r="122" ht="15.75" customHeight="1">
      <c r="A122">
        <f>IF(Table_18[[#This Row],[Part Name]]=0,"",Table_18[[#This Row],[Part Name]])</f>
        <v/>
      </c>
      <c r="I122">
        <f>LEN(TRIM(CLEAN(SUBSTITUTE(SUBSTITUTE(Table_18[[#This Row],[Sequence]],CHAR(160)," ")," ",""))))</f>
        <v/>
      </c>
      <c r="J122" s="17" t="n"/>
      <c r="K122" s="21" t="n"/>
      <c r="L122" s="21">
        <f>IF($B122="","FALSE","TRUE")</f>
        <v/>
      </c>
      <c r="M122">
        <f t="array" ref="M122">IsURL(Table_121215[[#This Row],[Data Source]])</f>
        <v/>
      </c>
      <c r="N122">
        <f t="array" ref="N122">IsURL(Table_121215[[#This Row],[DOI]])</f>
        <v/>
      </c>
      <c r="O122">
        <f t="array" ref="O122">IsURL(Table_121215[[#This Row],[Data Source]])</f>
        <v/>
      </c>
      <c r="P122">
        <f t="array" ref="P122">IsURL(Table_121215[[#This Row],[Data Source]])</f>
        <v/>
      </c>
    </row>
    <row r="123" ht="15.75" customHeight="1">
      <c r="A123">
        <f>IF(Table_18[[#This Row],[Part Name]]=0,"",Table_18[[#This Row],[Part Name]])</f>
        <v/>
      </c>
      <c r="I123">
        <f>LEN(TRIM(CLEAN(SUBSTITUTE(SUBSTITUTE(Table_18[[#This Row],[Sequence]],CHAR(160)," ")," ",""))))</f>
        <v/>
      </c>
      <c r="J123" s="17" t="n"/>
      <c r="K123" s="21" t="n"/>
      <c r="L123" s="21">
        <f>IF($B123="","FALSE","TRUE")</f>
        <v/>
      </c>
      <c r="M123">
        <f t="array" ref="M123">IsURL(Table_121215[[#This Row],[Data Source]])</f>
        <v/>
      </c>
      <c r="N123">
        <f t="array" ref="N123">IsURL(Table_121215[[#This Row],[DOI]])</f>
        <v/>
      </c>
      <c r="O123">
        <f t="array" ref="O123">IsURL(Table_121215[[#This Row],[Data Source]])</f>
        <v/>
      </c>
      <c r="P123">
        <f t="array" ref="P123">IsURL(Table_121215[[#This Row],[Data Source]])</f>
        <v/>
      </c>
    </row>
    <row r="124" ht="15.75" customHeight="1">
      <c r="A124">
        <f>IF(Table_18[[#This Row],[Part Name]]=0,"",Table_18[[#This Row],[Part Name]])</f>
        <v/>
      </c>
      <c r="I124">
        <f>LEN(TRIM(CLEAN(SUBSTITUTE(SUBSTITUTE(Table_18[[#This Row],[Sequence]],CHAR(160)," ")," ",""))))</f>
        <v/>
      </c>
      <c r="J124" s="17" t="n"/>
      <c r="K124" s="21" t="n"/>
      <c r="L124" s="21">
        <f>IF($B124="","FALSE","TRUE")</f>
        <v/>
      </c>
      <c r="M124">
        <f t="array" ref="M124">IsURL(Table_121215[[#This Row],[Data Source]])</f>
        <v/>
      </c>
      <c r="N124">
        <f t="array" ref="N124">IsURL(Table_121215[[#This Row],[DOI]])</f>
        <v/>
      </c>
      <c r="O124">
        <f t="array" ref="O124">IsURL(Table_121215[[#This Row],[Data Source]])</f>
        <v/>
      </c>
      <c r="P124">
        <f t="array" ref="P124">IsURL(Table_121215[[#This Row],[Data Source]])</f>
        <v/>
      </c>
    </row>
    <row r="125" ht="15.75" customHeight="1">
      <c r="A125">
        <f>IF(Table_18[[#This Row],[Part Name]]=0,"",Table_18[[#This Row],[Part Name]])</f>
        <v/>
      </c>
      <c r="I125">
        <f>LEN(TRIM(CLEAN(SUBSTITUTE(SUBSTITUTE(Table_18[[#This Row],[Sequence]],CHAR(160)," ")," ",""))))</f>
        <v/>
      </c>
      <c r="J125" s="17" t="n"/>
      <c r="K125" s="21" t="n"/>
      <c r="L125" s="21">
        <f>IF($B125="","FALSE","TRUE")</f>
        <v/>
      </c>
      <c r="M125">
        <f t="array" ref="M125">IsURL(Table_121215[[#This Row],[Data Source]])</f>
        <v/>
      </c>
      <c r="N125">
        <f t="array" ref="N125">IsURL(Table_121215[[#This Row],[DOI]])</f>
        <v/>
      </c>
      <c r="O125">
        <f t="array" ref="O125">IsURL(Table_121215[[#This Row],[Data Source]])</f>
        <v/>
      </c>
      <c r="P125">
        <f t="array" ref="P125">IsURL(Table_121215[[#This Row],[Data Source]])</f>
        <v/>
      </c>
    </row>
    <row r="126" ht="15.75" customHeight="1">
      <c r="A126">
        <f>IF(Table_18[[#This Row],[Part Name]]=0,"",Table_18[[#This Row],[Part Name]])</f>
        <v/>
      </c>
      <c r="I126">
        <f>LEN(TRIM(CLEAN(SUBSTITUTE(SUBSTITUTE(Table_18[[#This Row],[Sequence]],CHAR(160)," ")," ",""))))</f>
        <v/>
      </c>
      <c r="J126" s="17" t="n"/>
      <c r="K126" s="21" t="n"/>
      <c r="L126" s="21">
        <f>IF($B126="","FALSE","TRUE")</f>
        <v/>
      </c>
      <c r="M126">
        <f t="array" ref="M126">IsURL(Table_121215[[#This Row],[Data Source]])</f>
        <v/>
      </c>
      <c r="N126">
        <f t="array" ref="N126">IsURL(Table_121215[[#This Row],[DOI]])</f>
        <v/>
      </c>
      <c r="O126">
        <f t="array" ref="O126">IsURL(Table_121215[[#This Row],[Data Source]])</f>
        <v/>
      </c>
      <c r="P126">
        <f t="array" ref="P126">IsURL(Table_121215[[#This Row],[Data Source]])</f>
        <v/>
      </c>
    </row>
    <row r="127" ht="15.75" customHeight="1">
      <c r="A127">
        <f>IF(Table_18[[#This Row],[Part Name]]=0,"",Table_18[[#This Row],[Part Name]])</f>
        <v/>
      </c>
      <c r="I127">
        <f>LEN(TRIM(CLEAN(SUBSTITUTE(SUBSTITUTE(Table_18[[#This Row],[Sequence]],CHAR(160)," ")," ",""))))</f>
        <v/>
      </c>
      <c r="J127" s="17" t="n"/>
      <c r="K127" s="21" t="n"/>
      <c r="L127" s="21">
        <f>IF($B127="","FALSE","TRUE")</f>
        <v/>
      </c>
      <c r="M127">
        <f t="array" ref="M127">IsURL(Table_121215[[#This Row],[Data Source]])</f>
        <v/>
      </c>
      <c r="N127">
        <f t="array" ref="N127">IsURL(Table_121215[[#This Row],[DOI]])</f>
        <v/>
      </c>
      <c r="O127">
        <f t="array" ref="O127">IsURL(Table_121215[[#This Row],[Data Source]])</f>
        <v/>
      </c>
      <c r="P127">
        <f t="array" ref="P127">IsURL(Table_121215[[#This Row],[Data Source]])</f>
        <v/>
      </c>
    </row>
    <row r="128" ht="15.75" customHeight="1">
      <c r="A128">
        <f>IF(Table_18[[#This Row],[Part Name]]=0,"",Table_18[[#This Row],[Part Name]])</f>
        <v/>
      </c>
      <c r="I128">
        <f>LEN(TRIM(CLEAN(SUBSTITUTE(SUBSTITUTE(Table_18[[#This Row],[Sequence]],CHAR(160)," ")," ",""))))</f>
        <v/>
      </c>
      <c r="J128" s="17" t="n"/>
      <c r="K128" s="21" t="n"/>
      <c r="L128" s="21">
        <f>IF($B128="","FALSE","TRUE")</f>
        <v/>
      </c>
      <c r="M128">
        <f t="array" ref="M128">IsURL(Table_121215[[#This Row],[Data Source]])</f>
        <v/>
      </c>
      <c r="N128">
        <f t="array" ref="N128">IsURL(Table_121215[[#This Row],[DOI]])</f>
        <v/>
      </c>
      <c r="O128">
        <f t="array" ref="O128">IsURL(Table_121215[[#This Row],[Data Source]])</f>
        <v/>
      </c>
      <c r="P128">
        <f t="array" ref="P128">IsURL(Table_121215[[#This Row],[Data Source]])</f>
        <v/>
      </c>
    </row>
    <row r="129" ht="15.75" customHeight="1">
      <c r="A129">
        <f>IF(Table_18[[#This Row],[Part Name]]=0,"",Table_18[[#This Row],[Part Name]])</f>
        <v/>
      </c>
      <c r="I129">
        <f>LEN(TRIM(CLEAN(SUBSTITUTE(SUBSTITUTE(Table_18[[#This Row],[Sequence]],CHAR(160)," ")," ",""))))</f>
        <v/>
      </c>
      <c r="J129" s="17" t="n"/>
      <c r="K129" s="21" t="n"/>
      <c r="L129" s="21">
        <f>IF($B129="","FALSE","TRUE")</f>
        <v/>
      </c>
      <c r="M129">
        <f t="array" ref="M129">IsURL(Table_121215[[#This Row],[Data Source]])</f>
        <v/>
      </c>
      <c r="N129">
        <f t="array" ref="N129">IsURL(Table_121215[[#This Row],[DOI]])</f>
        <v/>
      </c>
      <c r="O129">
        <f t="array" ref="O129">IsURL(Table_121215[[#This Row],[Data Source]])</f>
        <v/>
      </c>
      <c r="P129">
        <f t="array" ref="P129">IsURL(Table_121215[[#This Row],[Data Source]])</f>
        <v/>
      </c>
    </row>
    <row r="130" ht="15.75" customHeight="1">
      <c r="A130">
        <f>IF(Table_18[[#This Row],[Part Name]]=0,"",Table_18[[#This Row],[Part Name]])</f>
        <v/>
      </c>
      <c r="I130">
        <f>LEN(TRIM(CLEAN(SUBSTITUTE(SUBSTITUTE(Table_18[[#This Row],[Sequence]],CHAR(160)," ")," ",""))))</f>
        <v/>
      </c>
      <c r="J130" s="17" t="n"/>
      <c r="K130" s="21" t="n"/>
      <c r="L130" s="21">
        <f>IF($B130="","FALSE","TRUE")</f>
        <v/>
      </c>
      <c r="M130">
        <f t="array" ref="M130">IsURL(Table_121215[[#This Row],[Data Source]])</f>
        <v/>
      </c>
      <c r="N130">
        <f t="array" ref="N130">IsURL(Table_121215[[#This Row],[DOI]])</f>
        <v/>
      </c>
      <c r="O130">
        <f t="array" ref="O130">IsURL(Table_121215[[#This Row],[Data Source]])</f>
        <v/>
      </c>
      <c r="P130">
        <f t="array" ref="P130">IsURL(Table_121215[[#This Row],[Data Source]])</f>
        <v/>
      </c>
    </row>
    <row r="131" ht="15.75" customHeight="1">
      <c r="A131">
        <f>IF(Table_18[[#This Row],[Part Name]]=0,"",Table_18[[#This Row],[Part Name]])</f>
        <v/>
      </c>
      <c r="I131">
        <f>LEN(TRIM(CLEAN(SUBSTITUTE(SUBSTITUTE(Table_18[[#This Row],[Sequence]],CHAR(160)," ")," ",""))))</f>
        <v/>
      </c>
      <c r="J131" s="17" t="n"/>
      <c r="K131" s="21" t="n"/>
      <c r="L131" s="21">
        <f>IF($B131="","FALSE","TRUE")</f>
        <v/>
      </c>
      <c r="M131">
        <f t="array" ref="M131">IsURL(Table_121215[[#This Row],[Data Source]])</f>
        <v/>
      </c>
      <c r="N131">
        <f t="array" ref="N131">IsURL(Table_121215[[#This Row],[DOI]])</f>
        <v/>
      </c>
      <c r="O131">
        <f t="array" ref="O131">IsURL(Table_121215[[#This Row],[Data Source]])</f>
        <v/>
      </c>
      <c r="P131">
        <f t="array" ref="P131">IsURL(Table_121215[[#This Row],[Data Source]])</f>
        <v/>
      </c>
    </row>
    <row r="132" ht="15.75" customHeight="1">
      <c r="A132">
        <f>IF(Table_18[[#This Row],[Part Name]]=0,"",Table_18[[#This Row],[Part Name]])</f>
        <v/>
      </c>
      <c r="I132">
        <f>LEN(TRIM(CLEAN(SUBSTITUTE(SUBSTITUTE(Table_18[[#This Row],[Sequence]],CHAR(160)," ")," ",""))))</f>
        <v/>
      </c>
      <c r="J132" s="17" t="n"/>
      <c r="K132" s="21" t="n"/>
      <c r="L132" s="21">
        <f>IF($B132="","FALSE","TRUE")</f>
        <v/>
      </c>
      <c r="M132">
        <f t="array" ref="M132">IsURL(Table_121215[[#This Row],[Data Source]])</f>
        <v/>
      </c>
      <c r="N132">
        <f t="array" ref="N132">IsURL(Table_121215[[#This Row],[DOI]])</f>
        <v/>
      </c>
      <c r="O132">
        <f t="array" ref="O132">IsURL(Table_121215[[#This Row],[Data Source]])</f>
        <v/>
      </c>
      <c r="P132">
        <f t="array" ref="P132">IsURL(Table_121215[[#This Row],[Data Source]])</f>
        <v/>
      </c>
    </row>
    <row r="133" ht="15.75" customHeight="1">
      <c r="A133">
        <f>IF(Table_18[[#This Row],[Part Name]]=0,"",Table_18[[#This Row],[Part Name]])</f>
        <v/>
      </c>
      <c r="I133">
        <f>LEN(TRIM(CLEAN(SUBSTITUTE(SUBSTITUTE(Table_18[[#This Row],[Sequence]],CHAR(160)," ")," ",""))))</f>
        <v/>
      </c>
      <c r="J133" s="17" t="n"/>
      <c r="K133" s="21" t="n"/>
      <c r="L133" s="21">
        <f>IF($B133="","FALSE","TRUE")</f>
        <v/>
      </c>
      <c r="M133">
        <f t="array" ref="M133">IsURL(Table_121215[[#This Row],[Data Source]])</f>
        <v/>
      </c>
      <c r="N133">
        <f t="array" ref="N133">IsURL(Table_121215[[#This Row],[DOI]])</f>
        <v/>
      </c>
      <c r="O133">
        <f t="array" ref="O133">IsURL(Table_121215[[#This Row],[Data Source]])</f>
        <v/>
      </c>
      <c r="P133">
        <f t="array" ref="P133">IsURL(Table_121215[[#This Row],[Data Source]])</f>
        <v/>
      </c>
    </row>
    <row r="134" ht="15.75" customHeight="1">
      <c r="A134">
        <f>IF(Table_18[[#This Row],[Part Name]]=0,"",Table_18[[#This Row],[Part Name]])</f>
        <v/>
      </c>
      <c r="I134">
        <f>LEN(TRIM(CLEAN(SUBSTITUTE(SUBSTITUTE(Table_18[[#This Row],[Sequence]],CHAR(160)," ")," ",""))))</f>
        <v/>
      </c>
      <c r="J134" s="17" t="n"/>
      <c r="K134" s="21" t="n"/>
      <c r="L134" s="21">
        <f>IF($B134="","FALSE","TRUE")</f>
        <v/>
      </c>
      <c r="M134">
        <f t="array" ref="M134">IsURL(Table_121215[[#This Row],[Data Source]])</f>
        <v/>
      </c>
      <c r="N134">
        <f t="array" ref="N134">IsURL(Table_121215[[#This Row],[DOI]])</f>
        <v/>
      </c>
      <c r="O134">
        <f t="array" ref="O134">IsURL(Table_121215[[#This Row],[Data Source]])</f>
        <v/>
      </c>
      <c r="P134">
        <f t="array" ref="P134">IsURL(Table_121215[[#This Row],[Data Source]])</f>
        <v/>
      </c>
    </row>
    <row r="135" ht="15.75" customHeight="1">
      <c r="A135">
        <f>IF(Table_18[[#This Row],[Part Name]]=0,"",Table_18[[#This Row],[Part Name]])</f>
        <v/>
      </c>
      <c r="I135">
        <f>LEN(TRIM(CLEAN(SUBSTITUTE(SUBSTITUTE(Table_18[[#This Row],[Sequence]],CHAR(160)," ")," ",""))))</f>
        <v/>
      </c>
      <c r="J135" s="17" t="n"/>
      <c r="K135" s="21" t="n"/>
      <c r="L135" s="21">
        <f>IF($B135="","FALSE","TRUE")</f>
        <v/>
      </c>
      <c r="M135">
        <f t="array" ref="M135">IsURL(Table_121215[[#This Row],[Data Source]])</f>
        <v/>
      </c>
      <c r="N135">
        <f t="array" ref="N135">IsURL(Table_121215[[#This Row],[DOI]])</f>
        <v/>
      </c>
      <c r="O135">
        <f t="array" ref="O135">IsURL(Table_121215[[#This Row],[Data Source]])</f>
        <v/>
      </c>
      <c r="P135">
        <f t="array" ref="P135">IsURL(Table_121215[[#This Row],[Data Source]])</f>
        <v/>
      </c>
    </row>
    <row r="136" ht="15.75" customHeight="1">
      <c r="A136">
        <f>IF(Table_18[[#This Row],[Part Name]]=0,"",Table_18[[#This Row],[Part Name]])</f>
        <v/>
      </c>
      <c r="I136">
        <f>LEN(TRIM(CLEAN(SUBSTITUTE(SUBSTITUTE(Table_18[[#This Row],[Sequence]],CHAR(160)," ")," ",""))))</f>
        <v/>
      </c>
      <c r="J136" s="17" t="n"/>
      <c r="K136" s="21" t="n"/>
      <c r="L136" s="21">
        <f>IF($B136="","FALSE","TRUE")</f>
        <v/>
      </c>
      <c r="M136">
        <f t="array" ref="M136">IsURL(Table_121215[[#This Row],[Data Source]])</f>
        <v/>
      </c>
      <c r="N136">
        <f t="array" ref="N136">IsURL(Table_121215[[#This Row],[DOI]])</f>
        <v/>
      </c>
      <c r="O136">
        <f t="array" ref="O136">IsURL(Table_121215[[#This Row],[Data Source]])</f>
        <v/>
      </c>
      <c r="P136">
        <f t="array" ref="P136">IsURL(Table_121215[[#This Row],[Data Source]])</f>
        <v/>
      </c>
    </row>
    <row r="137" ht="15.75" customHeight="1">
      <c r="A137">
        <f>IF(Table_18[[#This Row],[Part Name]]=0,"",Table_18[[#This Row],[Part Name]])</f>
        <v/>
      </c>
      <c r="I137">
        <f>LEN(TRIM(CLEAN(SUBSTITUTE(SUBSTITUTE(Table_18[[#This Row],[Sequence]],CHAR(160)," ")," ",""))))</f>
        <v/>
      </c>
      <c r="J137" s="17" t="n"/>
      <c r="K137" s="21" t="n"/>
      <c r="L137" s="21">
        <f>IF($B137="","FALSE","TRUE")</f>
        <v/>
      </c>
      <c r="M137">
        <f t="array" ref="M137">IsURL(Table_121215[[#This Row],[Data Source]])</f>
        <v/>
      </c>
      <c r="N137">
        <f t="array" ref="N137">IsURL(Table_121215[[#This Row],[DOI]])</f>
        <v/>
      </c>
      <c r="O137">
        <f t="array" ref="O137">IsURL(Table_121215[[#This Row],[Data Source]])</f>
        <v/>
      </c>
      <c r="P137">
        <f t="array" ref="P137">IsURL(Table_121215[[#This Row],[Data Source]])</f>
        <v/>
      </c>
    </row>
    <row r="138" ht="15.75" customHeight="1">
      <c r="A138">
        <f>IF(Table_18[[#This Row],[Part Name]]=0,"",Table_18[[#This Row],[Part Name]])</f>
        <v/>
      </c>
      <c r="I138">
        <f>LEN(TRIM(CLEAN(SUBSTITUTE(SUBSTITUTE(Table_18[[#This Row],[Sequence]],CHAR(160)," ")," ",""))))</f>
        <v/>
      </c>
      <c r="J138" s="17" t="n"/>
      <c r="K138" s="21" t="n"/>
      <c r="L138" s="21">
        <f>IF($B138="","FALSE","TRUE")</f>
        <v/>
      </c>
      <c r="M138">
        <f t="array" ref="M138">IsURL(Table_121215[[#This Row],[Data Source]])</f>
        <v/>
      </c>
      <c r="N138">
        <f t="array" ref="N138">IsURL(Table_121215[[#This Row],[DOI]])</f>
        <v/>
      </c>
      <c r="O138">
        <f t="array" ref="O138">IsURL(Table_121215[[#This Row],[Data Source]])</f>
        <v/>
      </c>
      <c r="P138">
        <f t="array" ref="P138">IsURL(Table_121215[[#This Row],[Data Source]])</f>
        <v/>
      </c>
    </row>
    <row r="139" ht="15.75" customHeight="1">
      <c r="A139">
        <f>IF(Table_18[[#This Row],[Part Name]]=0,"",Table_18[[#This Row],[Part Name]])</f>
        <v/>
      </c>
      <c r="I139">
        <f>LEN(TRIM(CLEAN(SUBSTITUTE(SUBSTITUTE(Table_18[[#This Row],[Sequence]],CHAR(160)," ")," ",""))))</f>
        <v/>
      </c>
      <c r="J139" s="17" t="n"/>
      <c r="K139" s="21" t="n"/>
      <c r="L139" s="21">
        <f>IF($B139="","FALSE","TRUE")</f>
        <v/>
      </c>
      <c r="M139">
        <f t="array" ref="M139">IsURL(Table_121215[[#This Row],[Data Source]])</f>
        <v/>
      </c>
      <c r="N139">
        <f t="array" ref="N139">IsURL(Table_121215[[#This Row],[DOI]])</f>
        <v/>
      </c>
      <c r="O139">
        <f t="array" ref="O139">IsURL(Table_121215[[#This Row],[Data Source]])</f>
        <v/>
      </c>
      <c r="P139">
        <f t="array" ref="P139">IsURL(Table_121215[[#This Row],[Data Source]])</f>
        <v/>
      </c>
    </row>
    <row r="140" ht="15.75" customHeight="1">
      <c r="A140">
        <f>IF(Table_18[[#This Row],[Part Name]]=0,"",Table_18[[#This Row],[Part Name]])</f>
        <v/>
      </c>
      <c r="I140">
        <f>LEN(TRIM(CLEAN(SUBSTITUTE(SUBSTITUTE(Table_18[[#This Row],[Sequence]],CHAR(160)," ")," ",""))))</f>
        <v/>
      </c>
      <c r="J140" s="17" t="n"/>
      <c r="K140" s="21" t="n"/>
      <c r="L140" s="21">
        <f>IF($B140="","FALSE","TRUE")</f>
        <v/>
      </c>
      <c r="M140">
        <f t="array" ref="M140">IsURL(Table_121215[[#This Row],[Data Source]])</f>
        <v/>
      </c>
      <c r="N140">
        <f t="array" ref="N140">IsURL(Table_121215[[#This Row],[DOI]])</f>
        <v/>
      </c>
      <c r="O140">
        <f t="array" ref="O140">IsURL(Table_121215[[#This Row],[Data Source]])</f>
        <v/>
      </c>
      <c r="P140">
        <f t="array" ref="P140">IsURL(Table_121215[[#This Row],[Data Source]])</f>
        <v/>
      </c>
    </row>
    <row r="141" ht="15.75" customHeight="1">
      <c r="A141">
        <f>IF(Table_18[[#This Row],[Part Name]]=0,"",Table_18[[#This Row],[Part Name]])</f>
        <v/>
      </c>
      <c r="I141">
        <f>LEN(TRIM(CLEAN(SUBSTITUTE(SUBSTITUTE(Table_18[[#This Row],[Sequence]],CHAR(160)," ")," ",""))))</f>
        <v/>
      </c>
      <c r="J141" s="17" t="n"/>
      <c r="K141" s="21" t="n"/>
      <c r="L141" s="21">
        <f>IF($B141="","FALSE","TRUE")</f>
        <v/>
      </c>
      <c r="M141">
        <f t="array" ref="M141">IsURL(Table_121215[[#This Row],[Data Source]])</f>
        <v/>
      </c>
      <c r="N141">
        <f t="array" ref="N141">IsURL(Table_121215[[#This Row],[DOI]])</f>
        <v/>
      </c>
      <c r="O141">
        <f t="array" ref="O141">IsURL(Table_121215[[#This Row],[Data Source]])</f>
        <v/>
      </c>
      <c r="P141">
        <f t="array" ref="P141">IsURL(Table_121215[[#This Row],[Data Source]])</f>
        <v/>
      </c>
    </row>
    <row r="142" ht="15.75" customHeight="1">
      <c r="A142">
        <f>IF(Table_18[[#This Row],[Part Name]]=0,"",Table_18[[#This Row],[Part Name]])</f>
        <v/>
      </c>
      <c r="I142">
        <f>LEN(TRIM(CLEAN(SUBSTITUTE(SUBSTITUTE(Table_18[[#This Row],[Sequence]],CHAR(160)," ")," ",""))))</f>
        <v/>
      </c>
      <c r="J142" s="17" t="n"/>
      <c r="K142" s="21" t="n"/>
      <c r="L142" s="21">
        <f>IF($B142="","FALSE","TRUE")</f>
        <v/>
      </c>
      <c r="M142">
        <f t="array" ref="M142">IsURL(Table_121215[[#This Row],[Data Source]])</f>
        <v/>
      </c>
      <c r="N142">
        <f t="array" ref="N142">IsURL(Table_121215[[#This Row],[DOI]])</f>
        <v/>
      </c>
      <c r="O142">
        <f t="array" ref="O142">IsURL(Table_121215[[#This Row],[Data Source]])</f>
        <v/>
      </c>
      <c r="P142">
        <f t="array" ref="P142">IsURL(Table_121215[[#This Row],[Data Source]])</f>
        <v/>
      </c>
    </row>
    <row r="143" ht="15.75" customHeight="1">
      <c r="A143">
        <f>IF(Table_18[[#This Row],[Part Name]]=0,"",Table_18[[#This Row],[Part Name]])</f>
        <v/>
      </c>
      <c r="I143">
        <f>LEN(TRIM(CLEAN(SUBSTITUTE(SUBSTITUTE(Table_18[[#This Row],[Sequence]],CHAR(160)," ")," ",""))))</f>
        <v/>
      </c>
      <c r="J143" s="17" t="n"/>
      <c r="K143" s="21" t="n"/>
      <c r="L143" s="21">
        <f>IF($B143="","FALSE","TRUE")</f>
        <v/>
      </c>
      <c r="M143">
        <f t="array" ref="M143">IsURL(Table_121215[[#This Row],[Data Source]])</f>
        <v/>
      </c>
      <c r="N143">
        <f t="array" ref="N143">IsURL(Table_121215[[#This Row],[DOI]])</f>
        <v/>
      </c>
      <c r="O143">
        <f t="array" ref="O143">IsURL(Table_121215[[#This Row],[Data Source]])</f>
        <v/>
      </c>
      <c r="P143">
        <f t="array" ref="P143">IsURL(Table_121215[[#This Row],[Data Source]])</f>
        <v/>
      </c>
    </row>
    <row r="144" ht="15.75" customHeight="1">
      <c r="A144">
        <f>IF(Table_18[[#This Row],[Part Name]]=0,"",Table_18[[#This Row],[Part Name]])</f>
        <v/>
      </c>
      <c r="I144">
        <f>LEN(TRIM(CLEAN(SUBSTITUTE(SUBSTITUTE(Table_18[[#This Row],[Sequence]],CHAR(160)," ")," ",""))))</f>
        <v/>
      </c>
      <c r="J144" s="17" t="n"/>
      <c r="K144" s="21" t="n"/>
      <c r="L144" s="21">
        <f>IF($B144="","FALSE","TRUE")</f>
        <v/>
      </c>
      <c r="M144">
        <f t="array" ref="M144">IsURL(Table_121215[[#This Row],[Data Source]])</f>
        <v/>
      </c>
      <c r="N144">
        <f t="array" ref="N144">IsURL(Table_121215[[#This Row],[DOI]])</f>
        <v/>
      </c>
      <c r="O144">
        <f t="array" ref="O144">IsURL(Table_121215[[#This Row],[Data Source]])</f>
        <v/>
      </c>
      <c r="P144">
        <f t="array" ref="P144">IsURL(Table_121215[[#This Row],[Data Source]])</f>
        <v/>
      </c>
    </row>
    <row r="145" ht="15.75" customHeight="1">
      <c r="A145">
        <f>IF(Table_18[[#This Row],[Part Name]]=0,"",Table_18[[#This Row],[Part Name]])</f>
        <v/>
      </c>
      <c r="I145">
        <f>LEN(TRIM(CLEAN(SUBSTITUTE(SUBSTITUTE(Table_18[[#This Row],[Sequence]],CHAR(160)," ")," ",""))))</f>
        <v/>
      </c>
      <c r="J145" s="17" t="n"/>
      <c r="K145" s="21" t="n"/>
      <c r="L145" s="21">
        <f>IF($B145="","FALSE","TRUE")</f>
        <v/>
      </c>
      <c r="M145">
        <f t="array" ref="M145">IsURL(Table_121215[[#This Row],[Data Source]])</f>
        <v/>
      </c>
      <c r="N145">
        <f t="array" ref="N145">IsURL(Table_121215[[#This Row],[DOI]])</f>
        <v/>
      </c>
      <c r="O145">
        <f t="array" ref="O145">IsURL(Table_121215[[#This Row],[Data Source]])</f>
        <v/>
      </c>
      <c r="P145">
        <f t="array" ref="P145">IsURL(Table_121215[[#This Row],[Data Source]])</f>
        <v/>
      </c>
    </row>
    <row r="146" ht="15.75" customHeight="1">
      <c r="A146">
        <f>IF(Table_18[[#This Row],[Part Name]]=0,"",Table_18[[#This Row],[Part Name]])</f>
        <v/>
      </c>
      <c r="I146">
        <f>LEN(TRIM(CLEAN(SUBSTITUTE(SUBSTITUTE(Table_18[[#This Row],[Sequence]],CHAR(160)," ")," ",""))))</f>
        <v/>
      </c>
      <c r="J146" s="17" t="n"/>
      <c r="K146" s="21" t="n"/>
      <c r="L146" s="21">
        <f>IF($B146="","FALSE","TRUE")</f>
        <v/>
      </c>
      <c r="M146">
        <f t="array" ref="M146">IsURL(Table_121215[[#This Row],[Data Source]])</f>
        <v/>
      </c>
      <c r="N146">
        <f t="array" ref="N146">IsURL(Table_121215[[#This Row],[DOI]])</f>
        <v/>
      </c>
      <c r="O146">
        <f t="array" ref="O146">IsURL(Table_121215[[#This Row],[Data Source]])</f>
        <v/>
      </c>
      <c r="P146">
        <f t="array" ref="P146">IsURL(Table_121215[[#This Row],[Data Source]])</f>
        <v/>
      </c>
    </row>
    <row r="147" ht="15.75" customHeight="1">
      <c r="A147">
        <f>IF(Table_18[[#This Row],[Part Name]]=0,"",Table_18[[#This Row],[Part Name]])</f>
        <v/>
      </c>
      <c r="I147">
        <f>LEN(TRIM(CLEAN(SUBSTITUTE(SUBSTITUTE(Table_18[[#This Row],[Sequence]],CHAR(160)," ")," ",""))))</f>
        <v/>
      </c>
      <c r="J147" s="17" t="n"/>
      <c r="K147" s="21" t="n"/>
      <c r="L147" s="21">
        <f>IF($B147="","FALSE","TRUE")</f>
        <v/>
      </c>
      <c r="M147">
        <f t="array" ref="M147">IsURL(Table_121215[[#This Row],[Data Source]])</f>
        <v/>
      </c>
      <c r="N147">
        <f t="array" ref="N147">IsURL(Table_121215[[#This Row],[DOI]])</f>
        <v/>
      </c>
      <c r="O147">
        <f t="array" ref="O147">IsURL(Table_121215[[#This Row],[Data Source]])</f>
        <v/>
      </c>
      <c r="P147">
        <f t="array" ref="P147">IsURL(Table_121215[[#This Row],[Data Source]])</f>
        <v/>
      </c>
    </row>
    <row r="148" ht="15.75" customHeight="1">
      <c r="A148">
        <f>IF(Table_18[[#This Row],[Part Name]]=0,"",Table_18[[#This Row],[Part Name]])</f>
        <v/>
      </c>
      <c r="I148">
        <f>LEN(TRIM(CLEAN(SUBSTITUTE(SUBSTITUTE(Table_18[[#This Row],[Sequence]],CHAR(160)," ")," ",""))))</f>
        <v/>
      </c>
      <c r="J148" s="17" t="n"/>
      <c r="K148" s="21" t="n"/>
      <c r="L148" s="21">
        <f>IF($B148="","FALSE","TRUE")</f>
        <v/>
      </c>
      <c r="M148">
        <f t="array" ref="M148">IsURL(Table_121215[[#This Row],[Data Source]])</f>
        <v/>
      </c>
      <c r="N148">
        <f t="array" ref="N148">IsURL(Table_121215[[#This Row],[DOI]])</f>
        <v/>
      </c>
      <c r="O148">
        <f t="array" ref="O148">IsURL(Table_121215[[#This Row],[Data Source]])</f>
        <v/>
      </c>
      <c r="P148">
        <f t="array" ref="P148">IsURL(Table_121215[[#This Row],[Data Source]])</f>
        <v/>
      </c>
    </row>
    <row r="149" ht="15.75" customHeight="1">
      <c r="A149">
        <f>IF(Table_18[[#This Row],[Part Name]]=0,"",Table_18[[#This Row],[Part Name]])</f>
        <v/>
      </c>
      <c r="I149">
        <f>LEN(TRIM(CLEAN(SUBSTITUTE(SUBSTITUTE(Table_18[[#This Row],[Sequence]],CHAR(160)," ")," ",""))))</f>
        <v/>
      </c>
      <c r="J149" s="17" t="n"/>
      <c r="K149" s="21" t="n"/>
      <c r="L149" s="21">
        <f>IF($B149="","FALSE","TRUE")</f>
        <v/>
      </c>
      <c r="M149">
        <f t="array" ref="M149">IsURL(Table_121215[[#This Row],[Data Source]])</f>
        <v/>
      </c>
      <c r="N149">
        <f t="array" ref="N149">IsURL(Table_121215[[#This Row],[DOI]])</f>
        <v/>
      </c>
      <c r="O149">
        <f t="array" ref="O149">IsURL(Table_121215[[#This Row],[Data Source]])</f>
        <v/>
      </c>
      <c r="P149">
        <f t="array" ref="P149">IsURL(Table_121215[[#This Row],[Data Source]])</f>
        <v/>
      </c>
    </row>
    <row r="150" ht="15.75" customHeight="1">
      <c r="A150">
        <f>IF(Table_18[[#This Row],[Part Name]]=0,"",Table_18[[#This Row],[Part Name]])</f>
        <v/>
      </c>
      <c r="I150">
        <f>LEN(TRIM(CLEAN(SUBSTITUTE(SUBSTITUTE(Table_18[[#This Row],[Sequence]],CHAR(160)," ")," ",""))))</f>
        <v/>
      </c>
      <c r="J150" s="17" t="n"/>
      <c r="K150" s="21" t="n"/>
      <c r="L150" s="21">
        <f>IF($B150="","FALSE","TRUE")</f>
        <v/>
      </c>
      <c r="M150">
        <f t="array" ref="M150">IsURL(Table_121215[[#This Row],[Data Source]])</f>
        <v/>
      </c>
      <c r="N150">
        <f t="array" ref="N150">IsURL(Table_121215[[#This Row],[DOI]])</f>
        <v/>
      </c>
      <c r="O150">
        <f t="array" ref="O150">IsURL(Table_121215[[#This Row],[Data Source]])</f>
        <v/>
      </c>
      <c r="P150">
        <f t="array" ref="P150">IsURL(Table_121215[[#This Row],[Data Source]])</f>
        <v/>
      </c>
    </row>
    <row r="151" ht="15.75" customHeight="1">
      <c r="A151">
        <f>IF(Table_18[[#This Row],[Part Name]]=0,"",Table_18[[#This Row],[Part Name]])</f>
        <v/>
      </c>
      <c r="I151">
        <f>LEN(TRIM(CLEAN(SUBSTITUTE(SUBSTITUTE(Table_18[[#This Row],[Sequence]],CHAR(160)," ")," ",""))))</f>
        <v/>
      </c>
      <c r="J151" s="17" t="n"/>
      <c r="K151" s="21" t="n"/>
      <c r="L151" s="21">
        <f>IF($B151="","FALSE","TRUE")</f>
        <v/>
      </c>
      <c r="M151">
        <f t="array" ref="M151">IsURL(Table_121215[[#This Row],[Data Source]])</f>
        <v/>
      </c>
      <c r="N151">
        <f t="array" ref="N151">IsURL(Table_121215[[#This Row],[DOI]])</f>
        <v/>
      </c>
      <c r="O151">
        <f t="array" ref="O151">IsURL(Table_121215[[#This Row],[Data Source]])</f>
        <v/>
      </c>
      <c r="P151">
        <f t="array" ref="P151">IsURL(Table_121215[[#This Row],[Data Source]])</f>
        <v/>
      </c>
    </row>
    <row r="152" ht="15.75" customHeight="1">
      <c r="A152">
        <f>IF(Table_18[[#This Row],[Part Name]]=0,"",Table_18[[#This Row],[Part Name]])</f>
        <v/>
      </c>
      <c r="I152">
        <f>LEN(TRIM(CLEAN(SUBSTITUTE(SUBSTITUTE(Table_18[[#This Row],[Sequence]],CHAR(160)," ")," ",""))))</f>
        <v/>
      </c>
      <c r="J152" s="17" t="n"/>
      <c r="K152" s="21" t="n"/>
      <c r="L152" s="21">
        <f>IF($B152="","FALSE","TRUE")</f>
        <v/>
      </c>
      <c r="M152">
        <f t="array" ref="M152">IsURL(Table_121215[[#This Row],[Data Source]])</f>
        <v/>
      </c>
      <c r="N152">
        <f t="array" ref="N152">IsURL(Table_121215[[#This Row],[DOI]])</f>
        <v/>
      </c>
      <c r="O152">
        <f t="array" ref="O152">IsURL(Table_121215[[#This Row],[Data Source]])</f>
        <v/>
      </c>
      <c r="P152">
        <f t="array" ref="P152">IsURL(Table_121215[[#This Row],[Data Source]])</f>
        <v/>
      </c>
    </row>
    <row r="153" ht="15.75" customHeight="1">
      <c r="A153">
        <f>IF(Table_18[[#This Row],[Part Name]]=0,"",Table_18[[#This Row],[Part Name]])</f>
        <v/>
      </c>
      <c r="I153">
        <f>LEN(TRIM(CLEAN(SUBSTITUTE(SUBSTITUTE(Table_18[[#This Row],[Sequence]],CHAR(160)," ")," ",""))))</f>
        <v/>
      </c>
      <c r="J153" s="17" t="n"/>
      <c r="K153" s="21" t="n"/>
      <c r="L153" s="21">
        <f>IF($B153="","FALSE","TRUE")</f>
        <v/>
      </c>
      <c r="M153">
        <f t="array" ref="M153">IsURL(Table_121215[[#This Row],[Data Source]])</f>
        <v/>
      </c>
      <c r="N153">
        <f t="array" ref="N153">IsURL(Table_121215[[#This Row],[DOI]])</f>
        <v/>
      </c>
      <c r="O153">
        <f t="array" ref="O153">IsURL(Table_121215[[#This Row],[Data Source]])</f>
        <v/>
      </c>
      <c r="P153">
        <f t="array" ref="P153">IsURL(Table_121215[[#This Row],[Data Source]])</f>
        <v/>
      </c>
    </row>
    <row r="154" ht="15.75" customHeight="1">
      <c r="A154">
        <f>IF(Table_18[[#This Row],[Part Name]]=0,"",Table_18[[#This Row],[Part Name]])</f>
        <v/>
      </c>
      <c r="I154">
        <f>LEN(TRIM(CLEAN(SUBSTITUTE(SUBSTITUTE(Table_18[[#This Row],[Sequence]],CHAR(160)," ")," ",""))))</f>
        <v/>
      </c>
      <c r="J154" s="17" t="n"/>
      <c r="K154" s="21" t="n"/>
      <c r="L154" s="21">
        <f>IF($B154="","FALSE","TRUE")</f>
        <v/>
      </c>
      <c r="M154">
        <f t="array" ref="M154">IsURL(Table_121215[[#This Row],[Data Source]])</f>
        <v/>
      </c>
      <c r="N154">
        <f t="array" ref="N154">IsURL(Table_121215[[#This Row],[DOI]])</f>
        <v/>
      </c>
      <c r="O154">
        <f t="array" ref="O154">IsURL(Table_121215[[#This Row],[Data Source]])</f>
        <v/>
      </c>
      <c r="P154">
        <f t="array" ref="P154">IsURL(Table_121215[[#This Row],[Data Source]])</f>
        <v/>
      </c>
    </row>
    <row r="155" ht="15.75" customHeight="1">
      <c r="A155">
        <f>IF(Table_18[[#This Row],[Part Name]]=0,"",Table_18[[#This Row],[Part Name]])</f>
        <v/>
      </c>
      <c r="I155">
        <f>LEN(TRIM(CLEAN(SUBSTITUTE(SUBSTITUTE(Table_18[[#This Row],[Sequence]],CHAR(160)," ")," ",""))))</f>
        <v/>
      </c>
      <c r="J155" s="17" t="n"/>
      <c r="K155" s="21" t="n"/>
      <c r="L155" s="21">
        <f>IF($B155="","FALSE","TRUE")</f>
        <v/>
      </c>
      <c r="M155">
        <f t="array" ref="M155">IsURL(Table_121215[[#This Row],[Data Source]])</f>
        <v/>
      </c>
      <c r="N155">
        <f t="array" ref="N155">IsURL(Table_121215[[#This Row],[DOI]])</f>
        <v/>
      </c>
      <c r="O155">
        <f t="array" ref="O155">IsURL(Table_121215[[#This Row],[Data Source]])</f>
        <v/>
      </c>
      <c r="P155">
        <f t="array" ref="P155">IsURL(Table_121215[[#This Row],[Data Source]])</f>
        <v/>
      </c>
    </row>
    <row r="156" ht="15.75" customHeight="1">
      <c r="A156">
        <f>IF(Table_18[[#This Row],[Part Name]]=0,"",Table_18[[#This Row],[Part Name]])</f>
        <v/>
      </c>
      <c r="I156">
        <f>LEN(TRIM(CLEAN(SUBSTITUTE(SUBSTITUTE(Table_18[[#This Row],[Sequence]],CHAR(160)," ")," ",""))))</f>
        <v/>
      </c>
      <c r="J156" s="17" t="n"/>
      <c r="K156" s="21" t="n"/>
      <c r="L156" s="21">
        <f>IF($B156="","FALSE","TRUE")</f>
        <v/>
      </c>
      <c r="M156">
        <f t="array" ref="M156">IsURL(Table_121215[[#This Row],[Data Source]])</f>
        <v/>
      </c>
      <c r="N156">
        <f t="array" ref="N156">IsURL(Table_121215[[#This Row],[DOI]])</f>
        <v/>
      </c>
      <c r="O156">
        <f t="array" ref="O156">IsURL(Table_121215[[#This Row],[Data Source]])</f>
        <v/>
      </c>
      <c r="P156">
        <f t="array" ref="P156">IsURL(Table_121215[[#This Row],[Data Source]])</f>
        <v/>
      </c>
    </row>
    <row r="157" ht="15.75" customHeight="1">
      <c r="A157">
        <f>IF(Table_18[[#This Row],[Part Name]]=0,"",Table_18[[#This Row],[Part Name]])</f>
        <v/>
      </c>
      <c r="I157">
        <f>LEN(TRIM(CLEAN(SUBSTITUTE(SUBSTITUTE(Table_18[[#This Row],[Sequence]],CHAR(160)," ")," ",""))))</f>
        <v/>
      </c>
      <c r="J157" s="17" t="n"/>
      <c r="K157" s="21" t="n"/>
      <c r="L157" s="21">
        <f>IF($B157="","FALSE","TRUE")</f>
        <v/>
      </c>
      <c r="M157">
        <f t="array" ref="M157">IsURL(Table_121215[[#This Row],[Data Source]])</f>
        <v/>
      </c>
      <c r="N157">
        <f t="array" ref="N157">IsURL(Table_121215[[#This Row],[DOI]])</f>
        <v/>
      </c>
      <c r="O157">
        <f t="array" ref="O157">IsURL(Table_121215[[#This Row],[Data Source]])</f>
        <v/>
      </c>
      <c r="P157">
        <f t="array" ref="P157">IsURL(Table_121215[[#This Row],[Data Source]])</f>
        <v/>
      </c>
    </row>
    <row r="158" ht="15.75" customHeight="1">
      <c r="A158">
        <f>IF(Table_18[[#This Row],[Part Name]]=0,"",Table_18[[#This Row],[Part Name]])</f>
        <v/>
      </c>
      <c r="I158">
        <f>LEN(TRIM(CLEAN(SUBSTITUTE(SUBSTITUTE(Table_18[[#This Row],[Sequence]],CHAR(160)," ")," ",""))))</f>
        <v/>
      </c>
      <c r="J158" s="17" t="n"/>
      <c r="K158" s="21" t="n"/>
      <c r="L158" s="21">
        <f>IF($B158="","FALSE","TRUE")</f>
        <v/>
      </c>
      <c r="M158">
        <f t="array" ref="M158">IsURL(Table_121215[[#This Row],[Data Source]])</f>
        <v/>
      </c>
      <c r="N158">
        <f t="array" ref="N158">IsURL(Table_121215[[#This Row],[DOI]])</f>
        <v/>
      </c>
      <c r="O158">
        <f t="array" ref="O158">IsURL(Table_121215[[#This Row],[Data Source]])</f>
        <v/>
      </c>
      <c r="P158">
        <f t="array" ref="P158">IsURL(Table_121215[[#This Row],[Data Source]])</f>
        <v/>
      </c>
    </row>
    <row r="159" ht="15.75" customHeight="1">
      <c r="A159">
        <f>IF(Table_18[[#This Row],[Part Name]]=0,"",Table_18[[#This Row],[Part Name]])</f>
        <v/>
      </c>
      <c r="I159">
        <f>LEN(TRIM(CLEAN(SUBSTITUTE(SUBSTITUTE(Table_18[[#This Row],[Sequence]],CHAR(160)," ")," ",""))))</f>
        <v/>
      </c>
      <c r="J159" s="17" t="n"/>
      <c r="K159" s="21" t="n"/>
      <c r="L159" s="21">
        <f>IF($B159="","FALSE","TRUE")</f>
        <v/>
      </c>
      <c r="M159">
        <f t="array" ref="M159">IsURL(Table_121215[[#This Row],[Data Source]])</f>
        <v/>
      </c>
      <c r="N159">
        <f t="array" ref="N159">IsURL(Table_121215[[#This Row],[DOI]])</f>
        <v/>
      </c>
      <c r="O159">
        <f t="array" ref="O159">IsURL(Table_121215[[#This Row],[Data Source]])</f>
        <v/>
      </c>
      <c r="P159">
        <f t="array" ref="P159">IsURL(Table_121215[[#This Row],[Data Source]])</f>
        <v/>
      </c>
    </row>
    <row r="160" ht="15.75" customHeight="1">
      <c r="A160">
        <f>IF(Table_18[[#This Row],[Part Name]]=0,"",Table_18[[#This Row],[Part Name]])</f>
        <v/>
      </c>
      <c r="I160">
        <f>LEN(TRIM(CLEAN(SUBSTITUTE(SUBSTITUTE(Table_18[[#This Row],[Sequence]],CHAR(160)," ")," ",""))))</f>
        <v/>
      </c>
      <c r="J160" s="17" t="n"/>
      <c r="K160" s="21" t="n"/>
      <c r="L160" s="21">
        <f>IF($B160="","FALSE","TRUE")</f>
        <v/>
      </c>
      <c r="M160">
        <f t="array" ref="M160">IsURL(Table_121215[[#This Row],[Data Source]])</f>
        <v/>
      </c>
      <c r="N160">
        <f t="array" ref="N160">IsURL(Table_121215[[#This Row],[DOI]])</f>
        <v/>
      </c>
      <c r="O160">
        <f t="array" ref="O160">IsURL(Table_121215[[#This Row],[Data Source]])</f>
        <v/>
      </c>
      <c r="P160">
        <f t="array" ref="P160">IsURL(Table_121215[[#This Row],[Data Source]])</f>
        <v/>
      </c>
    </row>
    <row r="161" ht="15.75" customHeight="1">
      <c r="A161">
        <f>IF(Table_18[[#This Row],[Part Name]]=0,"",Table_18[[#This Row],[Part Name]])</f>
        <v/>
      </c>
      <c r="I161">
        <f>LEN(TRIM(CLEAN(SUBSTITUTE(SUBSTITUTE(Table_18[[#This Row],[Sequence]],CHAR(160)," ")," ",""))))</f>
        <v/>
      </c>
      <c r="J161" s="17" t="n"/>
      <c r="K161" s="21" t="n"/>
      <c r="L161" s="21">
        <f>IF($B161="","FALSE","TRUE")</f>
        <v/>
      </c>
      <c r="M161">
        <f t="array" ref="M161">IsURL(Table_121215[[#This Row],[Data Source]])</f>
        <v/>
      </c>
      <c r="N161">
        <f t="array" ref="N161">IsURL(Table_121215[[#This Row],[DOI]])</f>
        <v/>
      </c>
      <c r="O161">
        <f t="array" ref="O161">IsURL(Table_121215[[#This Row],[Data Source]])</f>
        <v/>
      </c>
      <c r="P161">
        <f t="array" ref="P161">IsURL(Table_121215[[#This Row],[Data Source]])</f>
        <v/>
      </c>
    </row>
    <row r="162" ht="15.75" customHeight="1">
      <c r="A162">
        <f>IF(Table_18[[#This Row],[Part Name]]=0,"",Table_18[[#This Row],[Part Name]])</f>
        <v/>
      </c>
      <c r="I162">
        <f>LEN(TRIM(CLEAN(SUBSTITUTE(SUBSTITUTE(Table_18[[#This Row],[Sequence]],CHAR(160)," ")," ",""))))</f>
        <v/>
      </c>
      <c r="J162" s="17" t="n"/>
      <c r="K162" s="21" t="n"/>
      <c r="L162" s="21">
        <f>IF($B162="","FALSE","TRUE")</f>
        <v/>
      </c>
      <c r="M162">
        <f t="array" ref="M162">IsURL(Table_121215[[#This Row],[Data Source]])</f>
        <v/>
      </c>
      <c r="N162">
        <f t="array" ref="N162">IsURL(Table_121215[[#This Row],[DOI]])</f>
        <v/>
      </c>
      <c r="O162">
        <f t="array" ref="O162">IsURL(Table_121215[[#This Row],[Data Source]])</f>
        <v/>
      </c>
      <c r="P162">
        <f t="array" ref="P162">IsURL(Table_121215[[#This Row],[Data Source]])</f>
        <v/>
      </c>
    </row>
    <row r="163" ht="15.75" customHeight="1">
      <c r="A163">
        <f>IF(Table_18[[#This Row],[Part Name]]=0,"",Table_18[[#This Row],[Part Name]])</f>
        <v/>
      </c>
      <c r="I163">
        <f>LEN(TRIM(CLEAN(SUBSTITUTE(SUBSTITUTE(Table_18[[#This Row],[Sequence]],CHAR(160)," ")," ",""))))</f>
        <v/>
      </c>
      <c r="J163" s="17" t="n"/>
      <c r="K163" s="21" t="n"/>
      <c r="L163" s="21">
        <f>IF($B163="","FALSE","TRUE")</f>
        <v/>
      </c>
      <c r="M163">
        <f t="array" ref="M163">IsURL(Table_121215[[#This Row],[Data Source]])</f>
        <v/>
      </c>
      <c r="N163">
        <f t="array" ref="N163">IsURL(Table_121215[[#This Row],[DOI]])</f>
        <v/>
      </c>
      <c r="O163">
        <f t="array" ref="O163">IsURL(Table_121215[[#This Row],[Data Source]])</f>
        <v/>
      </c>
      <c r="P163">
        <f t="array" ref="P163">IsURL(Table_121215[[#This Row],[Data Source]])</f>
        <v/>
      </c>
    </row>
    <row r="164" ht="15.75" customHeight="1">
      <c r="A164">
        <f>IF(Table_18[[#This Row],[Part Name]]=0,"",Table_18[[#This Row],[Part Name]])</f>
        <v/>
      </c>
      <c r="I164">
        <f>LEN(TRIM(CLEAN(SUBSTITUTE(SUBSTITUTE(Table_18[[#This Row],[Sequence]],CHAR(160)," ")," ",""))))</f>
        <v/>
      </c>
      <c r="J164" s="17" t="n"/>
      <c r="K164" s="21" t="n"/>
      <c r="L164" s="21">
        <f>IF($B164="","FALSE","TRUE")</f>
        <v/>
      </c>
      <c r="M164">
        <f t="array" ref="M164">IsURL(Table_121215[[#This Row],[Data Source]])</f>
        <v/>
      </c>
      <c r="N164">
        <f t="array" ref="N164">IsURL(Table_121215[[#This Row],[DOI]])</f>
        <v/>
      </c>
      <c r="O164">
        <f t="array" ref="O164">IsURL(Table_121215[[#This Row],[Data Source]])</f>
        <v/>
      </c>
      <c r="P164">
        <f t="array" ref="P164">IsURL(Table_121215[[#This Row],[Data Source]])</f>
        <v/>
      </c>
    </row>
    <row r="165" ht="15.75" customHeight="1">
      <c r="A165">
        <f>IF(Table_18[[#This Row],[Part Name]]=0,"",Table_18[[#This Row],[Part Name]])</f>
        <v/>
      </c>
      <c r="I165">
        <f>LEN(TRIM(CLEAN(SUBSTITUTE(SUBSTITUTE(Table_18[[#This Row],[Sequence]],CHAR(160)," ")," ",""))))</f>
        <v/>
      </c>
      <c r="J165" s="17" t="n"/>
      <c r="K165" s="21" t="n"/>
      <c r="L165" s="21">
        <f>IF($B165="","FALSE","TRUE")</f>
        <v/>
      </c>
      <c r="M165">
        <f t="array" ref="M165">IsURL(Table_121215[[#This Row],[Data Source]])</f>
        <v/>
      </c>
      <c r="N165">
        <f t="array" ref="N165">IsURL(Table_121215[[#This Row],[DOI]])</f>
        <v/>
      </c>
      <c r="O165">
        <f t="array" ref="O165">IsURL(Table_121215[[#This Row],[Data Source]])</f>
        <v/>
      </c>
      <c r="P165">
        <f t="array" ref="P165">IsURL(Table_121215[[#This Row],[Data Source]])</f>
        <v/>
      </c>
    </row>
    <row r="166" ht="15.75" customHeight="1">
      <c r="A166">
        <f>IF(Table_18[[#This Row],[Part Name]]=0,"",Table_18[[#This Row],[Part Name]])</f>
        <v/>
      </c>
      <c r="I166">
        <f>LEN(TRIM(CLEAN(SUBSTITUTE(SUBSTITUTE(Table_18[[#This Row],[Sequence]],CHAR(160)," ")," ",""))))</f>
        <v/>
      </c>
      <c r="J166" s="17" t="n"/>
      <c r="K166" s="21" t="n"/>
      <c r="L166" s="21">
        <f>IF($B166="","FALSE","TRUE")</f>
        <v/>
      </c>
      <c r="M166">
        <f t="array" ref="M166">IsURL(Table_121215[[#This Row],[Data Source]])</f>
        <v/>
      </c>
      <c r="N166">
        <f t="array" ref="N166">IsURL(Table_121215[[#This Row],[DOI]])</f>
        <v/>
      </c>
      <c r="O166">
        <f t="array" ref="O166">IsURL(Table_121215[[#This Row],[Data Source]])</f>
        <v/>
      </c>
      <c r="P166">
        <f t="array" ref="P166">IsURL(Table_121215[[#This Row],[Data Source]])</f>
        <v/>
      </c>
    </row>
    <row r="167" ht="15.75" customHeight="1">
      <c r="A167">
        <f>IF(Table_18[[#This Row],[Part Name]]=0,"",Table_18[[#This Row],[Part Name]])</f>
        <v/>
      </c>
      <c r="I167">
        <f>LEN(TRIM(CLEAN(SUBSTITUTE(SUBSTITUTE(Table_18[[#This Row],[Sequence]],CHAR(160)," ")," ",""))))</f>
        <v/>
      </c>
      <c r="J167" s="17" t="n"/>
      <c r="K167" s="21" t="n"/>
      <c r="L167" s="21">
        <f>IF($B167="","FALSE","TRUE")</f>
        <v/>
      </c>
      <c r="M167">
        <f t="array" ref="M167">IsURL(Table_121215[[#This Row],[Data Source]])</f>
        <v/>
      </c>
      <c r="N167">
        <f t="array" ref="N167">IsURL(Table_121215[[#This Row],[DOI]])</f>
        <v/>
      </c>
      <c r="O167">
        <f t="array" ref="O167">IsURL(Table_121215[[#This Row],[Data Source]])</f>
        <v/>
      </c>
      <c r="P167">
        <f t="array" ref="P167">IsURL(Table_121215[[#This Row],[Data Source]])</f>
        <v/>
      </c>
    </row>
    <row r="168" ht="15.75" customHeight="1">
      <c r="A168">
        <f>IF(Table_18[[#This Row],[Part Name]]=0,"",Table_18[[#This Row],[Part Name]])</f>
        <v/>
      </c>
      <c r="I168">
        <f>LEN(TRIM(CLEAN(SUBSTITUTE(SUBSTITUTE(Table_18[[#This Row],[Sequence]],CHAR(160)," ")," ",""))))</f>
        <v/>
      </c>
      <c r="J168" s="17" t="n"/>
      <c r="K168" s="21" t="n"/>
      <c r="L168" s="21">
        <f>IF($B168="","FALSE","TRUE")</f>
        <v/>
      </c>
      <c r="M168">
        <f t="array" ref="M168">IsURL(Table_121215[[#This Row],[Data Source]])</f>
        <v/>
      </c>
      <c r="N168">
        <f t="array" ref="N168">IsURL(Table_121215[[#This Row],[DOI]])</f>
        <v/>
      </c>
      <c r="O168">
        <f t="array" ref="O168">IsURL(Table_121215[[#This Row],[Data Source]])</f>
        <v/>
      </c>
      <c r="P168">
        <f t="array" ref="P168">IsURL(Table_121215[[#This Row],[Data Source]])</f>
        <v/>
      </c>
    </row>
    <row r="169" ht="15.75" customHeight="1">
      <c r="A169">
        <f>IF(Table_18[[#This Row],[Part Name]]=0,"",Table_18[[#This Row],[Part Name]])</f>
        <v/>
      </c>
      <c r="I169">
        <f>LEN(TRIM(CLEAN(SUBSTITUTE(SUBSTITUTE(Table_18[[#This Row],[Sequence]],CHAR(160)," ")," ",""))))</f>
        <v/>
      </c>
      <c r="J169" s="17" t="n"/>
      <c r="K169" s="21" t="n"/>
      <c r="L169" s="21">
        <f>IF($B169="","FALSE","TRUE")</f>
        <v/>
      </c>
      <c r="M169">
        <f t="array" ref="M169">IsURL(Table_121215[[#This Row],[Data Source]])</f>
        <v/>
      </c>
      <c r="N169">
        <f t="array" ref="N169">IsURL(Table_121215[[#This Row],[DOI]])</f>
        <v/>
      </c>
      <c r="O169">
        <f t="array" ref="O169">IsURL(Table_121215[[#This Row],[Data Source]])</f>
        <v/>
      </c>
      <c r="P169">
        <f t="array" ref="P169">IsURL(Table_121215[[#This Row],[Data Source]])</f>
        <v/>
      </c>
    </row>
    <row r="170" ht="15.75" customHeight="1">
      <c r="A170">
        <f>IF(Table_18[[#This Row],[Part Name]]=0,"",Table_18[[#This Row],[Part Name]])</f>
        <v/>
      </c>
      <c r="I170">
        <f>LEN(TRIM(CLEAN(SUBSTITUTE(SUBSTITUTE(Table_18[[#This Row],[Sequence]],CHAR(160)," ")," ",""))))</f>
        <v/>
      </c>
      <c r="J170" s="17" t="n"/>
      <c r="K170" s="21" t="n"/>
      <c r="L170" s="21">
        <f>IF($B170="","FALSE","TRUE")</f>
        <v/>
      </c>
      <c r="M170">
        <f t="array" ref="M170">IsURL(Table_121215[[#This Row],[Data Source]])</f>
        <v/>
      </c>
      <c r="N170">
        <f t="array" ref="N170">IsURL(Table_121215[[#This Row],[DOI]])</f>
        <v/>
      </c>
      <c r="O170">
        <f t="array" ref="O170">IsURL(Table_121215[[#This Row],[Data Source]])</f>
        <v/>
      </c>
      <c r="P170">
        <f t="array" ref="P170">IsURL(Table_121215[[#This Row],[Data Source]])</f>
        <v/>
      </c>
    </row>
    <row r="171" ht="15.75" customHeight="1">
      <c r="A171">
        <f>IF(Table_18[[#This Row],[Part Name]]=0,"",Table_18[[#This Row],[Part Name]])</f>
        <v/>
      </c>
      <c r="I171">
        <f>LEN(TRIM(CLEAN(SUBSTITUTE(SUBSTITUTE(Table_18[[#This Row],[Sequence]],CHAR(160)," ")," ",""))))</f>
        <v/>
      </c>
      <c r="J171" s="17" t="n"/>
      <c r="K171" s="21" t="n"/>
      <c r="L171" s="21">
        <f>IF($B171="","FALSE","TRUE")</f>
        <v/>
      </c>
      <c r="M171">
        <f t="array" ref="M171">IsURL(Table_121215[[#This Row],[Data Source]])</f>
        <v/>
      </c>
      <c r="N171">
        <f t="array" ref="N171">IsURL(Table_121215[[#This Row],[DOI]])</f>
        <v/>
      </c>
      <c r="O171">
        <f t="array" ref="O171">IsURL(Table_121215[[#This Row],[Data Source]])</f>
        <v/>
      </c>
      <c r="P171">
        <f t="array" ref="P171">IsURL(Table_121215[[#This Row],[Data Source]])</f>
        <v/>
      </c>
    </row>
    <row r="172" ht="15.75" customHeight="1">
      <c r="A172">
        <f>IF(Table_18[[#This Row],[Part Name]]=0,"",Table_18[[#This Row],[Part Name]])</f>
        <v/>
      </c>
      <c r="I172">
        <f>LEN(TRIM(CLEAN(SUBSTITUTE(SUBSTITUTE(Table_18[[#This Row],[Sequence]],CHAR(160)," ")," ",""))))</f>
        <v/>
      </c>
      <c r="J172" s="17" t="n"/>
      <c r="K172" s="21" t="n"/>
      <c r="L172" s="21">
        <f>IF($B172="","FALSE","TRUE")</f>
        <v/>
      </c>
      <c r="M172">
        <f t="array" ref="M172">IsURL(Table_121215[[#This Row],[Data Source]])</f>
        <v/>
      </c>
      <c r="N172">
        <f t="array" ref="N172">IsURL(Table_121215[[#This Row],[DOI]])</f>
        <v/>
      </c>
      <c r="O172">
        <f t="array" ref="O172">IsURL(Table_121215[[#This Row],[Data Source]])</f>
        <v/>
      </c>
      <c r="P172">
        <f t="array" ref="P172">IsURL(Table_121215[[#This Row],[Data Source]])</f>
        <v/>
      </c>
    </row>
    <row r="173" ht="15.75" customHeight="1">
      <c r="A173">
        <f>IF(Table_18[[#This Row],[Part Name]]=0,"",Table_18[[#This Row],[Part Name]])</f>
        <v/>
      </c>
      <c r="I173">
        <f>LEN(TRIM(CLEAN(SUBSTITUTE(SUBSTITUTE(Table_18[[#This Row],[Sequence]],CHAR(160)," ")," ",""))))</f>
        <v/>
      </c>
      <c r="J173" s="17" t="n"/>
      <c r="K173" s="21" t="n"/>
      <c r="L173" s="21">
        <f>IF($B173="","FALSE","TRUE")</f>
        <v/>
      </c>
      <c r="M173">
        <f t="array" ref="M173">IsURL(Table_121215[[#This Row],[Data Source]])</f>
        <v/>
      </c>
      <c r="N173">
        <f t="array" ref="N173">IsURL(Table_121215[[#This Row],[DOI]])</f>
        <v/>
      </c>
      <c r="O173">
        <f t="array" ref="O173">IsURL(Table_121215[[#This Row],[Data Source]])</f>
        <v/>
      </c>
      <c r="P173">
        <f t="array" ref="P173">IsURL(Table_121215[[#This Row],[Data Source]])</f>
        <v/>
      </c>
    </row>
    <row r="174" ht="15.75" customHeight="1">
      <c r="A174">
        <f>IF(Table_18[[#This Row],[Part Name]]=0,"",Table_18[[#This Row],[Part Name]])</f>
        <v/>
      </c>
      <c r="I174">
        <f>LEN(TRIM(CLEAN(SUBSTITUTE(SUBSTITUTE(Table_18[[#This Row],[Sequence]],CHAR(160)," ")," ",""))))</f>
        <v/>
      </c>
      <c r="J174" s="17" t="n"/>
      <c r="K174" s="21" t="n"/>
      <c r="L174" s="21">
        <f>IF($B174="","FALSE","TRUE")</f>
        <v/>
      </c>
      <c r="M174">
        <f t="array" ref="M174">IsURL(Table_121215[[#This Row],[Data Source]])</f>
        <v/>
      </c>
      <c r="N174">
        <f t="array" ref="N174">IsURL(Table_121215[[#This Row],[DOI]])</f>
        <v/>
      </c>
      <c r="O174">
        <f t="array" ref="O174">IsURL(Table_121215[[#This Row],[Data Source]])</f>
        <v/>
      </c>
      <c r="P174">
        <f t="array" ref="P174">IsURL(Table_121215[[#This Row],[Data Source]])</f>
        <v/>
      </c>
    </row>
    <row r="175" ht="15.75" customHeight="1">
      <c r="A175">
        <f>IF(Table_18[[#This Row],[Part Name]]=0,"",Table_18[[#This Row],[Part Name]])</f>
        <v/>
      </c>
      <c r="I175">
        <f>LEN(TRIM(CLEAN(SUBSTITUTE(SUBSTITUTE(Table_18[[#This Row],[Sequence]],CHAR(160)," ")," ",""))))</f>
        <v/>
      </c>
      <c r="J175" s="17" t="n"/>
      <c r="K175" s="21" t="n"/>
      <c r="L175" s="21">
        <f>IF($B175="","FALSE","TRUE")</f>
        <v/>
      </c>
      <c r="M175">
        <f t="array" ref="M175">IsURL(Table_121215[[#This Row],[Data Source]])</f>
        <v/>
      </c>
      <c r="N175">
        <f t="array" ref="N175">IsURL(Table_121215[[#This Row],[DOI]])</f>
        <v/>
      </c>
      <c r="O175">
        <f t="array" ref="O175">IsURL(Table_121215[[#This Row],[Data Source]])</f>
        <v/>
      </c>
      <c r="P175">
        <f t="array" ref="P175">IsURL(Table_121215[[#This Row],[Data Source]])</f>
        <v/>
      </c>
    </row>
    <row r="176" ht="15.75" customHeight="1">
      <c r="A176">
        <f>IF(Table_18[[#This Row],[Part Name]]=0,"",Table_18[[#This Row],[Part Name]])</f>
        <v/>
      </c>
      <c r="I176">
        <f>LEN(TRIM(CLEAN(SUBSTITUTE(SUBSTITUTE(Table_18[[#This Row],[Sequence]],CHAR(160)," ")," ",""))))</f>
        <v/>
      </c>
      <c r="J176" s="17" t="n"/>
      <c r="K176" s="21" t="n"/>
      <c r="L176" s="21">
        <f>IF($B176="","FALSE","TRUE")</f>
        <v/>
      </c>
      <c r="M176">
        <f t="array" ref="M176">IsURL(Table_121215[[#This Row],[Data Source]])</f>
        <v/>
      </c>
      <c r="N176">
        <f t="array" ref="N176">IsURL(Table_121215[[#This Row],[DOI]])</f>
        <v/>
      </c>
      <c r="O176">
        <f t="array" ref="O176">IsURL(Table_121215[[#This Row],[Data Source]])</f>
        <v/>
      </c>
      <c r="P176">
        <f t="array" ref="P176">IsURL(Table_121215[[#This Row],[Data Source]])</f>
        <v/>
      </c>
    </row>
    <row r="177" ht="15.75" customHeight="1">
      <c r="A177">
        <f>IF(Table_18[[#This Row],[Part Name]]=0,"",Table_18[[#This Row],[Part Name]])</f>
        <v/>
      </c>
      <c r="I177">
        <f>LEN(TRIM(CLEAN(SUBSTITUTE(SUBSTITUTE(Table_18[[#This Row],[Sequence]],CHAR(160)," ")," ",""))))</f>
        <v/>
      </c>
      <c r="J177" s="17" t="n"/>
      <c r="K177" s="21" t="n"/>
      <c r="L177" s="21">
        <f>IF($B177="","FALSE","TRUE")</f>
        <v/>
      </c>
      <c r="M177">
        <f t="array" ref="M177">IsURL(Table_121215[[#This Row],[Data Source]])</f>
        <v/>
      </c>
      <c r="N177">
        <f t="array" ref="N177">IsURL(Table_121215[[#This Row],[DOI]])</f>
        <v/>
      </c>
      <c r="O177">
        <f t="array" ref="O177">IsURL(Table_121215[[#This Row],[Data Source]])</f>
        <v/>
      </c>
      <c r="P177">
        <f t="array" ref="P177">IsURL(Table_121215[[#This Row],[Data Source]])</f>
        <v/>
      </c>
    </row>
    <row r="178" ht="15.75" customHeight="1">
      <c r="A178">
        <f>IF(Table_18[[#This Row],[Part Name]]=0,"",Table_18[[#This Row],[Part Name]])</f>
        <v/>
      </c>
      <c r="I178">
        <f>LEN(TRIM(CLEAN(SUBSTITUTE(SUBSTITUTE(Table_18[[#This Row],[Sequence]],CHAR(160)," ")," ",""))))</f>
        <v/>
      </c>
      <c r="J178" s="17" t="n"/>
      <c r="K178" s="21" t="n"/>
      <c r="L178" s="21">
        <f>IF($B178="","FALSE","TRUE")</f>
        <v/>
      </c>
      <c r="M178">
        <f t="array" ref="M178">IsURL(Table_121215[[#This Row],[Data Source]])</f>
        <v/>
      </c>
      <c r="N178">
        <f t="array" ref="N178">IsURL(Table_121215[[#This Row],[DOI]])</f>
        <v/>
      </c>
      <c r="O178">
        <f t="array" ref="O178">IsURL(Table_121215[[#This Row],[Data Source]])</f>
        <v/>
      </c>
      <c r="P178">
        <f t="array" ref="P178">IsURL(Table_121215[[#This Row],[Data Source]])</f>
        <v/>
      </c>
    </row>
    <row r="179" ht="15.75" customHeight="1">
      <c r="A179">
        <f>IF(Table_18[[#This Row],[Part Name]]=0,"",Table_18[[#This Row],[Part Name]])</f>
        <v/>
      </c>
      <c r="I179">
        <f>LEN(TRIM(CLEAN(SUBSTITUTE(SUBSTITUTE(Table_18[[#This Row],[Sequence]],CHAR(160)," ")," ",""))))</f>
        <v/>
      </c>
      <c r="J179" s="17" t="n"/>
      <c r="K179" s="21" t="n"/>
      <c r="L179" s="21">
        <f>IF($B179="","FALSE","TRUE")</f>
        <v/>
      </c>
      <c r="M179">
        <f t="array" ref="M179">IsURL(Table_121215[[#This Row],[Data Source]])</f>
        <v/>
      </c>
      <c r="N179">
        <f t="array" ref="N179">IsURL(Table_121215[[#This Row],[DOI]])</f>
        <v/>
      </c>
      <c r="O179">
        <f t="array" ref="O179">IsURL(Table_121215[[#This Row],[Data Source]])</f>
        <v/>
      </c>
      <c r="P179">
        <f t="array" ref="P179">IsURL(Table_121215[[#This Row],[Data Source]])</f>
        <v/>
      </c>
    </row>
    <row r="180" ht="15.75" customHeight="1">
      <c r="A180">
        <f>IF(Table_18[[#This Row],[Part Name]]=0,"",Table_18[[#This Row],[Part Name]])</f>
        <v/>
      </c>
      <c r="I180">
        <f>LEN(TRIM(CLEAN(SUBSTITUTE(SUBSTITUTE(Table_18[[#This Row],[Sequence]],CHAR(160)," ")," ",""))))</f>
        <v/>
      </c>
      <c r="J180" s="17" t="n"/>
      <c r="K180" s="21" t="n"/>
      <c r="L180" s="21">
        <f>IF($B180="","FALSE","TRUE")</f>
        <v/>
      </c>
      <c r="M180">
        <f t="array" ref="M180">IsURL(Table_121215[[#This Row],[Data Source]])</f>
        <v/>
      </c>
      <c r="N180">
        <f t="array" ref="N180">IsURL(Table_121215[[#This Row],[DOI]])</f>
        <v/>
      </c>
      <c r="O180">
        <f t="array" ref="O180">IsURL(Table_121215[[#This Row],[Data Source]])</f>
        <v/>
      </c>
      <c r="P180">
        <f t="array" ref="P180">IsURL(Table_121215[[#This Row],[Data Source]])</f>
        <v/>
      </c>
    </row>
    <row r="181" ht="15.75" customHeight="1">
      <c r="A181">
        <f>IF(Table_18[[#This Row],[Part Name]]=0,"",Table_18[[#This Row],[Part Name]])</f>
        <v/>
      </c>
      <c r="I181">
        <f>LEN(TRIM(CLEAN(SUBSTITUTE(SUBSTITUTE(Table_18[[#This Row],[Sequence]],CHAR(160)," ")," ",""))))</f>
        <v/>
      </c>
      <c r="J181" s="17" t="n"/>
      <c r="K181" s="21" t="n"/>
      <c r="L181" s="21">
        <f>IF($B181="","FALSE","TRUE")</f>
        <v/>
      </c>
      <c r="M181">
        <f t="array" ref="M181">IsURL(Table_121215[[#This Row],[Data Source]])</f>
        <v/>
      </c>
      <c r="N181">
        <f t="array" ref="N181">IsURL(Table_121215[[#This Row],[DOI]])</f>
        <v/>
      </c>
      <c r="O181">
        <f t="array" ref="O181">IsURL(Table_121215[[#This Row],[Data Source]])</f>
        <v/>
      </c>
      <c r="P181">
        <f t="array" ref="P181">IsURL(Table_121215[[#This Row],[Data Source]])</f>
        <v/>
      </c>
    </row>
    <row r="182" ht="15.75" customHeight="1">
      <c r="A182">
        <f>IF(Table_18[[#This Row],[Part Name]]=0,"",Table_18[[#This Row],[Part Name]])</f>
        <v/>
      </c>
      <c r="I182">
        <f>LEN(TRIM(CLEAN(SUBSTITUTE(SUBSTITUTE(Table_18[[#This Row],[Sequence]],CHAR(160)," ")," ",""))))</f>
        <v/>
      </c>
      <c r="J182" s="17" t="n"/>
      <c r="K182" s="21" t="n"/>
      <c r="L182" s="21">
        <f>IF($B182="","FALSE","TRUE")</f>
        <v/>
      </c>
      <c r="M182">
        <f t="array" ref="M182">IsURL(Table_121215[[#This Row],[Data Source]])</f>
        <v/>
      </c>
      <c r="N182">
        <f t="array" ref="N182">IsURL(Table_121215[[#This Row],[DOI]])</f>
        <v/>
      </c>
      <c r="O182">
        <f t="array" ref="O182">IsURL(Table_121215[[#This Row],[Data Source]])</f>
        <v/>
      </c>
      <c r="P182">
        <f t="array" ref="P182">IsURL(Table_121215[[#This Row],[Data Source]])</f>
        <v/>
      </c>
    </row>
    <row r="183" ht="15.75" customHeight="1">
      <c r="A183">
        <f>IF(Table_18[[#This Row],[Part Name]]=0,"",Table_18[[#This Row],[Part Name]])</f>
        <v/>
      </c>
      <c r="I183">
        <f>LEN(TRIM(CLEAN(SUBSTITUTE(SUBSTITUTE(Table_18[[#This Row],[Sequence]],CHAR(160)," ")," ",""))))</f>
        <v/>
      </c>
      <c r="J183" s="17" t="n"/>
      <c r="K183" s="21" t="n"/>
      <c r="L183" s="21">
        <f>IF($B183="","FALSE","TRUE")</f>
        <v/>
      </c>
      <c r="M183">
        <f t="array" ref="M183">IsURL(Table_121215[[#This Row],[Data Source]])</f>
        <v/>
      </c>
      <c r="N183">
        <f t="array" ref="N183">IsURL(Table_121215[[#This Row],[DOI]])</f>
        <v/>
      </c>
      <c r="O183">
        <f t="array" ref="O183">IsURL(Table_121215[[#This Row],[Data Source]])</f>
        <v/>
      </c>
      <c r="P183">
        <f t="array" ref="P183">IsURL(Table_121215[[#This Row],[Data Source]])</f>
        <v/>
      </c>
    </row>
    <row r="184" ht="15.75" customHeight="1">
      <c r="A184">
        <f>IF(Table_18[[#This Row],[Part Name]]=0,"",Table_18[[#This Row],[Part Name]])</f>
        <v/>
      </c>
      <c r="I184">
        <f>LEN(TRIM(CLEAN(SUBSTITUTE(SUBSTITUTE(Table_18[[#This Row],[Sequence]],CHAR(160)," ")," ",""))))</f>
        <v/>
      </c>
      <c r="J184" s="17" t="n"/>
      <c r="K184" s="21" t="n"/>
      <c r="L184" s="21">
        <f>IF($B184="","FALSE","TRUE")</f>
        <v/>
      </c>
      <c r="M184">
        <f t="array" ref="M184">IsURL(Table_121215[[#This Row],[Data Source]])</f>
        <v/>
      </c>
      <c r="N184">
        <f t="array" ref="N184">IsURL(Table_121215[[#This Row],[DOI]])</f>
        <v/>
      </c>
      <c r="O184">
        <f t="array" ref="O184">IsURL(Table_121215[[#This Row],[Data Source]])</f>
        <v/>
      </c>
      <c r="P184">
        <f t="array" ref="P184">IsURL(Table_121215[[#This Row],[Data Source]])</f>
        <v/>
      </c>
    </row>
    <row r="185" ht="15.75" customHeight="1">
      <c r="A185">
        <f>IF(Table_18[[#This Row],[Part Name]]=0,"",Table_18[[#This Row],[Part Name]])</f>
        <v/>
      </c>
      <c r="I185">
        <f>LEN(TRIM(CLEAN(SUBSTITUTE(SUBSTITUTE(Table_18[[#This Row],[Sequence]],CHAR(160)," ")," ",""))))</f>
        <v/>
      </c>
      <c r="J185" s="17" t="n"/>
      <c r="K185" s="21" t="n"/>
      <c r="L185" s="21">
        <f>IF($B185="","FALSE","TRUE")</f>
        <v/>
      </c>
      <c r="M185">
        <f t="array" ref="M185">IsURL(Table_121215[[#This Row],[Data Source]])</f>
        <v/>
      </c>
      <c r="N185">
        <f t="array" ref="N185">IsURL(Table_121215[[#This Row],[DOI]])</f>
        <v/>
      </c>
      <c r="O185">
        <f t="array" ref="O185">IsURL(Table_121215[[#This Row],[Data Source]])</f>
        <v/>
      </c>
      <c r="P185">
        <f t="array" ref="P185">IsURL(Table_121215[[#This Row],[Data Source]])</f>
        <v/>
      </c>
    </row>
    <row r="186" ht="15.75" customHeight="1">
      <c r="A186">
        <f>IF(Table_18[[#This Row],[Part Name]]=0,"",Table_18[[#This Row],[Part Name]])</f>
        <v/>
      </c>
      <c r="I186">
        <f>LEN(TRIM(CLEAN(SUBSTITUTE(SUBSTITUTE(Table_18[[#This Row],[Sequence]],CHAR(160)," ")," ",""))))</f>
        <v/>
      </c>
      <c r="J186" s="17" t="n"/>
      <c r="K186" s="21" t="n"/>
      <c r="L186" s="21">
        <f>IF($B186="","FALSE","TRUE")</f>
        <v/>
      </c>
      <c r="M186">
        <f t="array" ref="M186">IsURL(Table_121215[[#This Row],[Data Source]])</f>
        <v/>
      </c>
      <c r="N186">
        <f t="array" ref="N186">IsURL(Table_121215[[#This Row],[DOI]])</f>
        <v/>
      </c>
      <c r="O186">
        <f t="array" ref="O186">IsURL(Table_121215[[#This Row],[Data Source]])</f>
        <v/>
      </c>
      <c r="P186">
        <f t="array" ref="P186">IsURL(Table_121215[[#This Row],[Data Source]])</f>
        <v/>
      </c>
    </row>
    <row r="187" ht="15.75" customHeight="1">
      <c r="A187">
        <f>IF(Table_18[[#This Row],[Part Name]]=0,"",Table_18[[#This Row],[Part Name]])</f>
        <v/>
      </c>
      <c r="I187">
        <f>LEN(TRIM(CLEAN(SUBSTITUTE(SUBSTITUTE(Table_18[[#This Row],[Sequence]],CHAR(160)," ")," ",""))))</f>
        <v/>
      </c>
      <c r="J187" s="17" t="n"/>
      <c r="K187" s="21" t="n"/>
      <c r="L187" s="21">
        <f>IF($B187="","FALSE","TRUE")</f>
        <v/>
      </c>
      <c r="M187">
        <f t="array" ref="M187">IsURL(Table_121215[[#This Row],[Data Source]])</f>
        <v/>
      </c>
      <c r="N187">
        <f t="array" ref="N187">IsURL(Table_121215[[#This Row],[DOI]])</f>
        <v/>
      </c>
      <c r="O187">
        <f t="array" ref="O187">IsURL(Table_121215[[#This Row],[Data Source]])</f>
        <v/>
      </c>
      <c r="P187">
        <f t="array" ref="P187">IsURL(Table_121215[[#This Row],[Data Source]])</f>
        <v/>
      </c>
    </row>
    <row r="188" ht="15.75" customHeight="1">
      <c r="A188">
        <f>IF(Table_18[[#This Row],[Part Name]]=0,"",Table_18[[#This Row],[Part Name]])</f>
        <v/>
      </c>
      <c r="I188">
        <f>LEN(TRIM(CLEAN(SUBSTITUTE(SUBSTITUTE(Table_18[[#This Row],[Sequence]],CHAR(160)," ")," ",""))))</f>
        <v/>
      </c>
      <c r="J188" s="17" t="n"/>
      <c r="K188" s="21" t="n"/>
      <c r="L188" s="21">
        <f>IF($B188="","FALSE","TRUE")</f>
        <v/>
      </c>
      <c r="M188">
        <f t="array" ref="M188">IsURL(Table_121215[[#This Row],[Data Source]])</f>
        <v/>
      </c>
      <c r="N188">
        <f t="array" ref="N188">IsURL(Table_121215[[#This Row],[DOI]])</f>
        <v/>
      </c>
      <c r="O188">
        <f t="array" ref="O188">IsURL(Table_121215[[#This Row],[Data Source]])</f>
        <v/>
      </c>
      <c r="P188">
        <f t="array" ref="P188">IsURL(Table_121215[[#This Row],[Data Source]])</f>
        <v/>
      </c>
    </row>
    <row r="189" ht="15.75" customHeight="1">
      <c r="A189">
        <f>IF(Table_18[[#This Row],[Part Name]]=0,"",Table_18[[#This Row],[Part Name]])</f>
        <v/>
      </c>
      <c r="I189">
        <f>LEN(TRIM(CLEAN(SUBSTITUTE(SUBSTITUTE(Table_18[[#This Row],[Sequence]],CHAR(160)," ")," ",""))))</f>
        <v/>
      </c>
      <c r="J189" s="17" t="n"/>
      <c r="K189" s="21" t="n"/>
      <c r="L189" s="21">
        <f>IF($B189="","FALSE","TRUE")</f>
        <v/>
      </c>
      <c r="M189">
        <f t="array" ref="M189">IsURL(Table_121215[[#This Row],[Data Source]])</f>
        <v/>
      </c>
      <c r="N189">
        <f t="array" ref="N189">IsURL(Table_121215[[#This Row],[DOI]])</f>
        <v/>
      </c>
      <c r="O189">
        <f t="array" ref="O189">IsURL(Table_121215[[#This Row],[Data Source]])</f>
        <v/>
      </c>
      <c r="P189">
        <f t="array" ref="P189">IsURL(Table_121215[[#This Row],[Data Source]])</f>
        <v/>
      </c>
    </row>
    <row r="190" ht="15.75" customHeight="1">
      <c r="A190">
        <f>IF(Table_18[[#This Row],[Part Name]]=0,"",Table_18[[#This Row],[Part Name]])</f>
        <v/>
      </c>
      <c r="I190">
        <f>LEN(TRIM(CLEAN(SUBSTITUTE(SUBSTITUTE(Table_18[[#This Row],[Sequence]],CHAR(160)," ")," ",""))))</f>
        <v/>
      </c>
      <c r="J190" s="17" t="n"/>
      <c r="K190" s="21" t="n"/>
      <c r="L190" s="21">
        <f>IF($B190="","FALSE","TRUE")</f>
        <v/>
      </c>
      <c r="M190">
        <f t="array" ref="M190">IsURL(Table_121215[[#This Row],[Data Source]])</f>
        <v/>
      </c>
      <c r="N190">
        <f t="array" ref="N190">IsURL(Table_121215[[#This Row],[DOI]])</f>
        <v/>
      </c>
      <c r="O190">
        <f t="array" ref="O190">IsURL(Table_121215[[#This Row],[Data Source]])</f>
        <v/>
      </c>
      <c r="P190">
        <f t="array" ref="P190">IsURL(Table_121215[[#This Row],[Data Source]])</f>
        <v/>
      </c>
    </row>
    <row r="191" ht="15.75" customHeight="1">
      <c r="A191">
        <f>IF(Table_18[[#This Row],[Part Name]]=0,"",Table_18[[#This Row],[Part Name]])</f>
        <v/>
      </c>
      <c r="I191">
        <f>LEN(TRIM(CLEAN(SUBSTITUTE(SUBSTITUTE(Table_18[[#This Row],[Sequence]],CHAR(160)," ")," ",""))))</f>
        <v/>
      </c>
      <c r="J191" s="17" t="n"/>
      <c r="K191" s="21" t="n"/>
      <c r="L191" s="21">
        <f>IF($B191="","FALSE","TRUE")</f>
        <v/>
      </c>
      <c r="M191">
        <f t="array" ref="M191">IsURL(Table_121215[[#This Row],[Data Source]])</f>
        <v/>
      </c>
      <c r="N191">
        <f t="array" ref="N191">IsURL(Table_121215[[#This Row],[DOI]])</f>
        <v/>
      </c>
      <c r="O191">
        <f t="array" ref="O191">IsURL(Table_121215[[#This Row],[Data Source]])</f>
        <v/>
      </c>
      <c r="P191">
        <f t="array" ref="P191">IsURL(Table_121215[[#This Row],[Data Source]])</f>
        <v/>
      </c>
    </row>
    <row r="192" ht="15.75" customHeight="1">
      <c r="A192">
        <f>IF(Table_18[[#This Row],[Part Name]]=0,"",Table_18[[#This Row],[Part Name]])</f>
        <v/>
      </c>
      <c r="I192">
        <f>LEN(TRIM(CLEAN(SUBSTITUTE(SUBSTITUTE(Table_18[[#This Row],[Sequence]],CHAR(160)," ")," ",""))))</f>
        <v/>
      </c>
      <c r="J192" s="17" t="n"/>
      <c r="K192" s="21" t="n"/>
      <c r="L192" s="21">
        <f>IF($B192="","FALSE","TRUE")</f>
        <v/>
      </c>
      <c r="M192">
        <f t="array" ref="M192">IsURL(Table_121215[[#This Row],[Data Source]])</f>
        <v/>
      </c>
      <c r="N192">
        <f t="array" ref="N192">IsURL(Table_121215[[#This Row],[DOI]])</f>
        <v/>
      </c>
      <c r="O192">
        <f t="array" ref="O192">IsURL(Table_121215[[#This Row],[Data Source]])</f>
        <v/>
      </c>
      <c r="P192">
        <f t="array" ref="P192">IsURL(Table_121215[[#This Row],[Data Source]])</f>
        <v/>
      </c>
    </row>
    <row r="193" ht="15.75" customHeight="1">
      <c r="A193">
        <f>IF(Table_18[[#This Row],[Part Name]]=0,"",Table_18[[#This Row],[Part Name]])</f>
        <v/>
      </c>
      <c r="I193">
        <f>LEN(TRIM(CLEAN(SUBSTITUTE(SUBSTITUTE(Table_18[[#This Row],[Sequence]],CHAR(160)," ")," ",""))))</f>
        <v/>
      </c>
      <c r="J193" s="17" t="n"/>
      <c r="K193" s="21" t="n"/>
      <c r="L193" s="21">
        <f>IF($B193="","FALSE","TRUE")</f>
        <v/>
      </c>
      <c r="M193">
        <f t="array" ref="M193">IsURL(Table_121215[[#This Row],[Data Source]])</f>
        <v/>
      </c>
      <c r="N193">
        <f t="array" ref="N193">IsURL(Table_121215[[#This Row],[DOI]])</f>
        <v/>
      </c>
      <c r="O193">
        <f t="array" ref="O193">IsURL(Table_121215[[#This Row],[Data Source]])</f>
        <v/>
      </c>
      <c r="P193">
        <f t="array" ref="P193">IsURL(Table_121215[[#This Row],[Data Source]])</f>
        <v/>
      </c>
    </row>
    <row r="194" ht="15.75" customHeight="1">
      <c r="A194">
        <f>IF(Table_18[[#This Row],[Part Name]]=0,"",Table_18[[#This Row],[Part Name]])</f>
        <v/>
      </c>
      <c r="I194">
        <f>LEN(TRIM(CLEAN(SUBSTITUTE(SUBSTITUTE(Table_18[[#This Row],[Sequence]],CHAR(160)," ")," ",""))))</f>
        <v/>
      </c>
      <c r="J194" s="17" t="n"/>
      <c r="K194" s="21" t="n"/>
      <c r="L194" s="21">
        <f>IF($B194="","FALSE","TRUE")</f>
        <v/>
      </c>
      <c r="M194">
        <f t="array" ref="M194">IsURL(Table_121215[[#This Row],[Data Source]])</f>
        <v/>
      </c>
      <c r="N194">
        <f t="array" ref="N194">IsURL(Table_121215[[#This Row],[DOI]])</f>
        <v/>
      </c>
      <c r="O194">
        <f t="array" ref="O194">IsURL(Table_121215[[#This Row],[Data Source]])</f>
        <v/>
      </c>
      <c r="P194">
        <f t="array" ref="P194">IsURL(Table_121215[[#This Row],[Data Source]])</f>
        <v/>
      </c>
    </row>
    <row r="195" ht="15.75" customHeight="1">
      <c r="A195">
        <f>IF(Table_18[[#This Row],[Part Name]]=0,"",Table_18[[#This Row],[Part Name]])</f>
        <v/>
      </c>
      <c r="I195">
        <f>LEN(TRIM(CLEAN(SUBSTITUTE(SUBSTITUTE(Table_18[[#This Row],[Sequence]],CHAR(160)," ")," ",""))))</f>
        <v/>
      </c>
      <c r="J195" s="17" t="n"/>
      <c r="K195" s="21" t="n"/>
      <c r="L195" s="21">
        <f>IF($B195="","FALSE","TRUE")</f>
        <v/>
      </c>
      <c r="M195">
        <f t="array" ref="M195">IsURL(Table_121215[[#This Row],[Data Source]])</f>
        <v/>
      </c>
      <c r="N195">
        <f t="array" ref="N195">IsURL(Table_121215[[#This Row],[DOI]])</f>
        <v/>
      </c>
      <c r="O195">
        <f t="array" ref="O195">IsURL(Table_121215[[#This Row],[Data Source]])</f>
        <v/>
      </c>
      <c r="P195">
        <f t="array" ref="P195">IsURL(Table_121215[[#This Row],[Data Source]])</f>
        <v/>
      </c>
    </row>
    <row r="196" ht="15.75" customHeight="1">
      <c r="A196">
        <f>IF(Table_18[[#This Row],[Part Name]]=0,"",Table_18[[#This Row],[Part Name]])</f>
        <v/>
      </c>
      <c r="I196">
        <f>LEN(TRIM(CLEAN(SUBSTITUTE(SUBSTITUTE(Table_18[[#This Row],[Sequence]],CHAR(160)," ")," ",""))))</f>
        <v/>
      </c>
      <c r="J196" s="17" t="n"/>
      <c r="K196" s="21" t="n"/>
      <c r="L196" s="21">
        <f>IF($B196="","FALSE","TRUE")</f>
        <v/>
      </c>
      <c r="M196">
        <f t="array" ref="M196">IsURL(Table_121215[[#This Row],[Data Source]])</f>
        <v/>
      </c>
      <c r="N196">
        <f t="array" ref="N196">IsURL(Table_121215[[#This Row],[DOI]])</f>
        <v/>
      </c>
      <c r="O196">
        <f t="array" ref="O196">IsURL(Table_121215[[#This Row],[Data Source]])</f>
        <v/>
      </c>
      <c r="P196">
        <f t="array" ref="P196">IsURL(Table_121215[[#This Row],[Data Source]])</f>
        <v/>
      </c>
    </row>
    <row r="197" ht="15.75" customHeight="1">
      <c r="A197">
        <f>IF(Table_18[[#This Row],[Part Name]]=0,"",Table_18[[#This Row],[Part Name]])</f>
        <v/>
      </c>
      <c r="I197">
        <f>LEN(TRIM(CLEAN(SUBSTITUTE(SUBSTITUTE(Table_18[[#This Row],[Sequence]],CHAR(160)," ")," ",""))))</f>
        <v/>
      </c>
      <c r="J197" s="17" t="n"/>
      <c r="K197" s="21" t="n"/>
      <c r="L197" s="21">
        <f>IF($B197="","FALSE","TRUE")</f>
        <v/>
      </c>
      <c r="M197">
        <f t="array" ref="M197">IsURL(Table_121215[[#This Row],[Data Source]])</f>
        <v/>
      </c>
      <c r="N197">
        <f t="array" ref="N197">IsURL(Table_121215[[#This Row],[DOI]])</f>
        <v/>
      </c>
      <c r="O197">
        <f t="array" ref="O197">IsURL(Table_121215[[#This Row],[Data Source]])</f>
        <v/>
      </c>
      <c r="P197">
        <f t="array" ref="P197">IsURL(Table_121215[[#This Row],[Data Source]])</f>
        <v/>
      </c>
    </row>
    <row r="198" ht="15.75" customHeight="1">
      <c r="A198">
        <f>IF(Table_18[[#This Row],[Part Name]]=0,"",Table_18[[#This Row],[Part Name]])</f>
        <v/>
      </c>
      <c r="I198">
        <f>LEN(TRIM(CLEAN(SUBSTITUTE(SUBSTITUTE(Table_18[[#This Row],[Sequence]],CHAR(160)," ")," ",""))))</f>
        <v/>
      </c>
      <c r="J198" s="17" t="n"/>
      <c r="K198" s="21" t="n"/>
      <c r="L198" s="21">
        <f>IF($B198="","FALSE","TRUE")</f>
        <v/>
      </c>
      <c r="M198">
        <f t="array" ref="M198">IsURL(Table_121215[[#This Row],[Data Source]])</f>
        <v/>
      </c>
      <c r="N198">
        <f t="array" ref="N198">IsURL(Table_121215[[#This Row],[DOI]])</f>
        <v/>
      </c>
      <c r="O198">
        <f t="array" ref="O198">IsURL(Table_121215[[#This Row],[Data Source]])</f>
        <v/>
      </c>
      <c r="P198">
        <f t="array" ref="P198">IsURL(Table_121215[[#This Row],[Data Source]])</f>
        <v/>
      </c>
    </row>
    <row r="199" ht="15.75" customHeight="1">
      <c r="A199">
        <f>IF(Table_18[[#This Row],[Part Name]]=0,"",Table_18[[#This Row],[Part Name]])</f>
        <v/>
      </c>
      <c r="I199">
        <f>LEN(TRIM(CLEAN(SUBSTITUTE(SUBSTITUTE(Table_18[[#This Row],[Sequence]],CHAR(160)," ")," ",""))))</f>
        <v/>
      </c>
      <c r="J199" s="17" t="n"/>
      <c r="K199" s="21" t="n"/>
      <c r="L199" s="21">
        <f>IF($B199="","FALSE","TRUE")</f>
        <v/>
      </c>
      <c r="M199">
        <f t="array" ref="M199">IsURL(Table_121215[[#This Row],[Data Source]])</f>
        <v/>
      </c>
      <c r="N199">
        <f t="array" ref="N199">IsURL(Table_121215[[#This Row],[DOI]])</f>
        <v/>
      </c>
      <c r="O199">
        <f t="array" ref="O199">IsURL(Table_121215[[#This Row],[Data Source]])</f>
        <v/>
      </c>
      <c r="P199">
        <f t="array" ref="P199">IsURL(Table_121215[[#This Row],[Data Source]])</f>
        <v/>
      </c>
    </row>
    <row r="200" ht="15.75" customHeight="1">
      <c r="A200">
        <f>IF(Table_18[[#This Row],[Part Name]]=0,"",Table_18[[#This Row],[Part Name]])</f>
        <v/>
      </c>
      <c r="I200">
        <f>LEN(TRIM(CLEAN(SUBSTITUTE(SUBSTITUTE(Table_18[[#This Row],[Sequence]],CHAR(160)," ")," ",""))))</f>
        <v/>
      </c>
      <c r="J200" s="17" t="n"/>
      <c r="K200" s="21" t="n"/>
      <c r="L200" s="21">
        <f>IF($B200="","FALSE","TRUE")</f>
        <v/>
      </c>
      <c r="M200">
        <f t="array" ref="M200">IsURL(Table_121215[[#This Row],[Data Source]])</f>
        <v/>
      </c>
      <c r="N200">
        <f t="array" ref="N200">IsURL(Table_121215[[#This Row],[DOI]])</f>
        <v/>
      </c>
      <c r="O200">
        <f t="array" ref="O200">IsURL(Table_121215[[#This Row],[Data Source]])</f>
        <v/>
      </c>
      <c r="P200">
        <f t="array" ref="P200">IsURL(Table_121215[[#This Row],[Data Source]])</f>
        <v/>
      </c>
    </row>
    <row r="201" ht="15.75" customHeight="1">
      <c r="A201">
        <f>IF(Table_18[[#This Row],[Part Name]]=0,"",Table_18[[#This Row],[Part Name]])</f>
        <v/>
      </c>
      <c r="I201">
        <f>LEN(TRIM(CLEAN(SUBSTITUTE(SUBSTITUTE(Table_18[[#This Row],[Sequence]],CHAR(160)," ")," ",""))))</f>
        <v/>
      </c>
      <c r="J201" s="17" t="n"/>
      <c r="K201" s="21" t="n"/>
      <c r="L201" s="21">
        <f>IF($B201="","FALSE","TRUE")</f>
        <v/>
      </c>
      <c r="M201">
        <f t="array" ref="M201">IsURL(Table_121215[[#This Row],[Data Source]])</f>
        <v/>
      </c>
      <c r="N201">
        <f t="array" ref="N201">IsURL(Table_121215[[#This Row],[DOI]])</f>
        <v/>
      </c>
      <c r="O201">
        <f t="array" ref="O201">IsURL(Table_121215[[#This Row],[Data Source]])</f>
        <v/>
      </c>
      <c r="P201">
        <f t="array" ref="P201">IsURL(Table_121215[[#This Row],[Data Source]])</f>
        <v/>
      </c>
    </row>
    <row r="202" ht="15.75" customHeight="1">
      <c r="A202">
        <f>IF(Table_18[[#This Row],[Part Name]]=0,"",Table_18[[#This Row],[Part Name]])</f>
        <v/>
      </c>
      <c r="I202">
        <f>LEN(TRIM(CLEAN(SUBSTITUTE(SUBSTITUTE(Table_18[[#This Row],[Sequence]],CHAR(160)," ")," ",""))))</f>
        <v/>
      </c>
      <c r="J202" s="17" t="n"/>
      <c r="K202" s="21" t="n"/>
      <c r="L202" s="21">
        <f>IF($B202="","FALSE","TRUE")</f>
        <v/>
      </c>
      <c r="M202">
        <f t="array" ref="M202">IsURL(Table_121215[[#This Row],[Data Source]])</f>
        <v/>
      </c>
      <c r="N202">
        <f t="array" ref="N202">IsURL(Table_121215[[#This Row],[DOI]])</f>
        <v/>
      </c>
      <c r="O202">
        <f t="array" ref="O202">IsURL(Table_121215[[#This Row],[Data Source]])</f>
        <v/>
      </c>
      <c r="P202">
        <f t="array" ref="P202">IsURL(Table_121215[[#This Row],[Data Source]])</f>
        <v/>
      </c>
    </row>
    <row r="203" ht="15.75" customHeight="1">
      <c r="A203">
        <f>IF(Table_18[[#This Row],[Part Name]]=0,"",Table_18[[#This Row],[Part Name]])</f>
        <v/>
      </c>
      <c r="I203">
        <f>LEN(TRIM(CLEAN(SUBSTITUTE(SUBSTITUTE(Table_18[[#This Row],[Sequence]],CHAR(160)," ")," ",""))))</f>
        <v/>
      </c>
      <c r="J203" s="17" t="n"/>
      <c r="K203" s="21" t="n"/>
      <c r="L203" s="21">
        <f>IF($B203="","FALSE","TRUE")</f>
        <v/>
      </c>
      <c r="M203">
        <f t="array" ref="M203">IsURL(Table_121215[[#This Row],[Data Source]])</f>
        <v/>
      </c>
      <c r="N203">
        <f t="array" ref="N203">IsURL(Table_121215[[#This Row],[DOI]])</f>
        <v/>
      </c>
      <c r="O203">
        <f t="array" ref="O203">IsURL(Table_121215[[#This Row],[Data Source]])</f>
        <v/>
      </c>
      <c r="P203">
        <f t="array" ref="P203">IsURL(Table_121215[[#This Row],[Data Source]])</f>
        <v/>
      </c>
    </row>
    <row r="204" ht="15.75" customHeight="1">
      <c r="A204">
        <f>IF(Table_18[[#This Row],[Part Name]]=0,"",Table_18[[#This Row],[Part Name]])</f>
        <v/>
      </c>
      <c r="I204">
        <f>LEN(TRIM(CLEAN(SUBSTITUTE(SUBSTITUTE(Table_18[[#This Row],[Sequence]],CHAR(160)," ")," ",""))))</f>
        <v/>
      </c>
      <c r="J204" s="17" t="n"/>
      <c r="K204" s="21" t="n"/>
      <c r="L204" s="21">
        <f>IF($B204="","FALSE","TRUE")</f>
        <v/>
      </c>
      <c r="M204">
        <f t="array" ref="M204">IsURL(Table_121215[[#This Row],[Data Source]])</f>
        <v/>
      </c>
      <c r="N204">
        <f t="array" ref="N204">IsURL(Table_121215[[#This Row],[DOI]])</f>
        <v/>
      </c>
      <c r="O204">
        <f t="array" ref="O204">IsURL(Table_121215[[#This Row],[Data Source]])</f>
        <v/>
      </c>
      <c r="P204">
        <f t="array" ref="P204">IsURL(Table_121215[[#This Row],[Data Source]])</f>
        <v/>
      </c>
    </row>
    <row r="205" ht="15.75" customHeight="1">
      <c r="A205">
        <f>IF(Table_18[[#This Row],[Part Name]]=0,"",Table_18[[#This Row],[Part Name]])</f>
        <v/>
      </c>
      <c r="I205">
        <f>LEN(TRIM(CLEAN(SUBSTITUTE(SUBSTITUTE(Table_18[[#This Row],[Sequence]],CHAR(160)," ")," ",""))))</f>
        <v/>
      </c>
      <c r="J205" s="17" t="n"/>
      <c r="K205" s="21" t="n"/>
      <c r="L205" s="21">
        <f>IF($B205="","FALSE","TRUE")</f>
        <v/>
      </c>
      <c r="M205">
        <f t="array" ref="M205">IsURL(Table_121215[[#This Row],[Data Source]])</f>
        <v/>
      </c>
      <c r="N205">
        <f t="array" ref="N205">IsURL(Table_121215[[#This Row],[DOI]])</f>
        <v/>
      </c>
      <c r="O205">
        <f t="array" ref="O205">IsURL(Table_121215[[#This Row],[Data Source]])</f>
        <v/>
      </c>
      <c r="P205">
        <f t="array" ref="P205">IsURL(Table_121215[[#This Row],[Data Source]])</f>
        <v/>
      </c>
    </row>
    <row r="206" ht="15.75" customHeight="1">
      <c r="A206">
        <f>IF(Table_18[[#This Row],[Part Name]]=0,"",Table_18[[#This Row],[Part Name]])</f>
        <v/>
      </c>
      <c r="I206">
        <f>LEN(TRIM(CLEAN(SUBSTITUTE(SUBSTITUTE(Table_18[[#This Row],[Sequence]],CHAR(160)," ")," ",""))))</f>
        <v/>
      </c>
      <c r="J206" s="17" t="n"/>
      <c r="K206" s="21" t="n"/>
      <c r="L206" s="21">
        <f>IF($B206="","FALSE","TRUE")</f>
        <v/>
      </c>
      <c r="M206">
        <f t="array" ref="M206">IsURL(Table_121215[[#This Row],[Data Source]])</f>
        <v/>
      </c>
      <c r="N206">
        <f t="array" ref="N206">IsURL(Table_121215[[#This Row],[DOI]])</f>
        <v/>
      </c>
      <c r="O206">
        <f t="array" ref="O206">IsURL(Table_121215[[#This Row],[Data Source]])</f>
        <v/>
      </c>
      <c r="P206">
        <f t="array" ref="P206">IsURL(Table_121215[[#This Row],[Data Source]])</f>
        <v/>
      </c>
    </row>
    <row r="207" ht="15.75" customHeight="1">
      <c r="A207">
        <f>IF(Table_18[[#This Row],[Part Name]]=0,"",Table_18[[#This Row],[Part Name]])</f>
        <v/>
      </c>
      <c r="I207">
        <f>LEN(TRIM(CLEAN(SUBSTITUTE(SUBSTITUTE(Table_18[[#This Row],[Sequence]],CHAR(160)," ")," ",""))))</f>
        <v/>
      </c>
      <c r="J207" s="17" t="n"/>
      <c r="K207" s="21" t="n"/>
      <c r="L207" s="21">
        <f>IF($B207="","FALSE","TRUE")</f>
        <v/>
      </c>
      <c r="M207">
        <f t="array" ref="M207">IsURL(Table_121215[[#This Row],[Data Source]])</f>
        <v/>
      </c>
      <c r="N207">
        <f t="array" ref="N207">IsURL(Table_121215[[#This Row],[DOI]])</f>
        <v/>
      </c>
      <c r="O207">
        <f t="array" ref="O207">IsURL(Table_121215[[#This Row],[Data Source]])</f>
        <v/>
      </c>
      <c r="P207">
        <f t="array" ref="P207">IsURL(Table_121215[[#This Row],[Data Source]])</f>
        <v/>
      </c>
    </row>
    <row r="208" ht="15.75" customHeight="1">
      <c r="A208">
        <f>IF(Table_18[[#This Row],[Part Name]]=0,"",Table_18[[#This Row],[Part Name]])</f>
        <v/>
      </c>
      <c r="I208">
        <f>LEN(TRIM(CLEAN(SUBSTITUTE(SUBSTITUTE(Table_18[[#This Row],[Sequence]],CHAR(160)," ")," ",""))))</f>
        <v/>
      </c>
      <c r="J208" s="17" t="n"/>
      <c r="K208" s="21" t="n"/>
      <c r="L208" s="21">
        <f>IF($B208="","FALSE","TRUE")</f>
        <v/>
      </c>
      <c r="M208">
        <f t="array" ref="M208">IsURL(Table_121215[[#This Row],[Data Source]])</f>
        <v/>
      </c>
      <c r="N208">
        <f t="array" ref="N208">IsURL(Table_121215[[#This Row],[DOI]])</f>
        <v/>
      </c>
      <c r="O208">
        <f t="array" ref="O208">IsURL(Table_121215[[#This Row],[Data Source]])</f>
        <v/>
      </c>
      <c r="P208">
        <f t="array" ref="P208">IsURL(Table_121215[[#This Row],[Data Source]])</f>
        <v/>
      </c>
    </row>
    <row r="209" ht="15.75" customHeight="1">
      <c r="A209">
        <f>IF(Table_18[[#This Row],[Part Name]]=0,"",Table_18[[#This Row],[Part Name]])</f>
        <v/>
      </c>
      <c r="I209">
        <f>LEN(TRIM(CLEAN(SUBSTITUTE(SUBSTITUTE(Table_18[[#This Row],[Sequence]],CHAR(160)," ")," ",""))))</f>
        <v/>
      </c>
      <c r="J209" s="17" t="n"/>
      <c r="K209" s="21" t="n"/>
      <c r="L209" s="21">
        <f>IF($B209="","FALSE","TRUE")</f>
        <v/>
      </c>
      <c r="M209">
        <f t="array" ref="M209">IsURL(Table_121215[[#This Row],[Data Source]])</f>
        <v/>
      </c>
      <c r="N209">
        <f t="array" ref="N209">IsURL(Table_121215[[#This Row],[DOI]])</f>
        <v/>
      </c>
      <c r="O209">
        <f t="array" ref="O209">IsURL(Table_121215[[#This Row],[Data Source]])</f>
        <v/>
      </c>
      <c r="P209">
        <f t="array" ref="P209">IsURL(Table_121215[[#This Row],[Data Source]])</f>
        <v/>
      </c>
    </row>
    <row r="210" ht="15.75" customHeight="1">
      <c r="A210">
        <f>IF(Table_18[[#This Row],[Part Name]]=0,"",Table_18[[#This Row],[Part Name]])</f>
        <v/>
      </c>
      <c r="I210">
        <f>LEN(TRIM(CLEAN(SUBSTITUTE(SUBSTITUTE(Table_18[[#This Row],[Sequence]],CHAR(160)," ")," ",""))))</f>
        <v/>
      </c>
      <c r="J210" s="17" t="n"/>
      <c r="K210" s="21" t="n"/>
      <c r="L210" s="21">
        <f>IF($B210="","FALSE","TRUE")</f>
        <v/>
      </c>
      <c r="M210">
        <f t="array" ref="M210">IsURL(Table_121215[[#This Row],[Data Source]])</f>
        <v/>
      </c>
      <c r="N210">
        <f t="array" ref="N210">IsURL(Table_121215[[#This Row],[DOI]])</f>
        <v/>
      </c>
      <c r="O210">
        <f t="array" ref="O210">IsURL(Table_121215[[#This Row],[Data Source]])</f>
        <v/>
      </c>
      <c r="P210">
        <f t="array" ref="P210">IsURL(Table_121215[[#This Row],[Data Source]])</f>
        <v/>
      </c>
    </row>
    <row r="211" ht="15.75" customHeight="1">
      <c r="A211">
        <f>IF(Table_18[[#This Row],[Part Name]]=0,"",Table_18[[#This Row],[Part Name]])</f>
        <v/>
      </c>
      <c r="I211">
        <f>LEN(TRIM(CLEAN(SUBSTITUTE(SUBSTITUTE(Table_18[[#This Row],[Sequence]],CHAR(160)," ")," ",""))))</f>
        <v/>
      </c>
      <c r="J211" s="17" t="n"/>
      <c r="K211" s="21" t="n"/>
      <c r="L211" s="21">
        <f>IF($B211="","FALSE","TRUE")</f>
        <v/>
      </c>
      <c r="M211">
        <f t="array" ref="M211">IsURL(Table_121215[[#This Row],[Data Source]])</f>
        <v/>
      </c>
      <c r="N211">
        <f t="array" ref="N211">IsURL(Table_121215[[#This Row],[DOI]])</f>
        <v/>
      </c>
      <c r="O211">
        <f t="array" ref="O211">IsURL(Table_121215[[#This Row],[Data Source]])</f>
        <v/>
      </c>
      <c r="P211">
        <f t="array" ref="P211">IsURL(Table_121215[[#This Row],[Data Source]])</f>
        <v/>
      </c>
    </row>
    <row r="212" ht="15.75" customHeight="1">
      <c r="A212">
        <f>IF(Table_18[[#This Row],[Part Name]]=0,"",Table_18[[#This Row],[Part Name]])</f>
        <v/>
      </c>
      <c r="I212">
        <f>LEN(TRIM(CLEAN(SUBSTITUTE(SUBSTITUTE(Table_18[[#This Row],[Sequence]],CHAR(160)," ")," ",""))))</f>
        <v/>
      </c>
      <c r="J212" s="17" t="n"/>
      <c r="K212" s="21" t="n"/>
      <c r="L212" s="21">
        <f>IF($B212="","FALSE","TRUE")</f>
        <v/>
      </c>
      <c r="M212">
        <f t="array" ref="M212">IsURL(Table_121215[[#This Row],[Data Source]])</f>
        <v/>
      </c>
      <c r="N212">
        <f t="array" ref="N212">IsURL(Table_121215[[#This Row],[DOI]])</f>
        <v/>
      </c>
      <c r="O212">
        <f t="array" ref="O212">IsURL(Table_121215[[#This Row],[Data Source]])</f>
        <v/>
      </c>
      <c r="P212">
        <f t="array" ref="P212">IsURL(Table_121215[[#This Row],[Data Source]])</f>
        <v/>
      </c>
    </row>
    <row r="213" ht="15.75" customHeight="1">
      <c r="A213">
        <f>IF(Table_18[[#This Row],[Part Name]]=0,"",Table_18[[#This Row],[Part Name]])</f>
        <v/>
      </c>
      <c r="I213">
        <f>LEN(TRIM(CLEAN(SUBSTITUTE(SUBSTITUTE(Table_18[[#This Row],[Sequence]],CHAR(160)," ")," ",""))))</f>
        <v/>
      </c>
      <c r="J213" s="17" t="n"/>
      <c r="K213" s="21" t="n"/>
      <c r="L213" s="21">
        <f>IF($B213="","FALSE","TRUE")</f>
        <v/>
      </c>
      <c r="M213">
        <f t="array" ref="M213">IsURL(Table_121215[[#This Row],[Data Source]])</f>
        <v/>
      </c>
      <c r="N213">
        <f t="array" ref="N213">IsURL(Table_121215[[#This Row],[DOI]])</f>
        <v/>
      </c>
      <c r="O213">
        <f t="array" ref="O213">IsURL(Table_121215[[#This Row],[Data Source]])</f>
        <v/>
      </c>
      <c r="P213">
        <f t="array" ref="P213">IsURL(Table_121215[[#This Row],[Data Source]])</f>
        <v/>
      </c>
    </row>
    <row r="214" ht="15.75" customHeight="1">
      <c r="A214">
        <f>IF(Table_18[[#This Row],[Part Name]]=0,"",Table_18[[#This Row],[Part Name]])</f>
        <v/>
      </c>
      <c r="I214">
        <f>LEN(TRIM(CLEAN(SUBSTITUTE(SUBSTITUTE(Table_18[[#This Row],[Sequence]],CHAR(160)," ")," ",""))))</f>
        <v/>
      </c>
      <c r="J214" s="17" t="n"/>
      <c r="K214" s="21" t="n"/>
      <c r="L214" s="21">
        <f>IF($B214="","FALSE","TRUE")</f>
        <v/>
      </c>
      <c r="M214">
        <f t="array" ref="M214">IsURL(Table_121215[[#This Row],[Data Source]])</f>
        <v/>
      </c>
      <c r="N214">
        <f t="array" ref="N214">IsURL(Table_121215[[#This Row],[DOI]])</f>
        <v/>
      </c>
      <c r="O214">
        <f t="array" ref="O214">IsURL(Table_121215[[#This Row],[Data Source]])</f>
        <v/>
      </c>
      <c r="P214">
        <f t="array" ref="P214">IsURL(Table_121215[[#This Row],[Data Source]])</f>
        <v/>
      </c>
    </row>
    <row r="215" ht="15.75" customHeight="1">
      <c r="A215">
        <f>IF(Table_18[[#This Row],[Part Name]]=0,"",Table_18[[#This Row],[Part Name]])</f>
        <v/>
      </c>
      <c r="I215">
        <f>LEN(TRIM(CLEAN(SUBSTITUTE(SUBSTITUTE(Table_18[[#This Row],[Sequence]],CHAR(160)," ")," ",""))))</f>
        <v/>
      </c>
      <c r="J215" s="17" t="n"/>
      <c r="K215" s="21" t="n"/>
      <c r="L215" s="21">
        <f>IF($B215="","FALSE","TRUE")</f>
        <v/>
      </c>
      <c r="M215">
        <f t="array" ref="M215">IsURL(Table_121215[[#This Row],[Data Source]])</f>
        <v/>
      </c>
      <c r="N215">
        <f t="array" ref="N215">IsURL(Table_121215[[#This Row],[DOI]])</f>
        <v/>
      </c>
      <c r="O215">
        <f t="array" ref="O215">IsURL(Table_121215[[#This Row],[Data Source]])</f>
        <v/>
      </c>
      <c r="P215">
        <f t="array" ref="P215">IsURL(Table_121215[[#This Row],[Data Source]])</f>
        <v/>
      </c>
    </row>
    <row r="216" ht="15.75" customHeight="1">
      <c r="A216">
        <f>IF(Table_18[[#This Row],[Part Name]]=0,"",Table_18[[#This Row],[Part Name]])</f>
        <v/>
      </c>
      <c r="I216">
        <f>LEN(TRIM(CLEAN(SUBSTITUTE(SUBSTITUTE(Table_18[[#This Row],[Sequence]],CHAR(160)," ")," ",""))))</f>
        <v/>
      </c>
      <c r="J216" s="17" t="n"/>
      <c r="K216" s="21" t="n"/>
      <c r="L216" s="21">
        <f>IF($B216="","FALSE","TRUE")</f>
        <v/>
      </c>
      <c r="M216">
        <f t="array" ref="M216">IsURL(Table_121215[[#This Row],[Data Source]])</f>
        <v/>
      </c>
      <c r="N216">
        <f t="array" ref="N216">IsURL(Table_121215[[#This Row],[DOI]])</f>
        <v/>
      </c>
      <c r="O216">
        <f t="array" ref="O216">IsURL(Table_121215[[#This Row],[Data Source]])</f>
        <v/>
      </c>
      <c r="P216">
        <f t="array" ref="P216">IsURL(Table_121215[[#This Row],[Data Source]])</f>
        <v/>
      </c>
    </row>
    <row r="217" ht="15.75" customHeight="1">
      <c r="A217">
        <f>IF(Table_18[[#This Row],[Part Name]]=0,"",Table_18[[#This Row],[Part Name]])</f>
        <v/>
      </c>
      <c r="I217">
        <f>LEN(TRIM(CLEAN(SUBSTITUTE(SUBSTITUTE(Table_18[[#This Row],[Sequence]],CHAR(160)," ")," ",""))))</f>
        <v/>
      </c>
      <c r="J217" s="17" t="n"/>
      <c r="K217" s="21" t="n"/>
      <c r="L217" s="21">
        <f>IF($B217="","FALSE","TRUE")</f>
        <v/>
      </c>
      <c r="M217">
        <f t="array" ref="M217">IsURL(Table_121215[[#This Row],[Data Source]])</f>
        <v/>
      </c>
      <c r="N217">
        <f t="array" ref="N217">IsURL(Table_121215[[#This Row],[DOI]])</f>
        <v/>
      </c>
      <c r="O217">
        <f t="array" ref="O217">IsURL(Table_121215[[#This Row],[Data Source]])</f>
        <v/>
      </c>
      <c r="P217">
        <f t="array" ref="P217">IsURL(Table_121215[[#This Row],[Data Source]])</f>
        <v/>
      </c>
    </row>
    <row r="218" ht="15.75" customHeight="1">
      <c r="A218">
        <f>IF(Table_18[[#This Row],[Part Name]]=0,"",Table_18[[#This Row],[Part Name]])</f>
        <v/>
      </c>
      <c r="I218">
        <f>LEN(TRIM(CLEAN(SUBSTITUTE(SUBSTITUTE(Table_18[[#This Row],[Sequence]],CHAR(160)," ")," ",""))))</f>
        <v/>
      </c>
      <c r="J218" s="17" t="n"/>
      <c r="K218" s="21" t="n"/>
      <c r="L218" s="21">
        <f>IF($B218="","FALSE","TRUE")</f>
        <v/>
      </c>
      <c r="M218">
        <f t="array" ref="M218">IsURL(Table_121215[[#This Row],[Data Source]])</f>
        <v/>
      </c>
      <c r="N218">
        <f t="array" ref="N218">IsURL(Table_121215[[#This Row],[DOI]])</f>
        <v/>
      </c>
      <c r="O218">
        <f t="array" ref="O218">IsURL(Table_121215[[#This Row],[Data Source]])</f>
        <v/>
      </c>
      <c r="P218">
        <f t="array" ref="P218">IsURL(Table_121215[[#This Row],[Data Source]])</f>
        <v/>
      </c>
    </row>
    <row r="219" ht="15.75" customHeight="1">
      <c r="A219">
        <f>IF(Table_18[[#This Row],[Part Name]]=0,"",Table_18[[#This Row],[Part Name]])</f>
        <v/>
      </c>
      <c r="I219">
        <f>LEN(TRIM(CLEAN(SUBSTITUTE(SUBSTITUTE(Table_18[[#This Row],[Sequence]],CHAR(160)," ")," ",""))))</f>
        <v/>
      </c>
      <c r="J219" s="17" t="n"/>
      <c r="K219" s="21" t="n"/>
      <c r="L219" s="21">
        <f>IF($B219="","FALSE","TRUE")</f>
        <v/>
      </c>
      <c r="M219">
        <f t="array" ref="M219">IsURL(Table_121215[[#This Row],[Data Source]])</f>
        <v/>
      </c>
      <c r="N219">
        <f t="array" ref="N219">IsURL(Table_121215[[#This Row],[DOI]])</f>
        <v/>
      </c>
      <c r="O219">
        <f t="array" ref="O219">IsURL(Table_121215[[#This Row],[Data Source]])</f>
        <v/>
      </c>
      <c r="P219">
        <f t="array" ref="P219">IsURL(Table_121215[[#This Row],[Data Source]])</f>
        <v/>
      </c>
    </row>
    <row r="220" ht="15.75" customHeight="1">
      <c r="A220">
        <f>IF(Table_18[[#This Row],[Part Name]]=0,"",Table_18[[#This Row],[Part Name]])</f>
        <v/>
      </c>
      <c r="I220">
        <f>LEN(TRIM(CLEAN(SUBSTITUTE(SUBSTITUTE(Table_18[[#This Row],[Sequence]],CHAR(160)," ")," ",""))))</f>
        <v/>
      </c>
      <c r="J220" s="17" t="n"/>
      <c r="K220" s="21" t="n"/>
      <c r="L220" s="21">
        <f>IF($B220="","FALSE","TRUE")</f>
        <v/>
      </c>
      <c r="M220">
        <f t="array" ref="M220">IsURL(Table_121215[[#This Row],[Data Source]])</f>
        <v/>
      </c>
      <c r="N220">
        <f t="array" ref="N220">IsURL(Table_121215[[#This Row],[DOI]])</f>
        <v/>
      </c>
      <c r="O220">
        <f t="array" ref="O220">IsURL(Table_121215[[#This Row],[Data Source]])</f>
        <v/>
      </c>
      <c r="P220">
        <f t="array" ref="P220">IsURL(Table_121215[[#This Row],[Data Source]])</f>
        <v/>
      </c>
    </row>
    <row r="221" ht="15.75" customHeight="1">
      <c r="A221">
        <f>IF(Table_18[[#This Row],[Part Name]]=0,"",Table_18[[#This Row],[Part Name]])</f>
        <v/>
      </c>
      <c r="I221">
        <f>LEN(TRIM(CLEAN(SUBSTITUTE(SUBSTITUTE(Table_18[[#This Row],[Sequence]],CHAR(160)," ")," ",""))))</f>
        <v/>
      </c>
      <c r="J221" s="17" t="n"/>
      <c r="K221" s="21" t="n"/>
      <c r="L221" s="21">
        <f>IF($B221="","FALSE","TRUE")</f>
        <v/>
      </c>
      <c r="M221">
        <f t="array" ref="M221">IsURL(Table_121215[[#This Row],[Data Source]])</f>
        <v/>
      </c>
      <c r="N221">
        <f t="array" ref="N221">IsURL(Table_121215[[#This Row],[DOI]])</f>
        <v/>
      </c>
      <c r="O221">
        <f t="array" ref="O221">IsURL(Table_121215[[#This Row],[Data Source]])</f>
        <v/>
      </c>
      <c r="P221">
        <f t="array" ref="P221">IsURL(Table_121215[[#This Row],[Data Source]])</f>
        <v/>
      </c>
    </row>
    <row r="222" ht="15.75" customHeight="1">
      <c r="A222">
        <f>IF(Table_18[[#This Row],[Part Name]]=0,"",Table_18[[#This Row],[Part Name]])</f>
        <v/>
      </c>
      <c r="I222">
        <f>LEN(TRIM(CLEAN(SUBSTITUTE(SUBSTITUTE(Table_18[[#This Row],[Sequence]],CHAR(160)," ")," ",""))))</f>
        <v/>
      </c>
      <c r="J222" s="17" t="n"/>
      <c r="K222" s="21" t="n"/>
      <c r="L222" s="21">
        <f>IF($B222="","FALSE","TRUE")</f>
        <v/>
      </c>
      <c r="M222">
        <f t="array" ref="M222">IsURL(Table_121215[[#This Row],[Data Source]])</f>
        <v/>
      </c>
      <c r="N222">
        <f t="array" ref="N222">IsURL(Table_121215[[#This Row],[DOI]])</f>
        <v/>
      </c>
      <c r="O222">
        <f t="array" ref="O222">IsURL(Table_121215[[#This Row],[Data Source]])</f>
        <v/>
      </c>
      <c r="P222">
        <f t="array" ref="P222">IsURL(Table_121215[[#This Row],[Data Source]])</f>
        <v/>
      </c>
    </row>
    <row r="223" ht="15.75" customHeight="1">
      <c r="A223">
        <f>IF(Table_18[[#This Row],[Part Name]]=0,"",Table_18[[#This Row],[Part Name]])</f>
        <v/>
      </c>
      <c r="I223">
        <f>LEN(TRIM(CLEAN(SUBSTITUTE(SUBSTITUTE(Table_18[[#This Row],[Sequence]],CHAR(160)," ")," ",""))))</f>
        <v/>
      </c>
      <c r="J223" s="17" t="n"/>
      <c r="K223" s="21" t="n"/>
      <c r="L223" s="21">
        <f>IF($B223="","FALSE","TRUE")</f>
        <v/>
      </c>
      <c r="M223">
        <f t="array" ref="M223">IsURL(Table_121215[[#This Row],[Data Source]])</f>
        <v/>
      </c>
      <c r="N223">
        <f t="array" ref="N223">IsURL(Table_121215[[#This Row],[DOI]])</f>
        <v/>
      </c>
      <c r="O223">
        <f t="array" ref="O223">IsURL(Table_121215[[#This Row],[Data Source]])</f>
        <v/>
      </c>
      <c r="P223">
        <f t="array" ref="P223">IsURL(Table_121215[[#This Row],[Data Source]])</f>
        <v/>
      </c>
    </row>
    <row r="224" ht="15.75" customHeight="1">
      <c r="A224">
        <f>IF(Table_18[[#This Row],[Part Name]]=0,"",Table_18[[#This Row],[Part Name]])</f>
        <v/>
      </c>
      <c r="I224">
        <f>LEN(TRIM(CLEAN(SUBSTITUTE(SUBSTITUTE(Table_18[[#This Row],[Sequence]],CHAR(160)," ")," ",""))))</f>
        <v/>
      </c>
      <c r="J224" s="17" t="n"/>
      <c r="K224" s="21" t="n"/>
      <c r="L224" s="21">
        <f>IF($B224="","FALSE","TRUE")</f>
        <v/>
      </c>
      <c r="M224">
        <f t="array" ref="M224">IsURL(Table_121215[[#This Row],[Data Source]])</f>
        <v/>
      </c>
      <c r="N224">
        <f t="array" ref="N224">IsURL(Table_121215[[#This Row],[DOI]])</f>
        <v/>
      </c>
      <c r="O224">
        <f t="array" ref="O224">IsURL(Table_121215[[#This Row],[Data Source]])</f>
        <v/>
      </c>
      <c r="P224">
        <f t="array" ref="P224">IsURL(Table_121215[[#This Row],[Data Source]])</f>
        <v/>
      </c>
    </row>
    <row r="225" ht="15.75" customHeight="1">
      <c r="A225">
        <f>IF(Table_18[[#This Row],[Part Name]]=0,"",Table_18[[#This Row],[Part Name]])</f>
        <v/>
      </c>
      <c r="I225">
        <f>LEN(TRIM(CLEAN(SUBSTITUTE(SUBSTITUTE(Table_18[[#This Row],[Sequence]],CHAR(160)," ")," ",""))))</f>
        <v/>
      </c>
      <c r="J225" s="17" t="n"/>
      <c r="K225" s="21" t="n"/>
      <c r="L225" s="21">
        <f>IF($B225="","FALSE","TRUE")</f>
        <v/>
      </c>
      <c r="M225">
        <f t="array" ref="M225">IsURL(Table_121215[[#This Row],[Data Source]])</f>
        <v/>
      </c>
      <c r="N225">
        <f t="array" ref="N225">IsURL(Table_121215[[#This Row],[DOI]])</f>
        <v/>
      </c>
      <c r="O225">
        <f t="array" ref="O225">IsURL(Table_121215[[#This Row],[Data Source]])</f>
        <v/>
      </c>
      <c r="P225">
        <f t="array" ref="P225">IsURL(Table_121215[[#This Row],[Data Source]])</f>
        <v/>
      </c>
    </row>
    <row r="226" ht="15.75" customHeight="1">
      <c r="A226">
        <f>IF(Table_18[[#This Row],[Part Name]]=0,"",Table_18[[#This Row],[Part Name]])</f>
        <v/>
      </c>
      <c r="I226">
        <f>LEN(TRIM(CLEAN(SUBSTITUTE(SUBSTITUTE(Table_18[[#This Row],[Sequence]],CHAR(160)," ")," ",""))))</f>
        <v/>
      </c>
      <c r="J226" s="17" t="n"/>
      <c r="K226" s="21" t="n"/>
      <c r="L226" s="21">
        <f>IF($B226="","FALSE","TRUE")</f>
        <v/>
      </c>
      <c r="M226">
        <f t="array" ref="M226">IsURL(Table_121215[[#This Row],[Data Source]])</f>
        <v/>
      </c>
      <c r="N226">
        <f t="array" ref="N226">IsURL(Table_121215[[#This Row],[DOI]])</f>
        <v/>
      </c>
      <c r="O226">
        <f t="array" ref="O226">IsURL(Table_121215[[#This Row],[Data Source]])</f>
        <v/>
      </c>
      <c r="P226">
        <f t="array" ref="P226">IsURL(Table_121215[[#This Row],[Data Source]])</f>
        <v/>
      </c>
    </row>
    <row r="227" ht="15.75" customHeight="1">
      <c r="A227">
        <f>IF(Table_18[[#This Row],[Part Name]]=0,"",Table_18[[#This Row],[Part Name]])</f>
        <v/>
      </c>
      <c r="I227">
        <f>LEN(TRIM(CLEAN(SUBSTITUTE(SUBSTITUTE(Table_18[[#This Row],[Sequence]],CHAR(160)," ")," ",""))))</f>
        <v/>
      </c>
      <c r="J227" s="17" t="n"/>
      <c r="K227" s="21" t="n"/>
      <c r="L227" s="21">
        <f>IF($B227="","FALSE","TRUE")</f>
        <v/>
      </c>
      <c r="M227">
        <f t="array" ref="M227">IsURL(Table_121215[[#This Row],[Data Source]])</f>
        <v/>
      </c>
      <c r="N227">
        <f t="array" ref="N227">IsURL(Table_121215[[#This Row],[DOI]])</f>
        <v/>
      </c>
      <c r="O227">
        <f t="array" ref="O227">IsURL(Table_121215[[#This Row],[Data Source]])</f>
        <v/>
      </c>
      <c r="P227">
        <f t="array" ref="P227">IsURL(Table_121215[[#This Row],[Data Source]])</f>
        <v/>
      </c>
    </row>
    <row r="228" ht="15.75" customHeight="1">
      <c r="A228">
        <f>IF(Table_18[[#This Row],[Part Name]]=0,"",Table_18[[#This Row],[Part Name]])</f>
        <v/>
      </c>
      <c r="I228">
        <f>LEN(TRIM(CLEAN(SUBSTITUTE(SUBSTITUTE(Table_18[[#This Row],[Sequence]],CHAR(160)," ")," ",""))))</f>
        <v/>
      </c>
      <c r="J228" s="17" t="n"/>
      <c r="K228" s="21" t="n"/>
      <c r="L228" s="21">
        <f>IF($B228="","FALSE","TRUE")</f>
        <v/>
      </c>
      <c r="M228">
        <f t="array" ref="M228">IsURL(Table_121215[[#This Row],[Data Source]])</f>
        <v/>
      </c>
      <c r="N228">
        <f t="array" ref="N228">IsURL(Table_121215[[#This Row],[DOI]])</f>
        <v/>
      </c>
      <c r="O228">
        <f t="array" ref="O228">IsURL(Table_121215[[#This Row],[Data Source]])</f>
        <v/>
      </c>
      <c r="P228">
        <f t="array" ref="P228">IsURL(Table_121215[[#This Row],[Data Source]])</f>
        <v/>
      </c>
    </row>
    <row r="229" ht="15.75" customHeight="1">
      <c r="A229">
        <f>IF(Table_18[[#This Row],[Part Name]]=0,"",Table_18[[#This Row],[Part Name]])</f>
        <v/>
      </c>
      <c r="I229">
        <f>LEN(TRIM(CLEAN(SUBSTITUTE(SUBSTITUTE(Table_18[[#This Row],[Sequence]],CHAR(160)," ")," ",""))))</f>
        <v/>
      </c>
      <c r="J229" s="17" t="n"/>
      <c r="K229" s="21" t="n"/>
      <c r="L229" s="21">
        <f>IF($B229="","FALSE","TRUE")</f>
        <v/>
      </c>
      <c r="M229">
        <f t="array" ref="M229">IsURL(Table_121215[[#This Row],[Data Source]])</f>
        <v/>
      </c>
      <c r="N229">
        <f t="array" ref="N229">IsURL(Table_121215[[#This Row],[DOI]])</f>
        <v/>
      </c>
      <c r="O229">
        <f t="array" ref="O229">IsURL(Table_121215[[#This Row],[Data Source]])</f>
        <v/>
      </c>
      <c r="P229">
        <f t="array" ref="P229">IsURL(Table_121215[[#This Row],[Data Source]])</f>
        <v/>
      </c>
    </row>
    <row r="230" ht="15.75" customHeight="1">
      <c r="A230">
        <f>IF(Table_18[[#This Row],[Part Name]]=0,"",Table_18[[#This Row],[Part Name]])</f>
        <v/>
      </c>
      <c r="I230">
        <f>LEN(TRIM(CLEAN(SUBSTITUTE(SUBSTITUTE(Table_18[[#This Row],[Sequence]],CHAR(160)," ")," ",""))))</f>
        <v/>
      </c>
      <c r="J230" s="17" t="n"/>
      <c r="K230" s="21" t="n"/>
      <c r="L230" s="21">
        <f>IF($B230="","FALSE","TRUE")</f>
        <v/>
      </c>
      <c r="M230">
        <f t="array" ref="M230">IsURL(Table_121215[[#This Row],[Data Source]])</f>
        <v/>
      </c>
      <c r="N230">
        <f t="array" ref="N230">IsURL(Table_121215[[#This Row],[DOI]])</f>
        <v/>
      </c>
      <c r="O230">
        <f t="array" ref="O230">IsURL(Table_121215[[#This Row],[Data Source]])</f>
        <v/>
      </c>
      <c r="P230">
        <f t="array" ref="P230">IsURL(Table_121215[[#This Row],[Data Source]])</f>
        <v/>
      </c>
    </row>
    <row r="231" ht="15.75" customHeight="1">
      <c r="A231">
        <f>IF(Table_18[[#This Row],[Part Name]]=0,"",Table_18[[#This Row],[Part Name]])</f>
        <v/>
      </c>
      <c r="I231">
        <f>LEN(TRIM(CLEAN(SUBSTITUTE(SUBSTITUTE(Table_18[[#This Row],[Sequence]],CHAR(160)," ")," ",""))))</f>
        <v/>
      </c>
      <c r="J231" s="17" t="n"/>
      <c r="K231" s="21" t="n"/>
      <c r="L231" s="21">
        <f>IF($B231="","FALSE","TRUE")</f>
        <v/>
      </c>
      <c r="M231">
        <f t="array" ref="M231">IsURL(Table_121215[[#This Row],[Data Source]])</f>
        <v/>
      </c>
      <c r="N231">
        <f t="array" ref="N231">IsURL(Table_121215[[#This Row],[DOI]])</f>
        <v/>
      </c>
      <c r="O231">
        <f t="array" ref="O231">IsURL(Table_121215[[#This Row],[Data Source]])</f>
        <v/>
      </c>
      <c r="P231">
        <f t="array" ref="P231">IsURL(Table_121215[[#This Row],[Data Source]])</f>
        <v/>
      </c>
    </row>
    <row r="232" ht="15.75" customHeight="1">
      <c r="A232">
        <f>IF(Table_18[[#This Row],[Part Name]]=0,"",Table_18[[#This Row],[Part Name]])</f>
        <v/>
      </c>
      <c r="I232">
        <f>LEN(TRIM(CLEAN(SUBSTITUTE(SUBSTITUTE(Table_18[[#This Row],[Sequence]],CHAR(160)," ")," ",""))))</f>
        <v/>
      </c>
      <c r="J232" s="17" t="n"/>
      <c r="K232" s="21" t="n"/>
      <c r="L232" s="21">
        <f>IF($B232="","FALSE","TRUE")</f>
        <v/>
      </c>
      <c r="M232">
        <f t="array" ref="M232">IsURL(Table_121215[[#This Row],[Data Source]])</f>
        <v/>
      </c>
      <c r="N232">
        <f t="array" ref="N232">IsURL(Table_121215[[#This Row],[DOI]])</f>
        <v/>
      </c>
      <c r="O232">
        <f t="array" ref="O232">IsURL(Table_121215[[#This Row],[Data Source]])</f>
        <v/>
      </c>
      <c r="P232">
        <f t="array" ref="P232">IsURL(Table_121215[[#This Row],[Data Source]])</f>
        <v/>
      </c>
    </row>
    <row r="233" ht="15.75" customHeight="1">
      <c r="A233">
        <f>IF(Table_18[[#This Row],[Part Name]]=0,"",Table_18[[#This Row],[Part Name]])</f>
        <v/>
      </c>
      <c r="I233">
        <f>LEN(TRIM(CLEAN(SUBSTITUTE(SUBSTITUTE(Table_18[[#This Row],[Sequence]],CHAR(160)," ")," ",""))))</f>
        <v/>
      </c>
      <c r="J233" s="17" t="n"/>
      <c r="K233" s="21" t="n"/>
      <c r="L233" s="21">
        <f>IF($B233="","FALSE","TRUE")</f>
        <v/>
      </c>
      <c r="M233">
        <f t="array" ref="M233">IsURL(Table_121215[[#This Row],[Data Source]])</f>
        <v/>
      </c>
      <c r="N233">
        <f t="array" ref="N233">IsURL(Table_121215[[#This Row],[DOI]])</f>
        <v/>
      </c>
      <c r="O233">
        <f t="array" ref="O233">IsURL(Table_121215[[#This Row],[Data Source]])</f>
        <v/>
      </c>
      <c r="P233">
        <f t="array" ref="P233">IsURL(Table_121215[[#This Row],[Data Source]])</f>
        <v/>
      </c>
    </row>
    <row r="234" ht="15.75" customHeight="1">
      <c r="A234">
        <f>IF(Table_18[[#This Row],[Part Name]]=0,"",Table_18[[#This Row],[Part Name]])</f>
        <v/>
      </c>
      <c r="I234">
        <f>LEN(TRIM(CLEAN(SUBSTITUTE(SUBSTITUTE(Table_18[[#This Row],[Sequence]],CHAR(160)," ")," ",""))))</f>
        <v/>
      </c>
      <c r="J234" s="17" t="n"/>
      <c r="K234" s="21" t="n"/>
      <c r="L234" s="21">
        <f>IF($B234="","FALSE","TRUE")</f>
        <v/>
      </c>
      <c r="M234">
        <f t="array" ref="M234">IsURL(Table_121215[[#This Row],[Data Source]])</f>
        <v/>
      </c>
      <c r="N234">
        <f t="array" ref="N234">IsURL(Table_121215[[#This Row],[DOI]])</f>
        <v/>
      </c>
      <c r="O234">
        <f t="array" ref="O234">IsURL(Table_121215[[#This Row],[Data Source]])</f>
        <v/>
      </c>
      <c r="P234">
        <f t="array" ref="P234">IsURL(Table_121215[[#This Row],[Data Source]])</f>
        <v/>
      </c>
    </row>
    <row r="235" ht="15.75" customHeight="1">
      <c r="A235">
        <f>IF(Table_18[[#This Row],[Part Name]]=0,"",Table_18[[#This Row],[Part Name]])</f>
        <v/>
      </c>
      <c r="I235">
        <f>LEN(TRIM(CLEAN(SUBSTITUTE(SUBSTITUTE(Table_18[[#This Row],[Sequence]],CHAR(160)," ")," ",""))))</f>
        <v/>
      </c>
      <c r="J235" s="17" t="n"/>
      <c r="K235" s="21" t="n"/>
      <c r="L235" s="21">
        <f>IF($B235="","FALSE","TRUE")</f>
        <v/>
      </c>
      <c r="M235">
        <f t="array" ref="M235">IsURL(Table_121215[[#This Row],[Data Source]])</f>
        <v/>
      </c>
      <c r="N235">
        <f t="array" ref="N235">IsURL(Table_121215[[#This Row],[DOI]])</f>
        <v/>
      </c>
      <c r="O235">
        <f t="array" ref="O235">IsURL(Table_121215[[#This Row],[Data Source]])</f>
        <v/>
      </c>
      <c r="P235">
        <f t="array" ref="P235">IsURL(Table_121215[[#This Row],[Data Source]])</f>
        <v/>
      </c>
    </row>
    <row r="236" ht="15.75" customHeight="1">
      <c r="A236">
        <f>IF(Table_18[[#This Row],[Part Name]]=0,"",Table_18[[#This Row],[Part Name]])</f>
        <v/>
      </c>
      <c r="I236">
        <f>LEN(TRIM(CLEAN(SUBSTITUTE(SUBSTITUTE(Table_18[[#This Row],[Sequence]],CHAR(160)," ")," ",""))))</f>
        <v/>
      </c>
      <c r="J236" s="17" t="n"/>
      <c r="K236" s="21" t="n"/>
      <c r="L236" s="21">
        <f>IF($B236="","FALSE","TRUE")</f>
        <v/>
      </c>
      <c r="M236">
        <f t="array" ref="M236">IsURL(Table_121215[[#This Row],[Data Source]])</f>
        <v/>
      </c>
      <c r="N236">
        <f t="array" ref="N236">IsURL(Table_121215[[#This Row],[DOI]])</f>
        <v/>
      </c>
      <c r="O236">
        <f t="array" ref="O236">IsURL(Table_121215[[#This Row],[Data Source]])</f>
        <v/>
      </c>
      <c r="P236">
        <f t="array" ref="P236">IsURL(Table_121215[[#This Row],[Data Source]])</f>
        <v/>
      </c>
    </row>
    <row r="237" ht="15.75" customHeight="1">
      <c r="A237">
        <f>IF(Table_18[[#This Row],[Part Name]]=0,"",Table_18[[#This Row],[Part Name]])</f>
        <v/>
      </c>
      <c r="I237">
        <f>LEN(TRIM(CLEAN(SUBSTITUTE(SUBSTITUTE(Table_18[[#This Row],[Sequence]],CHAR(160)," ")," ",""))))</f>
        <v/>
      </c>
      <c r="J237" s="17" t="n"/>
      <c r="K237" s="21" t="n"/>
      <c r="L237" s="21">
        <f>IF($B237="","FALSE","TRUE")</f>
        <v/>
      </c>
      <c r="M237">
        <f t="array" ref="M237">IsURL(Table_121215[[#This Row],[Data Source]])</f>
        <v/>
      </c>
      <c r="N237">
        <f t="array" ref="N237">IsURL(Table_121215[[#This Row],[DOI]])</f>
        <v/>
      </c>
      <c r="O237">
        <f t="array" ref="O237">IsURL(Table_121215[[#This Row],[Data Source]])</f>
        <v/>
      </c>
      <c r="P237">
        <f t="array" ref="P237">IsURL(Table_121215[[#This Row],[Data Source]])</f>
        <v/>
      </c>
    </row>
    <row r="238" ht="15.75" customHeight="1">
      <c r="A238">
        <f>IF(Table_18[[#This Row],[Part Name]]=0,"",Table_18[[#This Row],[Part Name]])</f>
        <v/>
      </c>
      <c r="I238">
        <f>LEN(TRIM(CLEAN(SUBSTITUTE(SUBSTITUTE(Table_18[[#This Row],[Sequence]],CHAR(160)," ")," ",""))))</f>
        <v/>
      </c>
      <c r="J238" s="17" t="n"/>
      <c r="K238" s="21" t="n"/>
      <c r="L238" s="21">
        <f>IF($B238="","FALSE","TRUE")</f>
        <v/>
      </c>
      <c r="M238">
        <f t="array" ref="M238">IsURL(Table_121215[[#This Row],[Data Source]])</f>
        <v/>
      </c>
      <c r="N238">
        <f t="array" ref="N238">IsURL(Table_121215[[#This Row],[DOI]])</f>
        <v/>
      </c>
      <c r="O238">
        <f t="array" ref="O238">IsURL(Table_121215[[#This Row],[Data Source]])</f>
        <v/>
      </c>
      <c r="P238">
        <f t="array" ref="P238">IsURL(Table_121215[[#This Row],[Data Source]])</f>
        <v/>
      </c>
    </row>
    <row r="239" ht="15.75" customHeight="1">
      <c r="A239">
        <f>IF(Table_18[[#This Row],[Part Name]]=0,"",Table_18[[#This Row],[Part Name]])</f>
        <v/>
      </c>
      <c r="I239">
        <f>LEN(TRIM(CLEAN(SUBSTITUTE(SUBSTITUTE(Table_18[[#This Row],[Sequence]],CHAR(160)," ")," ",""))))</f>
        <v/>
      </c>
      <c r="J239" s="17" t="n"/>
      <c r="K239" s="21" t="n"/>
      <c r="L239" s="21">
        <f>IF($B239="","FALSE","TRUE")</f>
        <v/>
      </c>
      <c r="M239">
        <f t="array" ref="M239">IsURL(Table_121215[[#This Row],[Data Source]])</f>
        <v/>
      </c>
      <c r="N239">
        <f t="array" ref="N239">IsURL(Table_121215[[#This Row],[DOI]])</f>
        <v/>
      </c>
      <c r="O239">
        <f t="array" ref="O239">IsURL(Table_121215[[#This Row],[Data Source]])</f>
        <v/>
      </c>
      <c r="P239">
        <f t="array" ref="P239">IsURL(Table_121215[[#This Row],[Data Source]])</f>
        <v/>
      </c>
    </row>
    <row r="240" ht="15.75" customHeight="1">
      <c r="A240">
        <f>IF(Table_18[[#This Row],[Part Name]]=0,"",Table_18[[#This Row],[Part Name]])</f>
        <v/>
      </c>
      <c r="I240">
        <f>LEN(TRIM(CLEAN(SUBSTITUTE(SUBSTITUTE(Table_18[[#This Row],[Sequence]],CHAR(160)," ")," ",""))))</f>
        <v/>
      </c>
      <c r="J240" s="17" t="n"/>
      <c r="K240" s="21" t="n"/>
      <c r="L240" s="21">
        <f>IF($B240="","FALSE","TRUE")</f>
        <v/>
      </c>
      <c r="M240">
        <f t="array" ref="M240">IsURL(Table_121215[[#This Row],[Data Source]])</f>
        <v/>
      </c>
      <c r="N240">
        <f t="array" ref="N240">IsURL(Table_121215[[#This Row],[DOI]])</f>
        <v/>
      </c>
      <c r="O240">
        <f t="array" ref="O240">IsURL(Table_121215[[#This Row],[Data Source]])</f>
        <v/>
      </c>
      <c r="P240">
        <f t="array" ref="P240">IsURL(Table_121215[[#This Row],[Data Source]])</f>
        <v/>
      </c>
    </row>
    <row r="241" ht="15.75" customHeight="1">
      <c r="A241">
        <f>IF(Table_18[[#This Row],[Part Name]]=0,"",Table_18[[#This Row],[Part Name]])</f>
        <v/>
      </c>
      <c r="I241">
        <f>LEN(TRIM(CLEAN(SUBSTITUTE(SUBSTITUTE(Table_18[[#This Row],[Sequence]],CHAR(160)," ")," ",""))))</f>
        <v/>
      </c>
      <c r="J241" s="17" t="n"/>
      <c r="K241" s="21" t="n"/>
      <c r="L241" s="21">
        <f>IF($B241="","FALSE","TRUE")</f>
        <v/>
      </c>
      <c r="M241">
        <f t="array" ref="M241">IsURL(Table_121215[[#This Row],[Data Source]])</f>
        <v/>
      </c>
      <c r="N241">
        <f t="array" ref="N241">IsURL(Table_121215[[#This Row],[DOI]])</f>
        <v/>
      </c>
      <c r="O241">
        <f t="array" ref="O241">IsURL(Table_121215[[#This Row],[Data Source]])</f>
        <v/>
      </c>
      <c r="P241">
        <f t="array" ref="P241">IsURL(Table_121215[[#This Row],[Data Source]])</f>
        <v/>
      </c>
    </row>
    <row r="242" ht="15.75" customHeight="1">
      <c r="A242">
        <f>IF(Table_18[[#This Row],[Part Name]]=0,"",Table_18[[#This Row],[Part Name]])</f>
        <v/>
      </c>
      <c r="I242">
        <f>LEN(TRIM(CLEAN(SUBSTITUTE(SUBSTITUTE(Table_18[[#This Row],[Sequence]],CHAR(160)," ")," ",""))))</f>
        <v/>
      </c>
      <c r="J242" s="17" t="n"/>
      <c r="K242" s="21" t="n"/>
      <c r="L242" s="21">
        <f>IF($B242="","FALSE","TRUE")</f>
        <v/>
      </c>
      <c r="M242">
        <f t="array" ref="M242">IsURL(Table_121215[[#This Row],[Data Source]])</f>
        <v/>
      </c>
      <c r="N242">
        <f t="array" ref="N242">IsURL(Table_121215[[#This Row],[DOI]])</f>
        <v/>
      </c>
      <c r="O242">
        <f t="array" ref="O242">IsURL(Table_121215[[#This Row],[Data Source]])</f>
        <v/>
      </c>
      <c r="P242">
        <f t="array" ref="P242">IsURL(Table_121215[[#This Row],[Data Source]])</f>
        <v/>
      </c>
    </row>
    <row r="243" ht="15.75" customHeight="1">
      <c r="A243">
        <f>IF(Table_18[[#This Row],[Part Name]]=0,"",Table_18[[#This Row],[Part Name]])</f>
        <v/>
      </c>
      <c r="I243">
        <f>LEN(TRIM(CLEAN(SUBSTITUTE(SUBSTITUTE(Table_18[[#This Row],[Sequence]],CHAR(160)," ")," ",""))))</f>
        <v/>
      </c>
      <c r="J243" s="17" t="n"/>
      <c r="K243" s="21" t="n"/>
      <c r="L243" s="21">
        <f>IF($B243="","FALSE","TRUE")</f>
        <v/>
      </c>
      <c r="M243">
        <f t="array" ref="M243">IsURL(Table_121215[[#This Row],[Data Source]])</f>
        <v/>
      </c>
      <c r="N243">
        <f t="array" ref="N243">IsURL(Table_121215[[#This Row],[DOI]])</f>
        <v/>
      </c>
      <c r="O243">
        <f t="array" ref="O243">IsURL(Table_121215[[#This Row],[Data Source]])</f>
        <v/>
      </c>
      <c r="P243">
        <f t="array" ref="P243">IsURL(Table_121215[[#This Row],[Data Source]])</f>
        <v/>
      </c>
    </row>
    <row r="244" ht="15.75" customHeight="1">
      <c r="A244">
        <f>IF(Table_18[[#This Row],[Part Name]]=0,"",Table_18[[#This Row],[Part Name]])</f>
        <v/>
      </c>
      <c r="I244">
        <f>LEN(TRIM(CLEAN(SUBSTITUTE(SUBSTITUTE(Table_18[[#This Row],[Sequence]],CHAR(160)," ")," ",""))))</f>
        <v/>
      </c>
      <c r="J244" s="17" t="n"/>
      <c r="K244" s="21" t="n"/>
      <c r="L244" s="21">
        <f>IF($B244="","FALSE","TRUE")</f>
        <v/>
      </c>
      <c r="M244">
        <f t="array" ref="M244">IsURL(Table_121215[[#This Row],[Data Source]])</f>
        <v/>
      </c>
      <c r="N244">
        <f t="array" ref="N244">IsURL(Table_121215[[#This Row],[DOI]])</f>
        <v/>
      </c>
      <c r="O244">
        <f t="array" ref="O244">IsURL(Table_121215[[#This Row],[Data Source]])</f>
        <v/>
      </c>
      <c r="P244">
        <f t="array" ref="P244">IsURL(Table_121215[[#This Row],[Data Source]])</f>
        <v/>
      </c>
    </row>
    <row r="245" ht="15.75" customHeight="1">
      <c r="A245">
        <f>IF(Table_18[[#This Row],[Part Name]]=0,"",Table_18[[#This Row],[Part Name]])</f>
        <v/>
      </c>
      <c r="I245">
        <f>LEN(TRIM(CLEAN(SUBSTITUTE(SUBSTITUTE(Table_18[[#This Row],[Sequence]],CHAR(160)," ")," ",""))))</f>
        <v/>
      </c>
      <c r="J245" s="17" t="n"/>
      <c r="K245" s="21" t="n"/>
      <c r="L245" s="21">
        <f>IF($B245="","FALSE","TRUE")</f>
        <v/>
      </c>
      <c r="M245">
        <f t="array" ref="M245">IsURL(Table_121215[[#This Row],[Data Source]])</f>
        <v/>
      </c>
      <c r="N245">
        <f t="array" ref="N245">IsURL(Table_121215[[#This Row],[DOI]])</f>
        <v/>
      </c>
      <c r="O245">
        <f t="array" ref="O245">IsURL(Table_121215[[#This Row],[Data Source]])</f>
        <v/>
      </c>
      <c r="P245">
        <f t="array" ref="P245">IsURL(Table_121215[[#This Row],[Data Source]])</f>
        <v/>
      </c>
    </row>
    <row r="246" ht="15.75" customHeight="1">
      <c r="A246">
        <f>IF(Table_18[[#This Row],[Part Name]]=0,"",Table_18[[#This Row],[Part Name]])</f>
        <v/>
      </c>
      <c r="I246">
        <f>LEN(TRIM(CLEAN(SUBSTITUTE(SUBSTITUTE(Table_18[[#This Row],[Sequence]],CHAR(160)," ")," ",""))))</f>
        <v/>
      </c>
      <c r="J246" s="17" t="n"/>
      <c r="K246" s="21" t="n"/>
      <c r="L246" s="21">
        <f>IF($B246="","FALSE","TRUE")</f>
        <v/>
      </c>
      <c r="M246">
        <f t="array" ref="M246">IsURL(Table_121215[[#This Row],[Data Source]])</f>
        <v/>
      </c>
      <c r="N246">
        <f t="array" ref="N246">IsURL(Table_121215[[#This Row],[DOI]])</f>
        <v/>
      </c>
      <c r="O246">
        <f t="array" ref="O246">IsURL(Table_121215[[#This Row],[Data Source]])</f>
        <v/>
      </c>
      <c r="P246">
        <f t="array" ref="P246">IsURL(Table_121215[[#This Row],[Data Source]])</f>
        <v/>
      </c>
    </row>
    <row r="247" ht="15.75" customHeight="1">
      <c r="A247">
        <f>IF(Table_18[[#This Row],[Part Name]]=0,"",Table_18[[#This Row],[Part Name]])</f>
        <v/>
      </c>
      <c r="I247">
        <f>LEN(TRIM(CLEAN(SUBSTITUTE(SUBSTITUTE(Table_18[[#This Row],[Sequence]],CHAR(160)," ")," ",""))))</f>
        <v/>
      </c>
      <c r="J247" s="17" t="n"/>
      <c r="K247" s="21" t="n"/>
      <c r="L247" s="21">
        <f>IF($B247="","FALSE","TRUE")</f>
        <v/>
      </c>
      <c r="M247">
        <f t="array" ref="M247">IsURL(Table_121215[[#This Row],[Data Source]])</f>
        <v/>
      </c>
      <c r="N247">
        <f t="array" ref="N247">IsURL(Table_121215[[#This Row],[DOI]])</f>
        <v/>
      </c>
      <c r="O247">
        <f t="array" ref="O247">IsURL(Table_121215[[#This Row],[Data Source]])</f>
        <v/>
      </c>
      <c r="P247">
        <f t="array" ref="P247">IsURL(Table_121215[[#This Row],[Data Source]])</f>
        <v/>
      </c>
    </row>
    <row r="248" ht="15.75" customHeight="1">
      <c r="A248">
        <f>IF(Table_18[[#This Row],[Part Name]]=0,"",Table_18[[#This Row],[Part Name]])</f>
        <v/>
      </c>
      <c r="I248">
        <f>LEN(TRIM(CLEAN(SUBSTITUTE(SUBSTITUTE(Table_18[[#This Row],[Sequence]],CHAR(160)," ")," ",""))))</f>
        <v/>
      </c>
      <c r="J248" s="17" t="n"/>
      <c r="K248" s="21" t="n"/>
      <c r="L248" s="21">
        <f>IF($B248="","FALSE","TRUE")</f>
        <v/>
      </c>
      <c r="M248">
        <f t="array" ref="M248">IsURL(Table_121215[[#This Row],[Data Source]])</f>
        <v/>
      </c>
      <c r="N248">
        <f t="array" ref="N248">IsURL(Table_121215[[#This Row],[DOI]])</f>
        <v/>
      </c>
      <c r="O248">
        <f t="array" ref="O248">IsURL(Table_121215[[#This Row],[Data Source]])</f>
        <v/>
      </c>
      <c r="P248">
        <f t="array" ref="P248">IsURL(Table_121215[[#This Row],[Data Source]])</f>
        <v/>
      </c>
    </row>
    <row r="249" ht="15.75" customHeight="1">
      <c r="A249">
        <f>IF(Table_18[[#This Row],[Part Name]]=0,"",Table_18[[#This Row],[Part Name]])</f>
        <v/>
      </c>
      <c r="I249">
        <f>LEN(TRIM(CLEAN(SUBSTITUTE(SUBSTITUTE(Table_18[[#This Row],[Sequence]],CHAR(160)," ")," ",""))))</f>
        <v/>
      </c>
      <c r="J249" s="17" t="n"/>
      <c r="K249" s="21" t="n"/>
      <c r="L249" s="21">
        <f>IF($B249="","FALSE","TRUE")</f>
        <v/>
      </c>
      <c r="M249">
        <f t="array" ref="M249">IsURL(Table_121215[[#This Row],[Data Source]])</f>
        <v/>
      </c>
      <c r="N249">
        <f t="array" ref="N249">IsURL(Table_121215[[#This Row],[DOI]])</f>
        <v/>
      </c>
      <c r="O249">
        <f t="array" ref="O249">IsURL(Table_121215[[#This Row],[Data Source]])</f>
        <v/>
      </c>
      <c r="P249">
        <f t="array" ref="P249">IsURL(Table_121215[[#This Row],[Data Source]])</f>
        <v/>
      </c>
    </row>
    <row r="250" ht="15.75" customHeight="1">
      <c r="A250">
        <f>IF(Table_18[[#This Row],[Part Name]]=0,"",Table_18[[#This Row],[Part Name]])</f>
        <v/>
      </c>
      <c r="I250">
        <f>LEN(TRIM(CLEAN(SUBSTITUTE(SUBSTITUTE(Table_18[[#This Row],[Sequence]],CHAR(160)," ")," ",""))))</f>
        <v/>
      </c>
      <c r="J250" s="17" t="n"/>
      <c r="K250" s="21" t="n"/>
      <c r="L250" s="21">
        <f>IF($B250="","FALSE","TRUE")</f>
        <v/>
      </c>
      <c r="M250">
        <f t="array" ref="M250">IsURL(Table_121215[[#This Row],[Data Source]])</f>
        <v/>
      </c>
      <c r="N250">
        <f t="array" ref="N250">IsURL(Table_121215[[#This Row],[DOI]])</f>
        <v/>
      </c>
      <c r="O250">
        <f t="array" ref="O250">IsURL(Table_121215[[#This Row],[Data Source]])</f>
        <v/>
      </c>
      <c r="P250">
        <f t="array" ref="P250">IsURL(Table_121215[[#This Row],[Data Source]])</f>
        <v/>
      </c>
    </row>
    <row r="251" ht="15.75" customHeight="1">
      <c r="A251">
        <f>IF(Table_18[[#This Row],[Part Name]]=0,"",Table_18[[#This Row],[Part Name]])</f>
        <v/>
      </c>
      <c r="I251">
        <f>LEN(TRIM(CLEAN(SUBSTITUTE(SUBSTITUTE(Table_18[[#This Row],[Sequence]],CHAR(160)," ")," ",""))))</f>
        <v/>
      </c>
      <c r="J251" s="17" t="n"/>
      <c r="K251" s="21" t="n"/>
      <c r="L251" s="21">
        <f>IF($B251="","FALSE","TRUE")</f>
        <v/>
      </c>
      <c r="M251">
        <f t="array" ref="M251">IsURL(Table_121215[[#This Row],[Data Source]])</f>
        <v/>
      </c>
      <c r="N251">
        <f t="array" ref="N251">IsURL(Table_121215[[#This Row],[DOI]])</f>
        <v/>
      </c>
      <c r="O251">
        <f t="array" ref="O251">IsURL(Table_121215[[#This Row],[Data Source]])</f>
        <v/>
      </c>
      <c r="P251">
        <f t="array" ref="P251">IsURL(Table_121215[[#This Row],[Data Source]])</f>
        <v/>
      </c>
    </row>
    <row r="252" ht="15.75" customHeight="1">
      <c r="A252">
        <f>IF(Table_18[[#This Row],[Part Name]]=0,"",Table_18[[#This Row],[Part Name]])</f>
        <v/>
      </c>
      <c r="I252">
        <f>LEN(TRIM(CLEAN(SUBSTITUTE(SUBSTITUTE(Table_18[[#This Row],[Sequence]],CHAR(160)," ")," ",""))))</f>
        <v/>
      </c>
      <c r="J252" s="17" t="n"/>
      <c r="K252" s="21" t="n"/>
      <c r="L252" s="21">
        <f>IF($B252="","FALSE","TRUE")</f>
        <v/>
      </c>
      <c r="M252">
        <f t="array" ref="M252">IsURL(Table_121215[[#This Row],[Data Source]])</f>
        <v/>
      </c>
      <c r="N252">
        <f t="array" ref="N252">IsURL(Table_121215[[#This Row],[DOI]])</f>
        <v/>
      </c>
      <c r="O252">
        <f t="array" ref="O252">IsURL(Table_121215[[#This Row],[Data Source]])</f>
        <v/>
      </c>
      <c r="P252">
        <f t="array" ref="P252">IsURL(Table_121215[[#This Row],[Data Source]])</f>
        <v/>
      </c>
    </row>
    <row r="253" ht="15.75" customHeight="1">
      <c r="A253">
        <f>IF(Table_18[[#This Row],[Part Name]]=0,"",Table_18[[#This Row],[Part Name]])</f>
        <v/>
      </c>
      <c r="I253">
        <f>LEN(TRIM(CLEAN(SUBSTITUTE(SUBSTITUTE(Table_18[[#This Row],[Sequence]],CHAR(160)," ")," ",""))))</f>
        <v/>
      </c>
      <c r="J253" s="17" t="n"/>
      <c r="K253" s="21" t="n"/>
      <c r="L253" s="21">
        <f>IF($B253="","FALSE","TRUE")</f>
        <v/>
      </c>
      <c r="M253">
        <f t="array" ref="M253">IsURL(Table_121215[[#This Row],[Data Source]])</f>
        <v/>
      </c>
      <c r="N253">
        <f t="array" ref="N253">IsURL(Table_121215[[#This Row],[DOI]])</f>
        <v/>
      </c>
      <c r="O253">
        <f t="array" ref="O253">IsURL(Table_121215[[#This Row],[Data Source]])</f>
        <v/>
      </c>
      <c r="P253">
        <f t="array" ref="P253">IsURL(Table_121215[[#This Row],[Data Source]])</f>
        <v/>
      </c>
    </row>
    <row r="254" ht="15.75" customHeight="1">
      <c r="A254">
        <f>IF(Table_18[[#This Row],[Part Name]]=0,"",Table_18[[#This Row],[Part Name]])</f>
        <v/>
      </c>
      <c r="I254">
        <f>LEN(TRIM(CLEAN(SUBSTITUTE(SUBSTITUTE(Table_18[[#This Row],[Sequence]],CHAR(160)," ")," ",""))))</f>
        <v/>
      </c>
      <c r="J254" s="17" t="n"/>
      <c r="K254" s="21" t="n"/>
      <c r="L254" s="21">
        <f>IF($B254="","FALSE","TRUE")</f>
        <v/>
      </c>
      <c r="M254">
        <f t="array" ref="M254">IsURL(Table_121215[[#This Row],[Data Source]])</f>
        <v/>
      </c>
      <c r="N254">
        <f t="array" ref="N254">IsURL(Table_121215[[#This Row],[DOI]])</f>
        <v/>
      </c>
      <c r="O254">
        <f t="array" ref="O254">IsURL(Table_121215[[#This Row],[Data Source]])</f>
        <v/>
      </c>
      <c r="P254">
        <f t="array" ref="P254">IsURL(Table_121215[[#This Row],[Data Source]])</f>
        <v/>
      </c>
    </row>
    <row r="255" ht="15.75" customHeight="1">
      <c r="A255">
        <f>IF(Table_18[[#This Row],[Part Name]]=0,"",Table_18[[#This Row],[Part Name]])</f>
        <v/>
      </c>
      <c r="I255">
        <f>LEN(TRIM(CLEAN(SUBSTITUTE(SUBSTITUTE(Table_18[[#This Row],[Sequence]],CHAR(160)," ")," ",""))))</f>
        <v/>
      </c>
      <c r="J255" s="17" t="n"/>
      <c r="K255" s="21" t="n"/>
      <c r="L255" s="21">
        <f>IF($B255="","FALSE","TRUE")</f>
        <v/>
      </c>
      <c r="M255">
        <f t="array" ref="M255">IsURL(Table_121215[[#This Row],[Data Source]])</f>
        <v/>
      </c>
      <c r="N255">
        <f t="array" ref="N255">IsURL(Table_121215[[#This Row],[DOI]])</f>
        <v/>
      </c>
      <c r="O255">
        <f t="array" ref="O255">IsURL(Table_121215[[#This Row],[Data Source]])</f>
        <v/>
      </c>
      <c r="P255">
        <f t="array" ref="P255">IsURL(Table_121215[[#This Row],[Data Source]])</f>
        <v/>
      </c>
    </row>
    <row r="256" ht="15.75" customHeight="1">
      <c r="A256">
        <f>IF(Table_18[[#This Row],[Part Name]]=0,"",Table_18[[#This Row],[Part Name]])</f>
        <v/>
      </c>
      <c r="I256">
        <f>LEN(TRIM(CLEAN(SUBSTITUTE(SUBSTITUTE(Table_18[[#This Row],[Sequence]],CHAR(160)," ")," ",""))))</f>
        <v/>
      </c>
      <c r="J256" s="17" t="n"/>
      <c r="K256" s="21" t="n"/>
      <c r="L256" s="21">
        <f>IF($B256="","FALSE","TRUE")</f>
        <v/>
      </c>
      <c r="M256">
        <f t="array" ref="M256">IsURL(Table_121215[[#This Row],[Data Source]])</f>
        <v/>
      </c>
      <c r="N256">
        <f t="array" ref="N256">IsURL(Table_121215[[#This Row],[DOI]])</f>
        <v/>
      </c>
      <c r="O256">
        <f t="array" ref="O256">IsURL(Table_121215[[#This Row],[Data Source]])</f>
        <v/>
      </c>
      <c r="P256">
        <f t="array" ref="P256">IsURL(Table_121215[[#This Row],[Data Source]])</f>
        <v/>
      </c>
    </row>
    <row r="257" ht="15.75" customHeight="1">
      <c r="A257">
        <f>IF(Table_18[[#This Row],[Part Name]]=0,"",Table_18[[#This Row],[Part Name]])</f>
        <v/>
      </c>
      <c r="I257">
        <f>LEN(TRIM(CLEAN(SUBSTITUTE(SUBSTITUTE(Table_18[[#This Row],[Sequence]],CHAR(160)," ")," ",""))))</f>
        <v/>
      </c>
      <c r="J257" s="17" t="n"/>
      <c r="K257" s="21" t="n"/>
      <c r="L257" s="21">
        <f>IF($B257="","FALSE","TRUE")</f>
        <v/>
      </c>
      <c r="M257">
        <f t="array" ref="M257">IsURL(Table_121215[[#This Row],[Data Source]])</f>
        <v/>
      </c>
      <c r="N257">
        <f t="array" ref="N257">IsURL(Table_121215[[#This Row],[DOI]])</f>
        <v/>
      </c>
      <c r="O257">
        <f t="array" ref="O257">IsURL(Table_121215[[#This Row],[Data Source]])</f>
        <v/>
      </c>
      <c r="P257">
        <f t="array" ref="P257">IsURL(Table_121215[[#This Row],[Data Source]])</f>
        <v/>
      </c>
    </row>
    <row r="258" ht="15.75" customHeight="1">
      <c r="A258">
        <f>IF(Table_18[[#This Row],[Part Name]]=0,"",Table_18[[#This Row],[Part Name]])</f>
        <v/>
      </c>
      <c r="I258">
        <f>LEN(TRIM(CLEAN(SUBSTITUTE(SUBSTITUTE(Table_18[[#This Row],[Sequence]],CHAR(160)," ")," ",""))))</f>
        <v/>
      </c>
      <c r="J258" s="17" t="n"/>
      <c r="K258" s="21" t="n"/>
      <c r="L258" s="21">
        <f>IF($B258="","FALSE","TRUE")</f>
        <v/>
      </c>
      <c r="M258">
        <f t="array" ref="M258">IsURL(Table_121215[[#This Row],[Data Source]])</f>
        <v/>
      </c>
      <c r="N258">
        <f t="array" ref="N258">IsURL(Table_121215[[#This Row],[DOI]])</f>
        <v/>
      </c>
      <c r="O258">
        <f t="array" ref="O258">IsURL(Table_121215[[#This Row],[Data Source]])</f>
        <v/>
      </c>
      <c r="P258">
        <f t="array" ref="P258">IsURL(Table_121215[[#This Row],[Data Source]])</f>
        <v/>
      </c>
    </row>
    <row r="259" ht="15.75" customHeight="1">
      <c r="A259">
        <f>IF(Table_18[[#This Row],[Part Name]]=0,"",Table_18[[#This Row],[Part Name]])</f>
        <v/>
      </c>
      <c r="I259">
        <f>LEN(TRIM(CLEAN(SUBSTITUTE(SUBSTITUTE(Table_18[[#This Row],[Sequence]],CHAR(160)," ")," ",""))))</f>
        <v/>
      </c>
      <c r="J259" s="17" t="n"/>
      <c r="K259" s="21" t="n"/>
      <c r="L259" s="21">
        <f>IF($B259="","FALSE","TRUE")</f>
        <v/>
      </c>
      <c r="M259">
        <f t="array" ref="M259">IsURL(Table_121215[[#This Row],[Data Source]])</f>
        <v/>
      </c>
      <c r="N259">
        <f t="array" ref="N259">IsURL(Table_121215[[#This Row],[DOI]])</f>
        <v/>
      </c>
      <c r="O259">
        <f t="array" ref="O259">IsURL(Table_121215[[#This Row],[Data Source]])</f>
        <v/>
      </c>
      <c r="P259">
        <f t="array" ref="P259">IsURL(Table_121215[[#This Row],[Data Source]])</f>
        <v/>
      </c>
    </row>
    <row r="260" ht="15.75" customHeight="1">
      <c r="A260">
        <f>IF(Table_18[[#This Row],[Part Name]]=0,"",Table_18[[#This Row],[Part Name]])</f>
        <v/>
      </c>
      <c r="I260">
        <f>LEN(TRIM(CLEAN(SUBSTITUTE(SUBSTITUTE(Table_18[[#This Row],[Sequence]],CHAR(160)," ")," ",""))))</f>
        <v/>
      </c>
      <c r="J260" s="17" t="n"/>
      <c r="K260" s="21" t="n"/>
      <c r="L260" s="21">
        <f>IF($B260="","FALSE","TRUE")</f>
        <v/>
      </c>
      <c r="M260">
        <f t="array" ref="M260">IsURL(Table_121215[[#This Row],[Data Source]])</f>
        <v/>
      </c>
      <c r="N260">
        <f t="array" ref="N260">IsURL(Table_121215[[#This Row],[DOI]])</f>
        <v/>
      </c>
      <c r="O260">
        <f t="array" ref="O260">IsURL(Table_121215[[#This Row],[Data Source]])</f>
        <v/>
      </c>
      <c r="P260">
        <f t="array" ref="P260">IsURL(Table_121215[[#This Row],[Data Source]])</f>
        <v/>
      </c>
    </row>
    <row r="261" ht="15.75" customHeight="1">
      <c r="A261">
        <f>IF(Table_18[[#This Row],[Part Name]]=0,"",Table_18[[#This Row],[Part Name]])</f>
        <v/>
      </c>
      <c r="I261">
        <f>LEN(TRIM(CLEAN(SUBSTITUTE(SUBSTITUTE(Table_18[[#This Row],[Sequence]],CHAR(160)," ")," ",""))))</f>
        <v/>
      </c>
      <c r="J261" s="17" t="n"/>
      <c r="K261" s="21" t="n"/>
      <c r="L261" s="21">
        <f>IF($B261="","FALSE","TRUE")</f>
        <v/>
      </c>
      <c r="M261">
        <f t="array" ref="M261">IsURL(Table_121215[[#This Row],[Data Source]])</f>
        <v/>
      </c>
      <c r="N261">
        <f t="array" ref="N261">IsURL(Table_121215[[#This Row],[DOI]])</f>
        <v/>
      </c>
      <c r="O261">
        <f t="array" ref="O261">IsURL(Table_121215[[#This Row],[Data Source]])</f>
        <v/>
      </c>
      <c r="P261">
        <f t="array" ref="P261">IsURL(Table_121215[[#This Row],[Data Source]])</f>
        <v/>
      </c>
    </row>
    <row r="262" ht="15.75" customHeight="1">
      <c r="A262">
        <f>IF(Table_18[[#This Row],[Part Name]]=0,"",Table_18[[#This Row],[Part Name]])</f>
        <v/>
      </c>
      <c r="I262">
        <f>LEN(TRIM(CLEAN(SUBSTITUTE(SUBSTITUTE(Table_18[[#This Row],[Sequence]],CHAR(160)," ")," ",""))))</f>
        <v/>
      </c>
      <c r="J262" s="17" t="n"/>
      <c r="K262" s="21" t="n"/>
      <c r="L262" s="21">
        <f>IF($B262="","FALSE","TRUE")</f>
        <v/>
      </c>
      <c r="M262">
        <f t="array" ref="M262">IsURL(Table_121215[[#This Row],[Data Source]])</f>
        <v/>
      </c>
      <c r="N262">
        <f t="array" ref="N262">IsURL(Table_121215[[#This Row],[DOI]])</f>
        <v/>
      </c>
      <c r="O262">
        <f t="array" ref="O262">IsURL(Table_121215[[#This Row],[Data Source]])</f>
        <v/>
      </c>
      <c r="P262">
        <f t="array" ref="P262">IsURL(Table_121215[[#This Row],[Data Source]])</f>
        <v/>
      </c>
    </row>
    <row r="263" ht="15.75" customHeight="1">
      <c r="A263">
        <f>IF(Table_18[[#This Row],[Part Name]]=0,"",Table_18[[#This Row],[Part Name]])</f>
        <v/>
      </c>
      <c r="I263">
        <f>LEN(TRIM(CLEAN(SUBSTITUTE(SUBSTITUTE(Table_18[[#This Row],[Sequence]],CHAR(160)," ")," ",""))))</f>
        <v/>
      </c>
      <c r="J263" s="17" t="n"/>
      <c r="K263" s="21" t="n"/>
      <c r="L263" s="21">
        <f>IF($B263="","FALSE","TRUE")</f>
        <v/>
      </c>
      <c r="M263">
        <f t="array" ref="M263">IsURL(Table_121215[[#This Row],[Data Source]])</f>
        <v/>
      </c>
      <c r="N263">
        <f t="array" ref="N263">IsURL(Table_121215[[#This Row],[DOI]])</f>
        <v/>
      </c>
      <c r="O263">
        <f t="array" ref="O263">IsURL(Table_121215[[#This Row],[Data Source]])</f>
        <v/>
      </c>
      <c r="P263">
        <f t="array" ref="P263">IsURL(Table_121215[[#This Row],[Data Source]])</f>
        <v/>
      </c>
    </row>
    <row r="264" ht="15.75" customHeight="1">
      <c r="A264">
        <f>IF(Table_18[[#This Row],[Part Name]]=0,"",Table_18[[#This Row],[Part Name]])</f>
        <v/>
      </c>
      <c r="I264">
        <f>LEN(TRIM(CLEAN(SUBSTITUTE(SUBSTITUTE(Table_18[[#This Row],[Sequence]],CHAR(160)," ")," ",""))))</f>
        <v/>
      </c>
      <c r="J264" s="17" t="n"/>
      <c r="K264" s="21" t="n"/>
      <c r="L264" s="21">
        <f>IF($B264="","FALSE","TRUE")</f>
        <v/>
      </c>
      <c r="M264">
        <f t="array" ref="M264">IsURL(Table_121215[[#This Row],[Data Source]])</f>
        <v/>
      </c>
      <c r="N264">
        <f t="array" ref="N264">IsURL(Table_121215[[#This Row],[DOI]])</f>
        <v/>
      </c>
      <c r="O264">
        <f t="array" ref="O264">IsURL(Table_121215[[#This Row],[Data Source]])</f>
        <v/>
      </c>
      <c r="P264">
        <f t="array" ref="P264">IsURL(Table_121215[[#This Row],[Data Source]])</f>
        <v/>
      </c>
    </row>
    <row r="265" ht="15.75" customHeight="1">
      <c r="A265">
        <f>IF(Table_18[[#This Row],[Part Name]]=0,"",Table_18[[#This Row],[Part Name]])</f>
        <v/>
      </c>
      <c r="I265">
        <f>LEN(TRIM(CLEAN(SUBSTITUTE(SUBSTITUTE(Table_18[[#This Row],[Sequence]],CHAR(160)," ")," ",""))))</f>
        <v/>
      </c>
      <c r="J265" s="17" t="n"/>
      <c r="K265" s="21" t="n"/>
      <c r="L265" s="21">
        <f>IF($B265="","FALSE","TRUE")</f>
        <v/>
      </c>
      <c r="M265">
        <f t="array" ref="M265">IsURL(Table_121215[[#This Row],[Data Source]])</f>
        <v/>
      </c>
      <c r="N265">
        <f t="array" ref="N265">IsURL(Table_121215[[#This Row],[DOI]])</f>
        <v/>
      </c>
      <c r="O265">
        <f t="array" ref="O265">IsURL(Table_121215[[#This Row],[Data Source]])</f>
        <v/>
      </c>
      <c r="P265">
        <f t="array" ref="P265">IsURL(Table_121215[[#This Row],[Data Source]])</f>
        <v/>
      </c>
    </row>
    <row r="266" ht="15.75" customHeight="1">
      <c r="A266">
        <f>IF(Table_18[[#This Row],[Part Name]]=0,"",Table_18[[#This Row],[Part Name]])</f>
        <v/>
      </c>
      <c r="I266">
        <f>LEN(TRIM(CLEAN(SUBSTITUTE(SUBSTITUTE(Table_18[[#This Row],[Sequence]],CHAR(160)," ")," ",""))))</f>
        <v/>
      </c>
      <c r="J266" s="17" t="n"/>
      <c r="K266" s="21" t="n"/>
      <c r="L266" s="21">
        <f>IF($B266="","FALSE","TRUE")</f>
        <v/>
      </c>
      <c r="M266">
        <f t="array" ref="M266">IsURL(Table_121215[[#This Row],[Data Source]])</f>
        <v/>
      </c>
      <c r="N266">
        <f t="array" ref="N266">IsURL(Table_121215[[#This Row],[DOI]])</f>
        <v/>
      </c>
      <c r="O266">
        <f t="array" ref="O266">IsURL(Table_121215[[#This Row],[Data Source]])</f>
        <v/>
      </c>
      <c r="P266">
        <f t="array" ref="P266">IsURL(Table_121215[[#This Row],[Data Source]])</f>
        <v/>
      </c>
    </row>
    <row r="267" ht="15.75" customHeight="1">
      <c r="A267">
        <f>IF(Table_18[[#This Row],[Part Name]]=0,"",Table_18[[#This Row],[Part Name]])</f>
        <v/>
      </c>
      <c r="I267">
        <f>LEN(TRIM(CLEAN(SUBSTITUTE(SUBSTITUTE(Table_18[[#This Row],[Sequence]],CHAR(160)," ")," ",""))))</f>
        <v/>
      </c>
      <c r="J267" s="17" t="n"/>
      <c r="K267" s="21" t="n"/>
      <c r="L267" s="21">
        <f>IF($B267="","FALSE","TRUE")</f>
        <v/>
      </c>
      <c r="M267">
        <f t="array" ref="M267">IsURL(Table_121215[[#This Row],[Data Source]])</f>
        <v/>
      </c>
      <c r="N267">
        <f t="array" ref="N267">IsURL(Table_121215[[#This Row],[DOI]])</f>
        <v/>
      </c>
      <c r="O267">
        <f t="array" ref="O267">IsURL(Table_121215[[#This Row],[Data Source]])</f>
        <v/>
      </c>
      <c r="P267">
        <f t="array" ref="P267">IsURL(Table_121215[[#This Row],[Data Source]])</f>
        <v/>
      </c>
    </row>
    <row r="268" ht="15.75" customHeight="1">
      <c r="A268">
        <f>IF(Table_18[[#This Row],[Part Name]]=0,"",Table_18[[#This Row],[Part Name]])</f>
        <v/>
      </c>
      <c r="I268">
        <f>LEN(TRIM(CLEAN(SUBSTITUTE(SUBSTITUTE(Table_18[[#This Row],[Sequence]],CHAR(160)," ")," ",""))))</f>
        <v/>
      </c>
      <c r="J268" s="17" t="n"/>
      <c r="K268" s="21" t="n"/>
      <c r="L268" s="21">
        <f>IF($B268="","FALSE","TRUE")</f>
        <v/>
      </c>
      <c r="M268">
        <f t="array" ref="M268">IsURL(Table_121215[[#This Row],[Data Source]])</f>
        <v/>
      </c>
      <c r="N268">
        <f t="array" ref="N268">IsURL(Table_121215[[#This Row],[DOI]])</f>
        <v/>
      </c>
      <c r="O268">
        <f t="array" ref="O268">IsURL(Table_121215[[#This Row],[Data Source]])</f>
        <v/>
      </c>
      <c r="P268">
        <f t="array" ref="P268">IsURL(Table_121215[[#This Row],[Data Source]])</f>
        <v/>
      </c>
    </row>
    <row r="269" ht="15.75" customHeight="1">
      <c r="A269">
        <f>IF(Table_18[[#This Row],[Part Name]]=0,"",Table_18[[#This Row],[Part Name]])</f>
        <v/>
      </c>
      <c r="I269">
        <f>LEN(TRIM(CLEAN(SUBSTITUTE(SUBSTITUTE(Table_18[[#This Row],[Sequence]],CHAR(160)," ")," ",""))))</f>
        <v/>
      </c>
      <c r="J269" s="17" t="n"/>
      <c r="K269" s="21" t="n"/>
      <c r="L269" s="21">
        <f>IF($B269="","FALSE","TRUE")</f>
        <v/>
      </c>
      <c r="M269">
        <f t="array" ref="M269">IsURL(Table_121215[[#This Row],[Data Source]])</f>
        <v/>
      </c>
      <c r="N269">
        <f t="array" ref="N269">IsURL(Table_121215[[#This Row],[DOI]])</f>
        <v/>
      </c>
      <c r="O269">
        <f t="array" ref="O269">IsURL(Table_121215[[#This Row],[Data Source]])</f>
        <v/>
      </c>
      <c r="P269">
        <f t="array" ref="P269">IsURL(Table_121215[[#This Row],[Data Source]])</f>
        <v/>
      </c>
    </row>
    <row r="270" ht="15.75" customHeight="1">
      <c r="A270">
        <f>IF(Table_18[[#This Row],[Part Name]]=0,"",Table_18[[#This Row],[Part Name]])</f>
        <v/>
      </c>
      <c r="I270">
        <f>LEN(TRIM(CLEAN(SUBSTITUTE(SUBSTITUTE(Table_18[[#This Row],[Sequence]],CHAR(160)," ")," ",""))))</f>
        <v/>
      </c>
      <c r="J270" s="17" t="n"/>
      <c r="K270" s="21" t="n"/>
      <c r="L270" s="21">
        <f>IF($B270="","FALSE","TRUE")</f>
        <v/>
      </c>
      <c r="M270">
        <f t="array" ref="M270">IsURL(Table_121215[[#This Row],[Data Source]])</f>
        <v/>
      </c>
      <c r="N270">
        <f t="array" ref="N270">IsURL(Table_121215[[#This Row],[DOI]])</f>
        <v/>
      </c>
      <c r="O270">
        <f t="array" ref="O270">IsURL(Table_121215[[#This Row],[Data Source]])</f>
        <v/>
      </c>
      <c r="P270">
        <f t="array" ref="P270">IsURL(Table_121215[[#This Row],[Data Source]])</f>
        <v/>
      </c>
    </row>
    <row r="271" ht="15.75" customHeight="1">
      <c r="A271">
        <f>IF(Table_18[[#This Row],[Part Name]]=0,"",Table_18[[#This Row],[Part Name]])</f>
        <v/>
      </c>
      <c r="I271">
        <f>LEN(TRIM(CLEAN(SUBSTITUTE(SUBSTITUTE(Table_18[[#This Row],[Sequence]],CHAR(160)," ")," ",""))))</f>
        <v/>
      </c>
      <c r="J271" s="17" t="n"/>
      <c r="K271" s="21" t="n"/>
      <c r="L271" s="21">
        <f>IF($B271="","FALSE","TRUE")</f>
        <v/>
      </c>
      <c r="M271">
        <f t="array" ref="M271">IsURL(Table_121215[[#This Row],[Data Source]])</f>
        <v/>
      </c>
      <c r="N271">
        <f t="array" ref="N271">IsURL(Table_121215[[#This Row],[DOI]])</f>
        <v/>
      </c>
      <c r="O271">
        <f t="array" ref="O271">IsURL(Table_121215[[#This Row],[Data Source]])</f>
        <v/>
      </c>
      <c r="P271">
        <f t="array" ref="P271">IsURL(Table_121215[[#This Row],[Data Source]])</f>
        <v/>
      </c>
    </row>
    <row r="272" ht="15.75" customHeight="1">
      <c r="A272">
        <f>IF(Table_18[[#This Row],[Part Name]]=0,"",Table_18[[#This Row],[Part Name]])</f>
        <v/>
      </c>
      <c r="I272">
        <f>LEN(TRIM(CLEAN(SUBSTITUTE(SUBSTITUTE(Table_18[[#This Row],[Sequence]],CHAR(160)," ")," ",""))))</f>
        <v/>
      </c>
      <c r="J272" s="17" t="n"/>
      <c r="K272" s="21" t="n"/>
      <c r="L272" s="21">
        <f>IF($B272="","FALSE","TRUE")</f>
        <v/>
      </c>
      <c r="M272">
        <f t="array" ref="M272">IsURL(Table_121215[[#This Row],[Data Source]])</f>
        <v/>
      </c>
      <c r="N272">
        <f t="array" ref="N272">IsURL(Table_121215[[#This Row],[DOI]])</f>
        <v/>
      </c>
      <c r="O272">
        <f t="array" ref="O272">IsURL(Table_121215[[#This Row],[Data Source]])</f>
        <v/>
      </c>
      <c r="P272">
        <f t="array" ref="P272">IsURL(Table_121215[[#This Row],[Data Source]])</f>
        <v/>
      </c>
    </row>
    <row r="273" ht="15.75" customHeight="1">
      <c r="A273">
        <f>IF(Table_18[[#This Row],[Part Name]]=0,"",Table_18[[#This Row],[Part Name]])</f>
        <v/>
      </c>
      <c r="I273">
        <f>LEN(TRIM(CLEAN(SUBSTITUTE(SUBSTITUTE(Table_18[[#This Row],[Sequence]],CHAR(160)," ")," ",""))))</f>
        <v/>
      </c>
      <c r="J273" s="17" t="n"/>
      <c r="K273" s="21" t="n"/>
      <c r="L273" s="21">
        <f>IF($B273="","FALSE","TRUE")</f>
        <v/>
      </c>
      <c r="M273">
        <f t="array" ref="M273">IsURL(Table_121215[[#This Row],[Data Source]])</f>
        <v/>
      </c>
      <c r="N273">
        <f t="array" ref="N273">IsURL(Table_121215[[#This Row],[DOI]])</f>
        <v/>
      </c>
      <c r="O273">
        <f t="array" ref="O273">IsURL(Table_121215[[#This Row],[Data Source]])</f>
        <v/>
      </c>
      <c r="P273">
        <f t="array" ref="P273">IsURL(Table_121215[[#This Row],[Data Source]])</f>
        <v/>
      </c>
    </row>
    <row r="274" ht="15.75" customHeight="1">
      <c r="A274">
        <f>IF(Table_18[[#This Row],[Part Name]]=0,"",Table_18[[#This Row],[Part Name]])</f>
        <v/>
      </c>
      <c r="I274">
        <f>LEN(TRIM(CLEAN(SUBSTITUTE(SUBSTITUTE(Table_18[[#This Row],[Sequence]],CHAR(160)," ")," ",""))))</f>
        <v/>
      </c>
      <c r="J274" s="17" t="n"/>
      <c r="K274" s="21" t="n"/>
      <c r="L274" s="21">
        <f>IF($B274="","FALSE","TRUE")</f>
        <v/>
      </c>
      <c r="M274">
        <f t="array" ref="M274">IsURL(Table_121215[[#This Row],[Data Source]])</f>
        <v/>
      </c>
      <c r="N274">
        <f t="array" ref="N274">IsURL(Table_121215[[#This Row],[DOI]])</f>
        <v/>
      </c>
      <c r="O274">
        <f t="array" ref="O274">IsURL(Table_121215[[#This Row],[Data Source]])</f>
        <v/>
      </c>
      <c r="P274">
        <f t="array" ref="P274">IsURL(Table_121215[[#This Row],[Data Source]])</f>
        <v/>
      </c>
    </row>
    <row r="275" ht="15.75" customHeight="1">
      <c r="A275">
        <f>IF(Table_18[[#This Row],[Part Name]]=0,"",Table_18[[#This Row],[Part Name]])</f>
        <v/>
      </c>
      <c r="I275">
        <f>LEN(TRIM(CLEAN(SUBSTITUTE(SUBSTITUTE(Table_18[[#This Row],[Sequence]],CHAR(160)," ")," ",""))))</f>
        <v/>
      </c>
      <c r="J275" s="17" t="n"/>
      <c r="K275" s="21" t="n"/>
      <c r="L275" s="21">
        <f>IF($B275="","FALSE","TRUE")</f>
        <v/>
      </c>
      <c r="M275">
        <f t="array" ref="M275">IsURL(Table_121215[[#This Row],[Data Source]])</f>
        <v/>
      </c>
      <c r="N275">
        <f t="array" ref="N275">IsURL(Table_121215[[#This Row],[DOI]])</f>
        <v/>
      </c>
      <c r="O275">
        <f t="array" ref="O275">IsURL(Table_121215[[#This Row],[Data Source]])</f>
        <v/>
      </c>
      <c r="P275">
        <f t="array" ref="P275">IsURL(Table_121215[[#This Row],[Data Source]])</f>
        <v/>
      </c>
    </row>
    <row r="276" ht="15.75" customHeight="1">
      <c r="A276">
        <f>IF(Table_18[[#This Row],[Part Name]]=0,"",Table_18[[#This Row],[Part Name]])</f>
        <v/>
      </c>
      <c r="I276">
        <f>LEN(TRIM(CLEAN(SUBSTITUTE(SUBSTITUTE(Table_18[[#This Row],[Sequence]],CHAR(160)," ")," ",""))))</f>
        <v/>
      </c>
      <c r="J276" s="17" t="n"/>
      <c r="K276" s="21" t="n"/>
      <c r="L276" s="21">
        <f>IF($B276="","FALSE","TRUE")</f>
        <v/>
      </c>
      <c r="M276">
        <f t="array" ref="M276">IsURL(Table_121215[[#This Row],[Data Source]])</f>
        <v/>
      </c>
      <c r="N276">
        <f t="array" ref="N276">IsURL(Table_121215[[#This Row],[DOI]])</f>
        <v/>
      </c>
      <c r="O276">
        <f t="array" ref="O276">IsURL(Table_121215[[#This Row],[Data Source]])</f>
        <v/>
      </c>
      <c r="P276">
        <f t="array" ref="P276">IsURL(Table_121215[[#This Row],[Data Source]])</f>
        <v/>
      </c>
    </row>
    <row r="277" ht="15.75" customHeight="1">
      <c r="A277">
        <f>IF(Table_18[[#This Row],[Part Name]]=0,"",Table_18[[#This Row],[Part Name]])</f>
        <v/>
      </c>
      <c r="I277">
        <f>LEN(TRIM(CLEAN(SUBSTITUTE(SUBSTITUTE(Table_18[[#This Row],[Sequence]],CHAR(160)," ")," ",""))))</f>
        <v/>
      </c>
      <c r="J277" s="17" t="n"/>
      <c r="K277" s="21" t="n"/>
      <c r="L277" s="21">
        <f>IF($B277="","FALSE","TRUE")</f>
        <v/>
      </c>
      <c r="M277">
        <f t="array" ref="M277">IsURL(Table_121215[[#This Row],[Data Source]])</f>
        <v/>
      </c>
      <c r="N277">
        <f t="array" ref="N277">IsURL(Table_121215[[#This Row],[DOI]])</f>
        <v/>
      </c>
      <c r="O277">
        <f t="array" ref="O277">IsURL(Table_121215[[#This Row],[Data Source]])</f>
        <v/>
      </c>
      <c r="P277">
        <f t="array" ref="P277">IsURL(Table_121215[[#This Row],[Data Source]])</f>
        <v/>
      </c>
    </row>
    <row r="278" ht="15.75" customHeight="1">
      <c r="A278">
        <f>IF(Table_18[[#This Row],[Part Name]]=0,"",Table_18[[#This Row],[Part Name]])</f>
        <v/>
      </c>
      <c r="I278">
        <f>LEN(TRIM(CLEAN(SUBSTITUTE(SUBSTITUTE(Table_18[[#This Row],[Sequence]],CHAR(160)," ")," ",""))))</f>
        <v/>
      </c>
      <c r="J278" s="17" t="n"/>
      <c r="K278" s="21" t="n"/>
      <c r="L278" s="21">
        <f>IF($B278="","FALSE","TRUE")</f>
        <v/>
      </c>
      <c r="M278">
        <f t="array" ref="M278">IsURL(Table_121215[[#This Row],[Data Source]])</f>
        <v/>
      </c>
      <c r="N278">
        <f t="array" ref="N278">IsURL(Table_121215[[#This Row],[DOI]])</f>
        <v/>
      </c>
      <c r="O278">
        <f t="array" ref="O278">IsURL(Table_121215[[#This Row],[Data Source]])</f>
        <v/>
      </c>
      <c r="P278">
        <f t="array" ref="P278">IsURL(Table_121215[[#This Row],[Data Source]])</f>
        <v/>
      </c>
    </row>
    <row r="279" ht="15.75" customHeight="1">
      <c r="A279">
        <f>IF(Table_18[[#This Row],[Part Name]]=0,"",Table_18[[#This Row],[Part Name]])</f>
        <v/>
      </c>
      <c r="I279">
        <f>LEN(TRIM(CLEAN(SUBSTITUTE(SUBSTITUTE(Table_18[[#This Row],[Sequence]],CHAR(160)," ")," ",""))))</f>
        <v/>
      </c>
      <c r="J279" s="17" t="n"/>
      <c r="K279" s="21" t="n"/>
      <c r="L279" s="21">
        <f>IF($B279="","FALSE","TRUE")</f>
        <v/>
      </c>
      <c r="M279">
        <f t="array" ref="M279">IsURL(Table_121215[[#This Row],[Data Source]])</f>
        <v/>
      </c>
      <c r="N279">
        <f t="array" ref="N279">IsURL(Table_121215[[#This Row],[DOI]])</f>
        <v/>
      </c>
      <c r="O279">
        <f t="array" ref="O279">IsURL(Table_121215[[#This Row],[Data Source]])</f>
        <v/>
      </c>
      <c r="P279">
        <f t="array" ref="P279">IsURL(Table_121215[[#This Row],[Data Source]])</f>
        <v/>
      </c>
    </row>
    <row r="280" ht="15.75" customHeight="1">
      <c r="A280">
        <f>IF(Table_18[[#This Row],[Part Name]]=0,"",Table_18[[#This Row],[Part Name]])</f>
        <v/>
      </c>
      <c r="I280">
        <f>LEN(TRIM(CLEAN(SUBSTITUTE(SUBSTITUTE(Table_18[[#This Row],[Sequence]],CHAR(160)," ")," ",""))))</f>
        <v/>
      </c>
      <c r="J280" s="17" t="n"/>
      <c r="K280" s="21" t="n"/>
      <c r="L280" s="21">
        <f>IF($B280="","FALSE","TRUE")</f>
        <v/>
      </c>
      <c r="M280">
        <f t="array" ref="M280">IsURL(Table_121215[[#This Row],[Data Source]])</f>
        <v/>
      </c>
      <c r="N280">
        <f t="array" ref="N280">IsURL(Table_121215[[#This Row],[DOI]])</f>
        <v/>
      </c>
      <c r="O280">
        <f t="array" ref="O280">IsURL(Table_121215[[#This Row],[Data Source]])</f>
        <v/>
      </c>
      <c r="P280">
        <f t="array" ref="P280">IsURL(Table_121215[[#This Row],[Data Source]])</f>
        <v/>
      </c>
    </row>
    <row r="281" ht="15.75" customHeight="1">
      <c r="A281">
        <f>IF(Table_18[[#This Row],[Part Name]]=0,"",Table_18[[#This Row],[Part Name]])</f>
        <v/>
      </c>
      <c r="I281">
        <f>LEN(TRIM(CLEAN(SUBSTITUTE(SUBSTITUTE(Table_18[[#This Row],[Sequence]],CHAR(160)," ")," ",""))))</f>
        <v/>
      </c>
      <c r="J281" s="17" t="n"/>
      <c r="K281" s="21" t="n"/>
      <c r="L281" s="21">
        <f>IF($B281="","FALSE","TRUE")</f>
        <v/>
      </c>
      <c r="M281">
        <f t="array" ref="M281">IsURL(Table_121215[[#This Row],[Data Source]])</f>
        <v/>
      </c>
      <c r="N281">
        <f t="array" ref="N281">IsURL(Table_121215[[#This Row],[DOI]])</f>
        <v/>
      </c>
      <c r="O281">
        <f t="array" ref="O281">IsURL(Table_121215[[#This Row],[Data Source]])</f>
        <v/>
      </c>
      <c r="P281">
        <f t="array" ref="P281">IsURL(Table_121215[[#This Row],[Data Source]])</f>
        <v/>
      </c>
    </row>
    <row r="282" ht="15.75" customHeight="1">
      <c r="A282">
        <f>IF(Table_18[[#This Row],[Part Name]]=0,"",Table_18[[#This Row],[Part Name]])</f>
        <v/>
      </c>
      <c r="I282">
        <f>LEN(TRIM(CLEAN(SUBSTITUTE(SUBSTITUTE(Table_18[[#This Row],[Sequence]],CHAR(160)," ")," ",""))))</f>
        <v/>
      </c>
      <c r="J282" s="17" t="n"/>
      <c r="K282" s="21" t="n"/>
      <c r="L282" s="21">
        <f>IF($B282="","FALSE","TRUE")</f>
        <v/>
      </c>
      <c r="M282">
        <f t="array" ref="M282">IsURL(Table_121215[[#This Row],[Data Source]])</f>
        <v/>
      </c>
      <c r="N282">
        <f t="array" ref="N282">IsURL(Table_121215[[#This Row],[DOI]])</f>
        <v/>
      </c>
      <c r="O282">
        <f t="array" ref="O282">IsURL(Table_121215[[#This Row],[Data Source]])</f>
        <v/>
      </c>
      <c r="P282">
        <f t="array" ref="P282">IsURL(Table_121215[[#This Row],[Data Source]])</f>
        <v/>
      </c>
    </row>
    <row r="283" ht="15.75" customHeight="1">
      <c r="A283">
        <f>IF(Table_18[[#This Row],[Part Name]]=0,"",Table_18[[#This Row],[Part Name]])</f>
        <v/>
      </c>
      <c r="I283">
        <f>LEN(TRIM(CLEAN(SUBSTITUTE(SUBSTITUTE(Table_18[[#This Row],[Sequence]],CHAR(160)," ")," ",""))))</f>
        <v/>
      </c>
      <c r="J283" s="17" t="n"/>
      <c r="K283" s="21" t="n"/>
      <c r="L283" s="21">
        <f>IF($B283="","FALSE","TRUE")</f>
        <v/>
      </c>
      <c r="M283">
        <f t="array" ref="M283">IsURL(Table_121215[[#This Row],[Data Source]])</f>
        <v/>
      </c>
      <c r="N283">
        <f t="array" ref="N283">IsURL(Table_121215[[#This Row],[DOI]])</f>
        <v/>
      </c>
      <c r="O283">
        <f t="array" ref="O283">IsURL(Table_121215[[#This Row],[Data Source]])</f>
        <v/>
      </c>
      <c r="P283">
        <f t="array" ref="P283">IsURL(Table_121215[[#This Row],[Data Source]])</f>
        <v/>
      </c>
    </row>
    <row r="284" ht="15.75" customHeight="1">
      <c r="A284">
        <f>IF(Table_18[[#This Row],[Part Name]]=0,"",Table_18[[#This Row],[Part Name]])</f>
        <v/>
      </c>
      <c r="I284">
        <f>LEN(TRIM(CLEAN(SUBSTITUTE(SUBSTITUTE(Table_18[[#This Row],[Sequence]],CHAR(160)," ")," ",""))))</f>
        <v/>
      </c>
      <c r="J284" s="17" t="n"/>
      <c r="K284" s="21" t="n"/>
      <c r="L284" s="21">
        <f>IF($B284="","FALSE","TRUE")</f>
        <v/>
      </c>
      <c r="M284">
        <f t="array" ref="M284">IsURL(Table_121215[[#This Row],[Data Source]])</f>
        <v/>
      </c>
      <c r="N284">
        <f t="array" ref="N284">IsURL(Table_121215[[#This Row],[DOI]])</f>
        <v/>
      </c>
      <c r="O284">
        <f t="array" ref="O284">IsURL(Table_121215[[#This Row],[Data Source]])</f>
        <v/>
      </c>
      <c r="P284">
        <f t="array" ref="P284">IsURL(Table_121215[[#This Row],[Data Source]])</f>
        <v/>
      </c>
    </row>
    <row r="285" ht="15.75" customHeight="1">
      <c r="A285">
        <f>IF(Table_18[[#This Row],[Part Name]]=0,"",Table_18[[#This Row],[Part Name]])</f>
        <v/>
      </c>
      <c r="I285">
        <f>LEN(TRIM(CLEAN(SUBSTITUTE(SUBSTITUTE(Table_18[[#This Row],[Sequence]],CHAR(160)," ")," ",""))))</f>
        <v/>
      </c>
      <c r="J285" s="17" t="n"/>
      <c r="K285" s="21" t="n"/>
      <c r="L285" s="21">
        <f>IF($B285="","FALSE","TRUE")</f>
        <v/>
      </c>
      <c r="M285">
        <f t="array" ref="M285">IsURL(Table_121215[[#This Row],[Data Source]])</f>
        <v/>
      </c>
      <c r="N285">
        <f t="array" ref="N285">IsURL(Table_121215[[#This Row],[DOI]])</f>
        <v/>
      </c>
      <c r="O285">
        <f t="array" ref="O285">IsURL(Table_121215[[#This Row],[Data Source]])</f>
        <v/>
      </c>
      <c r="P285">
        <f t="array" ref="P285">IsURL(Table_121215[[#This Row],[Data Source]])</f>
        <v/>
      </c>
    </row>
    <row r="286" ht="15.75" customHeight="1">
      <c r="A286">
        <f>IF(Table_18[[#This Row],[Part Name]]=0,"",Table_18[[#This Row],[Part Name]])</f>
        <v/>
      </c>
      <c r="I286">
        <f>LEN(TRIM(CLEAN(SUBSTITUTE(SUBSTITUTE(Table_18[[#This Row],[Sequence]],CHAR(160)," ")," ",""))))</f>
        <v/>
      </c>
      <c r="J286" s="17" t="n"/>
      <c r="K286" s="21" t="n"/>
      <c r="L286" s="21">
        <f>IF($B286="","FALSE","TRUE")</f>
        <v/>
      </c>
      <c r="M286">
        <f t="array" ref="M286">IsURL(Table_121215[[#This Row],[Data Source]])</f>
        <v/>
      </c>
      <c r="N286">
        <f t="array" ref="N286">IsURL(Table_121215[[#This Row],[DOI]])</f>
        <v/>
      </c>
      <c r="O286">
        <f t="array" ref="O286">IsURL(Table_121215[[#This Row],[Data Source]])</f>
        <v/>
      </c>
      <c r="P286">
        <f t="array" ref="P286">IsURL(Table_121215[[#This Row],[Data Source]])</f>
        <v/>
      </c>
    </row>
    <row r="287" ht="15.75" customHeight="1">
      <c r="A287">
        <f>IF(Table_18[[#This Row],[Part Name]]=0,"",Table_18[[#This Row],[Part Name]])</f>
        <v/>
      </c>
      <c r="I287">
        <f>LEN(TRIM(CLEAN(SUBSTITUTE(SUBSTITUTE(Table_18[[#This Row],[Sequence]],CHAR(160)," ")," ",""))))</f>
        <v/>
      </c>
      <c r="J287" s="17" t="n"/>
      <c r="K287" s="21" t="n"/>
      <c r="L287" s="21">
        <f>IF($B287="","FALSE","TRUE")</f>
        <v/>
      </c>
      <c r="M287">
        <f t="array" ref="M287">IsURL(Table_121215[[#This Row],[Data Source]])</f>
        <v/>
      </c>
      <c r="N287">
        <f t="array" ref="N287">IsURL(Table_121215[[#This Row],[DOI]])</f>
        <v/>
      </c>
      <c r="O287">
        <f t="array" ref="O287">IsURL(Table_121215[[#This Row],[Data Source]])</f>
        <v/>
      </c>
      <c r="P287">
        <f t="array" ref="P287">IsURL(Table_121215[[#This Row],[Data Source]])</f>
        <v/>
      </c>
    </row>
    <row r="288" ht="15.75" customHeight="1">
      <c r="A288">
        <f>IF(Table_18[[#This Row],[Part Name]]=0,"",Table_18[[#This Row],[Part Name]])</f>
        <v/>
      </c>
      <c r="I288">
        <f>LEN(TRIM(CLEAN(SUBSTITUTE(SUBSTITUTE(Table_18[[#This Row],[Sequence]],CHAR(160)," ")," ",""))))</f>
        <v/>
      </c>
      <c r="J288" s="17" t="n"/>
      <c r="K288" s="21" t="n"/>
      <c r="L288" s="21">
        <f>IF($B288="","FALSE","TRUE")</f>
        <v/>
      </c>
      <c r="M288">
        <f t="array" ref="M288">IsURL(Table_121215[[#This Row],[Data Source]])</f>
        <v/>
      </c>
      <c r="N288">
        <f t="array" ref="N288">IsURL(Table_121215[[#This Row],[DOI]])</f>
        <v/>
      </c>
      <c r="O288">
        <f t="array" ref="O288">IsURL(Table_121215[[#This Row],[Data Source]])</f>
        <v/>
      </c>
      <c r="P288">
        <f t="array" ref="P288">IsURL(Table_121215[[#This Row],[Data Source]])</f>
        <v/>
      </c>
    </row>
    <row r="289" ht="15.75" customHeight="1">
      <c r="A289">
        <f>IF(Table_18[[#This Row],[Part Name]]=0,"",Table_18[[#This Row],[Part Name]])</f>
        <v/>
      </c>
      <c r="I289">
        <f>LEN(TRIM(CLEAN(SUBSTITUTE(SUBSTITUTE(Table_18[[#This Row],[Sequence]],CHAR(160)," ")," ",""))))</f>
        <v/>
      </c>
      <c r="J289" s="17" t="n"/>
      <c r="K289" s="21" t="n"/>
      <c r="L289" s="21">
        <f>IF($B289="","FALSE","TRUE")</f>
        <v/>
      </c>
      <c r="M289">
        <f t="array" ref="M289">IsURL(Table_121215[[#This Row],[Data Source]])</f>
        <v/>
      </c>
      <c r="N289">
        <f t="array" ref="N289">IsURL(Table_121215[[#This Row],[DOI]])</f>
        <v/>
      </c>
      <c r="O289">
        <f t="array" ref="O289">IsURL(Table_121215[[#This Row],[Data Source]])</f>
        <v/>
      </c>
      <c r="P289">
        <f t="array" ref="P289">IsURL(Table_121215[[#This Row],[Data Source]])</f>
        <v/>
      </c>
    </row>
    <row r="290" ht="15.75" customHeight="1">
      <c r="A290">
        <f>IF(Table_18[[#This Row],[Part Name]]=0,"",Table_18[[#This Row],[Part Name]])</f>
        <v/>
      </c>
      <c r="I290">
        <f>LEN(TRIM(CLEAN(SUBSTITUTE(SUBSTITUTE(Table_18[[#This Row],[Sequence]],CHAR(160)," ")," ",""))))</f>
        <v/>
      </c>
      <c r="J290" s="17" t="n"/>
      <c r="K290" s="21" t="n"/>
      <c r="L290" s="21">
        <f>IF($B290="","FALSE","TRUE")</f>
        <v/>
      </c>
      <c r="M290">
        <f t="array" ref="M290">IsURL(Table_121215[[#This Row],[Data Source]])</f>
        <v/>
      </c>
      <c r="N290">
        <f t="array" ref="N290">IsURL(Table_121215[[#This Row],[DOI]])</f>
        <v/>
      </c>
      <c r="O290">
        <f t="array" ref="O290">IsURL(Table_121215[[#This Row],[Data Source]])</f>
        <v/>
      </c>
      <c r="P290">
        <f t="array" ref="P290">IsURL(Table_121215[[#This Row],[Data Source]])</f>
        <v/>
      </c>
    </row>
    <row r="291" ht="15.75" customHeight="1">
      <c r="A291">
        <f>IF(Table_18[[#This Row],[Part Name]]=0,"",Table_18[[#This Row],[Part Name]])</f>
        <v/>
      </c>
      <c r="I291">
        <f>LEN(TRIM(CLEAN(SUBSTITUTE(SUBSTITUTE(Table_18[[#This Row],[Sequence]],CHAR(160)," ")," ",""))))</f>
        <v/>
      </c>
      <c r="J291" s="17" t="n"/>
      <c r="K291" s="21" t="n"/>
      <c r="L291" s="21">
        <f>IF($B291="","FALSE","TRUE")</f>
        <v/>
      </c>
      <c r="M291">
        <f t="array" ref="M291">IsURL(Table_121215[[#This Row],[Data Source]])</f>
        <v/>
      </c>
      <c r="N291">
        <f t="array" ref="N291">IsURL(Table_121215[[#This Row],[DOI]])</f>
        <v/>
      </c>
      <c r="O291">
        <f t="array" ref="O291">IsURL(Table_121215[[#This Row],[Data Source]])</f>
        <v/>
      </c>
      <c r="P291">
        <f t="array" ref="P291">IsURL(Table_121215[[#This Row],[Data Source]])</f>
        <v/>
      </c>
    </row>
    <row r="292" ht="15.75" customHeight="1">
      <c r="A292">
        <f>IF(Table_18[[#This Row],[Part Name]]=0,"",Table_18[[#This Row],[Part Name]])</f>
        <v/>
      </c>
      <c r="I292">
        <f>LEN(TRIM(CLEAN(SUBSTITUTE(SUBSTITUTE(Table_18[[#This Row],[Sequence]],CHAR(160)," ")," ",""))))</f>
        <v/>
      </c>
      <c r="J292" s="17" t="n"/>
      <c r="K292" s="21" t="n"/>
      <c r="L292" s="21">
        <f>IF($B292="","FALSE","TRUE")</f>
        <v/>
      </c>
      <c r="M292">
        <f t="array" ref="M292">IsURL(Table_121215[[#This Row],[Data Source]])</f>
        <v/>
      </c>
      <c r="N292">
        <f t="array" ref="N292">IsURL(Table_121215[[#This Row],[DOI]])</f>
        <v/>
      </c>
      <c r="O292">
        <f t="array" ref="O292">IsURL(Table_121215[[#This Row],[Data Source]])</f>
        <v/>
      </c>
      <c r="P292">
        <f t="array" ref="P292">IsURL(Table_121215[[#This Row],[Data Source]])</f>
        <v/>
      </c>
    </row>
    <row r="293" ht="15.75" customHeight="1">
      <c r="A293">
        <f>IF(Table_18[[#This Row],[Part Name]]=0,"",Table_18[[#This Row],[Part Name]])</f>
        <v/>
      </c>
      <c r="I293">
        <f>LEN(TRIM(CLEAN(SUBSTITUTE(SUBSTITUTE(Table_18[[#This Row],[Sequence]],CHAR(160)," ")," ",""))))</f>
        <v/>
      </c>
      <c r="J293" s="17" t="n"/>
      <c r="K293" s="21" t="n"/>
      <c r="L293" s="21">
        <f>IF($B293="","FALSE","TRUE")</f>
        <v/>
      </c>
      <c r="M293">
        <f t="array" ref="M293">IsURL(Table_121215[[#This Row],[Data Source]])</f>
        <v/>
      </c>
      <c r="N293">
        <f t="array" ref="N293">IsURL(Table_121215[[#This Row],[DOI]])</f>
        <v/>
      </c>
      <c r="O293">
        <f t="array" ref="O293">IsURL(Table_121215[[#This Row],[Data Source]])</f>
        <v/>
      </c>
      <c r="P293">
        <f t="array" ref="P293">IsURL(Table_121215[[#This Row],[Data Source]])</f>
        <v/>
      </c>
    </row>
    <row r="294" ht="15.75" customHeight="1">
      <c r="A294">
        <f>IF(Table_18[[#This Row],[Part Name]]=0,"",Table_18[[#This Row],[Part Name]])</f>
        <v/>
      </c>
      <c r="I294">
        <f>LEN(TRIM(CLEAN(SUBSTITUTE(SUBSTITUTE(Table_18[[#This Row],[Sequence]],CHAR(160)," ")," ",""))))</f>
        <v/>
      </c>
      <c r="J294" s="17" t="n"/>
      <c r="K294" s="21" t="n"/>
      <c r="L294" s="21">
        <f>IF($B294="","FALSE","TRUE")</f>
        <v/>
      </c>
      <c r="M294">
        <f t="array" ref="M294">IsURL(Table_121215[[#This Row],[Data Source]])</f>
        <v/>
      </c>
      <c r="N294">
        <f t="array" ref="N294">IsURL(Table_121215[[#This Row],[DOI]])</f>
        <v/>
      </c>
      <c r="O294">
        <f t="array" ref="O294">IsURL(Table_121215[[#This Row],[Data Source]])</f>
        <v/>
      </c>
      <c r="P294">
        <f t="array" ref="P294">IsURL(Table_121215[[#This Row],[Data Source]])</f>
        <v/>
      </c>
    </row>
    <row r="295" ht="15.75" customHeight="1">
      <c r="A295">
        <f>IF(Table_18[[#This Row],[Part Name]]=0,"",Table_18[[#This Row],[Part Name]])</f>
        <v/>
      </c>
      <c r="I295">
        <f>LEN(TRIM(CLEAN(SUBSTITUTE(SUBSTITUTE(Table_18[[#This Row],[Sequence]],CHAR(160)," ")," ",""))))</f>
        <v/>
      </c>
      <c r="J295" s="17" t="n"/>
      <c r="K295" s="21" t="n"/>
      <c r="L295" s="21">
        <f>IF($B295="","FALSE","TRUE")</f>
        <v/>
      </c>
      <c r="M295">
        <f t="array" ref="M295">IsURL(Table_121215[[#This Row],[Data Source]])</f>
        <v/>
      </c>
      <c r="N295">
        <f t="array" ref="N295">IsURL(Table_121215[[#This Row],[DOI]])</f>
        <v/>
      </c>
      <c r="O295">
        <f t="array" ref="O295">IsURL(Table_121215[[#This Row],[Data Source]])</f>
        <v/>
      </c>
      <c r="P295">
        <f t="array" ref="P295">IsURL(Table_121215[[#This Row],[Data Source]])</f>
        <v/>
      </c>
    </row>
    <row r="296" ht="15.75" customHeight="1">
      <c r="A296">
        <f>IF(Table_18[[#This Row],[Part Name]]=0,"",Table_18[[#This Row],[Part Name]])</f>
        <v/>
      </c>
      <c r="I296">
        <f>LEN(TRIM(CLEAN(SUBSTITUTE(SUBSTITUTE(Table_18[[#This Row],[Sequence]],CHAR(160)," ")," ",""))))</f>
        <v/>
      </c>
      <c r="J296" s="17" t="n"/>
      <c r="K296" s="21" t="n"/>
      <c r="L296" s="21">
        <f>IF($B296="","FALSE","TRUE")</f>
        <v/>
      </c>
      <c r="M296">
        <f t="array" ref="M296">IsURL(Table_121215[[#This Row],[Data Source]])</f>
        <v/>
      </c>
      <c r="N296">
        <f t="array" ref="N296">IsURL(Table_121215[[#This Row],[DOI]])</f>
        <v/>
      </c>
      <c r="O296">
        <f t="array" ref="O296">IsURL(Table_121215[[#This Row],[Data Source]])</f>
        <v/>
      </c>
      <c r="P296">
        <f t="array" ref="P296">IsURL(Table_121215[[#This Row],[Data Source]])</f>
        <v/>
      </c>
    </row>
    <row r="297" ht="15.75" customHeight="1">
      <c r="A297">
        <f>IF(Table_18[[#This Row],[Part Name]]=0,"",Table_18[[#This Row],[Part Name]])</f>
        <v/>
      </c>
      <c r="I297">
        <f>LEN(TRIM(CLEAN(SUBSTITUTE(SUBSTITUTE(Table_18[[#This Row],[Sequence]],CHAR(160)," ")," ",""))))</f>
        <v/>
      </c>
      <c r="J297" s="17" t="n"/>
      <c r="K297" s="21" t="n"/>
      <c r="L297" s="21">
        <f>IF($B297="","FALSE","TRUE")</f>
        <v/>
      </c>
      <c r="M297">
        <f t="array" ref="M297">IsURL(Table_121215[[#This Row],[Data Source]])</f>
        <v/>
      </c>
      <c r="N297">
        <f t="array" ref="N297">IsURL(Table_121215[[#This Row],[DOI]])</f>
        <v/>
      </c>
      <c r="O297">
        <f t="array" ref="O297">IsURL(Table_121215[[#This Row],[Data Source]])</f>
        <v/>
      </c>
      <c r="P297">
        <f t="array" ref="P297">IsURL(Table_121215[[#This Row],[Data Source]])</f>
        <v/>
      </c>
    </row>
    <row r="298" ht="15.75" customHeight="1">
      <c r="A298">
        <f>IF(Table_18[[#This Row],[Part Name]]=0,"",Table_18[[#This Row],[Part Name]])</f>
        <v/>
      </c>
      <c r="I298">
        <f>LEN(TRIM(CLEAN(SUBSTITUTE(SUBSTITUTE(Table_18[[#This Row],[Sequence]],CHAR(160)," ")," ",""))))</f>
        <v/>
      </c>
      <c r="J298" s="17" t="n"/>
      <c r="K298" s="21" t="n"/>
      <c r="L298" s="21">
        <f>IF($B298="","FALSE","TRUE")</f>
        <v/>
      </c>
      <c r="M298">
        <f t="array" ref="M298">IsURL(Table_121215[[#This Row],[Data Source]])</f>
        <v/>
      </c>
      <c r="N298">
        <f t="array" ref="N298">IsURL(Table_121215[[#This Row],[DOI]])</f>
        <v/>
      </c>
      <c r="O298">
        <f t="array" ref="O298">IsURL(Table_121215[[#This Row],[Data Source]])</f>
        <v/>
      </c>
      <c r="P298">
        <f t="array" ref="P298">IsURL(Table_121215[[#This Row],[Data Source]])</f>
        <v/>
      </c>
    </row>
    <row r="299" ht="15.75" customHeight="1">
      <c r="A299">
        <f>IF(Table_18[[#This Row],[Part Name]]=0,"",Table_18[[#This Row],[Part Name]])</f>
        <v/>
      </c>
      <c r="I299">
        <f>LEN(TRIM(CLEAN(SUBSTITUTE(SUBSTITUTE(Table_18[[#This Row],[Sequence]],CHAR(160)," ")," ",""))))</f>
        <v/>
      </c>
      <c r="J299" s="17" t="n"/>
      <c r="K299" s="21" t="n"/>
      <c r="L299" s="21">
        <f>IF($B299="","FALSE","TRUE")</f>
        <v/>
      </c>
      <c r="M299">
        <f t="array" ref="M299">IsURL(Table_121215[[#This Row],[Data Source]])</f>
        <v/>
      </c>
      <c r="N299">
        <f t="array" ref="N299">IsURL(Table_121215[[#This Row],[DOI]])</f>
        <v/>
      </c>
      <c r="O299">
        <f t="array" ref="O299">IsURL(Table_121215[[#This Row],[Data Source]])</f>
        <v/>
      </c>
      <c r="P299">
        <f t="array" ref="P299">IsURL(Table_121215[[#This Row],[Data Source]])</f>
        <v/>
      </c>
    </row>
    <row r="300" ht="15.75" customHeight="1">
      <c r="A300">
        <f>IF(Table_18[[#This Row],[Part Name]]=0,"",Table_18[[#This Row],[Part Name]])</f>
        <v/>
      </c>
      <c r="I300">
        <f>LEN(TRIM(CLEAN(SUBSTITUTE(SUBSTITUTE(Table_18[[#This Row],[Sequence]],CHAR(160)," ")," ",""))))</f>
        <v/>
      </c>
      <c r="J300" s="17" t="n"/>
      <c r="K300" s="21" t="n"/>
      <c r="L300" s="21">
        <f>IF($B300="","FALSE","TRUE")</f>
        <v/>
      </c>
      <c r="M300">
        <f t="array" ref="M300">IsURL(Table_121215[[#This Row],[Data Source]])</f>
        <v/>
      </c>
      <c r="N300">
        <f t="array" ref="N300">IsURL(Table_121215[[#This Row],[DOI]])</f>
        <v/>
      </c>
      <c r="O300">
        <f t="array" ref="O300">IsURL(Table_121215[[#This Row],[Data Source]])</f>
        <v/>
      </c>
      <c r="P300">
        <f t="array" ref="P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sheetData>
  <conditionalFormatting sqref="B5:B300">
    <cfRule type="expression" priority="4" dxfId="6" stopIfTrue="1">
      <formula>ISBLANK(B5)</formula>
    </cfRule>
  </conditionalFormatting>
  <conditionalFormatting sqref="J5:J300">
    <cfRule type="duplicateValues" priority="1" dxfId="6"/>
  </conditionalFormatting>
  <dataValidations count="2">
    <dataValidation sqref="L5:L300" showErrorMessage="1" showInputMessage="1" allowBlank="0" type="list">
      <formula1>"TRUE, FALSE"</formula1>
    </dataValidation>
    <dataValidation sqref="E5:E300" showErrorMessage="1" showInputMessage="1" allowBlank="0" errorTitle="Invalid URL" error="The URL entered seems to be invalid, please check again." type="custom">
      <formula1>#REF!</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7.xml><?xml version="1.0" encoding="utf-8"?>
<worksheet xmlns="http://schemas.openxmlformats.org/spreadsheetml/2006/main">
  <sheetPr codeName="Sheet4">
    <outlinePr summaryBelow="0"/>
    <pageSetUpPr/>
  </sheetPr>
  <dimension ref="A3:R300"/>
  <sheetViews>
    <sheetView tabSelected="1" topLeftCell="B1" zoomScale="125" zoomScaleNormal="160" workbookViewId="0">
      <selection activeCell="B1" sqref="B1"/>
    </sheetView>
  </sheetViews>
  <sheetFormatPr baseColWidth="10" defaultColWidth="8.6640625" defaultRowHeight="15"/>
  <cols>
    <col hidden="1" width="26.5" customWidth="1" min="1" max="1"/>
    <col width="12.6640625" bestFit="1" customWidth="1" min="2" max="2"/>
    <col width="23.6640625" bestFit="1" customWidth="1" min="3" max="3"/>
    <col width="17.83203125" bestFit="1" customWidth="1" min="4" max="4"/>
    <col width="14.33203125" bestFit="1" customWidth="1" min="5" max="5"/>
    <col width="13" bestFit="1" customWidth="1" min="6" max="6"/>
    <col width="7" bestFit="1" customWidth="1" min="7" max="7"/>
    <col width="19.1640625" bestFit="1" customWidth="1" min="8" max="8"/>
    <col width="14.33203125" bestFit="1" customWidth="1" min="9" max="9"/>
    <col width="13.5" bestFit="1" customWidth="1" min="10" max="10"/>
    <col width="12.33203125" bestFit="1" customWidth="1" min="11" max="11"/>
    <col width="6.83203125" bestFit="1" customWidth="1" min="12" max="12"/>
    <col width="10" bestFit="1" customWidth="1" min="13" max="13"/>
    <col hidden="1" width="27.83203125" customWidth="1" min="14" max="14"/>
    <col hidden="1" width="20.33203125" customWidth="1" min="15" max="15"/>
    <col hidden="1" width="27.83203125" customWidth="1" min="16" max="17"/>
    <col width="8.5" bestFit="1" customWidth="1" min="18" max="29"/>
    <col width="12.5" bestFit="1" customWidth="1" min="30" max="30"/>
  </cols>
  <sheetData>
    <row r="1" ht="15.75" customHeight="1"/>
    <row r="2" ht="15.75" customHeight="1"/>
    <row r="3" ht="15.75" customHeight="1">
      <c r="A3" s="13" t="inlineStr">
        <is>
          <t>This ID is used to reference the cdss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Where is the genetic information coming from, e.g. gene taken from Aequorea victoria if available add in strain name too. This should match the scientific name for the txid in the next column</t>
        </is>
      </c>
      <c r="J3" t="inlineStr">
        <is>
          <t>Automatically calculated length of the sequence pasted to the right. Use this column for checking there are no paste errors.</t>
        </is>
      </c>
      <c r="K3" t="inlineStr">
        <is>
          <t>The series of ATGCs that make up the part. Spaces can be used within the sequence but no other characters.</t>
        </is>
      </c>
      <c r="N3" s="22" t="inlineStr">
        <is>
          <t>DO NOT CHANGE</t>
        </is>
      </c>
      <c r="O3" s="22" t="inlineStr">
        <is>
          <t>DO NOT CHANGE</t>
        </is>
      </c>
      <c r="P3" s="22" t="inlineStr">
        <is>
          <t>DO NOT CHANGE</t>
        </is>
      </c>
      <c r="Q3" s="22" t="inlineStr">
        <is>
          <t>DO NOT CHANGE</t>
        </is>
      </c>
    </row>
    <row r="4" ht="15.75" customHeight="1">
      <c r="A4" t="inlineStr">
        <is>
          <t>Part ID</t>
        </is>
      </c>
      <c r="B4" t="inlineStr">
        <is>
          <t>Part Name</t>
        </is>
      </c>
      <c r="C4" t="inlineStr">
        <is>
          <t>Previous Version (URI)</t>
        </is>
      </c>
      <c r="D4" t="inlineStr">
        <is>
          <t>Part Description</t>
        </is>
      </c>
      <c r="E4" t="inlineStr">
        <is>
          <t>Data Source</t>
        </is>
      </c>
      <c r="F4" t="inlineStr">
        <is>
          <t>PubMed Id</t>
        </is>
      </c>
      <c r="G4" t="inlineStr">
        <is>
          <t>DOI</t>
        </is>
      </c>
      <c r="H4" t="inlineStr">
        <is>
          <t>Source Organism</t>
        </is>
      </c>
      <c r="I4" t="inlineStr">
        <is>
          <t>Encodes for</t>
        </is>
      </c>
      <c r="J4" t="inlineStr">
        <is>
          <t>length (bp)</t>
        </is>
      </c>
      <c r="K4" t="inlineStr">
        <is>
          <t>Sequence</t>
        </is>
      </c>
      <c r="L4" s="20" t="inlineStr">
        <is>
          <t>URI</t>
        </is>
      </c>
      <c r="M4" s="20" t="inlineStr">
        <is>
          <t>Update</t>
        </is>
      </c>
      <c r="N4" s="23" t="inlineStr">
        <is>
          <t>URL Checker - Data Source</t>
        </is>
      </c>
      <c r="O4" s="24" t="inlineStr">
        <is>
          <t>URL Checker - DOI</t>
        </is>
      </c>
      <c r="P4" s="23" t="inlineStr">
        <is>
          <t>URL Checker - Previous Version</t>
        </is>
      </c>
      <c r="Q4" s="23" t="inlineStr">
        <is>
          <t>URL Checker - URI</t>
        </is>
      </c>
      <c r="R4" t="inlineStr">
        <is>
          <t>Translate to Protein</t>
        </is>
      </c>
    </row>
    <row r="5" ht="15.75" customHeight="1">
      <c r="A5">
        <f>IF(Table_17[[#This Row],[Part Name]]=0,"",Table_17[[#This Row],[Part Name]])</f>
        <v/>
      </c>
      <c r="B5" t="inlineStr">
        <is>
          <t>Test1</t>
        </is>
      </c>
      <c r="E5" s="11" t="n"/>
      <c r="I5" t="inlineStr">
        <is>
          <t>Test1_Protein</t>
        </is>
      </c>
      <c r="J5">
        <f>LEN(TRIM(CLEAN(SUBSTITUTE(SUBSTITUTE(Table_17[[#This Row],[Sequence]],CHAR(160)," ")," ",""))))</f>
        <v/>
      </c>
      <c r="K5" s="12" t="inlineStr">
        <is>
          <t>atatgtttcggccgatcgggtcagcatag</t>
        </is>
      </c>
      <c r="L5" s="21" t="n"/>
      <c r="M5" s="21">
        <f>IF($B5="","FALSE","TRUE")</f>
        <v/>
      </c>
      <c r="N5">
        <f t="array" ref="N5">IsURL(Table_121215[[#This Row],[Data Source]])</f>
        <v/>
      </c>
      <c r="O5">
        <f t="array" ref="O5">IsURL(Table_121215[[#This Row],[DOI]])</f>
        <v/>
      </c>
      <c r="P5">
        <f t="array" ref="P5">IsURL(Table_121215[[#This Row],[Data Source]])</f>
        <v/>
      </c>
      <c r="Q5">
        <f t="array" ref="Q5">IsURL(Table_121215[[#This Row],[Data Source]])</f>
        <v/>
      </c>
      <c r="R5" t="b">
        <v>1</v>
      </c>
    </row>
    <row r="6" ht="15.75" customHeight="1">
      <c r="A6">
        <f>IF(Table_17[[#This Row],[Part Name]]=0,"",Table_17[[#This Row],[Part Name]])</f>
        <v/>
      </c>
      <c r="E6" s="11" t="n"/>
      <c r="J6">
        <f>LEN(TRIM(CLEAN(SUBSTITUTE(SUBSTITUTE(Table_17[[#This Row],[Sequence]],CHAR(160)," ")," ",""))))</f>
        <v/>
      </c>
      <c r="K6" s="12" t="n"/>
      <c r="L6" s="21" t="n"/>
      <c r="M6" s="21">
        <f>IF($B6="","FALSE","TRUE")</f>
        <v/>
      </c>
      <c r="N6">
        <f t="array" ref="N6">IsURL(Table_121215[[#This Row],[Data Source]])</f>
        <v/>
      </c>
      <c r="O6">
        <f t="array" ref="O6">IsURL(Table_121215[[#This Row],[DOI]])</f>
        <v/>
      </c>
      <c r="P6">
        <f t="array" ref="P6">IsURL(Table_121215[[#This Row],[Data Source]])</f>
        <v/>
      </c>
      <c r="Q6">
        <f t="array" ref="Q6">IsURL(Table_121215[[#This Row],[Data Source]])</f>
        <v/>
      </c>
    </row>
    <row r="7" ht="15.75" customHeight="1">
      <c r="A7">
        <f>IF(Table_17[[#This Row],[Part Name]]=0,"",Table_17[[#This Row],[Part Name]])</f>
        <v/>
      </c>
      <c r="E7" s="11" t="n"/>
      <c r="J7">
        <f>LEN(TRIM(CLEAN(SUBSTITUTE(SUBSTITUTE(Table_17[[#This Row],[Sequence]],CHAR(160)," ")," ",""))))</f>
        <v/>
      </c>
      <c r="K7" s="12" t="n"/>
      <c r="L7" s="21" t="n"/>
      <c r="M7" s="21">
        <f>IF($B7="","FALSE","TRUE")</f>
        <v/>
      </c>
      <c r="N7">
        <f t="array" ref="N7">IsURL(Table_121215[[#This Row],[Data Source]])</f>
        <v/>
      </c>
      <c r="O7">
        <f t="array" ref="O7">IsURL(Table_121215[[#This Row],[DOI]])</f>
        <v/>
      </c>
      <c r="P7">
        <f t="array" ref="P7">IsURL(Table_121215[[#This Row],[Data Source]])</f>
        <v/>
      </c>
      <c r="Q7">
        <f t="array" ref="Q7">IsURL(Table_121215[[#This Row],[Data Source]])</f>
        <v/>
      </c>
    </row>
    <row r="8" ht="15.75" customHeight="1">
      <c r="A8">
        <f>IF(Table_17[[#This Row],[Part Name]]=0,"",Table_17[[#This Row],[Part Name]])</f>
        <v/>
      </c>
      <c r="E8" s="11" t="n"/>
      <c r="J8">
        <f>LEN(TRIM(CLEAN(SUBSTITUTE(SUBSTITUTE(Table_17[[#This Row],[Sequence]],CHAR(160)," ")," ",""))))</f>
        <v/>
      </c>
      <c r="K8" s="12" t="n"/>
      <c r="L8" s="21" t="n"/>
      <c r="M8" s="21">
        <f>IF($B8="","FALSE","TRUE")</f>
        <v/>
      </c>
      <c r="N8">
        <f t="array" ref="N8">IsURL(Table_121215[[#This Row],[Data Source]])</f>
        <v/>
      </c>
      <c r="O8">
        <f t="array" ref="O8">IsURL(Table_121215[[#This Row],[DOI]])</f>
        <v/>
      </c>
      <c r="P8">
        <f t="array" ref="P8">IsURL(Table_121215[[#This Row],[Data Source]])</f>
        <v/>
      </c>
      <c r="Q8">
        <f t="array" ref="Q8">IsURL(Table_121215[[#This Row],[Data Source]])</f>
        <v/>
      </c>
    </row>
    <row r="9" ht="15.75" customHeight="1">
      <c r="A9">
        <f>IF(Table_17[[#This Row],[Part Name]]=0,"",Table_17[[#This Row],[Part Name]])</f>
        <v/>
      </c>
      <c r="E9" s="11" t="n"/>
      <c r="J9">
        <f>LEN(TRIM(CLEAN(SUBSTITUTE(SUBSTITUTE(Table_17[[#This Row],[Sequence]],CHAR(160)," ")," ",""))))</f>
        <v/>
      </c>
      <c r="K9" s="12" t="n"/>
      <c r="L9" s="21" t="n"/>
      <c r="M9" s="21">
        <f>IF($B9="","FALSE","TRUE")</f>
        <v/>
      </c>
      <c r="N9">
        <f t="array" ref="N9">IsURL(Table_121215[[#This Row],[Data Source]])</f>
        <v/>
      </c>
      <c r="O9">
        <f t="array" ref="O9">IsURL(Table_121215[[#This Row],[DOI]])</f>
        <v/>
      </c>
      <c r="P9">
        <f t="array" ref="P9">IsURL(Table_121215[[#This Row],[Data Source]])</f>
        <v/>
      </c>
      <c r="Q9">
        <f t="array" ref="Q9">IsURL(Table_121215[[#This Row],[Data Source]])</f>
        <v/>
      </c>
    </row>
    <row r="10" ht="15.75" customHeight="1">
      <c r="A10">
        <f>IF(Table_17[[#This Row],[Part Name]]=0,"",Table_17[[#This Row],[Part Name]])</f>
        <v/>
      </c>
      <c r="E10" s="11" t="n"/>
      <c r="J10">
        <f>LEN(TRIM(CLEAN(SUBSTITUTE(SUBSTITUTE(Table_17[[#This Row],[Sequence]],CHAR(160)," ")," ",""))))</f>
        <v/>
      </c>
      <c r="K10" s="12" t="n"/>
      <c r="L10" s="21" t="n"/>
      <c r="M10" s="21">
        <f>IF($B10="","FALSE","TRUE")</f>
        <v/>
      </c>
      <c r="N10">
        <f t="array" ref="N10">IsURL(Table_121215[[#This Row],[Data Source]])</f>
        <v/>
      </c>
      <c r="O10">
        <f t="array" ref="O10">IsURL(Table_121215[[#This Row],[DOI]])</f>
        <v/>
      </c>
      <c r="P10">
        <f t="array" ref="P10">IsURL(Table_121215[[#This Row],[Data Source]])</f>
        <v/>
      </c>
      <c r="Q10">
        <f t="array" ref="Q10">IsURL(Table_121215[[#This Row],[Data Source]])</f>
        <v/>
      </c>
    </row>
    <row r="11" ht="15.75" customHeight="1">
      <c r="A11">
        <f>IF(Table_17[[#This Row],[Part Name]]=0,"",Table_17[[#This Row],[Part Name]])</f>
        <v/>
      </c>
      <c r="E11" s="11" t="n"/>
      <c r="J11">
        <f>LEN(TRIM(CLEAN(SUBSTITUTE(SUBSTITUTE(Table_17[[#This Row],[Sequence]],CHAR(160)," ")," ",""))))</f>
        <v/>
      </c>
      <c r="K11" s="12" t="n"/>
      <c r="L11" s="21" t="n"/>
      <c r="M11" s="21">
        <f>IF($B11="","FALSE","TRUE")</f>
        <v/>
      </c>
      <c r="N11">
        <f t="array" ref="N11">IsURL(Table_121215[[#This Row],[Data Source]])</f>
        <v/>
      </c>
      <c r="O11">
        <f t="array" ref="O11">IsURL(Table_121215[[#This Row],[DOI]])</f>
        <v/>
      </c>
      <c r="P11">
        <f t="array" ref="P11">IsURL(Table_121215[[#This Row],[Data Source]])</f>
        <v/>
      </c>
      <c r="Q11">
        <f t="array" ref="Q11">IsURL(Table_121215[[#This Row],[Data Source]])</f>
        <v/>
      </c>
    </row>
    <row r="12" ht="15.75" customHeight="1">
      <c r="A12">
        <f>IF(Table_17[[#This Row],[Part Name]]=0,"",Table_17[[#This Row],[Part Name]])</f>
        <v/>
      </c>
      <c r="E12" s="11" t="n"/>
      <c r="J12">
        <f>LEN(TRIM(CLEAN(SUBSTITUTE(SUBSTITUTE(Table_17[[#This Row],[Sequence]],CHAR(160)," ")," ",""))))</f>
        <v/>
      </c>
      <c r="K12" s="12" t="n"/>
      <c r="L12" s="21" t="n"/>
      <c r="M12" s="21">
        <f>IF($B12="","FALSE","TRUE")</f>
        <v/>
      </c>
      <c r="N12">
        <f t="array" ref="N12">IsURL(Table_121215[[#This Row],[Data Source]])</f>
        <v/>
      </c>
      <c r="O12">
        <f t="array" ref="O12">IsURL(Table_121215[[#This Row],[DOI]])</f>
        <v/>
      </c>
      <c r="P12">
        <f t="array" ref="P12">IsURL(Table_121215[[#This Row],[Data Source]])</f>
        <v/>
      </c>
      <c r="Q12">
        <f t="array" ref="Q12">IsURL(Table_121215[[#This Row],[Data Source]])</f>
        <v/>
      </c>
    </row>
    <row r="13" ht="15.75" customHeight="1">
      <c r="A13">
        <f>IF(Table_17[[#This Row],[Part Name]]=0,"",Table_17[[#This Row],[Part Name]])</f>
        <v/>
      </c>
      <c r="E13" s="11" t="n"/>
      <c r="J13">
        <f>LEN(TRIM(CLEAN(SUBSTITUTE(SUBSTITUTE(Table_17[[#This Row],[Sequence]],CHAR(160)," ")," ",""))))</f>
        <v/>
      </c>
      <c r="K13" s="12" t="n"/>
      <c r="L13" s="21" t="n"/>
      <c r="M13" s="21">
        <f>IF($B13="","FALSE","TRUE")</f>
        <v/>
      </c>
      <c r="N13">
        <f t="array" ref="N13">IsURL(Table_121215[[#This Row],[Data Source]])</f>
        <v/>
      </c>
      <c r="O13">
        <f t="array" ref="O13">IsURL(Table_121215[[#This Row],[DOI]])</f>
        <v/>
      </c>
      <c r="P13">
        <f t="array" ref="P13">IsURL(Table_121215[[#This Row],[Data Source]])</f>
        <v/>
      </c>
      <c r="Q13">
        <f t="array" ref="Q13">IsURL(Table_121215[[#This Row],[Data Source]])</f>
        <v/>
      </c>
    </row>
    <row r="14" ht="15.75" customHeight="1">
      <c r="A14">
        <f>IF(Table_17[[#This Row],[Part Name]]=0,"",Table_17[[#This Row],[Part Name]])</f>
        <v/>
      </c>
      <c r="E14" s="11" t="n"/>
      <c r="J14">
        <f>LEN(TRIM(CLEAN(SUBSTITUTE(SUBSTITUTE(Table_17[[#This Row],[Sequence]],CHAR(160)," ")," ",""))))</f>
        <v/>
      </c>
      <c r="K14" s="12" t="n"/>
      <c r="L14" s="21" t="n"/>
      <c r="M14" s="21">
        <f>IF($B14="","FALSE","TRUE")</f>
        <v/>
      </c>
      <c r="N14">
        <f t="array" ref="N14">IsURL(Table_121215[[#This Row],[Data Source]])</f>
        <v/>
      </c>
      <c r="O14">
        <f t="array" ref="O14">IsURL(Table_121215[[#This Row],[DOI]])</f>
        <v/>
      </c>
      <c r="P14">
        <f t="array" ref="P14">IsURL(Table_121215[[#This Row],[Data Source]])</f>
        <v/>
      </c>
      <c r="Q14">
        <f t="array" ref="Q14">IsURL(Table_121215[[#This Row],[Data Source]])</f>
        <v/>
      </c>
    </row>
    <row r="15" ht="15.75" customHeight="1">
      <c r="A15">
        <f>IF(Table_17[[#This Row],[Part Name]]=0,"",Table_17[[#This Row],[Part Name]])</f>
        <v/>
      </c>
      <c r="E15" s="11" t="n"/>
      <c r="J15">
        <f>LEN(TRIM(CLEAN(SUBSTITUTE(SUBSTITUTE(Table_17[[#This Row],[Sequence]],CHAR(160)," ")," ",""))))</f>
        <v/>
      </c>
      <c r="K15" s="12" t="n"/>
      <c r="L15" s="21" t="n"/>
      <c r="M15" s="21">
        <f>IF($B15="","FALSE","TRUE")</f>
        <v/>
      </c>
      <c r="N15">
        <f t="array" ref="N15">IsURL(Table_121215[[#This Row],[Data Source]])</f>
        <v/>
      </c>
      <c r="O15">
        <f t="array" ref="O15">IsURL(Table_121215[[#This Row],[DOI]])</f>
        <v/>
      </c>
      <c r="P15">
        <f t="array" ref="P15">IsURL(Table_121215[[#This Row],[Data Source]])</f>
        <v/>
      </c>
      <c r="Q15">
        <f t="array" ref="Q15">IsURL(Table_121215[[#This Row],[Data Source]])</f>
        <v/>
      </c>
    </row>
    <row r="16" ht="15.75" customHeight="1">
      <c r="A16">
        <f>IF(Table_17[[#This Row],[Part Name]]=0,"",Table_17[[#This Row],[Part Name]])</f>
        <v/>
      </c>
      <c r="E16" s="11" t="n"/>
      <c r="J16">
        <f>LEN(TRIM(CLEAN(SUBSTITUTE(SUBSTITUTE(Table_17[[#This Row],[Sequence]],CHAR(160)," ")," ",""))))</f>
        <v/>
      </c>
      <c r="K16" s="12" t="n"/>
      <c r="L16" s="21" t="n"/>
      <c r="M16" s="21">
        <f>IF($B16="","FALSE","TRUE")</f>
        <v/>
      </c>
      <c r="N16">
        <f t="array" ref="N16">IsURL(Table_121215[[#This Row],[Data Source]])</f>
        <v/>
      </c>
      <c r="O16">
        <f t="array" ref="O16">IsURL(Table_121215[[#This Row],[DOI]])</f>
        <v/>
      </c>
      <c r="P16">
        <f t="array" ref="P16">IsURL(Table_121215[[#This Row],[Data Source]])</f>
        <v/>
      </c>
      <c r="Q16">
        <f t="array" ref="Q16">IsURL(Table_121215[[#This Row],[Data Source]])</f>
        <v/>
      </c>
    </row>
    <row r="17" ht="15.75" customHeight="1">
      <c r="A17">
        <f>IF(Table_17[[#This Row],[Part Name]]=0,"",Table_17[[#This Row],[Part Name]])</f>
        <v/>
      </c>
      <c r="E17" s="11" t="n"/>
      <c r="J17">
        <f>LEN(TRIM(CLEAN(SUBSTITUTE(SUBSTITUTE(Table_17[[#This Row],[Sequence]],CHAR(160)," ")," ",""))))</f>
        <v/>
      </c>
      <c r="K17" s="12" t="n"/>
      <c r="L17" s="21" t="n"/>
      <c r="M17" s="21">
        <f>IF($B17="","FALSE","TRUE")</f>
        <v/>
      </c>
      <c r="N17">
        <f t="array" ref="N17">IsURL(Table_121215[[#This Row],[Data Source]])</f>
        <v/>
      </c>
      <c r="O17">
        <f t="array" ref="O17">IsURL(Table_121215[[#This Row],[DOI]])</f>
        <v/>
      </c>
      <c r="P17">
        <f t="array" ref="P17">IsURL(Table_121215[[#This Row],[Data Source]])</f>
        <v/>
      </c>
      <c r="Q17">
        <f t="array" ref="Q17">IsURL(Table_121215[[#This Row],[Data Source]])</f>
        <v/>
      </c>
    </row>
    <row r="18" ht="15.75" customHeight="1">
      <c r="A18">
        <f>IF(Table_17[[#This Row],[Part Name]]=0,"",Table_17[[#This Row],[Part Name]])</f>
        <v/>
      </c>
      <c r="E18" s="11" t="n"/>
      <c r="J18">
        <f>LEN(TRIM(CLEAN(SUBSTITUTE(SUBSTITUTE(Table_17[[#This Row],[Sequence]],CHAR(160)," ")," ",""))))</f>
        <v/>
      </c>
      <c r="K18" s="12" t="n"/>
      <c r="L18" s="21" t="n"/>
      <c r="M18" s="21">
        <f>IF($B18="","FALSE","TRUE")</f>
        <v/>
      </c>
      <c r="N18">
        <f t="array" ref="N18">IsURL(Table_121215[[#This Row],[Data Source]])</f>
        <v/>
      </c>
      <c r="O18">
        <f t="array" ref="O18">IsURL(Table_121215[[#This Row],[DOI]])</f>
        <v/>
      </c>
      <c r="P18">
        <f t="array" ref="P18">IsURL(Table_121215[[#This Row],[Data Source]])</f>
        <v/>
      </c>
      <c r="Q18">
        <f t="array" ref="Q18">IsURL(Table_121215[[#This Row],[Data Source]])</f>
        <v/>
      </c>
    </row>
    <row r="19" ht="15.75" customHeight="1">
      <c r="A19">
        <f>IF(Table_17[[#This Row],[Part Name]]=0,"",Table_17[[#This Row],[Part Name]])</f>
        <v/>
      </c>
      <c r="E19" s="11" t="n"/>
      <c r="J19">
        <f>LEN(TRIM(CLEAN(SUBSTITUTE(SUBSTITUTE(Table_17[[#This Row],[Sequence]],CHAR(160)," ")," ",""))))</f>
        <v/>
      </c>
      <c r="K19" s="12" t="n"/>
      <c r="L19" s="21" t="n"/>
      <c r="M19" s="21">
        <f>IF($B19="","FALSE","TRUE")</f>
        <v/>
      </c>
      <c r="N19">
        <f t="array" ref="N19">IsURL(Table_121215[[#This Row],[Data Source]])</f>
        <v/>
      </c>
      <c r="O19">
        <f t="array" ref="O19">IsURL(Table_121215[[#This Row],[DOI]])</f>
        <v/>
      </c>
      <c r="P19">
        <f t="array" ref="P19">IsURL(Table_121215[[#This Row],[Data Source]])</f>
        <v/>
      </c>
      <c r="Q19">
        <f t="array" ref="Q19">IsURL(Table_121215[[#This Row],[Data Source]])</f>
        <v/>
      </c>
    </row>
    <row r="20" ht="15.75" customHeight="1">
      <c r="A20">
        <f>IF(Table_17[[#This Row],[Part Name]]=0,"",Table_17[[#This Row],[Part Name]])</f>
        <v/>
      </c>
      <c r="E20" s="11" t="n"/>
      <c r="J20">
        <f>LEN(TRIM(CLEAN(SUBSTITUTE(SUBSTITUTE(Table_17[[#This Row],[Sequence]],CHAR(160)," ")," ",""))))</f>
        <v/>
      </c>
      <c r="K20" s="12" t="n"/>
      <c r="L20" s="21" t="n"/>
      <c r="M20" s="21">
        <f>IF($B20="","FALSE","TRUE")</f>
        <v/>
      </c>
      <c r="N20">
        <f t="array" ref="N20">IsURL(Table_121215[[#This Row],[Data Source]])</f>
        <v/>
      </c>
      <c r="O20">
        <f t="array" ref="O20">IsURL(Table_121215[[#This Row],[DOI]])</f>
        <v/>
      </c>
      <c r="P20">
        <f t="array" ref="P20">IsURL(Table_121215[[#This Row],[Data Source]])</f>
        <v/>
      </c>
      <c r="Q20">
        <f t="array" ref="Q20">IsURL(Table_121215[[#This Row],[Data Source]])</f>
        <v/>
      </c>
    </row>
    <row r="21" ht="15.75" customHeight="1">
      <c r="A21">
        <f>IF(Table_17[[#This Row],[Part Name]]=0,"",Table_17[[#This Row],[Part Name]])</f>
        <v/>
      </c>
      <c r="E21" s="11" t="n"/>
      <c r="J21">
        <f>LEN(TRIM(CLEAN(SUBSTITUTE(SUBSTITUTE(Table_17[[#This Row],[Sequence]],CHAR(160)," ")," ",""))))</f>
        <v/>
      </c>
      <c r="K21" s="12" t="n"/>
      <c r="L21" s="21" t="n"/>
      <c r="M21" s="21">
        <f>IF($B21="","FALSE","TRUE")</f>
        <v/>
      </c>
      <c r="N21">
        <f t="array" ref="N21">IsURL(Table_121215[[#This Row],[Data Source]])</f>
        <v/>
      </c>
      <c r="O21">
        <f t="array" ref="O21">IsURL(Table_121215[[#This Row],[DOI]])</f>
        <v/>
      </c>
      <c r="P21">
        <f t="array" ref="P21">IsURL(Table_121215[[#This Row],[Data Source]])</f>
        <v/>
      </c>
      <c r="Q21">
        <f t="array" ref="Q21">IsURL(Table_121215[[#This Row],[Data Source]])</f>
        <v/>
      </c>
    </row>
    <row r="22" ht="15.75" customHeight="1">
      <c r="A22">
        <f>IF(Table_17[[#This Row],[Part Name]]=0,"",Table_17[[#This Row],[Part Name]])</f>
        <v/>
      </c>
      <c r="E22" s="11" t="n"/>
      <c r="J22">
        <f>LEN(TRIM(CLEAN(SUBSTITUTE(SUBSTITUTE(Table_17[[#This Row],[Sequence]],CHAR(160)," ")," ",""))))</f>
        <v/>
      </c>
      <c r="K22" s="12" t="n"/>
      <c r="L22" s="21" t="n"/>
      <c r="M22" s="21">
        <f>IF($B22="","FALSE","TRUE")</f>
        <v/>
      </c>
      <c r="N22">
        <f t="array" ref="N22">IsURL(Table_121215[[#This Row],[Data Source]])</f>
        <v/>
      </c>
      <c r="O22">
        <f t="array" ref="O22">IsURL(Table_121215[[#This Row],[DOI]])</f>
        <v/>
      </c>
      <c r="P22">
        <f t="array" ref="P22">IsURL(Table_121215[[#This Row],[Data Source]])</f>
        <v/>
      </c>
      <c r="Q22">
        <f t="array" ref="Q22">IsURL(Table_121215[[#This Row],[Data Source]])</f>
        <v/>
      </c>
    </row>
    <row r="23" ht="15.75" customHeight="1">
      <c r="A23">
        <f>IF(Table_17[[#This Row],[Part Name]]=0,"",Table_17[[#This Row],[Part Name]])</f>
        <v/>
      </c>
      <c r="E23" s="11" t="n"/>
      <c r="J23">
        <f>LEN(TRIM(CLEAN(SUBSTITUTE(SUBSTITUTE(Table_17[[#This Row],[Sequence]],CHAR(160)," ")," ",""))))</f>
        <v/>
      </c>
      <c r="K23" s="12" t="n"/>
      <c r="L23" s="21" t="n"/>
      <c r="M23" s="21">
        <f>IF($B23="","FALSE","TRUE")</f>
        <v/>
      </c>
      <c r="N23">
        <f t="array" ref="N23">IsURL(Table_121215[[#This Row],[Data Source]])</f>
        <v/>
      </c>
      <c r="O23">
        <f t="array" ref="O23">IsURL(Table_121215[[#This Row],[DOI]])</f>
        <v/>
      </c>
      <c r="P23">
        <f t="array" ref="P23">IsURL(Table_121215[[#This Row],[Data Source]])</f>
        <v/>
      </c>
      <c r="Q23">
        <f t="array" ref="Q23">IsURL(Table_121215[[#This Row],[Data Source]])</f>
        <v/>
      </c>
    </row>
    <row r="24" ht="15.75" customHeight="1">
      <c r="A24">
        <f>IF(Table_17[[#This Row],[Part Name]]=0,"",Table_17[[#This Row],[Part Name]])</f>
        <v/>
      </c>
      <c r="E24" s="11" t="n"/>
      <c r="J24">
        <f>LEN(TRIM(CLEAN(SUBSTITUTE(SUBSTITUTE(Table_17[[#This Row],[Sequence]],CHAR(160)," ")," ",""))))</f>
        <v/>
      </c>
      <c r="K24" s="12" t="n"/>
      <c r="L24" s="21" t="n"/>
      <c r="M24" s="21">
        <f>IF($B24="","FALSE","TRUE")</f>
        <v/>
      </c>
      <c r="N24">
        <f t="array" ref="N24">IsURL(Table_121215[[#This Row],[Data Source]])</f>
        <v/>
      </c>
      <c r="O24">
        <f t="array" ref="O24">IsURL(Table_121215[[#This Row],[DOI]])</f>
        <v/>
      </c>
      <c r="P24">
        <f t="array" ref="P24">IsURL(Table_121215[[#This Row],[Data Source]])</f>
        <v/>
      </c>
      <c r="Q24">
        <f t="array" ref="Q24">IsURL(Table_121215[[#This Row],[Data Source]])</f>
        <v/>
      </c>
    </row>
    <row r="25" ht="15.75" customHeight="1">
      <c r="A25">
        <f>IF(Table_17[[#This Row],[Part Name]]=0,"",Table_17[[#This Row],[Part Name]])</f>
        <v/>
      </c>
      <c r="E25" s="11" t="n"/>
      <c r="J25">
        <f>LEN(TRIM(CLEAN(SUBSTITUTE(SUBSTITUTE(Table_17[[#This Row],[Sequence]],CHAR(160)," ")," ",""))))</f>
        <v/>
      </c>
      <c r="K25" s="12" t="n"/>
      <c r="L25" s="21" t="n"/>
      <c r="M25" s="21">
        <f>IF($B25="","FALSE","TRUE")</f>
        <v/>
      </c>
      <c r="N25">
        <f t="array" ref="N25">IsURL(Table_121215[[#This Row],[Data Source]])</f>
        <v/>
      </c>
      <c r="O25">
        <f t="array" ref="O25">IsURL(Table_121215[[#This Row],[DOI]])</f>
        <v/>
      </c>
      <c r="P25">
        <f t="array" ref="P25">IsURL(Table_121215[[#This Row],[Data Source]])</f>
        <v/>
      </c>
      <c r="Q25">
        <f t="array" ref="Q25">IsURL(Table_121215[[#This Row],[Data Source]])</f>
        <v/>
      </c>
    </row>
    <row r="26" ht="15.75" customHeight="1">
      <c r="A26">
        <f>IF(Table_17[[#This Row],[Part Name]]=0,"",Table_17[[#This Row],[Part Name]])</f>
        <v/>
      </c>
      <c r="E26" s="11" t="n"/>
      <c r="J26">
        <f>LEN(TRIM(CLEAN(SUBSTITUTE(SUBSTITUTE(Table_17[[#This Row],[Sequence]],CHAR(160)," ")," ",""))))</f>
        <v/>
      </c>
      <c r="K26" s="12" t="n"/>
      <c r="L26" s="21" t="n"/>
      <c r="M26" s="21">
        <f>IF($B26="","FALSE","TRUE")</f>
        <v/>
      </c>
      <c r="N26">
        <f t="array" ref="N26">IsURL(Table_121215[[#This Row],[Data Source]])</f>
        <v/>
      </c>
      <c r="O26">
        <f t="array" ref="O26">IsURL(Table_121215[[#This Row],[DOI]])</f>
        <v/>
      </c>
      <c r="P26">
        <f t="array" ref="P26">IsURL(Table_121215[[#This Row],[Data Source]])</f>
        <v/>
      </c>
      <c r="Q26">
        <f t="array" ref="Q26">IsURL(Table_121215[[#This Row],[Data Source]])</f>
        <v/>
      </c>
    </row>
    <row r="27" ht="15.75" customHeight="1">
      <c r="A27">
        <f>IF(Table_17[[#This Row],[Part Name]]=0,"",Table_17[[#This Row],[Part Name]])</f>
        <v/>
      </c>
      <c r="E27" s="11" t="n"/>
      <c r="J27">
        <f>LEN(TRIM(CLEAN(SUBSTITUTE(SUBSTITUTE(Table_17[[#This Row],[Sequence]],CHAR(160)," ")," ",""))))</f>
        <v/>
      </c>
      <c r="K27" s="12" t="n"/>
      <c r="L27" s="21" t="n"/>
      <c r="M27" s="21">
        <f>IF($B27="","FALSE","TRUE")</f>
        <v/>
      </c>
      <c r="N27">
        <f t="array" ref="N27">IsURL(Table_121215[[#This Row],[Data Source]])</f>
        <v/>
      </c>
      <c r="O27">
        <f t="array" ref="O27">IsURL(Table_121215[[#This Row],[DOI]])</f>
        <v/>
      </c>
      <c r="P27">
        <f t="array" ref="P27">IsURL(Table_121215[[#This Row],[Data Source]])</f>
        <v/>
      </c>
      <c r="Q27">
        <f t="array" ref="Q27">IsURL(Table_121215[[#This Row],[Data Source]])</f>
        <v/>
      </c>
    </row>
    <row r="28" ht="15.75" customHeight="1">
      <c r="A28">
        <f>IF(Table_17[[#This Row],[Part Name]]=0,"",Table_17[[#This Row],[Part Name]])</f>
        <v/>
      </c>
      <c r="E28" s="11" t="n"/>
      <c r="J28">
        <f>LEN(TRIM(CLEAN(SUBSTITUTE(SUBSTITUTE(Table_17[[#This Row],[Sequence]],CHAR(160)," ")," ",""))))</f>
        <v/>
      </c>
      <c r="K28" s="12" t="n"/>
      <c r="L28" s="21" t="n"/>
      <c r="M28" s="21">
        <f>IF($B28="","FALSE","TRUE")</f>
        <v/>
      </c>
      <c r="N28">
        <f t="array" ref="N28">IsURL(Table_121215[[#This Row],[Data Source]])</f>
        <v/>
      </c>
      <c r="O28">
        <f t="array" ref="O28">IsURL(Table_121215[[#This Row],[DOI]])</f>
        <v/>
      </c>
      <c r="P28">
        <f t="array" ref="P28">IsURL(Table_121215[[#This Row],[Data Source]])</f>
        <v/>
      </c>
      <c r="Q28">
        <f t="array" ref="Q28">IsURL(Table_121215[[#This Row],[Data Source]])</f>
        <v/>
      </c>
    </row>
    <row r="29" ht="15.75" customHeight="1">
      <c r="A29">
        <f>IF(Table_17[[#This Row],[Part Name]]=0,"",Table_17[[#This Row],[Part Name]])</f>
        <v/>
      </c>
      <c r="E29" s="11" t="n"/>
      <c r="J29">
        <f>LEN(TRIM(CLEAN(SUBSTITUTE(SUBSTITUTE(Table_17[[#This Row],[Sequence]],CHAR(160)," ")," ",""))))</f>
        <v/>
      </c>
      <c r="K29" s="12" t="n"/>
      <c r="L29" s="21" t="n"/>
      <c r="M29" s="21">
        <f>IF($B29="","FALSE","TRUE")</f>
        <v/>
      </c>
      <c r="N29">
        <f t="array" ref="N29">IsURL(Table_121215[[#This Row],[Data Source]])</f>
        <v/>
      </c>
      <c r="O29">
        <f t="array" ref="O29">IsURL(Table_121215[[#This Row],[DOI]])</f>
        <v/>
      </c>
      <c r="P29">
        <f t="array" ref="P29">IsURL(Table_121215[[#This Row],[Data Source]])</f>
        <v/>
      </c>
      <c r="Q29">
        <f t="array" ref="Q29">IsURL(Table_121215[[#This Row],[Data Source]])</f>
        <v/>
      </c>
    </row>
    <row r="30" ht="15.75" customHeight="1">
      <c r="A30">
        <f>IF(Table_17[[#This Row],[Part Name]]=0,"",Table_17[[#This Row],[Part Name]])</f>
        <v/>
      </c>
      <c r="E30" s="11" t="n"/>
      <c r="J30">
        <f>LEN(TRIM(CLEAN(SUBSTITUTE(SUBSTITUTE(Table_17[[#This Row],[Sequence]],CHAR(160)," ")," ",""))))</f>
        <v/>
      </c>
      <c r="K30" s="12" t="n"/>
      <c r="L30" s="21" t="n"/>
      <c r="M30" s="21">
        <f>IF($B30="","FALSE","TRUE")</f>
        <v/>
      </c>
      <c r="N30">
        <f t="array" ref="N30">IsURL(Table_121215[[#This Row],[Data Source]])</f>
        <v/>
      </c>
      <c r="O30">
        <f t="array" ref="O30">IsURL(Table_121215[[#This Row],[DOI]])</f>
        <v/>
      </c>
      <c r="P30">
        <f t="array" ref="P30">IsURL(Table_121215[[#This Row],[Data Source]])</f>
        <v/>
      </c>
      <c r="Q30">
        <f t="array" ref="Q30">IsURL(Table_121215[[#This Row],[Data Source]])</f>
        <v/>
      </c>
    </row>
    <row r="31" ht="15.75" customHeight="1">
      <c r="A31">
        <f>IF(Table_17[[#This Row],[Part Name]]=0,"",Table_17[[#This Row],[Part Name]])</f>
        <v/>
      </c>
      <c r="E31" s="11" t="n"/>
      <c r="J31">
        <f>LEN(TRIM(CLEAN(SUBSTITUTE(SUBSTITUTE(Table_17[[#This Row],[Sequence]],CHAR(160)," ")," ",""))))</f>
        <v/>
      </c>
      <c r="K31" s="12" t="n"/>
      <c r="L31" s="21" t="n"/>
      <c r="M31" s="21">
        <f>IF($B31="","FALSE","TRUE")</f>
        <v/>
      </c>
      <c r="N31">
        <f t="array" ref="N31">IsURL(Table_121215[[#This Row],[Data Source]])</f>
        <v/>
      </c>
      <c r="O31">
        <f t="array" ref="O31">IsURL(Table_121215[[#This Row],[DOI]])</f>
        <v/>
      </c>
      <c r="P31">
        <f t="array" ref="P31">IsURL(Table_121215[[#This Row],[Data Source]])</f>
        <v/>
      </c>
      <c r="Q31">
        <f t="array" ref="Q31">IsURL(Table_121215[[#This Row],[Data Source]])</f>
        <v/>
      </c>
    </row>
    <row r="32" ht="15.75" customHeight="1">
      <c r="A32">
        <f>IF(Table_17[[#This Row],[Part Name]]=0,"",Table_17[[#This Row],[Part Name]])</f>
        <v/>
      </c>
      <c r="E32" s="11" t="n"/>
      <c r="J32">
        <f>LEN(TRIM(CLEAN(SUBSTITUTE(SUBSTITUTE(Table_17[[#This Row],[Sequence]],CHAR(160)," ")," ",""))))</f>
        <v/>
      </c>
      <c r="K32" s="12" t="n"/>
      <c r="L32" s="21" t="n"/>
      <c r="M32" s="21">
        <f>IF($B32="","FALSE","TRUE")</f>
        <v/>
      </c>
      <c r="N32">
        <f t="array" ref="N32">IsURL(Table_121215[[#This Row],[Data Source]])</f>
        <v/>
      </c>
      <c r="O32">
        <f t="array" ref="O32">IsURL(Table_121215[[#This Row],[DOI]])</f>
        <v/>
      </c>
      <c r="P32">
        <f t="array" ref="P32">IsURL(Table_121215[[#This Row],[Data Source]])</f>
        <v/>
      </c>
      <c r="Q32">
        <f t="array" ref="Q32">IsURL(Table_121215[[#This Row],[Data Source]])</f>
        <v/>
      </c>
    </row>
    <row r="33" ht="15.75" customHeight="1">
      <c r="A33">
        <f>IF(Table_17[[#This Row],[Part Name]]=0,"",Table_17[[#This Row],[Part Name]])</f>
        <v/>
      </c>
      <c r="E33" s="11" t="n"/>
      <c r="J33">
        <f>LEN(TRIM(CLEAN(SUBSTITUTE(SUBSTITUTE(Table_17[[#This Row],[Sequence]],CHAR(160)," ")," ",""))))</f>
        <v/>
      </c>
      <c r="K33" s="12" t="n"/>
      <c r="L33" s="21" t="n"/>
      <c r="M33" s="21">
        <f>IF($B33="","FALSE","TRUE")</f>
        <v/>
      </c>
      <c r="N33">
        <f t="array" ref="N33">IsURL(Table_121215[[#This Row],[Data Source]])</f>
        <v/>
      </c>
      <c r="O33">
        <f t="array" ref="O33">IsURL(Table_121215[[#This Row],[DOI]])</f>
        <v/>
      </c>
      <c r="P33">
        <f t="array" ref="P33">IsURL(Table_121215[[#This Row],[Data Source]])</f>
        <v/>
      </c>
      <c r="Q33">
        <f t="array" ref="Q33">IsURL(Table_121215[[#This Row],[Data Source]])</f>
        <v/>
      </c>
    </row>
    <row r="34" ht="15.75" customHeight="1">
      <c r="A34">
        <f>IF(Table_17[[#This Row],[Part Name]]=0,"",Table_17[[#This Row],[Part Name]])</f>
        <v/>
      </c>
      <c r="E34" s="11" t="n"/>
      <c r="J34">
        <f>LEN(TRIM(CLEAN(SUBSTITUTE(SUBSTITUTE(Table_17[[#This Row],[Sequence]],CHAR(160)," ")," ",""))))</f>
        <v/>
      </c>
      <c r="K34" s="12" t="n"/>
      <c r="L34" s="21" t="n"/>
      <c r="M34" s="21">
        <f>IF($B34="","FALSE","TRUE")</f>
        <v/>
      </c>
      <c r="N34">
        <f t="array" ref="N34">IsURL(Table_121215[[#This Row],[Data Source]])</f>
        <v/>
      </c>
      <c r="O34">
        <f t="array" ref="O34">IsURL(Table_121215[[#This Row],[DOI]])</f>
        <v/>
      </c>
      <c r="P34">
        <f t="array" ref="P34">IsURL(Table_121215[[#This Row],[Data Source]])</f>
        <v/>
      </c>
      <c r="Q34">
        <f t="array" ref="Q34">IsURL(Table_121215[[#This Row],[Data Source]])</f>
        <v/>
      </c>
    </row>
    <row r="35" ht="15.75" customHeight="1">
      <c r="A35">
        <f>IF(Table_17[[#This Row],[Part Name]]=0,"",Table_17[[#This Row],[Part Name]])</f>
        <v/>
      </c>
      <c r="E35" s="11" t="n"/>
      <c r="J35">
        <f>LEN(TRIM(CLEAN(SUBSTITUTE(SUBSTITUTE(Table_17[[#This Row],[Sequence]],CHAR(160)," ")," ",""))))</f>
        <v/>
      </c>
      <c r="K35" s="12" t="n"/>
      <c r="L35" s="21" t="n"/>
      <c r="M35" s="21">
        <f>IF($B35="","FALSE","TRUE")</f>
        <v/>
      </c>
      <c r="N35">
        <f t="array" ref="N35">IsURL(Table_121215[[#This Row],[Data Source]])</f>
        <v/>
      </c>
      <c r="O35">
        <f t="array" ref="O35">IsURL(Table_121215[[#This Row],[DOI]])</f>
        <v/>
      </c>
      <c r="P35">
        <f t="array" ref="P35">IsURL(Table_121215[[#This Row],[Data Source]])</f>
        <v/>
      </c>
      <c r="Q35">
        <f t="array" ref="Q35">IsURL(Table_121215[[#This Row],[Data Source]])</f>
        <v/>
      </c>
    </row>
    <row r="36" ht="15.75" customHeight="1">
      <c r="A36">
        <f>IF(Table_17[[#This Row],[Part Name]]=0,"",Table_17[[#This Row],[Part Name]])</f>
        <v/>
      </c>
      <c r="E36" s="11" t="n"/>
      <c r="J36">
        <f>LEN(TRIM(CLEAN(SUBSTITUTE(SUBSTITUTE(Table_17[[#This Row],[Sequence]],CHAR(160)," ")," ",""))))</f>
        <v/>
      </c>
      <c r="K36" s="12" t="n"/>
      <c r="L36" s="21" t="n"/>
      <c r="M36" s="21">
        <f>IF($B36="","FALSE","TRUE")</f>
        <v/>
      </c>
      <c r="N36">
        <f t="array" ref="N36">IsURL(Table_121215[[#This Row],[Data Source]])</f>
        <v/>
      </c>
      <c r="O36">
        <f t="array" ref="O36">IsURL(Table_121215[[#This Row],[DOI]])</f>
        <v/>
      </c>
      <c r="P36">
        <f t="array" ref="P36">IsURL(Table_121215[[#This Row],[Data Source]])</f>
        <v/>
      </c>
      <c r="Q36">
        <f t="array" ref="Q36">IsURL(Table_121215[[#This Row],[Data Source]])</f>
        <v/>
      </c>
    </row>
    <row r="37" ht="15.75" customHeight="1">
      <c r="A37">
        <f>IF(Table_17[[#This Row],[Part Name]]=0,"",Table_17[[#This Row],[Part Name]])</f>
        <v/>
      </c>
      <c r="E37" s="11" t="n"/>
      <c r="J37">
        <f>LEN(TRIM(CLEAN(SUBSTITUTE(SUBSTITUTE(Table_17[[#This Row],[Sequence]],CHAR(160)," ")," ",""))))</f>
        <v/>
      </c>
      <c r="K37" s="12" t="n"/>
      <c r="L37" s="21" t="n"/>
      <c r="M37" s="21">
        <f>IF($B37="","FALSE","TRUE")</f>
        <v/>
      </c>
      <c r="N37">
        <f t="array" ref="N37">IsURL(Table_121215[[#This Row],[Data Source]])</f>
        <v/>
      </c>
      <c r="O37">
        <f t="array" ref="O37">IsURL(Table_121215[[#This Row],[DOI]])</f>
        <v/>
      </c>
      <c r="P37">
        <f t="array" ref="P37">IsURL(Table_121215[[#This Row],[Data Source]])</f>
        <v/>
      </c>
      <c r="Q37">
        <f t="array" ref="Q37">IsURL(Table_121215[[#This Row],[Data Source]])</f>
        <v/>
      </c>
    </row>
    <row r="38" ht="15.75" customHeight="1">
      <c r="A38">
        <f>IF(Table_17[[#This Row],[Part Name]]=0,"",Table_17[[#This Row],[Part Name]])</f>
        <v/>
      </c>
      <c r="E38" s="11" t="n"/>
      <c r="J38">
        <f>LEN(TRIM(CLEAN(SUBSTITUTE(SUBSTITUTE(Table_17[[#This Row],[Sequence]],CHAR(160)," ")," ",""))))</f>
        <v/>
      </c>
      <c r="K38" s="12" t="n"/>
      <c r="L38" s="21" t="n"/>
      <c r="M38" s="21">
        <f>IF($B38="","FALSE","TRUE")</f>
        <v/>
      </c>
      <c r="N38">
        <f t="array" ref="N38">IsURL(Table_121215[[#This Row],[Data Source]])</f>
        <v/>
      </c>
      <c r="O38">
        <f t="array" ref="O38">IsURL(Table_121215[[#This Row],[DOI]])</f>
        <v/>
      </c>
      <c r="P38">
        <f t="array" ref="P38">IsURL(Table_121215[[#This Row],[Data Source]])</f>
        <v/>
      </c>
      <c r="Q38">
        <f t="array" ref="Q38">IsURL(Table_121215[[#This Row],[Data Source]])</f>
        <v/>
      </c>
    </row>
    <row r="39" ht="15.75" customHeight="1">
      <c r="A39">
        <f>IF(Table_17[[#This Row],[Part Name]]=0,"",Table_17[[#This Row],[Part Name]])</f>
        <v/>
      </c>
      <c r="E39" s="11" t="n"/>
      <c r="J39">
        <f>LEN(TRIM(CLEAN(SUBSTITUTE(SUBSTITUTE(Table_17[[#This Row],[Sequence]],CHAR(160)," ")," ",""))))</f>
        <v/>
      </c>
      <c r="K39" s="12" t="n"/>
      <c r="L39" s="21" t="n"/>
      <c r="M39" s="21">
        <f>IF($B39="","FALSE","TRUE")</f>
        <v/>
      </c>
      <c r="N39">
        <f t="array" ref="N39">IsURL(Table_121215[[#This Row],[Data Source]])</f>
        <v/>
      </c>
      <c r="O39">
        <f t="array" ref="O39">IsURL(Table_121215[[#This Row],[DOI]])</f>
        <v/>
      </c>
      <c r="P39">
        <f t="array" ref="P39">IsURL(Table_121215[[#This Row],[Data Source]])</f>
        <v/>
      </c>
      <c r="Q39">
        <f t="array" ref="Q39">IsURL(Table_121215[[#This Row],[Data Source]])</f>
        <v/>
      </c>
    </row>
    <row r="40" ht="15.75" customHeight="1">
      <c r="A40">
        <f>IF(Table_17[[#This Row],[Part Name]]=0,"",Table_17[[#This Row],[Part Name]])</f>
        <v/>
      </c>
      <c r="E40" s="11" t="n"/>
      <c r="J40">
        <f>LEN(TRIM(CLEAN(SUBSTITUTE(SUBSTITUTE(Table_17[[#This Row],[Sequence]],CHAR(160)," ")," ",""))))</f>
        <v/>
      </c>
      <c r="K40" s="12" t="n"/>
      <c r="L40" s="21" t="n"/>
      <c r="M40" s="21">
        <f>IF($B40="","FALSE","TRUE")</f>
        <v/>
      </c>
      <c r="N40">
        <f t="array" ref="N40">IsURL(Table_121215[[#This Row],[Data Source]])</f>
        <v/>
      </c>
      <c r="O40">
        <f t="array" ref="O40">IsURL(Table_121215[[#This Row],[DOI]])</f>
        <v/>
      </c>
      <c r="P40">
        <f t="array" ref="P40">IsURL(Table_121215[[#This Row],[Data Source]])</f>
        <v/>
      </c>
      <c r="Q40">
        <f t="array" ref="Q40">IsURL(Table_121215[[#This Row],[Data Source]])</f>
        <v/>
      </c>
    </row>
    <row r="41" ht="15.75" customHeight="1">
      <c r="A41">
        <f>IF(Table_17[[#This Row],[Part Name]]=0,"",Table_17[[#This Row],[Part Name]])</f>
        <v/>
      </c>
      <c r="E41" s="11" t="n"/>
      <c r="J41">
        <f>LEN(TRIM(CLEAN(SUBSTITUTE(SUBSTITUTE(Table_17[[#This Row],[Sequence]],CHAR(160)," ")," ",""))))</f>
        <v/>
      </c>
      <c r="K41" s="12" t="n"/>
      <c r="L41" s="21" t="n"/>
      <c r="M41" s="21">
        <f>IF($B41="","FALSE","TRUE")</f>
        <v/>
      </c>
      <c r="N41">
        <f t="array" ref="N41">IsURL(Table_121215[[#This Row],[Data Source]])</f>
        <v/>
      </c>
      <c r="O41">
        <f t="array" ref="O41">IsURL(Table_121215[[#This Row],[DOI]])</f>
        <v/>
      </c>
      <c r="P41">
        <f t="array" ref="P41">IsURL(Table_121215[[#This Row],[Data Source]])</f>
        <v/>
      </c>
      <c r="Q41">
        <f t="array" ref="Q41">IsURL(Table_121215[[#This Row],[Data Source]])</f>
        <v/>
      </c>
    </row>
    <row r="42" ht="15.75" customHeight="1">
      <c r="A42">
        <f>IF(Table_17[[#This Row],[Part Name]]=0,"",Table_17[[#This Row],[Part Name]])</f>
        <v/>
      </c>
      <c r="E42" s="11" t="n"/>
      <c r="J42">
        <f>LEN(TRIM(CLEAN(SUBSTITUTE(SUBSTITUTE(Table_17[[#This Row],[Sequence]],CHAR(160)," ")," ",""))))</f>
        <v/>
      </c>
      <c r="K42" s="12" t="n"/>
      <c r="L42" s="21" t="n"/>
      <c r="M42" s="21">
        <f>IF($B42="","FALSE","TRUE")</f>
        <v/>
      </c>
      <c r="N42">
        <f t="array" ref="N42">IsURL(Table_121215[[#This Row],[Data Source]])</f>
        <v/>
      </c>
      <c r="O42">
        <f t="array" ref="O42">IsURL(Table_121215[[#This Row],[DOI]])</f>
        <v/>
      </c>
      <c r="P42">
        <f t="array" ref="P42">IsURL(Table_121215[[#This Row],[Data Source]])</f>
        <v/>
      </c>
      <c r="Q42">
        <f t="array" ref="Q42">IsURL(Table_121215[[#This Row],[Data Source]])</f>
        <v/>
      </c>
    </row>
    <row r="43" ht="15.75" customHeight="1">
      <c r="A43">
        <f>IF(Table_17[[#This Row],[Part Name]]=0,"",Table_17[[#This Row],[Part Name]])</f>
        <v/>
      </c>
      <c r="E43" s="11" t="n"/>
      <c r="J43">
        <f>LEN(TRIM(CLEAN(SUBSTITUTE(SUBSTITUTE(Table_17[[#This Row],[Sequence]],CHAR(160)," ")," ",""))))</f>
        <v/>
      </c>
      <c r="K43" s="12" t="n"/>
      <c r="L43" s="21" t="n"/>
      <c r="M43" s="21">
        <f>IF($B43="","FALSE","TRUE")</f>
        <v/>
      </c>
      <c r="N43">
        <f t="array" ref="N43">IsURL(Table_121215[[#This Row],[Data Source]])</f>
        <v/>
      </c>
      <c r="O43">
        <f t="array" ref="O43">IsURL(Table_121215[[#This Row],[DOI]])</f>
        <v/>
      </c>
      <c r="P43">
        <f t="array" ref="P43">IsURL(Table_121215[[#This Row],[Data Source]])</f>
        <v/>
      </c>
      <c r="Q43">
        <f t="array" ref="Q43">IsURL(Table_121215[[#This Row],[Data Source]])</f>
        <v/>
      </c>
    </row>
    <row r="44" ht="15.75" customHeight="1">
      <c r="A44">
        <f>IF(Table_17[[#This Row],[Part Name]]=0,"",Table_17[[#This Row],[Part Name]])</f>
        <v/>
      </c>
      <c r="E44" s="11" t="n"/>
      <c r="J44">
        <f>LEN(TRIM(CLEAN(SUBSTITUTE(SUBSTITUTE(Table_17[[#This Row],[Sequence]],CHAR(160)," ")," ",""))))</f>
        <v/>
      </c>
      <c r="K44" s="12" t="n"/>
      <c r="L44" s="21" t="n"/>
      <c r="M44" s="21">
        <f>IF($B44="","FALSE","TRUE")</f>
        <v/>
      </c>
      <c r="N44">
        <f t="array" ref="N44">IsURL(Table_121215[[#This Row],[Data Source]])</f>
        <v/>
      </c>
      <c r="O44">
        <f t="array" ref="O44">IsURL(Table_121215[[#This Row],[DOI]])</f>
        <v/>
      </c>
      <c r="P44">
        <f t="array" ref="P44">IsURL(Table_121215[[#This Row],[Data Source]])</f>
        <v/>
      </c>
      <c r="Q44">
        <f t="array" ref="Q44">IsURL(Table_121215[[#This Row],[Data Source]])</f>
        <v/>
      </c>
    </row>
    <row r="45" ht="15.75" customHeight="1">
      <c r="A45">
        <f>IF(Table_17[[#This Row],[Part Name]]=0,"",Table_17[[#This Row],[Part Name]])</f>
        <v/>
      </c>
      <c r="E45" s="11" t="n"/>
      <c r="J45">
        <f>LEN(TRIM(CLEAN(SUBSTITUTE(SUBSTITUTE(Table_17[[#This Row],[Sequence]],CHAR(160)," ")," ",""))))</f>
        <v/>
      </c>
      <c r="K45" s="12" t="n"/>
      <c r="L45" s="21" t="n"/>
      <c r="M45" s="21">
        <f>IF($B45="","FALSE","TRUE")</f>
        <v/>
      </c>
      <c r="N45">
        <f t="array" ref="N45">IsURL(Table_121215[[#This Row],[Data Source]])</f>
        <v/>
      </c>
      <c r="O45">
        <f t="array" ref="O45">IsURL(Table_121215[[#This Row],[DOI]])</f>
        <v/>
      </c>
      <c r="P45">
        <f t="array" ref="P45">IsURL(Table_121215[[#This Row],[Data Source]])</f>
        <v/>
      </c>
      <c r="Q45">
        <f t="array" ref="Q45">IsURL(Table_121215[[#This Row],[Data Source]])</f>
        <v/>
      </c>
    </row>
    <row r="46" ht="15.75" customHeight="1">
      <c r="A46">
        <f>IF(Table_17[[#This Row],[Part Name]]=0,"",Table_17[[#This Row],[Part Name]])</f>
        <v/>
      </c>
      <c r="E46" s="11" t="n"/>
      <c r="J46">
        <f>LEN(TRIM(CLEAN(SUBSTITUTE(SUBSTITUTE(Table_17[[#This Row],[Sequence]],CHAR(160)," ")," ",""))))</f>
        <v/>
      </c>
      <c r="K46" s="12" t="n"/>
      <c r="L46" s="21" t="n"/>
      <c r="M46" s="21">
        <f>IF($B46="","FALSE","TRUE")</f>
        <v/>
      </c>
      <c r="N46">
        <f t="array" ref="N46">IsURL(Table_121215[[#This Row],[Data Source]])</f>
        <v/>
      </c>
      <c r="O46">
        <f t="array" ref="O46">IsURL(Table_121215[[#This Row],[DOI]])</f>
        <v/>
      </c>
      <c r="P46">
        <f t="array" ref="P46">IsURL(Table_121215[[#This Row],[Data Source]])</f>
        <v/>
      </c>
      <c r="Q46">
        <f t="array" ref="Q46">IsURL(Table_121215[[#This Row],[Data Source]])</f>
        <v/>
      </c>
    </row>
    <row r="47" ht="15.75" customHeight="1">
      <c r="A47">
        <f>IF(Table_17[[#This Row],[Part Name]]=0,"",Table_17[[#This Row],[Part Name]])</f>
        <v/>
      </c>
      <c r="E47" s="11" t="n"/>
      <c r="J47">
        <f>LEN(TRIM(CLEAN(SUBSTITUTE(SUBSTITUTE(Table_17[[#This Row],[Sequence]],CHAR(160)," ")," ",""))))</f>
        <v/>
      </c>
      <c r="K47" s="12" t="n"/>
      <c r="L47" s="21" t="n"/>
      <c r="M47" s="21">
        <f>IF($B47="","FALSE","TRUE")</f>
        <v/>
      </c>
      <c r="N47">
        <f t="array" ref="N47">IsURL(Table_121215[[#This Row],[Data Source]])</f>
        <v/>
      </c>
      <c r="O47">
        <f t="array" ref="O47">IsURL(Table_121215[[#This Row],[DOI]])</f>
        <v/>
      </c>
      <c r="P47">
        <f t="array" ref="P47">IsURL(Table_121215[[#This Row],[Data Source]])</f>
        <v/>
      </c>
      <c r="Q47">
        <f t="array" ref="Q47">IsURL(Table_121215[[#This Row],[Data Source]])</f>
        <v/>
      </c>
    </row>
    <row r="48" ht="15.75" customHeight="1">
      <c r="A48">
        <f>IF(Table_17[[#This Row],[Part Name]]=0,"",Table_17[[#This Row],[Part Name]])</f>
        <v/>
      </c>
      <c r="E48" s="11" t="n"/>
      <c r="J48">
        <f>LEN(TRIM(CLEAN(SUBSTITUTE(SUBSTITUTE(Table_17[[#This Row],[Sequence]],CHAR(160)," ")," ",""))))</f>
        <v/>
      </c>
      <c r="K48" s="12" t="n"/>
      <c r="L48" s="21" t="n"/>
      <c r="M48" s="21">
        <f>IF($B48="","FALSE","TRUE")</f>
        <v/>
      </c>
      <c r="N48">
        <f t="array" ref="N48">IsURL(Table_121215[[#This Row],[Data Source]])</f>
        <v/>
      </c>
      <c r="O48">
        <f t="array" ref="O48">IsURL(Table_121215[[#This Row],[DOI]])</f>
        <v/>
      </c>
      <c r="P48">
        <f t="array" ref="P48">IsURL(Table_121215[[#This Row],[Data Source]])</f>
        <v/>
      </c>
      <c r="Q48">
        <f t="array" ref="Q48">IsURL(Table_121215[[#This Row],[Data Source]])</f>
        <v/>
      </c>
    </row>
    <row r="49" ht="15.75" customHeight="1">
      <c r="A49">
        <f>IF(Table_17[[#This Row],[Part Name]]=0,"",Table_17[[#This Row],[Part Name]])</f>
        <v/>
      </c>
      <c r="E49" s="11" t="n"/>
      <c r="J49">
        <f>LEN(TRIM(CLEAN(SUBSTITUTE(SUBSTITUTE(Table_17[[#This Row],[Sequence]],CHAR(160)," ")," ",""))))</f>
        <v/>
      </c>
      <c r="K49" s="12" t="n"/>
      <c r="L49" s="21" t="n"/>
      <c r="M49" s="21">
        <f>IF($B49="","FALSE","TRUE")</f>
        <v/>
      </c>
      <c r="N49">
        <f t="array" ref="N49">IsURL(Table_121215[[#This Row],[Data Source]])</f>
        <v/>
      </c>
      <c r="O49">
        <f t="array" ref="O49">IsURL(Table_121215[[#This Row],[DOI]])</f>
        <v/>
      </c>
      <c r="P49">
        <f t="array" ref="P49">IsURL(Table_121215[[#This Row],[Data Source]])</f>
        <v/>
      </c>
      <c r="Q49">
        <f t="array" ref="Q49">IsURL(Table_121215[[#This Row],[Data Source]])</f>
        <v/>
      </c>
    </row>
    <row r="50" ht="15.75" customHeight="1">
      <c r="A50">
        <f>IF(Table_17[[#This Row],[Part Name]]=0,"",Table_17[[#This Row],[Part Name]])</f>
        <v/>
      </c>
      <c r="E50" s="11" t="n"/>
      <c r="J50">
        <f>LEN(TRIM(CLEAN(SUBSTITUTE(SUBSTITUTE(Table_17[[#This Row],[Sequence]],CHAR(160)," ")," ",""))))</f>
        <v/>
      </c>
      <c r="K50" s="12" t="n"/>
      <c r="L50" s="21" t="n"/>
      <c r="M50" s="21">
        <f>IF($B50="","FALSE","TRUE")</f>
        <v/>
      </c>
      <c r="N50">
        <f t="array" ref="N50">IsURL(Table_121215[[#This Row],[Data Source]])</f>
        <v/>
      </c>
      <c r="O50">
        <f t="array" ref="O50">IsURL(Table_121215[[#This Row],[DOI]])</f>
        <v/>
      </c>
      <c r="P50">
        <f t="array" ref="P50">IsURL(Table_121215[[#This Row],[Data Source]])</f>
        <v/>
      </c>
      <c r="Q50">
        <f t="array" ref="Q50">IsURL(Table_121215[[#This Row],[Data Source]])</f>
        <v/>
      </c>
    </row>
    <row r="51" ht="15.75" customHeight="1">
      <c r="A51">
        <f>IF(Table_17[[#This Row],[Part Name]]=0,"",Table_17[[#This Row],[Part Name]])</f>
        <v/>
      </c>
      <c r="E51" s="11" t="n"/>
      <c r="J51">
        <f>LEN(TRIM(CLEAN(SUBSTITUTE(SUBSTITUTE(Table_17[[#This Row],[Sequence]],CHAR(160)," ")," ",""))))</f>
        <v/>
      </c>
      <c r="K51" s="12" t="n"/>
      <c r="L51" s="21" t="n"/>
      <c r="M51" s="21">
        <f>IF($B51="","FALSE","TRUE")</f>
        <v/>
      </c>
      <c r="N51">
        <f t="array" ref="N51">IsURL(Table_121215[[#This Row],[Data Source]])</f>
        <v/>
      </c>
      <c r="O51">
        <f t="array" ref="O51">IsURL(Table_121215[[#This Row],[DOI]])</f>
        <v/>
      </c>
      <c r="P51">
        <f t="array" ref="P51">IsURL(Table_121215[[#This Row],[Data Source]])</f>
        <v/>
      </c>
      <c r="Q51">
        <f t="array" ref="Q51">IsURL(Table_121215[[#This Row],[Data Source]])</f>
        <v/>
      </c>
    </row>
    <row r="52" ht="15.75" customHeight="1">
      <c r="A52">
        <f>IF(Table_17[[#This Row],[Part Name]]=0,"",Table_17[[#This Row],[Part Name]])</f>
        <v/>
      </c>
      <c r="E52" s="11" t="n"/>
      <c r="J52">
        <f>LEN(TRIM(CLEAN(SUBSTITUTE(SUBSTITUTE(Table_17[[#This Row],[Sequence]],CHAR(160)," ")," ",""))))</f>
        <v/>
      </c>
      <c r="K52" s="12" t="n"/>
      <c r="L52" s="21" t="n"/>
      <c r="M52" s="21">
        <f>IF($B52="","FALSE","TRUE")</f>
        <v/>
      </c>
      <c r="N52">
        <f t="array" ref="N52">IsURL(Table_121215[[#This Row],[Data Source]])</f>
        <v/>
      </c>
      <c r="O52">
        <f t="array" ref="O52">IsURL(Table_121215[[#This Row],[DOI]])</f>
        <v/>
      </c>
      <c r="P52">
        <f t="array" ref="P52">IsURL(Table_121215[[#This Row],[Data Source]])</f>
        <v/>
      </c>
      <c r="Q52">
        <f t="array" ref="Q52">IsURL(Table_121215[[#This Row],[Data Source]])</f>
        <v/>
      </c>
    </row>
    <row r="53" ht="15.75" customHeight="1">
      <c r="A53">
        <f>IF(Table_17[[#This Row],[Part Name]]=0,"",Table_17[[#This Row],[Part Name]])</f>
        <v/>
      </c>
      <c r="E53" s="11" t="n"/>
      <c r="J53">
        <f>LEN(TRIM(CLEAN(SUBSTITUTE(SUBSTITUTE(Table_17[[#This Row],[Sequence]],CHAR(160)," ")," ",""))))</f>
        <v/>
      </c>
      <c r="K53" s="12" t="n"/>
      <c r="L53" s="21" t="n"/>
      <c r="M53" s="21">
        <f>IF($B53="","FALSE","TRUE")</f>
        <v/>
      </c>
      <c r="N53">
        <f t="array" ref="N53">IsURL(Table_121215[[#This Row],[Data Source]])</f>
        <v/>
      </c>
      <c r="O53">
        <f t="array" ref="O53">IsURL(Table_121215[[#This Row],[DOI]])</f>
        <v/>
      </c>
      <c r="P53">
        <f t="array" ref="P53">IsURL(Table_121215[[#This Row],[Data Source]])</f>
        <v/>
      </c>
      <c r="Q53">
        <f t="array" ref="Q53">IsURL(Table_121215[[#This Row],[Data Source]])</f>
        <v/>
      </c>
    </row>
    <row r="54" ht="15.75" customHeight="1">
      <c r="A54">
        <f>IF(Table_17[[#This Row],[Part Name]]=0,"",Table_17[[#This Row],[Part Name]])</f>
        <v/>
      </c>
      <c r="E54" s="11" t="n"/>
      <c r="J54">
        <f>LEN(TRIM(CLEAN(SUBSTITUTE(SUBSTITUTE(Table_17[[#This Row],[Sequence]],CHAR(160)," ")," ",""))))</f>
        <v/>
      </c>
      <c r="K54" s="12" t="n"/>
      <c r="L54" s="21" t="n"/>
      <c r="M54" s="21">
        <f>IF($B54="","FALSE","TRUE")</f>
        <v/>
      </c>
      <c r="N54">
        <f t="array" ref="N54">IsURL(Table_121215[[#This Row],[Data Source]])</f>
        <v/>
      </c>
      <c r="O54">
        <f t="array" ref="O54">IsURL(Table_121215[[#This Row],[DOI]])</f>
        <v/>
      </c>
      <c r="P54">
        <f t="array" ref="P54">IsURL(Table_121215[[#This Row],[Data Source]])</f>
        <v/>
      </c>
      <c r="Q54">
        <f t="array" ref="Q54">IsURL(Table_121215[[#This Row],[Data Source]])</f>
        <v/>
      </c>
    </row>
    <row r="55" ht="15.75" customHeight="1">
      <c r="A55">
        <f>IF(Table_17[[#This Row],[Part Name]]=0,"",Table_17[[#This Row],[Part Name]])</f>
        <v/>
      </c>
      <c r="E55" s="11" t="n"/>
      <c r="J55">
        <f>LEN(TRIM(CLEAN(SUBSTITUTE(SUBSTITUTE(Table_17[[#This Row],[Sequence]],CHAR(160)," ")," ",""))))</f>
        <v/>
      </c>
      <c r="K55" s="12" t="n"/>
      <c r="L55" s="21" t="n"/>
      <c r="M55" s="21">
        <f>IF($B55="","FALSE","TRUE")</f>
        <v/>
      </c>
      <c r="N55">
        <f t="array" ref="N55">IsURL(Table_121215[[#This Row],[Data Source]])</f>
        <v/>
      </c>
      <c r="O55">
        <f t="array" ref="O55">IsURL(Table_121215[[#This Row],[DOI]])</f>
        <v/>
      </c>
      <c r="P55">
        <f t="array" ref="P55">IsURL(Table_121215[[#This Row],[Data Source]])</f>
        <v/>
      </c>
      <c r="Q55">
        <f t="array" ref="Q55">IsURL(Table_121215[[#This Row],[Data Source]])</f>
        <v/>
      </c>
    </row>
    <row r="56" ht="15.75" customHeight="1">
      <c r="A56">
        <f>IF(Table_17[[#This Row],[Part Name]]=0,"",Table_17[[#This Row],[Part Name]])</f>
        <v/>
      </c>
      <c r="E56" s="11" t="n"/>
      <c r="J56">
        <f>LEN(TRIM(CLEAN(SUBSTITUTE(SUBSTITUTE(Table_17[[#This Row],[Sequence]],CHAR(160)," ")," ",""))))</f>
        <v/>
      </c>
      <c r="K56" s="12" t="n"/>
      <c r="L56" s="21" t="n"/>
      <c r="M56" s="21">
        <f>IF($B56="","FALSE","TRUE")</f>
        <v/>
      </c>
      <c r="N56">
        <f t="array" ref="N56">IsURL(Table_121215[[#This Row],[Data Source]])</f>
        <v/>
      </c>
      <c r="O56">
        <f t="array" ref="O56">IsURL(Table_121215[[#This Row],[DOI]])</f>
        <v/>
      </c>
      <c r="P56">
        <f t="array" ref="P56">IsURL(Table_121215[[#This Row],[Data Source]])</f>
        <v/>
      </c>
      <c r="Q56">
        <f t="array" ref="Q56">IsURL(Table_121215[[#This Row],[Data Source]])</f>
        <v/>
      </c>
    </row>
    <row r="57" ht="15.75" customHeight="1">
      <c r="A57">
        <f>IF(Table_17[[#This Row],[Part Name]]=0,"",Table_17[[#This Row],[Part Name]])</f>
        <v/>
      </c>
      <c r="E57" s="11" t="n"/>
      <c r="J57">
        <f>LEN(TRIM(CLEAN(SUBSTITUTE(SUBSTITUTE(Table_17[[#This Row],[Sequence]],CHAR(160)," ")," ",""))))</f>
        <v/>
      </c>
      <c r="K57" s="12" t="n"/>
      <c r="L57" s="21" t="n"/>
      <c r="M57" s="21">
        <f>IF($B57="","FALSE","TRUE")</f>
        <v/>
      </c>
      <c r="N57">
        <f t="array" ref="N57">IsURL(Table_121215[[#This Row],[Data Source]])</f>
        <v/>
      </c>
      <c r="O57">
        <f t="array" ref="O57">IsURL(Table_121215[[#This Row],[DOI]])</f>
        <v/>
      </c>
      <c r="P57">
        <f t="array" ref="P57">IsURL(Table_121215[[#This Row],[Data Source]])</f>
        <v/>
      </c>
      <c r="Q57">
        <f t="array" ref="Q57">IsURL(Table_121215[[#This Row],[Data Source]])</f>
        <v/>
      </c>
    </row>
    <row r="58" ht="15.75" customHeight="1">
      <c r="A58">
        <f>IF(Table_17[[#This Row],[Part Name]]=0,"",Table_17[[#This Row],[Part Name]])</f>
        <v/>
      </c>
      <c r="E58" s="11" t="n"/>
      <c r="J58">
        <f>LEN(TRIM(CLEAN(SUBSTITUTE(SUBSTITUTE(Table_17[[#This Row],[Sequence]],CHAR(160)," ")," ",""))))</f>
        <v/>
      </c>
      <c r="K58" s="12" t="n"/>
      <c r="L58" s="21" t="n"/>
      <c r="M58" s="21">
        <f>IF($B58="","FALSE","TRUE")</f>
        <v/>
      </c>
      <c r="N58">
        <f t="array" ref="N58">IsURL(Table_121215[[#This Row],[Data Source]])</f>
        <v/>
      </c>
      <c r="O58">
        <f t="array" ref="O58">IsURL(Table_121215[[#This Row],[DOI]])</f>
        <v/>
      </c>
      <c r="P58">
        <f t="array" ref="P58">IsURL(Table_121215[[#This Row],[Data Source]])</f>
        <v/>
      </c>
      <c r="Q58">
        <f t="array" ref="Q58">IsURL(Table_121215[[#This Row],[Data Source]])</f>
        <v/>
      </c>
    </row>
    <row r="59" ht="15.75" customHeight="1">
      <c r="A59">
        <f>IF(Table_17[[#This Row],[Part Name]]=0,"",Table_17[[#This Row],[Part Name]])</f>
        <v/>
      </c>
      <c r="E59" s="11" t="n"/>
      <c r="J59">
        <f>LEN(TRIM(CLEAN(SUBSTITUTE(SUBSTITUTE(Table_17[[#This Row],[Sequence]],CHAR(160)," ")," ",""))))</f>
        <v/>
      </c>
      <c r="K59" s="12" t="n"/>
      <c r="L59" s="21" t="n"/>
      <c r="M59" s="21">
        <f>IF($B59="","FALSE","TRUE")</f>
        <v/>
      </c>
      <c r="N59">
        <f t="array" ref="N59">IsURL(Table_121215[[#This Row],[Data Source]])</f>
        <v/>
      </c>
      <c r="O59">
        <f t="array" ref="O59">IsURL(Table_121215[[#This Row],[DOI]])</f>
        <v/>
      </c>
      <c r="P59">
        <f t="array" ref="P59">IsURL(Table_121215[[#This Row],[Data Source]])</f>
        <v/>
      </c>
      <c r="Q59">
        <f t="array" ref="Q59">IsURL(Table_121215[[#This Row],[Data Source]])</f>
        <v/>
      </c>
    </row>
    <row r="60" ht="15.75" customHeight="1">
      <c r="A60">
        <f>IF(Table_17[[#This Row],[Part Name]]=0,"",Table_17[[#This Row],[Part Name]])</f>
        <v/>
      </c>
      <c r="E60" s="11" t="n"/>
      <c r="J60">
        <f>LEN(TRIM(CLEAN(SUBSTITUTE(SUBSTITUTE(Table_17[[#This Row],[Sequence]],CHAR(160)," ")," ",""))))</f>
        <v/>
      </c>
      <c r="K60" s="12" t="n"/>
      <c r="L60" s="21" t="n"/>
      <c r="M60" s="21">
        <f>IF($B60="","FALSE","TRUE")</f>
        <v/>
      </c>
      <c r="N60">
        <f t="array" ref="N60">IsURL(Table_121215[[#This Row],[Data Source]])</f>
        <v/>
      </c>
      <c r="O60">
        <f t="array" ref="O60">IsURL(Table_121215[[#This Row],[DOI]])</f>
        <v/>
      </c>
      <c r="P60">
        <f t="array" ref="P60">IsURL(Table_121215[[#This Row],[Data Source]])</f>
        <v/>
      </c>
      <c r="Q60">
        <f t="array" ref="Q60">IsURL(Table_121215[[#This Row],[Data Source]])</f>
        <v/>
      </c>
    </row>
    <row r="61" ht="15.75" customHeight="1">
      <c r="A61">
        <f>IF(Table_17[[#This Row],[Part Name]]=0,"",Table_17[[#This Row],[Part Name]])</f>
        <v/>
      </c>
      <c r="E61" s="11" t="n"/>
      <c r="J61">
        <f>LEN(TRIM(CLEAN(SUBSTITUTE(SUBSTITUTE(Table_17[[#This Row],[Sequence]],CHAR(160)," ")," ",""))))</f>
        <v/>
      </c>
      <c r="K61" s="12" t="n"/>
      <c r="L61" s="21" t="n"/>
      <c r="M61" s="21">
        <f>IF($B61="","FALSE","TRUE")</f>
        <v/>
      </c>
      <c r="N61">
        <f t="array" ref="N61">IsURL(Table_121215[[#This Row],[Data Source]])</f>
        <v/>
      </c>
      <c r="O61">
        <f t="array" ref="O61">IsURL(Table_121215[[#This Row],[DOI]])</f>
        <v/>
      </c>
      <c r="P61">
        <f t="array" ref="P61">IsURL(Table_121215[[#This Row],[Data Source]])</f>
        <v/>
      </c>
      <c r="Q61">
        <f t="array" ref="Q61">IsURL(Table_121215[[#This Row],[Data Source]])</f>
        <v/>
      </c>
    </row>
    <row r="62" ht="15.75" customHeight="1">
      <c r="A62">
        <f>IF(Table_17[[#This Row],[Part Name]]=0,"",Table_17[[#This Row],[Part Name]])</f>
        <v/>
      </c>
      <c r="E62" s="11" t="n"/>
      <c r="J62">
        <f>LEN(TRIM(CLEAN(SUBSTITUTE(SUBSTITUTE(Table_17[[#This Row],[Sequence]],CHAR(160)," ")," ",""))))</f>
        <v/>
      </c>
      <c r="K62" s="12" t="n"/>
      <c r="L62" s="21" t="n"/>
      <c r="M62" s="21">
        <f>IF($B62="","FALSE","TRUE")</f>
        <v/>
      </c>
      <c r="N62">
        <f t="array" ref="N62">IsURL(Table_121215[[#This Row],[Data Source]])</f>
        <v/>
      </c>
      <c r="O62">
        <f t="array" ref="O62">IsURL(Table_121215[[#This Row],[DOI]])</f>
        <v/>
      </c>
      <c r="P62">
        <f t="array" ref="P62">IsURL(Table_121215[[#This Row],[Data Source]])</f>
        <v/>
      </c>
      <c r="Q62">
        <f t="array" ref="Q62">IsURL(Table_121215[[#This Row],[Data Source]])</f>
        <v/>
      </c>
    </row>
    <row r="63" ht="15.75" customHeight="1">
      <c r="A63">
        <f>IF(Table_17[[#This Row],[Part Name]]=0,"",Table_17[[#This Row],[Part Name]])</f>
        <v/>
      </c>
      <c r="E63" s="11" t="n"/>
      <c r="J63">
        <f>LEN(TRIM(CLEAN(SUBSTITUTE(SUBSTITUTE(Table_17[[#This Row],[Sequence]],CHAR(160)," ")," ",""))))</f>
        <v/>
      </c>
      <c r="K63" s="12" t="n"/>
      <c r="L63" s="21" t="n"/>
      <c r="M63" s="21">
        <f>IF($B63="","FALSE","TRUE")</f>
        <v/>
      </c>
      <c r="N63">
        <f t="array" ref="N63">IsURL(Table_121215[[#This Row],[Data Source]])</f>
        <v/>
      </c>
      <c r="O63">
        <f t="array" ref="O63">IsURL(Table_121215[[#This Row],[DOI]])</f>
        <v/>
      </c>
      <c r="P63">
        <f t="array" ref="P63">IsURL(Table_121215[[#This Row],[Data Source]])</f>
        <v/>
      </c>
      <c r="Q63">
        <f t="array" ref="Q63">IsURL(Table_121215[[#This Row],[Data Source]])</f>
        <v/>
      </c>
    </row>
    <row r="64" ht="15.75" customHeight="1">
      <c r="A64">
        <f>IF(Table_17[[#This Row],[Part Name]]=0,"",Table_17[[#This Row],[Part Name]])</f>
        <v/>
      </c>
      <c r="E64" s="11" t="n"/>
      <c r="J64">
        <f>LEN(TRIM(CLEAN(SUBSTITUTE(SUBSTITUTE(Table_17[[#This Row],[Sequence]],CHAR(160)," ")," ",""))))</f>
        <v/>
      </c>
      <c r="K64" s="12" t="n"/>
      <c r="L64" s="21" t="n"/>
      <c r="M64" s="21">
        <f>IF($B64="","FALSE","TRUE")</f>
        <v/>
      </c>
      <c r="N64">
        <f t="array" ref="N64">IsURL(Table_121215[[#This Row],[Data Source]])</f>
        <v/>
      </c>
      <c r="O64">
        <f t="array" ref="O64">IsURL(Table_121215[[#This Row],[DOI]])</f>
        <v/>
      </c>
      <c r="P64">
        <f t="array" ref="P64">IsURL(Table_121215[[#This Row],[Data Source]])</f>
        <v/>
      </c>
      <c r="Q64">
        <f t="array" ref="Q64">IsURL(Table_121215[[#This Row],[Data Source]])</f>
        <v/>
      </c>
    </row>
    <row r="65" ht="15.75" customHeight="1">
      <c r="A65">
        <f>IF(Table_17[[#This Row],[Part Name]]=0,"",Table_17[[#This Row],[Part Name]])</f>
        <v/>
      </c>
      <c r="E65" s="11" t="n"/>
      <c r="J65">
        <f>LEN(TRIM(CLEAN(SUBSTITUTE(SUBSTITUTE(Table_17[[#This Row],[Sequence]],CHAR(160)," ")," ",""))))</f>
        <v/>
      </c>
      <c r="K65" s="12" t="n"/>
      <c r="L65" s="21" t="n"/>
      <c r="M65" s="21">
        <f>IF($B65="","FALSE","TRUE")</f>
        <v/>
      </c>
      <c r="N65">
        <f t="array" ref="N65">IsURL(Table_121215[[#This Row],[Data Source]])</f>
        <v/>
      </c>
      <c r="O65">
        <f t="array" ref="O65">IsURL(Table_121215[[#This Row],[DOI]])</f>
        <v/>
      </c>
      <c r="P65">
        <f t="array" ref="P65">IsURL(Table_121215[[#This Row],[Data Source]])</f>
        <v/>
      </c>
      <c r="Q65">
        <f t="array" ref="Q65">IsURL(Table_121215[[#This Row],[Data Source]])</f>
        <v/>
      </c>
    </row>
    <row r="66" ht="15.75" customHeight="1">
      <c r="A66">
        <f>IF(Table_17[[#This Row],[Part Name]]=0,"",Table_17[[#This Row],[Part Name]])</f>
        <v/>
      </c>
      <c r="E66" s="11" t="n"/>
      <c r="J66">
        <f>LEN(TRIM(CLEAN(SUBSTITUTE(SUBSTITUTE(Table_17[[#This Row],[Sequence]],CHAR(160)," ")," ",""))))</f>
        <v/>
      </c>
      <c r="K66" s="12" t="n"/>
      <c r="L66" s="21" t="n"/>
      <c r="M66" s="21">
        <f>IF($B66="","FALSE","TRUE")</f>
        <v/>
      </c>
      <c r="N66">
        <f t="array" ref="N66">IsURL(Table_121215[[#This Row],[Data Source]])</f>
        <v/>
      </c>
      <c r="O66">
        <f t="array" ref="O66">IsURL(Table_121215[[#This Row],[DOI]])</f>
        <v/>
      </c>
      <c r="P66">
        <f t="array" ref="P66">IsURL(Table_121215[[#This Row],[Data Source]])</f>
        <v/>
      </c>
      <c r="Q66">
        <f t="array" ref="Q66">IsURL(Table_121215[[#This Row],[Data Source]])</f>
        <v/>
      </c>
    </row>
    <row r="67" ht="15.75" customHeight="1">
      <c r="A67">
        <f>IF(Table_17[[#This Row],[Part Name]]=0,"",Table_17[[#This Row],[Part Name]])</f>
        <v/>
      </c>
      <c r="E67" s="11" t="n"/>
      <c r="J67">
        <f>LEN(TRIM(CLEAN(SUBSTITUTE(SUBSTITUTE(Table_17[[#This Row],[Sequence]],CHAR(160)," ")," ",""))))</f>
        <v/>
      </c>
      <c r="K67" s="12" t="n"/>
      <c r="L67" s="21" t="n"/>
      <c r="M67" s="21">
        <f>IF($B67="","FALSE","TRUE")</f>
        <v/>
      </c>
      <c r="N67">
        <f t="array" ref="N67">IsURL(Table_121215[[#This Row],[Data Source]])</f>
        <v/>
      </c>
      <c r="O67">
        <f t="array" ref="O67">IsURL(Table_121215[[#This Row],[DOI]])</f>
        <v/>
      </c>
      <c r="P67">
        <f t="array" ref="P67">IsURL(Table_121215[[#This Row],[Data Source]])</f>
        <v/>
      </c>
      <c r="Q67">
        <f t="array" ref="Q67">IsURL(Table_121215[[#This Row],[Data Source]])</f>
        <v/>
      </c>
    </row>
    <row r="68" ht="15.75" customHeight="1">
      <c r="A68">
        <f>IF(Table_17[[#This Row],[Part Name]]=0,"",Table_17[[#This Row],[Part Name]])</f>
        <v/>
      </c>
      <c r="E68" s="11" t="n"/>
      <c r="J68">
        <f>LEN(TRIM(CLEAN(SUBSTITUTE(SUBSTITUTE(Table_17[[#This Row],[Sequence]],CHAR(160)," ")," ",""))))</f>
        <v/>
      </c>
      <c r="K68" s="12" t="n"/>
      <c r="L68" s="21" t="n"/>
      <c r="M68" s="21">
        <f>IF($B68="","FALSE","TRUE")</f>
        <v/>
      </c>
      <c r="N68">
        <f t="array" ref="N68">IsURL(Table_121215[[#This Row],[Data Source]])</f>
        <v/>
      </c>
      <c r="O68">
        <f t="array" ref="O68">IsURL(Table_121215[[#This Row],[DOI]])</f>
        <v/>
      </c>
      <c r="P68">
        <f t="array" ref="P68">IsURL(Table_121215[[#This Row],[Data Source]])</f>
        <v/>
      </c>
      <c r="Q68">
        <f t="array" ref="Q68">IsURL(Table_121215[[#This Row],[Data Source]])</f>
        <v/>
      </c>
    </row>
    <row r="69" ht="15.75" customHeight="1">
      <c r="A69">
        <f>IF(Table_17[[#This Row],[Part Name]]=0,"",Table_17[[#This Row],[Part Name]])</f>
        <v/>
      </c>
      <c r="E69" s="11" t="n"/>
      <c r="J69">
        <f>LEN(TRIM(CLEAN(SUBSTITUTE(SUBSTITUTE(Table_17[[#This Row],[Sequence]],CHAR(160)," ")," ",""))))</f>
        <v/>
      </c>
      <c r="K69" s="12" t="n"/>
      <c r="L69" s="21" t="n"/>
      <c r="M69" s="21">
        <f>IF($B69="","FALSE","TRUE")</f>
        <v/>
      </c>
      <c r="N69">
        <f t="array" ref="N69">IsURL(Table_121215[[#This Row],[Data Source]])</f>
        <v/>
      </c>
      <c r="O69">
        <f t="array" ref="O69">IsURL(Table_121215[[#This Row],[DOI]])</f>
        <v/>
      </c>
      <c r="P69">
        <f t="array" ref="P69">IsURL(Table_121215[[#This Row],[Data Source]])</f>
        <v/>
      </c>
      <c r="Q69">
        <f t="array" ref="Q69">IsURL(Table_121215[[#This Row],[Data Source]])</f>
        <v/>
      </c>
    </row>
    <row r="70" ht="15.75" customHeight="1">
      <c r="A70">
        <f>IF(Table_17[[#This Row],[Part Name]]=0,"",Table_17[[#This Row],[Part Name]])</f>
        <v/>
      </c>
      <c r="E70" s="11" t="n"/>
      <c r="J70">
        <f>LEN(TRIM(CLEAN(SUBSTITUTE(SUBSTITUTE(Table_17[[#This Row],[Sequence]],CHAR(160)," ")," ",""))))</f>
        <v/>
      </c>
      <c r="K70" s="12" t="n"/>
      <c r="L70" s="21" t="n"/>
      <c r="M70" s="21">
        <f>IF($B70="","FALSE","TRUE")</f>
        <v/>
      </c>
      <c r="N70">
        <f t="array" ref="N70">IsURL(Table_121215[[#This Row],[Data Source]])</f>
        <v/>
      </c>
      <c r="O70">
        <f t="array" ref="O70">IsURL(Table_121215[[#This Row],[DOI]])</f>
        <v/>
      </c>
      <c r="P70">
        <f t="array" ref="P70">IsURL(Table_121215[[#This Row],[Data Source]])</f>
        <v/>
      </c>
      <c r="Q70">
        <f t="array" ref="Q70">IsURL(Table_121215[[#This Row],[Data Source]])</f>
        <v/>
      </c>
    </row>
    <row r="71" ht="15.75" customHeight="1">
      <c r="A71">
        <f>IF(Table_17[[#This Row],[Part Name]]=0,"",Table_17[[#This Row],[Part Name]])</f>
        <v/>
      </c>
      <c r="E71" s="11" t="n"/>
      <c r="J71">
        <f>LEN(TRIM(CLEAN(SUBSTITUTE(SUBSTITUTE(Table_17[[#This Row],[Sequence]],CHAR(160)," ")," ",""))))</f>
        <v/>
      </c>
      <c r="K71" s="12" t="n"/>
      <c r="L71" s="21" t="n"/>
      <c r="M71" s="21">
        <f>IF($B71="","FALSE","TRUE")</f>
        <v/>
      </c>
      <c r="N71">
        <f t="array" ref="N71">IsURL(Table_121215[[#This Row],[Data Source]])</f>
        <v/>
      </c>
      <c r="O71">
        <f t="array" ref="O71">IsURL(Table_121215[[#This Row],[DOI]])</f>
        <v/>
      </c>
      <c r="P71">
        <f t="array" ref="P71">IsURL(Table_121215[[#This Row],[Data Source]])</f>
        <v/>
      </c>
      <c r="Q71">
        <f t="array" ref="Q71">IsURL(Table_121215[[#This Row],[Data Source]])</f>
        <v/>
      </c>
    </row>
    <row r="72" ht="15.75" customHeight="1">
      <c r="A72">
        <f>IF(Table_17[[#This Row],[Part Name]]=0,"",Table_17[[#This Row],[Part Name]])</f>
        <v/>
      </c>
      <c r="E72" s="11" t="n"/>
      <c r="J72">
        <f>LEN(TRIM(CLEAN(SUBSTITUTE(SUBSTITUTE(Table_17[[#This Row],[Sequence]],CHAR(160)," ")," ",""))))</f>
        <v/>
      </c>
      <c r="K72" s="12" t="n"/>
      <c r="L72" s="21" t="n"/>
      <c r="M72" s="21">
        <f>IF($B72="","FALSE","TRUE")</f>
        <v/>
      </c>
      <c r="N72">
        <f t="array" ref="N72">IsURL(Table_121215[[#This Row],[Data Source]])</f>
        <v/>
      </c>
      <c r="O72">
        <f t="array" ref="O72">IsURL(Table_121215[[#This Row],[DOI]])</f>
        <v/>
      </c>
      <c r="P72">
        <f t="array" ref="P72">IsURL(Table_121215[[#This Row],[Data Source]])</f>
        <v/>
      </c>
      <c r="Q72">
        <f t="array" ref="Q72">IsURL(Table_121215[[#This Row],[Data Source]])</f>
        <v/>
      </c>
    </row>
    <row r="73" ht="15.75" customHeight="1">
      <c r="A73">
        <f>IF(Table_17[[#This Row],[Part Name]]=0,"",Table_17[[#This Row],[Part Name]])</f>
        <v/>
      </c>
      <c r="E73" s="11" t="n"/>
      <c r="J73">
        <f>LEN(TRIM(CLEAN(SUBSTITUTE(SUBSTITUTE(Table_17[[#This Row],[Sequence]],CHAR(160)," ")," ",""))))</f>
        <v/>
      </c>
      <c r="K73" s="12" t="n"/>
      <c r="L73" s="21" t="n"/>
      <c r="M73" s="21">
        <f>IF($B73="","FALSE","TRUE")</f>
        <v/>
      </c>
      <c r="N73">
        <f t="array" ref="N73">IsURL(Table_121215[[#This Row],[Data Source]])</f>
        <v/>
      </c>
      <c r="O73">
        <f t="array" ref="O73">IsURL(Table_121215[[#This Row],[DOI]])</f>
        <v/>
      </c>
      <c r="P73">
        <f t="array" ref="P73">IsURL(Table_121215[[#This Row],[Data Source]])</f>
        <v/>
      </c>
      <c r="Q73">
        <f t="array" ref="Q73">IsURL(Table_121215[[#This Row],[Data Source]])</f>
        <v/>
      </c>
    </row>
    <row r="74" ht="15.75" customHeight="1">
      <c r="A74">
        <f>IF(Table_17[[#This Row],[Part Name]]=0,"",Table_17[[#This Row],[Part Name]])</f>
        <v/>
      </c>
      <c r="E74" s="11" t="n"/>
      <c r="J74">
        <f>LEN(TRIM(CLEAN(SUBSTITUTE(SUBSTITUTE(Table_17[[#This Row],[Sequence]],CHAR(160)," ")," ",""))))</f>
        <v/>
      </c>
      <c r="K74" s="12" t="n"/>
      <c r="L74" s="21" t="n"/>
      <c r="M74" s="21">
        <f>IF($B74="","FALSE","TRUE")</f>
        <v/>
      </c>
      <c r="N74">
        <f t="array" ref="N74">IsURL(Table_121215[[#This Row],[Data Source]])</f>
        <v/>
      </c>
      <c r="O74">
        <f t="array" ref="O74">IsURL(Table_121215[[#This Row],[DOI]])</f>
        <v/>
      </c>
      <c r="P74">
        <f t="array" ref="P74">IsURL(Table_121215[[#This Row],[Data Source]])</f>
        <v/>
      </c>
      <c r="Q74">
        <f t="array" ref="Q74">IsURL(Table_121215[[#This Row],[Data Source]])</f>
        <v/>
      </c>
    </row>
    <row r="75" ht="15.75" customHeight="1">
      <c r="A75">
        <f>IF(Table_17[[#This Row],[Part Name]]=0,"",Table_17[[#This Row],[Part Name]])</f>
        <v/>
      </c>
      <c r="E75" s="11" t="n"/>
      <c r="J75">
        <f>LEN(TRIM(CLEAN(SUBSTITUTE(SUBSTITUTE(Table_17[[#This Row],[Sequence]],CHAR(160)," ")," ",""))))</f>
        <v/>
      </c>
      <c r="K75" s="12" t="n"/>
      <c r="L75" s="21" t="n"/>
      <c r="M75" s="21">
        <f>IF($B75="","FALSE","TRUE")</f>
        <v/>
      </c>
      <c r="N75">
        <f t="array" ref="N75">IsURL(Table_121215[[#This Row],[Data Source]])</f>
        <v/>
      </c>
      <c r="O75">
        <f t="array" ref="O75">IsURL(Table_121215[[#This Row],[DOI]])</f>
        <v/>
      </c>
      <c r="P75">
        <f t="array" ref="P75">IsURL(Table_121215[[#This Row],[Data Source]])</f>
        <v/>
      </c>
      <c r="Q75">
        <f t="array" ref="Q75">IsURL(Table_121215[[#This Row],[Data Source]])</f>
        <v/>
      </c>
    </row>
    <row r="76" ht="15.75" customHeight="1">
      <c r="A76">
        <f>IF(Table_17[[#This Row],[Part Name]]=0,"",Table_17[[#This Row],[Part Name]])</f>
        <v/>
      </c>
      <c r="E76" s="11" t="n"/>
      <c r="J76">
        <f>LEN(TRIM(CLEAN(SUBSTITUTE(SUBSTITUTE(Table_17[[#This Row],[Sequence]],CHAR(160)," ")," ",""))))</f>
        <v/>
      </c>
      <c r="K76" s="12" t="n"/>
      <c r="L76" s="21" t="n"/>
      <c r="M76" s="21">
        <f>IF($B76="","FALSE","TRUE")</f>
        <v/>
      </c>
      <c r="N76">
        <f t="array" ref="N76">IsURL(Table_121215[[#This Row],[Data Source]])</f>
        <v/>
      </c>
      <c r="O76">
        <f t="array" ref="O76">IsURL(Table_121215[[#This Row],[DOI]])</f>
        <v/>
      </c>
      <c r="P76">
        <f t="array" ref="P76">IsURL(Table_121215[[#This Row],[Data Source]])</f>
        <v/>
      </c>
      <c r="Q76">
        <f t="array" ref="Q76">IsURL(Table_121215[[#This Row],[Data Source]])</f>
        <v/>
      </c>
    </row>
    <row r="77" ht="15.75" customHeight="1">
      <c r="A77">
        <f>IF(Table_17[[#This Row],[Part Name]]=0,"",Table_17[[#This Row],[Part Name]])</f>
        <v/>
      </c>
      <c r="E77" s="11" t="n"/>
      <c r="J77">
        <f>LEN(TRIM(CLEAN(SUBSTITUTE(SUBSTITUTE(Table_17[[#This Row],[Sequence]],CHAR(160)," ")," ",""))))</f>
        <v/>
      </c>
      <c r="K77" s="12" t="n"/>
      <c r="L77" s="21" t="n"/>
      <c r="M77" s="21">
        <f>IF($B77="","FALSE","TRUE")</f>
        <v/>
      </c>
      <c r="N77">
        <f t="array" ref="N77">IsURL(Table_121215[[#This Row],[Data Source]])</f>
        <v/>
      </c>
      <c r="O77">
        <f t="array" ref="O77">IsURL(Table_121215[[#This Row],[DOI]])</f>
        <v/>
      </c>
      <c r="P77">
        <f t="array" ref="P77">IsURL(Table_121215[[#This Row],[Data Source]])</f>
        <v/>
      </c>
      <c r="Q77">
        <f t="array" ref="Q77">IsURL(Table_121215[[#This Row],[Data Source]])</f>
        <v/>
      </c>
    </row>
    <row r="78" ht="15.75" customHeight="1">
      <c r="A78">
        <f>IF(Table_17[[#This Row],[Part Name]]=0,"",Table_17[[#This Row],[Part Name]])</f>
        <v/>
      </c>
      <c r="E78" s="11" t="n"/>
      <c r="J78">
        <f>LEN(TRIM(CLEAN(SUBSTITUTE(SUBSTITUTE(Table_17[[#This Row],[Sequence]],CHAR(160)," ")," ",""))))</f>
        <v/>
      </c>
      <c r="K78" s="12" t="n"/>
      <c r="L78" s="21" t="n"/>
      <c r="M78" s="21">
        <f>IF($B78="","FALSE","TRUE")</f>
        <v/>
      </c>
      <c r="N78">
        <f t="array" ref="N78">IsURL(Table_121215[[#This Row],[Data Source]])</f>
        <v/>
      </c>
      <c r="O78">
        <f t="array" ref="O78">IsURL(Table_121215[[#This Row],[DOI]])</f>
        <v/>
      </c>
      <c r="P78">
        <f t="array" ref="P78">IsURL(Table_121215[[#This Row],[Data Source]])</f>
        <v/>
      </c>
      <c r="Q78">
        <f t="array" ref="Q78">IsURL(Table_121215[[#This Row],[Data Source]])</f>
        <v/>
      </c>
    </row>
    <row r="79" ht="15.75" customHeight="1">
      <c r="A79">
        <f>IF(Table_17[[#This Row],[Part Name]]=0,"",Table_17[[#This Row],[Part Name]])</f>
        <v/>
      </c>
      <c r="E79" s="11" t="n"/>
      <c r="J79">
        <f>LEN(TRIM(CLEAN(SUBSTITUTE(SUBSTITUTE(Table_17[[#This Row],[Sequence]],CHAR(160)," ")," ",""))))</f>
        <v/>
      </c>
      <c r="K79" s="12" t="n"/>
      <c r="L79" s="21" t="n"/>
      <c r="M79" s="21">
        <f>IF($B79="","FALSE","TRUE")</f>
        <v/>
      </c>
      <c r="N79">
        <f t="array" ref="N79">IsURL(Table_121215[[#This Row],[Data Source]])</f>
        <v/>
      </c>
      <c r="O79">
        <f t="array" ref="O79">IsURL(Table_121215[[#This Row],[DOI]])</f>
        <v/>
      </c>
      <c r="P79">
        <f t="array" ref="P79">IsURL(Table_121215[[#This Row],[Data Source]])</f>
        <v/>
      </c>
      <c r="Q79">
        <f t="array" ref="Q79">IsURL(Table_121215[[#This Row],[Data Source]])</f>
        <v/>
      </c>
    </row>
    <row r="80" ht="15.75" customHeight="1">
      <c r="A80">
        <f>IF(Table_17[[#This Row],[Part Name]]=0,"",Table_17[[#This Row],[Part Name]])</f>
        <v/>
      </c>
      <c r="E80" s="11" t="n"/>
      <c r="J80">
        <f>LEN(TRIM(CLEAN(SUBSTITUTE(SUBSTITUTE(Table_17[[#This Row],[Sequence]],CHAR(160)," ")," ",""))))</f>
        <v/>
      </c>
      <c r="K80" s="12" t="n"/>
      <c r="L80" s="21" t="n"/>
      <c r="M80" s="21">
        <f>IF($B80="","FALSE","TRUE")</f>
        <v/>
      </c>
      <c r="N80">
        <f t="array" ref="N80">IsURL(Table_121215[[#This Row],[Data Source]])</f>
        <v/>
      </c>
      <c r="O80">
        <f t="array" ref="O80">IsURL(Table_121215[[#This Row],[DOI]])</f>
        <v/>
      </c>
      <c r="P80">
        <f t="array" ref="P80">IsURL(Table_121215[[#This Row],[Data Source]])</f>
        <v/>
      </c>
      <c r="Q80">
        <f t="array" ref="Q80">IsURL(Table_121215[[#This Row],[Data Source]])</f>
        <v/>
      </c>
    </row>
    <row r="81" ht="15.75" customHeight="1">
      <c r="A81">
        <f>IF(Table_17[[#This Row],[Part Name]]=0,"",Table_17[[#This Row],[Part Name]])</f>
        <v/>
      </c>
      <c r="E81" s="11" t="n"/>
      <c r="J81">
        <f>LEN(TRIM(CLEAN(SUBSTITUTE(SUBSTITUTE(Table_17[[#This Row],[Sequence]],CHAR(160)," ")," ",""))))</f>
        <v/>
      </c>
      <c r="K81" s="12" t="n"/>
      <c r="L81" s="21" t="n"/>
      <c r="M81" s="21">
        <f>IF($B81="","FALSE","TRUE")</f>
        <v/>
      </c>
      <c r="N81">
        <f t="array" ref="N81">IsURL(Table_121215[[#This Row],[Data Source]])</f>
        <v/>
      </c>
      <c r="O81">
        <f t="array" ref="O81">IsURL(Table_121215[[#This Row],[DOI]])</f>
        <v/>
      </c>
      <c r="P81">
        <f t="array" ref="P81">IsURL(Table_121215[[#This Row],[Data Source]])</f>
        <v/>
      </c>
      <c r="Q81">
        <f t="array" ref="Q81">IsURL(Table_121215[[#This Row],[Data Source]])</f>
        <v/>
      </c>
    </row>
    <row r="82" ht="15.75" customHeight="1">
      <c r="A82">
        <f>IF(Table_17[[#This Row],[Part Name]]=0,"",Table_17[[#This Row],[Part Name]])</f>
        <v/>
      </c>
      <c r="E82" s="11" t="n"/>
      <c r="J82">
        <f>LEN(TRIM(CLEAN(SUBSTITUTE(SUBSTITUTE(Table_17[[#This Row],[Sequence]],CHAR(160)," ")," ",""))))</f>
        <v/>
      </c>
      <c r="K82" s="12" t="n"/>
      <c r="L82" s="21" t="n"/>
      <c r="M82" s="21">
        <f>IF($B82="","FALSE","TRUE")</f>
        <v/>
      </c>
      <c r="N82">
        <f t="array" ref="N82">IsURL(Table_121215[[#This Row],[Data Source]])</f>
        <v/>
      </c>
      <c r="O82">
        <f t="array" ref="O82">IsURL(Table_121215[[#This Row],[DOI]])</f>
        <v/>
      </c>
      <c r="P82">
        <f t="array" ref="P82">IsURL(Table_121215[[#This Row],[Data Source]])</f>
        <v/>
      </c>
      <c r="Q82">
        <f t="array" ref="Q82">IsURL(Table_121215[[#This Row],[Data Source]])</f>
        <v/>
      </c>
    </row>
    <row r="83" ht="15.75" customHeight="1">
      <c r="A83">
        <f>IF(Table_17[[#This Row],[Part Name]]=0,"",Table_17[[#This Row],[Part Name]])</f>
        <v/>
      </c>
      <c r="E83" s="11" t="n"/>
      <c r="J83">
        <f>LEN(TRIM(CLEAN(SUBSTITUTE(SUBSTITUTE(Table_17[[#This Row],[Sequence]],CHAR(160)," ")," ",""))))</f>
        <v/>
      </c>
      <c r="K83" s="12" t="n"/>
      <c r="L83" s="21" t="n"/>
      <c r="M83" s="21">
        <f>IF($B83="","FALSE","TRUE")</f>
        <v/>
      </c>
      <c r="N83">
        <f t="array" ref="N83">IsURL(Table_121215[[#This Row],[Data Source]])</f>
        <v/>
      </c>
      <c r="O83">
        <f t="array" ref="O83">IsURL(Table_121215[[#This Row],[DOI]])</f>
        <v/>
      </c>
      <c r="P83">
        <f t="array" ref="P83">IsURL(Table_121215[[#This Row],[Data Source]])</f>
        <v/>
      </c>
      <c r="Q83">
        <f t="array" ref="Q83">IsURL(Table_121215[[#This Row],[Data Source]])</f>
        <v/>
      </c>
    </row>
    <row r="84" ht="15.75" customHeight="1">
      <c r="A84">
        <f>IF(Table_17[[#This Row],[Part Name]]=0,"",Table_17[[#This Row],[Part Name]])</f>
        <v/>
      </c>
      <c r="E84" s="11" t="n"/>
      <c r="J84">
        <f>LEN(TRIM(CLEAN(SUBSTITUTE(SUBSTITUTE(Table_17[[#This Row],[Sequence]],CHAR(160)," ")," ",""))))</f>
        <v/>
      </c>
      <c r="K84" s="12" t="n"/>
      <c r="L84" s="21" t="n"/>
      <c r="M84" s="21">
        <f>IF($B84="","FALSE","TRUE")</f>
        <v/>
      </c>
      <c r="N84">
        <f t="array" ref="N84">IsURL(Table_121215[[#This Row],[Data Source]])</f>
        <v/>
      </c>
      <c r="O84">
        <f t="array" ref="O84">IsURL(Table_121215[[#This Row],[DOI]])</f>
        <v/>
      </c>
      <c r="P84">
        <f t="array" ref="P84">IsURL(Table_121215[[#This Row],[Data Source]])</f>
        <v/>
      </c>
      <c r="Q84">
        <f t="array" ref="Q84">IsURL(Table_121215[[#This Row],[Data Source]])</f>
        <v/>
      </c>
    </row>
    <row r="85" ht="15.75" customHeight="1">
      <c r="A85">
        <f>IF(Table_17[[#This Row],[Part Name]]=0,"",Table_17[[#This Row],[Part Name]])</f>
        <v/>
      </c>
      <c r="E85" s="11" t="n"/>
      <c r="J85">
        <f>LEN(TRIM(CLEAN(SUBSTITUTE(SUBSTITUTE(Table_17[[#This Row],[Sequence]],CHAR(160)," ")," ",""))))</f>
        <v/>
      </c>
      <c r="K85" s="12" t="n"/>
      <c r="L85" s="21" t="n"/>
      <c r="M85" s="21">
        <f>IF($B85="","FALSE","TRUE")</f>
        <v/>
      </c>
      <c r="N85">
        <f t="array" ref="N85">IsURL(Table_121215[[#This Row],[Data Source]])</f>
        <v/>
      </c>
      <c r="O85">
        <f t="array" ref="O85">IsURL(Table_121215[[#This Row],[DOI]])</f>
        <v/>
      </c>
      <c r="P85">
        <f t="array" ref="P85">IsURL(Table_121215[[#This Row],[Data Source]])</f>
        <v/>
      </c>
      <c r="Q85">
        <f t="array" ref="Q85">IsURL(Table_121215[[#This Row],[Data Source]])</f>
        <v/>
      </c>
    </row>
    <row r="86" ht="15.75" customHeight="1">
      <c r="A86">
        <f>IF(Table_17[[#This Row],[Part Name]]=0,"",Table_17[[#This Row],[Part Name]])</f>
        <v/>
      </c>
      <c r="E86" s="11" t="n"/>
      <c r="J86">
        <f>LEN(TRIM(CLEAN(SUBSTITUTE(SUBSTITUTE(Table_17[[#This Row],[Sequence]],CHAR(160)," ")," ",""))))</f>
        <v/>
      </c>
      <c r="K86" s="12" t="n"/>
      <c r="L86" s="21" t="n"/>
      <c r="M86" s="21">
        <f>IF($B86="","FALSE","TRUE")</f>
        <v/>
      </c>
      <c r="N86">
        <f t="array" ref="N86">IsURL(Table_121215[[#This Row],[Data Source]])</f>
        <v/>
      </c>
      <c r="O86">
        <f t="array" ref="O86">IsURL(Table_121215[[#This Row],[DOI]])</f>
        <v/>
      </c>
      <c r="P86">
        <f t="array" ref="P86">IsURL(Table_121215[[#This Row],[Data Source]])</f>
        <v/>
      </c>
      <c r="Q86">
        <f t="array" ref="Q86">IsURL(Table_121215[[#This Row],[Data Source]])</f>
        <v/>
      </c>
    </row>
    <row r="87" ht="15.75" customHeight="1">
      <c r="A87">
        <f>IF(Table_17[[#This Row],[Part Name]]=0,"",Table_17[[#This Row],[Part Name]])</f>
        <v/>
      </c>
      <c r="E87" s="11" t="n"/>
      <c r="J87">
        <f>LEN(TRIM(CLEAN(SUBSTITUTE(SUBSTITUTE(Table_17[[#This Row],[Sequence]],CHAR(160)," ")," ",""))))</f>
        <v/>
      </c>
      <c r="K87" s="12" t="n"/>
      <c r="L87" s="21" t="n"/>
      <c r="M87" s="21">
        <f>IF($B87="","FALSE","TRUE")</f>
        <v/>
      </c>
      <c r="N87">
        <f t="array" ref="N87">IsURL(Table_121215[[#This Row],[Data Source]])</f>
        <v/>
      </c>
      <c r="O87">
        <f t="array" ref="O87">IsURL(Table_121215[[#This Row],[DOI]])</f>
        <v/>
      </c>
      <c r="P87">
        <f t="array" ref="P87">IsURL(Table_121215[[#This Row],[Data Source]])</f>
        <v/>
      </c>
      <c r="Q87">
        <f t="array" ref="Q87">IsURL(Table_121215[[#This Row],[Data Source]])</f>
        <v/>
      </c>
    </row>
    <row r="88" ht="15.75" customHeight="1">
      <c r="A88">
        <f>IF(Table_17[[#This Row],[Part Name]]=0,"",Table_17[[#This Row],[Part Name]])</f>
        <v/>
      </c>
      <c r="E88" s="11" t="n"/>
      <c r="J88">
        <f>LEN(TRIM(CLEAN(SUBSTITUTE(SUBSTITUTE(Table_17[[#This Row],[Sequence]],CHAR(160)," ")," ",""))))</f>
        <v/>
      </c>
      <c r="K88" s="12" t="n"/>
      <c r="L88" s="21" t="n"/>
      <c r="M88" s="21">
        <f>IF($B88="","FALSE","TRUE")</f>
        <v/>
      </c>
      <c r="N88">
        <f t="array" ref="N88">IsURL(Table_121215[[#This Row],[Data Source]])</f>
        <v/>
      </c>
      <c r="O88">
        <f t="array" ref="O88">IsURL(Table_121215[[#This Row],[DOI]])</f>
        <v/>
      </c>
      <c r="P88">
        <f t="array" ref="P88">IsURL(Table_121215[[#This Row],[Data Source]])</f>
        <v/>
      </c>
      <c r="Q88">
        <f t="array" ref="Q88">IsURL(Table_121215[[#This Row],[Data Source]])</f>
        <v/>
      </c>
    </row>
    <row r="89" ht="15.75" customHeight="1">
      <c r="A89">
        <f>IF(Table_17[[#This Row],[Part Name]]=0,"",Table_17[[#This Row],[Part Name]])</f>
        <v/>
      </c>
      <c r="E89" s="11" t="n"/>
      <c r="J89">
        <f>LEN(TRIM(CLEAN(SUBSTITUTE(SUBSTITUTE(Table_17[[#This Row],[Sequence]],CHAR(160)," ")," ",""))))</f>
        <v/>
      </c>
      <c r="K89" s="12" t="n"/>
      <c r="L89" s="21" t="n"/>
      <c r="M89" s="21">
        <f>IF($B89="","FALSE","TRUE")</f>
        <v/>
      </c>
      <c r="N89">
        <f t="array" ref="N89">IsURL(Table_121215[[#This Row],[Data Source]])</f>
        <v/>
      </c>
      <c r="O89">
        <f t="array" ref="O89">IsURL(Table_121215[[#This Row],[DOI]])</f>
        <v/>
      </c>
      <c r="P89">
        <f t="array" ref="P89">IsURL(Table_121215[[#This Row],[Data Source]])</f>
        <v/>
      </c>
      <c r="Q89">
        <f t="array" ref="Q89">IsURL(Table_121215[[#This Row],[Data Source]])</f>
        <v/>
      </c>
    </row>
    <row r="90" ht="15.75" customHeight="1">
      <c r="A90">
        <f>IF(Table_17[[#This Row],[Part Name]]=0,"",Table_17[[#This Row],[Part Name]])</f>
        <v/>
      </c>
      <c r="E90" s="11" t="n"/>
      <c r="J90">
        <f>LEN(TRIM(CLEAN(SUBSTITUTE(SUBSTITUTE(Table_17[[#This Row],[Sequence]],CHAR(160)," ")," ",""))))</f>
        <v/>
      </c>
      <c r="K90" s="12" t="n"/>
      <c r="L90" s="21" t="n"/>
      <c r="M90" s="21">
        <f>IF($B90="","FALSE","TRUE")</f>
        <v/>
      </c>
      <c r="N90">
        <f t="array" ref="N90">IsURL(Table_121215[[#This Row],[Data Source]])</f>
        <v/>
      </c>
      <c r="O90">
        <f t="array" ref="O90">IsURL(Table_121215[[#This Row],[DOI]])</f>
        <v/>
      </c>
      <c r="P90">
        <f t="array" ref="P90">IsURL(Table_121215[[#This Row],[Data Source]])</f>
        <v/>
      </c>
      <c r="Q90">
        <f t="array" ref="Q90">IsURL(Table_121215[[#This Row],[Data Source]])</f>
        <v/>
      </c>
    </row>
    <row r="91" ht="15.75" customHeight="1">
      <c r="A91">
        <f>IF(Table_17[[#This Row],[Part Name]]=0,"",Table_17[[#This Row],[Part Name]])</f>
        <v/>
      </c>
      <c r="E91" s="11" t="n"/>
      <c r="J91">
        <f>LEN(TRIM(CLEAN(SUBSTITUTE(SUBSTITUTE(Table_17[[#This Row],[Sequence]],CHAR(160)," ")," ",""))))</f>
        <v/>
      </c>
      <c r="K91" s="12" t="n"/>
      <c r="L91" s="21" t="n"/>
      <c r="M91" s="21">
        <f>IF($B91="","FALSE","TRUE")</f>
        <v/>
      </c>
      <c r="N91">
        <f t="array" ref="N91">IsURL(Table_121215[[#This Row],[Data Source]])</f>
        <v/>
      </c>
      <c r="O91">
        <f t="array" ref="O91">IsURL(Table_121215[[#This Row],[DOI]])</f>
        <v/>
      </c>
      <c r="P91">
        <f t="array" ref="P91">IsURL(Table_121215[[#This Row],[Data Source]])</f>
        <v/>
      </c>
      <c r="Q91">
        <f t="array" ref="Q91">IsURL(Table_121215[[#This Row],[Data Source]])</f>
        <v/>
      </c>
    </row>
    <row r="92" ht="15.75" customHeight="1">
      <c r="A92">
        <f>IF(Table_17[[#This Row],[Part Name]]=0,"",Table_17[[#This Row],[Part Name]])</f>
        <v/>
      </c>
      <c r="E92" s="11" t="n"/>
      <c r="J92">
        <f>LEN(TRIM(CLEAN(SUBSTITUTE(SUBSTITUTE(Table_17[[#This Row],[Sequence]],CHAR(160)," ")," ",""))))</f>
        <v/>
      </c>
      <c r="K92" s="12" t="n"/>
      <c r="L92" s="21" t="n"/>
      <c r="M92" s="21">
        <f>IF($B92="","FALSE","TRUE")</f>
        <v/>
      </c>
      <c r="N92">
        <f t="array" ref="N92">IsURL(Table_121215[[#This Row],[Data Source]])</f>
        <v/>
      </c>
      <c r="O92">
        <f t="array" ref="O92">IsURL(Table_121215[[#This Row],[DOI]])</f>
        <v/>
      </c>
      <c r="P92">
        <f t="array" ref="P92">IsURL(Table_121215[[#This Row],[Data Source]])</f>
        <v/>
      </c>
      <c r="Q92">
        <f t="array" ref="Q92">IsURL(Table_121215[[#This Row],[Data Source]])</f>
        <v/>
      </c>
    </row>
    <row r="93" ht="15.75" customHeight="1">
      <c r="A93">
        <f>IF(Table_17[[#This Row],[Part Name]]=0,"",Table_17[[#This Row],[Part Name]])</f>
        <v/>
      </c>
      <c r="E93" s="11" t="n"/>
      <c r="J93">
        <f>LEN(TRIM(CLEAN(SUBSTITUTE(SUBSTITUTE(Table_17[[#This Row],[Sequence]],CHAR(160)," ")," ",""))))</f>
        <v/>
      </c>
      <c r="K93" s="12" t="n"/>
      <c r="L93" s="21" t="n"/>
      <c r="M93" s="21">
        <f>IF($B93="","FALSE","TRUE")</f>
        <v/>
      </c>
      <c r="N93">
        <f t="array" ref="N93">IsURL(Table_121215[[#This Row],[Data Source]])</f>
        <v/>
      </c>
      <c r="O93">
        <f t="array" ref="O93">IsURL(Table_121215[[#This Row],[DOI]])</f>
        <v/>
      </c>
      <c r="P93">
        <f t="array" ref="P93">IsURL(Table_121215[[#This Row],[Data Source]])</f>
        <v/>
      </c>
      <c r="Q93">
        <f t="array" ref="Q93">IsURL(Table_121215[[#This Row],[Data Source]])</f>
        <v/>
      </c>
    </row>
    <row r="94" ht="15.75" customHeight="1">
      <c r="A94">
        <f>IF(Table_17[[#This Row],[Part Name]]=0,"",Table_17[[#This Row],[Part Name]])</f>
        <v/>
      </c>
      <c r="E94" s="11" t="n"/>
      <c r="J94">
        <f>LEN(TRIM(CLEAN(SUBSTITUTE(SUBSTITUTE(Table_17[[#This Row],[Sequence]],CHAR(160)," ")," ",""))))</f>
        <v/>
      </c>
      <c r="K94" s="12" t="n"/>
      <c r="L94" s="21" t="n"/>
      <c r="M94" s="21">
        <f>IF($B94="","FALSE","TRUE")</f>
        <v/>
      </c>
      <c r="N94">
        <f t="array" ref="N94">IsURL(Table_121215[[#This Row],[Data Source]])</f>
        <v/>
      </c>
      <c r="O94">
        <f t="array" ref="O94">IsURL(Table_121215[[#This Row],[DOI]])</f>
        <v/>
      </c>
      <c r="P94">
        <f t="array" ref="P94">IsURL(Table_121215[[#This Row],[Data Source]])</f>
        <v/>
      </c>
      <c r="Q94">
        <f t="array" ref="Q94">IsURL(Table_121215[[#This Row],[Data Source]])</f>
        <v/>
      </c>
    </row>
    <row r="95" ht="15.75" customHeight="1">
      <c r="A95">
        <f>IF(Table_17[[#This Row],[Part Name]]=0,"",Table_17[[#This Row],[Part Name]])</f>
        <v/>
      </c>
      <c r="E95" s="11" t="n"/>
      <c r="J95">
        <f>LEN(TRIM(CLEAN(SUBSTITUTE(SUBSTITUTE(Table_17[[#This Row],[Sequence]],CHAR(160)," ")," ",""))))</f>
        <v/>
      </c>
      <c r="K95" s="12" t="n"/>
      <c r="L95" s="21" t="n"/>
      <c r="M95" s="21">
        <f>IF($B95="","FALSE","TRUE")</f>
        <v/>
      </c>
      <c r="N95">
        <f t="array" ref="N95">IsURL(Table_121215[[#This Row],[Data Source]])</f>
        <v/>
      </c>
      <c r="O95">
        <f t="array" ref="O95">IsURL(Table_121215[[#This Row],[DOI]])</f>
        <v/>
      </c>
      <c r="P95">
        <f t="array" ref="P95">IsURL(Table_121215[[#This Row],[Data Source]])</f>
        <v/>
      </c>
      <c r="Q95">
        <f t="array" ref="Q95">IsURL(Table_121215[[#This Row],[Data Source]])</f>
        <v/>
      </c>
    </row>
    <row r="96" ht="15.75" customHeight="1">
      <c r="A96">
        <f>IF(Table_17[[#This Row],[Part Name]]=0,"",Table_17[[#This Row],[Part Name]])</f>
        <v/>
      </c>
      <c r="E96" s="11" t="n"/>
      <c r="J96">
        <f>LEN(TRIM(CLEAN(SUBSTITUTE(SUBSTITUTE(Table_17[[#This Row],[Sequence]],CHAR(160)," ")," ",""))))</f>
        <v/>
      </c>
      <c r="K96" s="12" t="n"/>
      <c r="L96" s="21" t="n"/>
      <c r="M96" s="21">
        <f>IF($B96="","FALSE","TRUE")</f>
        <v/>
      </c>
      <c r="N96">
        <f t="array" ref="N96">IsURL(Table_121215[[#This Row],[Data Source]])</f>
        <v/>
      </c>
      <c r="O96">
        <f t="array" ref="O96">IsURL(Table_121215[[#This Row],[DOI]])</f>
        <v/>
      </c>
      <c r="P96">
        <f t="array" ref="P96">IsURL(Table_121215[[#This Row],[Data Source]])</f>
        <v/>
      </c>
      <c r="Q96">
        <f t="array" ref="Q96">IsURL(Table_121215[[#This Row],[Data Source]])</f>
        <v/>
      </c>
    </row>
    <row r="97" ht="15.75" customHeight="1">
      <c r="A97">
        <f>IF(Table_17[[#This Row],[Part Name]]=0,"",Table_17[[#This Row],[Part Name]])</f>
        <v/>
      </c>
      <c r="E97" s="11" t="n"/>
      <c r="J97">
        <f>LEN(TRIM(CLEAN(SUBSTITUTE(SUBSTITUTE(Table_17[[#This Row],[Sequence]],CHAR(160)," ")," ",""))))</f>
        <v/>
      </c>
      <c r="K97" s="12" t="n"/>
      <c r="L97" s="21" t="n"/>
      <c r="M97" s="21">
        <f>IF($B97="","FALSE","TRUE")</f>
        <v/>
      </c>
      <c r="N97">
        <f t="array" ref="N97">IsURL(Table_121215[[#This Row],[Data Source]])</f>
        <v/>
      </c>
      <c r="O97">
        <f t="array" ref="O97">IsURL(Table_121215[[#This Row],[DOI]])</f>
        <v/>
      </c>
      <c r="P97">
        <f t="array" ref="P97">IsURL(Table_121215[[#This Row],[Data Source]])</f>
        <v/>
      </c>
      <c r="Q97">
        <f t="array" ref="Q97">IsURL(Table_121215[[#This Row],[Data Source]])</f>
        <v/>
      </c>
    </row>
    <row r="98" ht="15.75" customHeight="1">
      <c r="A98">
        <f>IF(Table_17[[#This Row],[Part Name]]=0,"",Table_17[[#This Row],[Part Name]])</f>
        <v/>
      </c>
      <c r="E98" s="11" t="n"/>
      <c r="J98">
        <f>LEN(TRIM(CLEAN(SUBSTITUTE(SUBSTITUTE(Table_17[[#This Row],[Sequence]],CHAR(160)," ")," ",""))))</f>
        <v/>
      </c>
      <c r="K98" s="12" t="n"/>
      <c r="L98" s="21" t="n"/>
      <c r="M98" s="21">
        <f>IF($B98="","FALSE","TRUE")</f>
        <v/>
      </c>
      <c r="N98">
        <f t="array" ref="N98">IsURL(Table_121215[[#This Row],[Data Source]])</f>
        <v/>
      </c>
      <c r="O98">
        <f t="array" ref="O98">IsURL(Table_121215[[#This Row],[DOI]])</f>
        <v/>
      </c>
      <c r="P98">
        <f t="array" ref="P98">IsURL(Table_121215[[#This Row],[Data Source]])</f>
        <v/>
      </c>
      <c r="Q98">
        <f t="array" ref="Q98">IsURL(Table_121215[[#This Row],[Data Source]])</f>
        <v/>
      </c>
    </row>
    <row r="99" ht="15.75" customHeight="1">
      <c r="A99">
        <f>IF(Table_17[[#This Row],[Part Name]]=0,"",Table_17[[#This Row],[Part Name]])</f>
        <v/>
      </c>
      <c r="E99" s="11" t="n"/>
      <c r="J99">
        <f>LEN(TRIM(CLEAN(SUBSTITUTE(SUBSTITUTE(Table_17[[#This Row],[Sequence]],CHAR(160)," ")," ",""))))</f>
        <v/>
      </c>
      <c r="K99" s="12" t="n"/>
      <c r="L99" s="21" t="n"/>
      <c r="M99" s="21">
        <f>IF($B99="","FALSE","TRUE")</f>
        <v/>
      </c>
      <c r="N99">
        <f t="array" ref="N99">IsURL(Table_121215[[#This Row],[Data Source]])</f>
        <v/>
      </c>
      <c r="O99">
        <f t="array" ref="O99">IsURL(Table_121215[[#This Row],[DOI]])</f>
        <v/>
      </c>
      <c r="P99">
        <f t="array" ref="P99">IsURL(Table_121215[[#This Row],[Data Source]])</f>
        <v/>
      </c>
      <c r="Q99">
        <f t="array" ref="Q99">IsURL(Table_121215[[#This Row],[Data Source]])</f>
        <v/>
      </c>
    </row>
    <row r="100" ht="15.75" customHeight="1">
      <c r="A100">
        <f>IF(Table_17[[#This Row],[Part Name]]=0,"",Table_17[[#This Row],[Part Name]])</f>
        <v/>
      </c>
      <c r="E100" s="11" t="n"/>
      <c r="J100">
        <f>LEN(TRIM(CLEAN(SUBSTITUTE(SUBSTITUTE(Table_17[[#This Row],[Sequence]],CHAR(160)," ")," ",""))))</f>
        <v/>
      </c>
      <c r="K100" s="12" t="n"/>
      <c r="L100" s="21" t="n"/>
      <c r="M100" s="21">
        <f>IF($B100="","FALSE","TRUE")</f>
        <v/>
      </c>
      <c r="N100">
        <f t="array" ref="N100">IsURL(Table_121215[[#This Row],[Data Source]])</f>
        <v/>
      </c>
      <c r="O100">
        <f t="array" ref="O100">IsURL(Table_121215[[#This Row],[DOI]])</f>
        <v/>
      </c>
      <c r="P100">
        <f t="array" ref="P100">IsURL(Table_121215[[#This Row],[Data Source]])</f>
        <v/>
      </c>
      <c r="Q100">
        <f t="array" ref="Q100">IsURL(Table_121215[[#This Row],[Data Source]])</f>
        <v/>
      </c>
    </row>
    <row r="101" ht="15.75" customHeight="1">
      <c r="A101">
        <f>IF(Table_17[[#This Row],[Part Name]]=0,"",Table_17[[#This Row],[Part Name]])</f>
        <v/>
      </c>
      <c r="E101" s="11" t="n"/>
      <c r="J101">
        <f>LEN(TRIM(CLEAN(SUBSTITUTE(SUBSTITUTE(Table_17[[#This Row],[Sequence]],CHAR(160)," ")," ",""))))</f>
        <v/>
      </c>
      <c r="K101" s="12" t="n"/>
      <c r="L101" s="21" t="n"/>
      <c r="M101" s="21">
        <f>IF($B101="","FALSE","TRUE")</f>
        <v/>
      </c>
      <c r="N101">
        <f t="array" ref="N101">IsURL(Table_121215[[#This Row],[Data Source]])</f>
        <v/>
      </c>
      <c r="O101">
        <f t="array" ref="O101">IsURL(Table_121215[[#This Row],[DOI]])</f>
        <v/>
      </c>
      <c r="P101">
        <f t="array" ref="P101">IsURL(Table_121215[[#This Row],[Data Source]])</f>
        <v/>
      </c>
      <c r="Q101">
        <f t="array" ref="Q101">IsURL(Table_121215[[#This Row],[Data Source]])</f>
        <v/>
      </c>
    </row>
    <row r="102" ht="15.75" customHeight="1">
      <c r="A102">
        <f>IF(Table_17[[#This Row],[Part Name]]=0,"",Table_17[[#This Row],[Part Name]])</f>
        <v/>
      </c>
      <c r="E102" s="11" t="n"/>
      <c r="J102">
        <f>LEN(TRIM(CLEAN(SUBSTITUTE(SUBSTITUTE(Table_17[[#This Row],[Sequence]],CHAR(160)," ")," ",""))))</f>
        <v/>
      </c>
      <c r="K102" s="12" t="n"/>
      <c r="L102" s="21" t="n"/>
      <c r="M102" s="21">
        <f>IF($B102="","FALSE","TRUE")</f>
        <v/>
      </c>
      <c r="N102">
        <f t="array" ref="N102">IsURL(Table_121215[[#This Row],[Data Source]])</f>
        <v/>
      </c>
      <c r="O102">
        <f t="array" ref="O102">IsURL(Table_121215[[#This Row],[DOI]])</f>
        <v/>
      </c>
      <c r="P102">
        <f t="array" ref="P102">IsURL(Table_121215[[#This Row],[Data Source]])</f>
        <v/>
      </c>
      <c r="Q102">
        <f t="array" ref="Q102">IsURL(Table_121215[[#This Row],[Data Source]])</f>
        <v/>
      </c>
    </row>
    <row r="103" ht="15.75" customHeight="1">
      <c r="A103">
        <f>IF(Table_17[[#This Row],[Part Name]]=0,"",Table_17[[#This Row],[Part Name]])</f>
        <v/>
      </c>
      <c r="E103" s="11" t="n"/>
      <c r="J103">
        <f>LEN(TRIM(CLEAN(SUBSTITUTE(SUBSTITUTE(Table_17[[#This Row],[Sequence]],CHAR(160)," ")," ",""))))</f>
        <v/>
      </c>
      <c r="K103" s="12" t="n"/>
      <c r="L103" s="21" t="n"/>
      <c r="M103" s="21">
        <f>IF($B103="","FALSE","TRUE")</f>
        <v/>
      </c>
      <c r="N103">
        <f t="array" ref="N103">IsURL(Table_121215[[#This Row],[Data Source]])</f>
        <v/>
      </c>
      <c r="O103">
        <f t="array" ref="O103">IsURL(Table_121215[[#This Row],[DOI]])</f>
        <v/>
      </c>
      <c r="P103">
        <f t="array" ref="P103">IsURL(Table_121215[[#This Row],[Data Source]])</f>
        <v/>
      </c>
      <c r="Q103">
        <f t="array" ref="Q103">IsURL(Table_121215[[#This Row],[Data Source]])</f>
        <v/>
      </c>
    </row>
    <row r="104" ht="15.75" customHeight="1">
      <c r="A104">
        <f>IF(Table_17[[#This Row],[Part Name]]=0,"",Table_17[[#This Row],[Part Name]])</f>
        <v/>
      </c>
      <c r="E104" s="11" t="n"/>
      <c r="J104">
        <f>LEN(TRIM(CLEAN(SUBSTITUTE(SUBSTITUTE(Table_17[[#This Row],[Sequence]],CHAR(160)," ")," ",""))))</f>
        <v/>
      </c>
      <c r="K104" s="12" t="n"/>
      <c r="L104" s="21" t="n"/>
      <c r="M104" s="21">
        <f>IF($B104="","FALSE","TRUE")</f>
        <v/>
      </c>
      <c r="N104">
        <f t="array" ref="N104">IsURL(Table_121215[[#This Row],[Data Source]])</f>
        <v/>
      </c>
      <c r="O104">
        <f t="array" ref="O104">IsURL(Table_121215[[#This Row],[DOI]])</f>
        <v/>
      </c>
      <c r="P104">
        <f t="array" ref="P104">IsURL(Table_121215[[#This Row],[Data Source]])</f>
        <v/>
      </c>
      <c r="Q104">
        <f t="array" ref="Q104">IsURL(Table_121215[[#This Row],[Data Source]])</f>
        <v/>
      </c>
    </row>
    <row r="105" ht="15.75" customHeight="1">
      <c r="A105">
        <f>IF(Table_17[[#This Row],[Part Name]]=0,"",Table_17[[#This Row],[Part Name]])</f>
        <v/>
      </c>
      <c r="E105" s="11" t="n"/>
      <c r="J105">
        <f>LEN(TRIM(CLEAN(SUBSTITUTE(SUBSTITUTE(Table_17[[#This Row],[Sequence]],CHAR(160)," ")," ",""))))</f>
        <v/>
      </c>
      <c r="K105" s="12" t="n"/>
      <c r="L105" s="21" t="n"/>
      <c r="M105" s="21">
        <f>IF($B105="","FALSE","TRUE")</f>
        <v/>
      </c>
      <c r="N105">
        <f t="array" ref="N105">IsURL(Table_121215[[#This Row],[Data Source]])</f>
        <v/>
      </c>
      <c r="O105">
        <f t="array" ref="O105">IsURL(Table_121215[[#This Row],[DOI]])</f>
        <v/>
      </c>
      <c r="P105">
        <f t="array" ref="P105">IsURL(Table_121215[[#This Row],[Data Source]])</f>
        <v/>
      </c>
      <c r="Q105">
        <f t="array" ref="Q105">IsURL(Table_121215[[#This Row],[Data Source]])</f>
        <v/>
      </c>
    </row>
    <row r="106" ht="15.75" customHeight="1">
      <c r="A106">
        <f>IF(Table_17[[#This Row],[Part Name]]=0,"",Table_17[[#This Row],[Part Name]])</f>
        <v/>
      </c>
      <c r="E106" s="11" t="n"/>
      <c r="J106">
        <f>LEN(TRIM(CLEAN(SUBSTITUTE(SUBSTITUTE(Table_17[[#This Row],[Sequence]],CHAR(160)," ")," ",""))))</f>
        <v/>
      </c>
      <c r="K106" s="12" t="n"/>
      <c r="L106" s="21" t="n"/>
      <c r="M106" s="21">
        <f>IF($B106="","FALSE","TRUE")</f>
        <v/>
      </c>
      <c r="N106">
        <f t="array" ref="N106">IsURL(Table_121215[[#This Row],[Data Source]])</f>
        <v/>
      </c>
      <c r="O106">
        <f t="array" ref="O106">IsURL(Table_121215[[#This Row],[DOI]])</f>
        <v/>
      </c>
      <c r="P106">
        <f t="array" ref="P106">IsURL(Table_121215[[#This Row],[Data Source]])</f>
        <v/>
      </c>
      <c r="Q106">
        <f t="array" ref="Q106">IsURL(Table_121215[[#This Row],[Data Source]])</f>
        <v/>
      </c>
    </row>
    <row r="107" ht="15.75" customHeight="1">
      <c r="A107">
        <f>IF(Table_17[[#This Row],[Part Name]]=0,"",Table_17[[#This Row],[Part Name]])</f>
        <v/>
      </c>
      <c r="E107" s="11" t="n"/>
      <c r="J107">
        <f>LEN(TRIM(CLEAN(SUBSTITUTE(SUBSTITUTE(Table_17[[#This Row],[Sequence]],CHAR(160)," ")," ",""))))</f>
        <v/>
      </c>
      <c r="K107" s="12" t="n"/>
      <c r="L107" s="21" t="n"/>
      <c r="M107" s="21">
        <f>IF($B107="","FALSE","TRUE")</f>
        <v/>
      </c>
      <c r="N107">
        <f t="array" ref="N107">IsURL(Table_121215[[#This Row],[Data Source]])</f>
        <v/>
      </c>
      <c r="O107">
        <f t="array" ref="O107">IsURL(Table_121215[[#This Row],[DOI]])</f>
        <v/>
      </c>
      <c r="P107">
        <f t="array" ref="P107">IsURL(Table_121215[[#This Row],[Data Source]])</f>
        <v/>
      </c>
      <c r="Q107">
        <f t="array" ref="Q107">IsURL(Table_121215[[#This Row],[Data Source]])</f>
        <v/>
      </c>
    </row>
    <row r="108" ht="15.75" customHeight="1">
      <c r="A108">
        <f>IF(Table_17[[#This Row],[Part Name]]=0,"",Table_17[[#This Row],[Part Name]])</f>
        <v/>
      </c>
      <c r="E108" s="11" t="n"/>
      <c r="J108">
        <f>LEN(TRIM(CLEAN(SUBSTITUTE(SUBSTITUTE(Table_17[[#This Row],[Sequence]],CHAR(160)," ")," ",""))))</f>
        <v/>
      </c>
      <c r="K108" s="12" t="n"/>
      <c r="L108" s="21" t="n"/>
      <c r="M108" s="21">
        <f>IF($B108="","FALSE","TRUE")</f>
        <v/>
      </c>
      <c r="N108">
        <f t="array" ref="N108">IsURL(Table_121215[[#This Row],[Data Source]])</f>
        <v/>
      </c>
      <c r="O108">
        <f t="array" ref="O108">IsURL(Table_121215[[#This Row],[DOI]])</f>
        <v/>
      </c>
      <c r="P108">
        <f t="array" ref="P108">IsURL(Table_121215[[#This Row],[Data Source]])</f>
        <v/>
      </c>
      <c r="Q108">
        <f t="array" ref="Q108">IsURL(Table_121215[[#This Row],[Data Source]])</f>
        <v/>
      </c>
    </row>
    <row r="109" ht="15.75" customHeight="1">
      <c r="A109">
        <f>IF(Table_17[[#This Row],[Part Name]]=0,"",Table_17[[#This Row],[Part Name]])</f>
        <v/>
      </c>
      <c r="E109" s="11" t="n"/>
      <c r="J109">
        <f>LEN(TRIM(CLEAN(SUBSTITUTE(SUBSTITUTE(Table_17[[#This Row],[Sequence]],CHAR(160)," ")," ",""))))</f>
        <v/>
      </c>
      <c r="K109" s="12" t="n"/>
      <c r="L109" s="21" t="n"/>
      <c r="M109" s="21">
        <f>IF($B109="","FALSE","TRUE")</f>
        <v/>
      </c>
      <c r="N109">
        <f t="array" ref="N109">IsURL(Table_121215[[#This Row],[Data Source]])</f>
        <v/>
      </c>
      <c r="O109">
        <f t="array" ref="O109">IsURL(Table_121215[[#This Row],[DOI]])</f>
        <v/>
      </c>
      <c r="P109">
        <f t="array" ref="P109">IsURL(Table_121215[[#This Row],[Data Source]])</f>
        <v/>
      </c>
      <c r="Q109">
        <f t="array" ref="Q109">IsURL(Table_121215[[#This Row],[Data Source]])</f>
        <v/>
      </c>
    </row>
    <row r="110" ht="15.75" customHeight="1">
      <c r="A110">
        <f>IF(Table_17[[#This Row],[Part Name]]=0,"",Table_17[[#This Row],[Part Name]])</f>
        <v/>
      </c>
      <c r="E110" s="11" t="n"/>
      <c r="J110">
        <f>LEN(TRIM(CLEAN(SUBSTITUTE(SUBSTITUTE(Table_17[[#This Row],[Sequence]],CHAR(160)," ")," ",""))))</f>
        <v/>
      </c>
      <c r="K110" s="12" t="n"/>
      <c r="L110" s="21" t="n"/>
      <c r="M110" s="21">
        <f>IF($B110="","FALSE","TRUE")</f>
        <v/>
      </c>
      <c r="N110">
        <f t="array" ref="N110">IsURL(Table_121215[[#This Row],[Data Source]])</f>
        <v/>
      </c>
      <c r="O110">
        <f t="array" ref="O110">IsURL(Table_121215[[#This Row],[DOI]])</f>
        <v/>
      </c>
      <c r="P110">
        <f t="array" ref="P110">IsURL(Table_121215[[#This Row],[Data Source]])</f>
        <v/>
      </c>
      <c r="Q110">
        <f t="array" ref="Q110">IsURL(Table_121215[[#This Row],[Data Source]])</f>
        <v/>
      </c>
    </row>
    <row r="111" ht="15.75" customHeight="1">
      <c r="A111">
        <f>IF(Table_17[[#This Row],[Part Name]]=0,"",Table_17[[#This Row],[Part Name]])</f>
        <v/>
      </c>
      <c r="E111" s="11" t="n"/>
      <c r="J111">
        <f>LEN(TRIM(CLEAN(SUBSTITUTE(SUBSTITUTE(Table_17[[#This Row],[Sequence]],CHAR(160)," ")," ",""))))</f>
        <v/>
      </c>
      <c r="K111" s="12" t="n"/>
      <c r="L111" s="21" t="n"/>
      <c r="M111" s="21">
        <f>IF($B111="","FALSE","TRUE")</f>
        <v/>
      </c>
      <c r="N111">
        <f t="array" ref="N111">IsURL(Table_121215[[#This Row],[Data Source]])</f>
        <v/>
      </c>
      <c r="O111">
        <f t="array" ref="O111">IsURL(Table_121215[[#This Row],[DOI]])</f>
        <v/>
      </c>
      <c r="P111">
        <f t="array" ref="P111">IsURL(Table_121215[[#This Row],[Data Source]])</f>
        <v/>
      </c>
      <c r="Q111">
        <f t="array" ref="Q111">IsURL(Table_121215[[#This Row],[Data Source]])</f>
        <v/>
      </c>
    </row>
    <row r="112" ht="15.75" customHeight="1">
      <c r="A112">
        <f>IF(Table_17[[#This Row],[Part Name]]=0,"",Table_17[[#This Row],[Part Name]])</f>
        <v/>
      </c>
      <c r="E112" s="11" t="n"/>
      <c r="J112">
        <f>LEN(TRIM(CLEAN(SUBSTITUTE(SUBSTITUTE(Table_17[[#This Row],[Sequence]],CHAR(160)," ")," ",""))))</f>
        <v/>
      </c>
      <c r="K112" s="12" t="n"/>
      <c r="L112" s="21" t="n"/>
      <c r="M112" s="21">
        <f>IF($B112="","FALSE","TRUE")</f>
        <v/>
      </c>
      <c r="N112">
        <f t="array" ref="N112">IsURL(Table_121215[[#This Row],[Data Source]])</f>
        <v/>
      </c>
      <c r="O112">
        <f t="array" ref="O112">IsURL(Table_121215[[#This Row],[DOI]])</f>
        <v/>
      </c>
      <c r="P112">
        <f t="array" ref="P112">IsURL(Table_121215[[#This Row],[Data Source]])</f>
        <v/>
      </c>
      <c r="Q112">
        <f t="array" ref="Q112">IsURL(Table_121215[[#This Row],[Data Source]])</f>
        <v/>
      </c>
    </row>
    <row r="113" ht="15.75" customHeight="1">
      <c r="A113">
        <f>IF(Table_17[[#This Row],[Part Name]]=0,"",Table_17[[#This Row],[Part Name]])</f>
        <v/>
      </c>
      <c r="E113" s="11" t="n"/>
      <c r="J113">
        <f>LEN(TRIM(CLEAN(SUBSTITUTE(SUBSTITUTE(Table_17[[#This Row],[Sequence]],CHAR(160)," ")," ",""))))</f>
        <v/>
      </c>
      <c r="K113" s="12" t="n"/>
      <c r="L113" s="21" t="n"/>
      <c r="M113" s="21">
        <f>IF($B113="","FALSE","TRUE")</f>
        <v/>
      </c>
      <c r="N113">
        <f t="array" ref="N113">IsURL(Table_121215[[#This Row],[Data Source]])</f>
        <v/>
      </c>
      <c r="O113">
        <f t="array" ref="O113">IsURL(Table_121215[[#This Row],[DOI]])</f>
        <v/>
      </c>
      <c r="P113">
        <f t="array" ref="P113">IsURL(Table_121215[[#This Row],[Data Source]])</f>
        <v/>
      </c>
      <c r="Q113">
        <f t="array" ref="Q113">IsURL(Table_121215[[#This Row],[Data Source]])</f>
        <v/>
      </c>
    </row>
    <row r="114" ht="15.75" customHeight="1">
      <c r="A114">
        <f>IF(Table_17[[#This Row],[Part Name]]=0,"",Table_17[[#This Row],[Part Name]])</f>
        <v/>
      </c>
      <c r="E114" s="11" t="n"/>
      <c r="J114">
        <f>LEN(TRIM(CLEAN(SUBSTITUTE(SUBSTITUTE(Table_17[[#This Row],[Sequence]],CHAR(160)," ")," ",""))))</f>
        <v/>
      </c>
      <c r="K114" s="12" t="n"/>
      <c r="L114" s="21" t="n"/>
      <c r="M114" s="21">
        <f>IF($B114="","FALSE","TRUE")</f>
        <v/>
      </c>
      <c r="N114">
        <f t="array" ref="N114">IsURL(Table_121215[[#This Row],[Data Source]])</f>
        <v/>
      </c>
      <c r="O114">
        <f t="array" ref="O114">IsURL(Table_121215[[#This Row],[DOI]])</f>
        <v/>
      </c>
      <c r="P114">
        <f t="array" ref="P114">IsURL(Table_121215[[#This Row],[Data Source]])</f>
        <v/>
      </c>
      <c r="Q114">
        <f t="array" ref="Q114">IsURL(Table_121215[[#This Row],[Data Source]])</f>
        <v/>
      </c>
    </row>
    <row r="115" ht="15.75" customHeight="1">
      <c r="A115">
        <f>IF(Table_17[[#This Row],[Part Name]]=0,"",Table_17[[#This Row],[Part Name]])</f>
        <v/>
      </c>
      <c r="E115" s="11" t="n"/>
      <c r="J115">
        <f>LEN(TRIM(CLEAN(SUBSTITUTE(SUBSTITUTE(Table_17[[#This Row],[Sequence]],CHAR(160)," ")," ",""))))</f>
        <v/>
      </c>
      <c r="K115" s="12" t="n"/>
      <c r="L115" s="21" t="n"/>
      <c r="M115" s="21">
        <f>IF($B115="","FALSE","TRUE")</f>
        <v/>
      </c>
      <c r="N115">
        <f t="array" ref="N115">IsURL(Table_121215[[#This Row],[Data Source]])</f>
        <v/>
      </c>
      <c r="O115">
        <f t="array" ref="O115">IsURL(Table_121215[[#This Row],[DOI]])</f>
        <v/>
      </c>
      <c r="P115">
        <f t="array" ref="P115">IsURL(Table_121215[[#This Row],[Data Source]])</f>
        <v/>
      </c>
      <c r="Q115">
        <f t="array" ref="Q115">IsURL(Table_121215[[#This Row],[Data Source]])</f>
        <v/>
      </c>
    </row>
    <row r="116" ht="15.75" customHeight="1">
      <c r="A116">
        <f>IF(Table_17[[#This Row],[Part Name]]=0,"",Table_17[[#This Row],[Part Name]])</f>
        <v/>
      </c>
      <c r="E116" s="11" t="n"/>
      <c r="J116">
        <f>LEN(TRIM(CLEAN(SUBSTITUTE(SUBSTITUTE(Table_17[[#This Row],[Sequence]],CHAR(160)," ")," ",""))))</f>
        <v/>
      </c>
      <c r="K116" s="12" t="n"/>
      <c r="L116" s="21" t="n"/>
      <c r="M116" s="21">
        <f>IF($B116="","FALSE","TRUE")</f>
        <v/>
      </c>
      <c r="N116">
        <f t="array" ref="N116">IsURL(Table_121215[[#This Row],[Data Source]])</f>
        <v/>
      </c>
      <c r="O116">
        <f t="array" ref="O116">IsURL(Table_121215[[#This Row],[DOI]])</f>
        <v/>
      </c>
      <c r="P116">
        <f t="array" ref="P116">IsURL(Table_121215[[#This Row],[Data Source]])</f>
        <v/>
      </c>
      <c r="Q116">
        <f t="array" ref="Q116">IsURL(Table_121215[[#This Row],[Data Source]])</f>
        <v/>
      </c>
    </row>
    <row r="117" ht="15.75" customHeight="1">
      <c r="A117">
        <f>IF(Table_17[[#This Row],[Part Name]]=0,"",Table_17[[#This Row],[Part Name]])</f>
        <v/>
      </c>
      <c r="E117" s="11" t="n"/>
      <c r="J117">
        <f>LEN(TRIM(CLEAN(SUBSTITUTE(SUBSTITUTE(Table_17[[#This Row],[Sequence]],CHAR(160)," ")," ",""))))</f>
        <v/>
      </c>
      <c r="K117" s="12" t="n"/>
      <c r="L117" s="21" t="n"/>
      <c r="M117" s="21">
        <f>IF($B117="","FALSE","TRUE")</f>
        <v/>
      </c>
      <c r="N117">
        <f t="array" ref="N117">IsURL(Table_121215[[#This Row],[Data Source]])</f>
        <v/>
      </c>
      <c r="O117">
        <f t="array" ref="O117">IsURL(Table_121215[[#This Row],[DOI]])</f>
        <v/>
      </c>
      <c r="P117">
        <f t="array" ref="P117">IsURL(Table_121215[[#This Row],[Data Source]])</f>
        <v/>
      </c>
      <c r="Q117">
        <f t="array" ref="Q117">IsURL(Table_121215[[#This Row],[Data Source]])</f>
        <v/>
      </c>
    </row>
    <row r="118" ht="15.75" customHeight="1">
      <c r="A118">
        <f>IF(Table_17[[#This Row],[Part Name]]=0,"",Table_17[[#This Row],[Part Name]])</f>
        <v/>
      </c>
      <c r="E118" s="11" t="n"/>
      <c r="J118">
        <f>LEN(TRIM(CLEAN(SUBSTITUTE(SUBSTITUTE(Table_17[[#This Row],[Sequence]],CHAR(160)," ")," ",""))))</f>
        <v/>
      </c>
      <c r="K118" s="12" t="n"/>
      <c r="L118" s="21" t="n"/>
      <c r="M118" s="21">
        <f>IF($B118="","FALSE","TRUE")</f>
        <v/>
      </c>
      <c r="N118">
        <f t="array" ref="N118">IsURL(Table_121215[[#This Row],[Data Source]])</f>
        <v/>
      </c>
      <c r="O118">
        <f t="array" ref="O118">IsURL(Table_121215[[#This Row],[DOI]])</f>
        <v/>
      </c>
      <c r="P118">
        <f t="array" ref="P118">IsURL(Table_121215[[#This Row],[Data Source]])</f>
        <v/>
      </c>
      <c r="Q118">
        <f t="array" ref="Q118">IsURL(Table_121215[[#This Row],[Data Source]])</f>
        <v/>
      </c>
    </row>
    <row r="119" ht="15.75" customHeight="1">
      <c r="A119">
        <f>IF(Table_17[[#This Row],[Part Name]]=0,"",Table_17[[#This Row],[Part Name]])</f>
        <v/>
      </c>
      <c r="E119" s="11" t="n"/>
      <c r="J119">
        <f>LEN(TRIM(CLEAN(SUBSTITUTE(SUBSTITUTE(Table_17[[#This Row],[Sequence]],CHAR(160)," ")," ",""))))</f>
        <v/>
      </c>
      <c r="K119" s="12" t="n"/>
      <c r="L119" s="21" t="n"/>
      <c r="M119" s="21">
        <f>IF($B119="","FALSE","TRUE")</f>
        <v/>
      </c>
      <c r="N119">
        <f t="array" ref="N119">IsURL(Table_121215[[#This Row],[Data Source]])</f>
        <v/>
      </c>
      <c r="O119">
        <f t="array" ref="O119">IsURL(Table_121215[[#This Row],[DOI]])</f>
        <v/>
      </c>
      <c r="P119">
        <f t="array" ref="P119">IsURL(Table_121215[[#This Row],[Data Source]])</f>
        <v/>
      </c>
      <c r="Q119">
        <f t="array" ref="Q119">IsURL(Table_121215[[#This Row],[Data Source]])</f>
        <v/>
      </c>
    </row>
    <row r="120" ht="15.75" customHeight="1">
      <c r="A120">
        <f>IF(Table_17[[#This Row],[Part Name]]=0,"",Table_17[[#This Row],[Part Name]])</f>
        <v/>
      </c>
      <c r="E120" s="11" t="n"/>
      <c r="J120">
        <f>LEN(TRIM(CLEAN(SUBSTITUTE(SUBSTITUTE(Table_17[[#This Row],[Sequence]],CHAR(160)," ")," ",""))))</f>
        <v/>
      </c>
      <c r="K120" s="12" t="n"/>
      <c r="L120" s="21" t="n"/>
      <c r="M120" s="21">
        <f>IF($B120="","FALSE","TRUE")</f>
        <v/>
      </c>
      <c r="N120">
        <f t="array" ref="N120">IsURL(Table_121215[[#This Row],[Data Source]])</f>
        <v/>
      </c>
      <c r="O120">
        <f t="array" ref="O120">IsURL(Table_121215[[#This Row],[DOI]])</f>
        <v/>
      </c>
      <c r="P120">
        <f t="array" ref="P120">IsURL(Table_121215[[#This Row],[Data Source]])</f>
        <v/>
      </c>
      <c r="Q120">
        <f t="array" ref="Q120">IsURL(Table_121215[[#This Row],[Data Source]])</f>
        <v/>
      </c>
    </row>
    <row r="121" ht="15.75" customHeight="1">
      <c r="A121">
        <f>IF(Table_17[[#This Row],[Part Name]]=0,"",Table_17[[#This Row],[Part Name]])</f>
        <v/>
      </c>
      <c r="E121" s="11" t="n"/>
      <c r="J121">
        <f>LEN(TRIM(CLEAN(SUBSTITUTE(SUBSTITUTE(Table_17[[#This Row],[Sequence]],CHAR(160)," ")," ",""))))</f>
        <v/>
      </c>
      <c r="K121" s="12" t="n"/>
      <c r="L121" s="21" t="n"/>
      <c r="M121" s="21">
        <f>IF($B121="","FALSE","TRUE")</f>
        <v/>
      </c>
      <c r="N121">
        <f t="array" ref="N121">IsURL(Table_121215[[#This Row],[Data Source]])</f>
        <v/>
      </c>
      <c r="O121">
        <f t="array" ref="O121">IsURL(Table_121215[[#This Row],[DOI]])</f>
        <v/>
      </c>
      <c r="P121">
        <f t="array" ref="P121">IsURL(Table_121215[[#This Row],[Data Source]])</f>
        <v/>
      </c>
      <c r="Q121">
        <f t="array" ref="Q121">IsURL(Table_121215[[#This Row],[Data Source]])</f>
        <v/>
      </c>
    </row>
    <row r="122" ht="15.75" customHeight="1">
      <c r="A122">
        <f>IF(Table_17[[#This Row],[Part Name]]=0,"",Table_17[[#This Row],[Part Name]])</f>
        <v/>
      </c>
      <c r="E122" s="11" t="n"/>
      <c r="J122">
        <f>LEN(TRIM(CLEAN(SUBSTITUTE(SUBSTITUTE(Table_17[[#This Row],[Sequence]],CHAR(160)," ")," ",""))))</f>
        <v/>
      </c>
      <c r="K122" s="12" t="n"/>
      <c r="L122" s="21" t="n"/>
      <c r="M122" s="21">
        <f>IF($B122="","FALSE","TRUE")</f>
        <v/>
      </c>
      <c r="N122">
        <f t="array" ref="N122">IsURL(Table_121215[[#This Row],[Data Source]])</f>
        <v/>
      </c>
      <c r="O122">
        <f t="array" ref="O122">IsURL(Table_121215[[#This Row],[DOI]])</f>
        <v/>
      </c>
      <c r="P122">
        <f t="array" ref="P122">IsURL(Table_121215[[#This Row],[Data Source]])</f>
        <v/>
      </c>
      <c r="Q122">
        <f t="array" ref="Q122">IsURL(Table_121215[[#This Row],[Data Source]])</f>
        <v/>
      </c>
    </row>
    <row r="123" ht="15.75" customHeight="1">
      <c r="A123">
        <f>IF(Table_17[[#This Row],[Part Name]]=0,"",Table_17[[#This Row],[Part Name]])</f>
        <v/>
      </c>
      <c r="E123" s="11" t="n"/>
      <c r="J123">
        <f>LEN(TRIM(CLEAN(SUBSTITUTE(SUBSTITUTE(Table_17[[#This Row],[Sequence]],CHAR(160)," ")," ",""))))</f>
        <v/>
      </c>
      <c r="K123" s="12" t="n"/>
      <c r="L123" s="21" t="n"/>
      <c r="M123" s="21">
        <f>IF($B123="","FALSE","TRUE")</f>
        <v/>
      </c>
      <c r="N123">
        <f t="array" ref="N123">IsURL(Table_121215[[#This Row],[Data Source]])</f>
        <v/>
      </c>
      <c r="O123">
        <f t="array" ref="O123">IsURL(Table_121215[[#This Row],[DOI]])</f>
        <v/>
      </c>
      <c r="P123">
        <f t="array" ref="P123">IsURL(Table_121215[[#This Row],[Data Source]])</f>
        <v/>
      </c>
      <c r="Q123">
        <f t="array" ref="Q123">IsURL(Table_121215[[#This Row],[Data Source]])</f>
        <v/>
      </c>
    </row>
    <row r="124" ht="15.75" customHeight="1">
      <c r="A124">
        <f>IF(Table_17[[#This Row],[Part Name]]=0,"",Table_17[[#This Row],[Part Name]])</f>
        <v/>
      </c>
      <c r="E124" s="11" t="n"/>
      <c r="J124">
        <f>LEN(TRIM(CLEAN(SUBSTITUTE(SUBSTITUTE(Table_17[[#This Row],[Sequence]],CHAR(160)," ")," ",""))))</f>
        <v/>
      </c>
      <c r="K124" s="12" t="n"/>
      <c r="L124" s="21" t="n"/>
      <c r="M124" s="21">
        <f>IF($B124="","FALSE","TRUE")</f>
        <v/>
      </c>
      <c r="N124">
        <f t="array" ref="N124">IsURL(Table_121215[[#This Row],[Data Source]])</f>
        <v/>
      </c>
      <c r="O124">
        <f t="array" ref="O124">IsURL(Table_121215[[#This Row],[DOI]])</f>
        <v/>
      </c>
      <c r="P124">
        <f t="array" ref="P124">IsURL(Table_121215[[#This Row],[Data Source]])</f>
        <v/>
      </c>
      <c r="Q124">
        <f t="array" ref="Q124">IsURL(Table_121215[[#This Row],[Data Source]])</f>
        <v/>
      </c>
    </row>
    <row r="125" ht="15.75" customHeight="1">
      <c r="A125">
        <f>IF(Table_17[[#This Row],[Part Name]]=0,"",Table_17[[#This Row],[Part Name]])</f>
        <v/>
      </c>
      <c r="E125" s="11" t="n"/>
      <c r="J125">
        <f>LEN(TRIM(CLEAN(SUBSTITUTE(SUBSTITUTE(Table_17[[#This Row],[Sequence]],CHAR(160)," ")," ",""))))</f>
        <v/>
      </c>
      <c r="K125" s="12" t="n"/>
      <c r="L125" s="21" t="n"/>
      <c r="M125" s="21">
        <f>IF($B125="","FALSE","TRUE")</f>
        <v/>
      </c>
      <c r="N125">
        <f t="array" ref="N125">IsURL(Table_121215[[#This Row],[Data Source]])</f>
        <v/>
      </c>
      <c r="O125">
        <f t="array" ref="O125">IsURL(Table_121215[[#This Row],[DOI]])</f>
        <v/>
      </c>
      <c r="P125">
        <f t="array" ref="P125">IsURL(Table_121215[[#This Row],[Data Source]])</f>
        <v/>
      </c>
      <c r="Q125">
        <f t="array" ref="Q125">IsURL(Table_121215[[#This Row],[Data Source]])</f>
        <v/>
      </c>
    </row>
    <row r="126" ht="15.75" customHeight="1">
      <c r="A126">
        <f>IF(Table_17[[#This Row],[Part Name]]=0,"",Table_17[[#This Row],[Part Name]])</f>
        <v/>
      </c>
      <c r="E126" s="11" t="n"/>
      <c r="J126">
        <f>LEN(TRIM(CLEAN(SUBSTITUTE(SUBSTITUTE(Table_17[[#This Row],[Sequence]],CHAR(160)," ")," ",""))))</f>
        <v/>
      </c>
      <c r="K126" s="12" t="n"/>
      <c r="L126" s="21" t="n"/>
      <c r="M126" s="21">
        <f>IF($B126="","FALSE","TRUE")</f>
        <v/>
      </c>
      <c r="N126">
        <f t="array" ref="N126">IsURL(Table_121215[[#This Row],[Data Source]])</f>
        <v/>
      </c>
      <c r="O126">
        <f t="array" ref="O126">IsURL(Table_121215[[#This Row],[DOI]])</f>
        <v/>
      </c>
      <c r="P126">
        <f t="array" ref="P126">IsURL(Table_121215[[#This Row],[Data Source]])</f>
        <v/>
      </c>
      <c r="Q126">
        <f t="array" ref="Q126">IsURL(Table_121215[[#This Row],[Data Source]])</f>
        <v/>
      </c>
    </row>
    <row r="127" ht="15.75" customHeight="1">
      <c r="A127">
        <f>IF(Table_17[[#This Row],[Part Name]]=0,"",Table_17[[#This Row],[Part Name]])</f>
        <v/>
      </c>
      <c r="E127" s="11" t="n"/>
      <c r="J127">
        <f>LEN(TRIM(CLEAN(SUBSTITUTE(SUBSTITUTE(Table_17[[#This Row],[Sequence]],CHAR(160)," ")," ",""))))</f>
        <v/>
      </c>
      <c r="K127" s="12" t="n"/>
      <c r="L127" s="21" t="n"/>
      <c r="M127" s="21">
        <f>IF($B127="","FALSE","TRUE")</f>
        <v/>
      </c>
      <c r="N127">
        <f t="array" ref="N127">IsURL(Table_121215[[#This Row],[Data Source]])</f>
        <v/>
      </c>
      <c r="O127">
        <f t="array" ref="O127">IsURL(Table_121215[[#This Row],[DOI]])</f>
        <v/>
      </c>
      <c r="P127">
        <f t="array" ref="P127">IsURL(Table_121215[[#This Row],[Data Source]])</f>
        <v/>
      </c>
      <c r="Q127">
        <f t="array" ref="Q127">IsURL(Table_121215[[#This Row],[Data Source]])</f>
        <v/>
      </c>
    </row>
    <row r="128" ht="15.75" customHeight="1">
      <c r="A128">
        <f>IF(Table_17[[#This Row],[Part Name]]=0,"",Table_17[[#This Row],[Part Name]])</f>
        <v/>
      </c>
      <c r="E128" s="11" t="n"/>
      <c r="J128">
        <f>LEN(TRIM(CLEAN(SUBSTITUTE(SUBSTITUTE(Table_17[[#This Row],[Sequence]],CHAR(160)," ")," ",""))))</f>
        <v/>
      </c>
      <c r="K128" s="12" t="n"/>
      <c r="L128" s="21" t="n"/>
      <c r="M128" s="21">
        <f>IF($B128="","FALSE","TRUE")</f>
        <v/>
      </c>
      <c r="N128">
        <f t="array" ref="N128">IsURL(Table_121215[[#This Row],[Data Source]])</f>
        <v/>
      </c>
      <c r="O128">
        <f t="array" ref="O128">IsURL(Table_121215[[#This Row],[DOI]])</f>
        <v/>
      </c>
      <c r="P128">
        <f t="array" ref="P128">IsURL(Table_121215[[#This Row],[Data Source]])</f>
        <v/>
      </c>
      <c r="Q128">
        <f t="array" ref="Q128">IsURL(Table_121215[[#This Row],[Data Source]])</f>
        <v/>
      </c>
    </row>
    <row r="129" ht="15.75" customHeight="1">
      <c r="A129">
        <f>IF(Table_17[[#This Row],[Part Name]]=0,"",Table_17[[#This Row],[Part Name]])</f>
        <v/>
      </c>
      <c r="E129" s="11" t="n"/>
      <c r="J129">
        <f>LEN(TRIM(CLEAN(SUBSTITUTE(SUBSTITUTE(Table_17[[#This Row],[Sequence]],CHAR(160)," ")," ",""))))</f>
        <v/>
      </c>
      <c r="K129" s="12" t="n"/>
      <c r="L129" s="21" t="n"/>
      <c r="M129" s="21">
        <f>IF($B129="","FALSE","TRUE")</f>
        <v/>
      </c>
      <c r="N129">
        <f t="array" ref="N129">IsURL(Table_121215[[#This Row],[Data Source]])</f>
        <v/>
      </c>
      <c r="O129">
        <f t="array" ref="O129">IsURL(Table_121215[[#This Row],[DOI]])</f>
        <v/>
      </c>
      <c r="P129">
        <f t="array" ref="P129">IsURL(Table_121215[[#This Row],[Data Source]])</f>
        <v/>
      </c>
      <c r="Q129">
        <f t="array" ref="Q129">IsURL(Table_121215[[#This Row],[Data Source]])</f>
        <v/>
      </c>
    </row>
    <row r="130" ht="15.75" customHeight="1">
      <c r="A130">
        <f>IF(Table_17[[#This Row],[Part Name]]=0,"",Table_17[[#This Row],[Part Name]])</f>
        <v/>
      </c>
      <c r="E130" s="11" t="n"/>
      <c r="J130">
        <f>LEN(TRIM(CLEAN(SUBSTITUTE(SUBSTITUTE(Table_17[[#This Row],[Sequence]],CHAR(160)," ")," ",""))))</f>
        <v/>
      </c>
      <c r="K130" s="12" t="n"/>
      <c r="L130" s="21" t="n"/>
      <c r="M130" s="21">
        <f>IF($B130="","FALSE","TRUE")</f>
        <v/>
      </c>
      <c r="N130">
        <f t="array" ref="N130">IsURL(Table_121215[[#This Row],[Data Source]])</f>
        <v/>
      </c>
      <c r="O130">
        <f t="array" ref="O130">IsURL(Table_121215[[#This Row],[DOI]])</f>
        <v/>
      </c>
      <c r="P130">
        <f t="array" ref="P130">IsURL(Table_121215[[#This Row],[Data Source]])</f>
        <v/>
      </c>
      <c r="Q130">
        <f t="array" ref="Q130">IsURL(Table_121215[[#This Row],[Data Source]])</f>
        <v/>
      </c>
    </row>
    <row r="131" ht="15.75" customHeight="1">
      <c r="A131">
        <f>IF(Table_17[[#This Row],[Part Name]]=0,"",Table_17[[#This Row],[Part Name]])</f>
        <v/>
      </c>
      <c r="E131" s="11" t="n"/>
      <c r="J131">
        <f>LEN(TRIM(CLEAN(SUBSTITUTE(SUBSTITUTE(Table_17[[#This Row],[Sequence]],CHAR(160)," ")," ",""))))</f>
        <v/>
      </c>
      <c r="K131" s="12" t="n"/>
      <c r="L131" s="21" t="n"/>
      <c r="M131" s="21">
        <f>IF($B131="","FALSE","TRUE")</f>
        <v/>
      </c>
      <c r="N131">
        <f t="array" ref="N131">IsURL(Table_121215[[#This Row],[Data Source]])</f>
        <v/>
      </c>
      <c r="O131">
        <f t="array" ref="O131">IsURL(Table_121215[[#This Row],[DOI]])</f>
        <v/>
      </c>
      <c r="P131">
        <f t="array" ref="P131">IsURL(Table_121215[[#This Row],[Data Source]])</f>
        <v/>
      </c>
      <c r="Q131">
        <f t="array" ref="Q131">IsURL(Table_121215[[#This Row],[Data Source]])</f>
        <v/>
      </c>
    </row>
    <row r="132" ht="15.75" customHeight="1">
      <c r="A132">
        <f>IF(Table_17[[#This Row],[Part Name]]=0,"",Table_17[[#This Row],[Part Name]])</f>
        <v/>
      </c>
      <c r="E132" s="11" t="n"/>
      <c r="J132">
        <f>LEN(TRIM(CLEAN(SUBSTITUTE(SUBSTITUTE(Table_17[[#This Row],[Sequence]],CHAR(160)," ")," ",""))))</f>
        <v/>
      </c>
      <c r="K132" s="12" t="n"/>
      <c r="L132" s="21" t="n"/>
      <c r="M132" s="21">
        <f>IF($B132="","FALSE","TRUE")</f>
        <v/>
      </c>
      <c r="N132">
        <f t="array" ref="N132">IsURL(Table_121215[[#This Row],[Data Source]])</f>
        <v/>
      </c>
      <c r="O132">
        <f t="array" ref="O132">IsURL(Table_121215[[#This Row],[DOI]])</f>
        <v/>
      </c>
      <c r="P132">
        <f t="array" ref="P132">IsURL(Table_121215[[#This Row],[Data Source]])</f>
        <v/>
      </c>
      <c r="Q132">
        <f t="array" ref="Q132">IsURL(Table_121215[[#This Row],[Data Source]])</f>
        <v/>
      </c>
    </row>
    <row r="133" ht="15.75" customHeight="1">
      <c r="A133">
        <f>IF(Table_17[[#This Row],[Part Name]]=0,"",Table_17[[#This Row],[Part Name]])</f>
        <v/>
      </c>
      <c r="E133" s="11" t="n"/>
      <c r="J133">
        <f>LEN(TRIM(CLEAN(SUBSTITUTE(SUBSTITUTE(Table_17[[#This Row],[Sequence]],CHAR(160)," ")," ",""))))</f>
        <v/>
      </c>
      <c r="K133" s="12" t="n"/>
      <c r="L133" s="21" t="n"/>
      <c r="M133" s="21">
        <f>IF($B133="","FALSE","TRUE")</f>
        <v/>
      </c>
      <c r="N133">
        <f t="array" ref="N133">IsURL(Table_121215[[#This Row],[Data Source]])</f>
        <v/>
      </c>
      <c r="O133">
        <f t="array" ref="O133">IsURL(Table_121215[[#This Row],[DOI]])</f>
        <v/>
      </c>
      <c r="P133">
        <f t="array" ref="P133">IsURL(Table_121215[[#This Row],[Data Source]])</f>
        <v/>
      </c>
      <c r="Q133">
        <f t="array" ref="Q133">IsURL(Table_121215[[#This Row],[Data Source]])</f>
        <v/>
      </c>
    </row>
    <row r="134" ht="15.75" customHeight="1">
      <c r="A134">
        <f>IF(Table_17[[#This Row],[Part Name]]=0,"",Table_17[[#This Row],[Part Name]])</f>
        <v/>
      </c>
      <c r="E134" s="11" t="n"/>
      <c r="J134">
        <f>LEN(TRIM(CLEAN(SUBSTITUTE(SUBSTITUTE(Table_17[[#This Row],[Sequence]],CHAR(160)," ")," ",""))))</f>
        <v/>
      </c>
      <c r="K134" s="12" t="n"/>
      <c r="L134" s="21" t="n"/>
      <c r="M134" s="21">
        <f>IF($B134="","FALSE","TRUE")</f>
        <v/>
      </c>
      <c r="N134">
        <f t="array" ref="N134">IsURL(Table_121215[[#This Row],[Data Source]])</f>
        <v/>
      </c>
      <c r="O134">
        <f t="array" ref="O134">IsURL(Table_121215[[#This Row],[DOI]])</f>
        <v/>
      </c>
      <c r="P134">
        <f t="array" ref="P134">IsURL(Table_121215[[#This Row],[Data Source]])</f>
        <v/>
      </c>
      <c r="Q134">
        <f t="array" ref="Q134">IsURL(Table_121215[[#This Row],[Data Source]])</f>
        <v/>
      </c>
    </row>
    <row r="135" ht="15.75" customHeight="1">
      <c r="A135">
        <f>IF(Table_17[[#This Row],[Part Name]]=0,"",Table_17[[#This Row],[Part Name]])</f>
        <v/>
      </c>
      <c r="E135" s="11" t="n"/>
      <c r="J135">
        <f>LEN(TRIM(CLEAN(SUBSTITUTE(SUBSTITUTE(Table_17[[#This Row],[Sequence]],CHAR(160)," ")," ",""))))</f>
        <v/>
      </c>
      <c r="K135" s="12" t="n"/>
      <c r="L135" s="21" t="n"/>
      <c r="M135" s="21">
        <f>IF($B135="","FALSE","TRUE")</f>
        <v/>
      </c>
      <c r="N135">
        <f t="array" ref="N135">IsURL(Table_121215[[#This Row],[Data Source]])</f>
        <v/>
      </c>
      <c r="O135">
        <f t="array" ref="O135">IsURL(Table_121215[[#This Row],[DOI]])</f>
        <v/>
      </c>
      <c r="P135">
        <f t="array" ref="P135">IsURL(Table_121215[[#This Row],[Data Source]])</f>
        <v/>
      </c>
      <c r="Q135">
        <f t="array" ref="Q135">IsURL(Table_121215[[#This Row],[Data Source]])</f>
        <v/>
      </c>
    </row>
    <row r="136" ht="15.75" customHeight="1">
      <c r="A136">
        <f>IF(Table_17[[#This Row],[Part Name]]=0,"",Table_17[[#This Row],[Part Name]])</f>
        <v/>
      </c>
      <c r="E136" s="11" t="n"/>
      <c r="J136">
        <f>LEN(TRIM(CLEAN(SUBSTITUTE(SUBSTITUTE(Table_17[[#This Row],[Sequence]],CHAR(160)," ")," ",""))))</f>
        <v/>
      </c>
      <c r="K136" s="12" t="n"/>
      <c r="L136" s="21" t="n"/>
      <c r="M136" s="21">
        <f>IF($B136="","FALSE","TRUE")</f>
        <v/>
      </c>
      <c r="N136">
        <f t="array" ref="N136">IsURL(Table_121215[[#This Row],[Data Source]])</f>
        <v/>
      </c>
      <c r="O136">
        <f t="array" ref="O136">IsURL(Table_121215[[#This Row],[DOI]])</f>
        <v/>
      </c>
      <c r="P136">
        <f t="array" ref="P136">IsURL(Table_121215[[#This Row],[Data Source]])</f>
        <v/>
      </c>
      <c r="Q136">
        <f t="array" ref="Q136">IsURL(Table_121215[[#This Row],[Data Source]])</f>
        <v/>
      </c>
    </row>
    <row r="137" ht="15.75" customHeight="1">
      <c r="A137">
        <f>IF(Table_17[[#This Row],[Part Name]]=0,"",Table_17[[#This Row],[Part Name]])</f>
        <v/>
      </c>
      <c r="E137" s="11" t="n"/>
      <c r="J137">
        <f>LEN(TRIM(CLEAN(SUBSTITUTE(SUBSTITUTE(Table_17[[#This Row],[Sequence]],CHAR(160)," ")," ",""))))</f>
        <v/>
      </c>
      <c r="K137" s="12" t="n"/>
      <c r="L137" s="21" t="n"/>
      <c r="M137" s="21">
        <f>IF($B137="","FALSE","TRUE")</f>
        <v/>
      </c>
      <c r="N137">
        <f t="array" ref="N137">IsURL(Table_121215[[#This Row],[Data Source]])</f>
        <v/>
      </c>
      <c r="O137">
        <f t="array" ref="O137">IsURL(Table_121215[[#This Row],[DOI]])</f>
        <v/>
      </c>
      <c r="P137">
        <f t="array" ref="P137">IsURL(Table_121215[[#This Row],[Data Source]])</f>
        <v/>
      </c>
      <c r="Q137">
        <f t="array" ref="Q137">IsURL(Table_121215[[#This Row],[Data Source]])</f>
        <v/>
      </c>
    </row>
    <row r="138" ht="15.75" customHeight="1">
      <c r="A138">
        <f>IF(Table_17[[#This Row],[Part Name]]=0,"",Table_17[[#This Row],[Part Name]])</f>
        <v/>
      </c>
      <c r="E138" s="11" t="n"/>
      <c r="J138">
        <f>LEN(TRIM(CLEAN(SUBSTITUTE(SUBSTITUTE(Table_17[[#This Row],[Sequence]],CHAR(160)," ")," ",""))))</f>
        <v/>
      </c>
      <c r="K138" s="12" t="n"/>
      <c r="L138" s="21" t="n"/>
      <c r="M138" s="21">
        <f>IF($B138="","FALSE","TRUE")</f>
        <v/>
      </c>
      <c r="N138">
        <f t="array" ref="N138">IsURL(Table_121215[[#This Row],[Data Source]])</f>
        <v/>
      </c>
      <c r="O138">
        <f t="array" ref="O138">IsURL(Table_121215[[#This Row],[DOI]])</f>
        <v/>
      </c>
      <c r="P138">
        <f t="array" ref="P138">IsURL(Table_121215[[#This Row],[Data Source]])</f>
        <v/>
      </c>
      <c r="Q138">
        <f t="array" ref="Q138">IsURL(Table_121215[[#This Row],[Data Source]])</f>
        <v/>
      </c>
    </row>
    <row r="139" ht="15.75" customHeight="1">
      <c r="A139">
        <f>IF(Table_17[[#This Row],[Part Name]]=0,"",Table_17[[#This Row],[Part Name]])</f>
        <v/>
      </c>
      <c r="E139" s="11" t="n"/>
      <c r="J139">
        <f>LEN(TRIM(CLEAN(SUBSTITUTE(SUBSTITUTE(Table_17[[#This Row],[Sequence]],CHAR(160)," ")," ",""))))</f>
        <v/>
      </c>
      <c r="K139" s="12" t="n"/>
      <c r="L139" s="21" t="n"/>
      <c r="M139" s="21">
        <f>IF($B139="","FALSE","TRUE")</f>
        <v/>
      </c>
      <c r="N139">
        <f t="array" ref="N139">IsURL(Table_121215[[#This Row],[Data Source]])</f>
        <v/>
      </c>
      <c r="O139">
        <f t="array" ref="O139">IsURL(Table_121215[[#This Row],[DOI]])</f>
        <v/>
      </c>
      <c r="P139">
        <f t="array" ref="P139">IsURL(Table_121215[[#This Row],[Data Source]])</f>
        <v/>
      </c>
      <c r="Q139">
        <f t="array" ref="Q139">IsURL(Table_121215[[#This Row],[Data Source]])</f>
        <v/>
      </c>
    </row>
    <row r="140" ht="15.75" customHeight="1">
      <c r="A140">
        <f>IF(Table_17[[#This Row],[Part Name]]=0,"",Table_17[[#This Row],[Part Name]])</f>
        <v/>
      </c>
      <c r="E140" s="11" t="n"/>
      <c r="J140">
        <f>LEN(TRIM(CLEAN(SUBSTITUTE(SUBSTITUTE(Table_17[[#This Row],[Sequence]],CHAR(160)," ")," ",""))))</f>
        <v/>
      </c>
      <c r="K140" s="12" t="n"/>
      <c r="L140" s="21" t="n"/>
      <c r="M140" s="21">
        <f>IF($B140="","FALSE","TRUE")</f>
        <v/>
      </c>
      <c r="N140">
        <f t="array" ref="N140">IsURL(Table_121215[[#This Row],[Data Source]])</f>
        <v/>
      </c>
      <c r="O140">
        <f t="array" ref="O140">IsURL(Table_121215[[#This Row],[DOI]])</f>
        <v/>
      </c>
      <c r="P140">
        <f t="array" ref="P140">IsURL(Table_121215[[#This Row],[Data Source]])</f>
        <v/>
      </c>
      <c r="Q140">
        <f t="array" ref="Q140">IsURL(Table_121215[[#This Row],[Data Source]])</f>
        <v/>
      </c>
    </row>
    <row r="141" ht="15.75" customHeight="1">
      <c r="A141">
        <f>IF(Table_17[[#This Row],[Part Name]]=0,"",Table_17[[#This Row],[Part Name]])</f>
        <v/>
      </c>
      <c r="E141" s="11" t="n"/>
      <c r="J141">
        <f>LEN(TRIM(CLEAN(SUBSTITUTE(SUBSTITUTE(Table_17[[#This Row],[Sequence]],CHAR(160)," ")," ",""))))</f>
        <v/>
      </c>
      <c r="K141" s="12" t="n"/>
      <c r="L141" s="21" t="n"/>
      <c r="M141" s="21">
        <f>IF($B141="","FALSE","TRUE")</f>
        <v/>
      </c>
      <c r="N141">
        <f t="array" ref="N141">IsURL(Table_121215[[#This Row],[Data Source]])</f>
        <v/>
      </c>
      <c r="O141">
        <f t="array" ref="O141">IsURL(Table_121215[[#This Row],[DOI]])</f>
        <v/>
      </c>
      <c r="P141">
        <f t="array" ref="P141">IsURL(Table_121215[[#This Row],[Data Source]])</f>
        <v/>
      </c>
      <c r="Q141">
        <f t="array" ref="Q141">IsURL(Table_121215[[#This Row],[Data Source]])</f>
        <v/>
      </c>
    </row>
    <row r="142" ht="15.75" customHeight="1">
      <c r="A142">
        <f>IF(Table_17[[#This Row],[Part Name]]=0,"",Table_17[[#This Row],[Part Name]])</f>
        <v/>
      </c>
      <c r="E142" s="11" t="n"/>
      <c r="J142">
        <f>LEN(TRIM(CLEAN(SUBSTITUTE(SUBSTITUTE(Table_17[[#This Row],[Sequence]],CHAR(160)," ")," ",""))))</f>
        <v/>
      </c>
      <c r="K142" s="12" t="n"/>
      <c r="L142" s="21" t="n"/>
      <c r="M142" s="21">
        <f>IF($B142="","FALSE","TRUE")</f>
        <v/>
      </c>
      <c r="N142">
        <f t="array" ref="N142">IsURL(Table_121215[[#This Row],[Data Source]])</f>
        <v/>
      </c>
      <c r="O142">
        <f t="array" ref="O142">IsURL(Table_121215[[#This Row],[DOI]])</f>
        <v/>
      </c>
      <c r="P142">
        <f t="array" ref="P142">IsURL(Table_121215[[#This Row],[Data Source]])</f>
        <v/>
      </c>
      <c r="Q142">
        <f t="array" ref="Q142">IsURL(Table_121215[[#This Row],[Data Source]])</f>
        <v/>
      </c>
    </row>
    <row r="143" ht="15.75" customHeight="1">
      <c r="A143">
        <f>IF(Table_17[[#This Row],[Part Name]]=0,"",Table_17[[#This Row],[Part Name]])</f>
        <v/>
      </c>
      <c r="E143" s="11" t="n"/>
      <c r="J143">
        <f>LEN(TRIM(CLEAN(SUBSTITUTE(SUBSTITUTE(Table_17[[#This Row],[Sequence]],CHAR(160)," ")," ",""))))</f>
        <v/>
      </c>
      <c r="K143" s="12" t="n"/>
      <c r="L143" s="21" t="n"/>
      <c r="M143" s="21">
        <f>IF($B143="","FALSE","TRUE")</f>
        <v/>
      </c>
      <c r="N143">
        <f t="array" ref="N143">IsURL(Table_121215[[#This Row],[Data Source]])</f>
        <v/>
      </c>
      <c r="O143">
        <f t="array" ref="O143">IsURL(Table_121215[[#This Row],[DOI]])</f>
        <v/>
      </c>
      <c r="P143">
        <f t="array" ref="P143">IsURL(Table_121215[[#This Row],[Data Source]])</f>
        <v/>
      </c>
      <c r="Q143">
        <f t="array" ref="Q143">IsURL(Table_121215[[#This Row],[Data Source]])</f>
        <v/>
      </c>
    </row>
    <row r="144" ht="15.75" customHeight="1">
      <c r="A144">
        <f>IF(Table_17[[#This Row],[Part Name]]=0,"",Table_17[[#This Row],[Part Name]])</f>
        <v/>
      </c>
      <c r="E144" s="11" t="n"/>
      <c r="J144">
        <f>LEN(TRIM(CLEAN(SUBSTITUTE(SUBSTITUTE(Table_17[[#This Row],[Sequence]],CHAR(160)," ")," ",""))))</f>
        <v/>
      </c>
      <c r="K144" s="12" t="n"/>
      <c r="L144" s="21" t="n"/>
      <c r="M144" s="21">
        <f>IF($B144="","FALSE","TRUE")</f>
        <v/>
      </c>
      <c r="N144">
        <f t="array" ref="N144">IsURL(Table_121215[[#This Row],[Data Source]])</f>
        <v/>
      </c>
      <c r="O144">
        <f t="array" ref="O144">IsURL(Table_121215[[#This Row],[DOI]])</f>
        <v/>
      </c>
      <c r="P144">
        <f t="array" ref="P144">IsURL(Table_121215[[#This Row],[Data Source]])</f>
        <v/>
      </c>
      <c r="Q144">
        <f t="array" ref="Q144">IsURL(Table_121215[[#This Row],[Data Source]])</f>
        <v/>
      </c>
    </row>
    <row r="145" ht="15.75" customHeight="1">
      <c r="A145">
        <f>IF(Table_17[[#This Row],[Part Name]]=0,"",Table_17[[#This Row],[Part Name]])</f>
        <v/>
      </c>
      <c r="E145" s="11" t="n"/>
      <c r="J145">
        <f>LEN(TRIM(CLEAN(SUBSTITUTE(SUBSTITUTE(Table_17[[#This Row],[Sequence]],CHAR(160)," ")," ",""))))</f>
        <v/>
      </c>
      <c r="K145" s="12" t="n"/>
      <c r="L145" s="21" t="n"/>
      <c r="M145" s="21">
        <f>IF($B145="","FALSE","TRUE")</f>
        <v/>
      </c>
      <c r="N145">
        <f t="array" ref="N145">IsURL(Table_121215[[#This Row],[Data Source]])</f>
        <v/>
      </c>
      <c r="O145">
        <f t="array" ref="O145">IsURL(Table_121215[[#This Row],[DOI]])</f>
        <v/>
      </c>
      <c r="P145">
        <f t="array" ref="P145">IsURL(Table_121215[[#This Row],[Data Source]])</f>
        <v/>
      </c>
      <c r="Q145">
        <f t="array" ref="Q145">IsURL(Table_121215[[#This Row],[Data Source]])</f>
        <v/>
      </c>
    </row>
    <row r="146" ht="15.75" customHeight="1">
      <c r="A146">
        <f>IF(Table_17[[#This Row],[Part Name]]=0,"",Table_17[[#This Row],[Part Name]])</f>
        <v/>
      </c>
      <c r="E146" s="11" t="n"/>
      <c r="J146">
        <f>LEN(TRIM(CLEAN(SUBSTITUTE(SUBSTITUTE(Table_17[[#This Row],[Sequence]],CHAR(160)," ")," ",""))))</f>
        <v/>
      </c>
      <c r="K146" s="12" t="n"/>
      <c r="L146" s="21" t="n"/>
      <c r="M146" s="21">
        <f>IF($B146="","FALSE","TRUE")</f>
        <v/>
      </c>
      <c r="N146">
        <f t="array" ref="N146">IsURL(Table_121215[[#This Row],[Data Source]])</f>
        <v/>
      </c>
      <c r="O146">
        <f t="array" ref="O146">IsURL(Table_121215[[#This Row],[DOI]])</f>
        <v/>
      </c>
      <c r="P146">
        <f t="array" ref="P146">IsURL(Table_121215[[#This Row],[Data Source]])</f>
        <v/>
      </c>
      <c r="Q146">
        <f t="array" ref="Q146">IsURL(Table_121215[[#This Row],[Data Source]])</f>
        <v/>
      </c>
    </row>
    <row r="147" ht="15.75" customHeight="1">
      <c r="A147">
        <f>IF(Table_17[[#This Row],[Part Name]]=0,"",Table_17[[#This Row],[Part Name]])</f>
        <v/>
      </c>
      <c r="E147" s="11" t="n"/>
      <c r="J147">
        <f>LEN(TRIM(CLEAN(SUBSTITUTE(SUBSTITUTE(Table_17[[#This Row],[Sequence]],CHAR(160)," ")," ",""))))</f>
        <v/>
      </c>
      <c r="K147" s="12" t="n"/>
      <c r="L147" s="21" t="n"/>
      <c r="M147" s="21">
        <f>IF($B147="","FALSE","TRUE")</f>
        <v/>
      </c>
      <c r="N147">
        <f t="array" ref="N147">IsURL(Table_121215[[#This Row],[Data Source]])</f>
        <v/>
      </c>
      <c r="O147">
        <f t="array" ref="O147">IsURL(Table_121215[[#This Row],[DOI]])</f>
        <v/>
      </c>
      <c r="P147">
        <f t="array" ref="P147">IsURL(Table_121215[[#This Row],[Data Source]])</f>
        <v/>
      </c>
      <c r="Q147">
        <f t="array" ref="Q147">IsURL(Table_121215[[#This Row],[Data Source]])</f>
        <v/>
      </c>
    </row>
    <row r="148" ht="15.75" customHeight="1">
      <c r="A148">
        <f>IF(Table_17[[#This Row],[Part Name]]=0,"",Table_17[[#This Row],[Part Name]])</f>
        <v/>
      </c>
      <c r="E148" s="11" t="n"/>
      <c r="J148">
        <f>LEN(TRIM(CLEAN(SUBSTITUTE(SUBSTITUTE(Table_17[[#This Row],[Sequence]],CHAR(160)," ")," ",""))))</f>
        <v/>
      </c>
      <c r="K148" s="12" t="n"/>
      <c r="L148" s="21" t="n"/>
      <c r="M148" s="21">
        <f>IF($B148="","FALSE","TRUE")</f>
        <v/>
      </c>
      <c r="N148">
        <f t="array" ref="N148">IsURL(Table_121215[[#This Row],[Data Source]])</f>
        <v/>
      </c>
      <c r="O148">
        <f t="array" ref="O148">IsURL(Table_121215[[#This Row],[DOI]])</f>
        <v/>
      </c>
      <c r="P148">
        <f t="array" ref="P148">IsURL(Table_121215[[#This Row],[Data Source]])</f>
        <v/>
      </c>
      <c r="Q148">
        <f t="array" ref="Q148">IsURL(Table_121215[[#This Row],[Data Source]])</f>
        <v/>
      </c>
    </row>
    <row r="149" ht="15.75" customHeight="1">
      <c r="A149">
        <f>IF(Table_17[[#This Row],[Part Name]]=0,"",Table_17[[#This Row],[Part Name]])</f>
        <v/>
      </c>
      <c r="E149" s="11" t="n"/>
      <c r="J149">
        <f>LEN(TRIM(CLEAN(SUBSTITUTE(SUBSTITUTE(Table_17[[#This Row],[Sequence]],CHAR(160)," ")," ",""))))</f>
        <v/>
      </c>
      <c r="K149" s="12" t="n"/>
      <c r="L149" s="21" t="n"/>
      <c r="M149" s="21">
        <f>IF($B149="","FALSE","TRUE")</f>
        <v/>
      </c>
      <c r="N149">
        <f t="array" ref="N149">IsURL(Table_121215[[#This Row],[Data Source]])</f>
        <v/>
      </c>
      <c r="O149">
        <f t="array" ref="O149">IsURL(Table_121215[[#This Row],[DOI]])</f>
        <v/>
      </c>
      <c r="P149">
        <f t="array" ref="P149">IsURL(Table_121215[[#This Row],[Data Source]])</f>
        <v/>
      </c>
      <c r="Q149">
        <f t="array" ref="Q149">IsURL(Table_121215[[#This Row],[Data Source]])</f>
        <v/>
      </c>
    </row>
    <row r="150" ht="15.75" customHeight="1">
      <c r="A150">
        <f>IF(Table_17[[#This Row],[Part Name]]=0,"",Table_17[[#This Row],[Part Name]])</f>
        <v/>
      </c>
      <c r="E150" s="11" t="n"/>
      <c r="J150">
        <f>LEN(TRIM(CLEAN(SUBSTITUTE(SUBSTITUTE(Table_17[[#This Row],[Sequence]],CHAR(160)," ")," ",""))))</f>
        <v/>
      </c>
      <c r="K150" s="12" t="n"/>
      <c r="L150" s="21" t="n"/>
      <c r="M150" s="21">
        <f>IF($B150="","FALSE","TRUE")</f>
        <v/>
      </c>
      <c r="N150">
        <f t="array" ref="N150">IsURL(Table_121215[[#This Row],[Data Source]])</f>
        <v/>
      </c>
      <c r="O150">
        <f t="array" ref="O150">IsURL(Table_121215[[#This Row],[DOI]])</f>
        <v/>
      </c>
      <c r="P150">
        <f t="array" ref="P150">IsURL(Table_121215[[#This Row],[Data Source]])</f>
        <v/>
      </c>
      <c r="Q150">
        <f t="array" ref="Q150">IsURL(Table_121215[[#This Row],[Data Source]])</f>
        <v/>
      </c>
    </row>
    <row r="151" ht="15.75" customHeight="1">
      <c r="A151">
        <f>IF(Table_17[[#This Row],[Part Name]]=0,"",Table_17[[#This Row],[Part Name]])</f>
        <v/>
      </c>
      <c r="E151" s="11" t="n"/>
      <c r="J151">
        <f>LEN(TRIM(CLEAN(SUBSTITUTE(SUBSTITUTE(Table_17[[#This Row],[Sequence]],CHAR(160)," ")," ",""))))</f>
        <v/>
      </c>
      <c r="K151" s="12" t="n"/>
      <c r="L151" s="21" t="n"/>
      <c r="M151" s="21">
        <f>IF($B151="","FALSE","TRUE")</f>
        <v/>
      </c>
      <c r="N151">
        <f t="array" ref="N151">IsURL(Table_121215[[#This Row],[Data Source]])</f>
        <v/>
      </c>
      <c r="O151">
        <f t="array" ref="O151">IsURL(Table_121215[[#This Row],[DOI]])</f>
        <v/>
      </c>
      <c r="P151">
        <f t="array" ref="P151">IsURL(Table_121215[[#This Row],[Data Source]])</f>
        <v/>
      </c>
      <c r="Q151">
        <f t="array" ref="Q151">IsURL(Table_121215[[#This Row],[Data Source]])</f>
        <v/>
      </c>
    </row>
    <row r="152" ht="15.75" customHeight="1">
      <c r="A152">
        <f>IF(Table_17[[#This Row],[Part Name]]=0,"",Table_17[[#This Row],[Part Name]])</f>
        <v/>
      </c>
      <c r="E152" s="11" t="n"/>
      <c r="J152">
        <f>LEN(TRIM(CLEAN(SUBSTITUTE(SUBSTITUTE(Table_17[[#This Row],[Sequence]],CHAR(160)," ")," ",""))))</f>
        <v/>
      </c>
      <c r="K152" s="12" t="n"/>
      <c r="L152" s="21" t="n"/>
      <c r="M152" s="21">
        <f>IF($B152="","FALSE","TRUE")</f>
        <v/>
      </c>
      <c r="N152">
        <f t="array" ref="N152">IsURL(Table_121215[[#This Row],[Data Source]])</f>
        <v/>
      </c>
      <c r="O152">
        <f t="array" ref="O152">IsURL(Table_121215[[#This Row],[DOI]])</f>
        <v/>
      </c>
      <c r="P152">
        <f t="array" ref="P152">IsURL(Table_121215[[#This Row],[Data Source]])</f>
        <v/>
      </c>
      <c r="Q152">
        <f t="array" ref="Q152">IsURL(Table_121215[[#This Row],[Data Source]])</f>
        <v/>
      </c>
    </row>
    <row r="153" ht="15.75" customHeight="1">
      <c r="A153">
        <f>IF(Table_17[[#This Row],[Part Name]]=0,"",Table_17[[#This Row],[Part Name]])</f>
        <v/>
      </c>
      <c r="E153" s="11" t="n"/>
      <c r="J153">
        <f>LEN(TRIM(CLEAN(SUBSTITUTE(SUBSTITUTE(Table_17[[#This Row],[Sequence]],CHAR(160)," ")," ",""))))</f>
        <v/>
      </c>
      <c r="K153" s="12" t="n"/>
      <c r="L153" s="21" t="n"/>
      <c r="M153" s="21">
        <f>IF($B153="","FALSE","TRUE")</f>
        <v/>
      </c>
      <c r="N153">
        <f t="array" ref="N153">IsURL(Table_121215[[#This Row],[Data Source]])</f>
        <v/>
      </c>
      <c r="O153">
        <f t="array" ref="O153">IsURL(Table_121215[[#This Row],[DOI]])</f>
        <v/>
      </c>
      <c r="P153">
        <f t="array" ref="P153">IsURL(Table_121215[[#This Row],[Data Source]])</f>
        <v/>
      </c>
      <c r="Q153">
        <f t="array" ref="Q153">IsURL(Table_121215[[#This Row],[Data Source]])</f>
        <v/>
      </c>
    </row>
    <row r="154" ht="15.75" customHeight="1">
      <c r="A154">
        <f>IF(Table_17[[#This Row],[Part Name]]=0,"",Table_17[[#This Row],[Part Name]])</f>
        <v/>
      </c>
      <c r="E154" s="11" t="n"/>
      <c r="J154">
        <f>LEN(TRIM(CLEAN(SUBSTITUTE(SUBSTITUTE(Table_17[[#This Row],[Sequence]],CHAR(160)," ")," ",""))))</f>
        <v/>
      </c>
      <c r="K154" s="12" t="n"/>
      <c r="L154" s="21" t="n"/>
      <c r="M154" s="21">
        <f>IF($B154="","FALSE","TRUE")</f>
        <v/>
      </c>
      <c r="N154">
        <f t="array" ref="N154">IsURL(Table_121215[[#This Row],[Data Source]])</f>
        <v/>
      </c>
      <c r="O154">
        <f t="array" ref="O154">IsURL(Table_121215[[#This Row],[DOI]])</f>
        <v/>
      </c>
      <c r="P154">
        <f t="array" ref="P154">IsURL(Table_121215[[#This Row],[Data Source]])</f>
        <v/>
      </c>
      <c r="Q154">
        <f t="array" ref="Q154">IsURL(Table_121215[[#This Row],[Data Source]])</f>
        <v/>
      </c>
    </row>
    <row r="155" ht="15.75" customHeight="1">
      <c r="A155">
        <f>IF(Table_17[[#This Row],[Part Name]]=0,"",Table_17[[#This Row],[Part Name]])</f>
        <v/>
      </c>
      <c r="E155" s="11" t="n"/>
      <c r="J155">
        <f>LEN(TRIM(CLEAN(SUBSTITUTE(SUBSTITUTE(Table_17[[#This Row],[Sequence]],CHAR(160)," ")," ",""))))</f>
        <v/>
      </c>
      <c r="K155" s="12" t="n"/>
      <c r="L155" s="21" t="n"/>
      <c r="M155" s="21">
        <f>IF($B155="","FALSE","TRUE")</f>
        <v/>
      </c>
      <c r="N155">
        <f t="array" ref="N155">IsURL(Table_121215[[#This Row],[Data Source]])</f>
        <v/>
      </c>
      <c r="O155">
        <f t="array" ref="O155">IsURL(Table_121215[[#This Row],[DOI]])</f>
        <v/>
      </c>
      <c r="P155">
        <f t="array" ref="P155">IsURL(Table_121215[[#This Row],[Data Source]])</f>
        <v/>
      </c>
      <c r="Q155">
        <f t="array" ref="Q155">IsURL(Table_121215[[#This Row],[Data Source]])</f>
        <v/>
      </c>
    </row>
    <row r="156" ht="15.75" customHeight="1">
      <c r="A156">
        <f>IF(Table_17[[#This Row],[Part Name]]=0,"",Table_17[[#This Row],[Part Name]])</f>
        <v/>
      </c>
      <c r="E156" s="11" t="n"/>
      <c r="J156">
        <f>LEN(TRIM(CLEAN(SUBSTITUTE(SUBSTITUTE(Table_17[[#This Row],[Sequence]],CHAR(160)," ")," ",""))))</f>
        <v/>
      </c>
      <c r="K156" s="12" t="n"/>
      <c r="L156" s="21" t="n"/>
      <c r="M156" s="21">
        <f>IF($B156="","FALSE","TRUE")</f>
        <v/>
      </c>
      <c r="N156">
        <f t="array" ref="N156">IsURL(Table_121215[[#This Row],[Data Source]])</f>
        <v/>
      </c>
      <c r="O156">
        <f t="array" ref="O156">IsURL(Table_121215[[#This Row],[DOI]])</f>
        <v/>
      </c>
      <c r="P156">
        <f t="array" ref="P156">IsURL(Table_121215[[#This Row],[Data Source]])</f>
        <v/>
      </c>
      <c r="Q156">
        <f t="array" ref="Q156">IsURL(Table_121215[[#This Row],[Data Source]])</f>
        <v/>
      </c>
    </row>
    <row r="157" ht="15.75" customHeight="1">
      <c r="A157">
        <f>IF(Table_17[[#This Row],[Part Name]]=0,"",Table_17[[#This Row],[Part Name]])</f>
        <v/>
      </c>
      <c r="E157" s="11" t="n"/>
      <c r="J157">
        <f>LEN(TRIM(CLEAN(SUBSTITUTE(SUBSTITUTE(Table_17[[#This Row],[Sequence]],CHAR(160)," ")," ",""))))</f>
        <v/>
      </c>
      <c r="K157" s="12" t="n"/>
      <c r="L157" s="21" t="n"/>
      <c r="M157" s="21">
        <f>IF($B157="","FALSE","TRUE")</f>
        <v/>
      </c>
      <c r="N157">
        <f t="array" ref="N157">IsURL(Table_121215[[#This Row],[Data Source]])</f>
        <v/>
      </c>
      <c r="O157">
        <f t="array" ref="O157">IsURL(Table_121215[[#This Row],[DOI]])</f>
        <v/>
      </c>
      <c r="P157">
        <f t="array" ref="P157">IsURL(Table_121215[[#This Row],[Data Source]])</f>
        <v/>
      </c>
      <c r="Q157">
        <f t="array" ref="Q157">IsURL(Table_121215[[#This Row],[Data Source]])</f>
        <v/>
      </c>
    </row>
    <row r="158" ht="15.75" customHeight="1">
      <c r="A158">
        <f>IF(Table_17[[#This Row],[Part Name]]=0,"",Table_17[[#This Row],[Part Name]])</f>
        <v/>
      </c>
      <c r="E158" s="11" t="n"/>
      <c r="J158">
        <f>LEN(TRIM(CLEAN(SUBSTITUTE(SUBSTITUTE(Table_17[[#This Row],[Sequence]],CHAR(160)," ")," ",""))))</f>
        <v/>
      </c>
      <c r="K158" s="12" t="n"/>
      <c r="L158" s="21" t="n"/>
      <c r="M158" s="21">
        <f>IF($B158="","FALSE","TRUE")</f>
        <v/>
      </c>
      <c r="N158">
        <f t="array" ref="N158">IsURL(Table_121215[[#This Row],[Data Source]])</f>
        <v/>
      </c>
      <c r="O158">
        <f t="array" ref="O158">IsURL(Table_121215[[#This Row],[DOI]])</f>
        <v/>
      </c>
      <c r="P158">
        <f t="array" ref="P158">IsURL(Table_121215[[#This Row],[Data Source]])</f>
        <v/>
      </c>
      <c r="Q158">
        <f t="array" ref="Q158">IsURL(Table_121215[[#This Row],[Data Source]])</f>
        <v/>
      </c>
    </row>
    <row r="159" ht="15.75" customHeight="1">
      <c r="A159">
        <f>IF(Table_17[[#This Row],[Part Name]]=0,"",Table_17[[#This Row],[Part Name]])</f>
        <v/>
      </c>
      <c r="E159" s="11" t="n"/>
      <c r="J159">
        <f>LEN(TRIM(CLEAN(SUBSTITUTE(SUBSTITUTE(Table_17[[#This Row],[Sequence]],CHAR(160)," ")," ",""))))</f>
        <v/>
      </c>
      <c r="K159" s="12" t="n"/>
      <c r="L159" s="21" t="n"/>
      <c r="M159" s="21">
        <f>IF($B159="","FALSE","TRUE")</f>
        <v/>
      </c>
      <c r="N159">
        <f t="array" ref="N159">IsURL(Table_121215[[#This Row],[Data Source]])</f>
        <v/>
      </c>
      <c r="O159">
        <f t="array" ref="O159">IsURL(Table_121215[[#This Row],[DOI]])</f>
        <v/>
      </c>
      <c r="P159">
        <f t="array" ref="P159">IsURL(Table_121215[[#This Row],[Data Source]])</f>
        <v/>
      </c>
      <c r="Q159">
        <f t="array" ref="Q159">IsURL(Table_121215[[#This Row],[Data Source]])</f>
        <v/>
      </c>
    </row>
    <row r="160" ht="15.75" customHeight="1">
      <c r="A160">
        <f>IF(Table_17[[#This Row],[Part Name]]=0,"",Table_17[[#This Row],[Part Name]])</f>
        <v/>
      </c>
      <c r="E160" s="11" t="n"/>
      <c r="J160">
        <f>LEN(TRIM(CLEAN(SUBSTITUTE(SUBSTITUTE(Table_17[[#This Row],[Sequence]],CHAR(160)," ")," ",""))))</f>
        <v/>
      </c>
      <c r="K160" s="12" t="n"/>
      <c r="L160" s="21" t="n"/>
      <c r="M160" s="21">
        <f>IF($B160="","FALSE","TRUE")</f>
        <v/>
      </c>
      <c r="N160">
        <f t="array" ref="N160">IsURL(Table_121215[[#This Row],[Data Source]])</f>
        <v/>
      </c>
      <c r="O160">
        <f t="array" ref="O160">IsURL(Table_121215[[#This Row],[DOI]])</f>
        <v/>
      </c>
      <c r="P160">
        <f t="array" ref="P160">IsURL(Table_121215[[#This Row],[Data Source]])</f>
        <v/>
      </c>
      <c r="Q160">
        <f t="array" ref="Q160">IsURL(Table_121215[[#This Row],[Data Source]])</f>
        <v/>
      </c>
    </row>
    <row r="161" ht="15.75" customHeight="1">
      <c r="A161">
        <f>IF(Table_17[[#This Row],[Part Name]]=0,"",Table_17[[#This Row],[Part Name]])</f>
        <v/>
      </c>
      <c r="E161" s="11" t="n"/>
      <c r="J161">
        <f>LEN(TRIM(CLEAN(SUBSTITUTE(SUBSTITUTE(Table_17[[#This Row],[Sequence]],CHAR(160)," ")," ",""))))</f>
        <v/>
      </c>
      <c r="K161" s="12" t="n"/>
      <c r="L161" s="21" t="n"/>
      <c r="M161" s="21">
        <f>IF($B161="","FALSE","TRUE")</f>
        <v/>
      </c>
      <c r="N161">
        <f t="array" ref="N161">IsURL(Table_121215[[#This Row],[Data Source]])</f>
        <v/>
      </c>
      <c r="O161">
        <f t="array" ref="O161">IsURL(Table_121215[[#This Row],[DOI]])</f>
        <v/>
      </c>
      <c r="P161">
        <f t="array" ref="P161">IsURL(Table_121215[[#This Row],[Data Source]])</f>
        <v/>
      </c>
      <c r="Q161">
        <f t="array" ref="Q161">IsURL(Table_121215[[#This Row],[Data Source]])</f>
        <v/>
      </c>
    </row>
    <row r="162" ht="15.75" customHeight="1">
      <c r="A162">
        <f>IF(Table_17[[#This Row],[Part Name]]=0,"",Table_17[[#This Row],[Part Name]])</f>
        <v/>
      </c>
      <c r="E162" s="11" t="n"/>
      <c r="J162">
        <f>LEN(TRIM(CLEAN(SUBSTITUTE(SUBSTITUTE(Table_17[[#This Row],[Sequence]],CHAR(160)," ")," ",""))))</f>
        <v/>
      </c>
      <c r="K162" s="12" t="n"/>
      <c r="L162" s="21" t="n"/>
      <c r="M162" s="21">
        <f>IF($B162="","FALSE","TRUE")</f>
        <v/>
      </c>
      <c r="N162">
        <f t="array" ref="N162">IsURL(Table_121215[[#This Row],[Data Source]])</f>
        <v/>
      </c>
      <c r="O162">
        <f t="array" ref="O162">IsURL(Table_121215[[#This Row],[DOI]])</f>
        <v/>
      </c>
      <c r="P162">
        <f t="array" ref="P162">IsURL(Table_121215[[#This Row],[Data Source]])</f>
        <v/>
      </c>
      <c r="Q162">
        <f t="array" ref="Q162">IsURL(Table_121215[[#This Row],[Data Source]])</f>
        <v/>
      </c>
    </row>
    <row r="163" ht="15.75" customHeight="1">
      <c r="A163">
        <f>IF(Table_17[[#This Row],[Part Name]]=0,"",Table_17[[#This Row],[Part Name]])</f>
        <v/>
      </c>
      <c r="E163" s="11" t="n"/>
      <c r="J163">
        <f>LEN(TRIM(CLEAN(SUBSTITUTE(SUBSTITUTE(Table_17[[#This Row],[Sequence]],CHAR(160)," ")," ",""))))</f>
        <v/>
      </c>
      <c r="K163" s="12" t="n"/>
      <c r="L163" s="21" t="n"/>
      <c r="M163" s="21">
        <f>IF($B163="","FALSE","TRUE")</f>
        <v/>
      </c>
      <c r="N163">
        <f t="array" ref="N163">IsURL(Table_121215[[#This Row],[Data Source]])</f>
        <v/>
      </c>
      <c r="O163">
        <f t="array" ref="O163">IsURL(Table_121215[[#This Row],[DOI]])</f>
        <v/>
      </c>
      <c r="P163">
        <f t="array" ref="P163">IsURL(Table_121215[[#This Row],[Data Source]])</f>
        <v/>
      </c>
      <c r="Q163">
        <f t="array" ref="Q163">IsURL(Table_121215[[#This Row],[Data Source]])</f>
        <v/>
      </c>
    </row>
    <row r="164" ht="15.75" customHeight="1">
      <c r="A164">
        <f>IF(Table_17[[#This Row],[Part Name]]=0,"",Table_17[[#This Row],[Part Name]])</f>
        <v/>
      </c>
      <c r="E164" s="11" t="n"/>
      <c r="J164">
        <f>LEN(TRIM(CLEAN(SUBSTITUTE(SUBSTITUTE(Table_17[[#This Row],[Sequence]],CHAR(160)," ")," ",""))))</f>
        <v/>
      </c>
      <c r="K164" s="12" t="n"/>
      <c r="L164" s="21" t="n"/>
      <c r="M164" s="21">
        <f>IF($B164="","FALSE","TRUE")</f>
        <v/>
      </c>
      <c r="N164">
        <f t="array" ref="N164">IsURL(Table_121215[[#This Row],[Data Source]])</f>
        <v/>
      </c>
      <c r="O164">
        <f t="array" ref="O164">IsURL(Table_121215[[#This Row],[DOI]])</f>
        <v/>
      </c>
      <c r="P164">
        <f t="array" ref="P164">IsURL(Table_121215[[#This Row],[Data Source]])</f>
        <v/>
      </c>
      <c r="Q164">
        <f t="array" ref="Q164">IsURL(Table_121215[[#This Row],[Data Source]])</f>
        <v/>
      </c>
    </row>
    <row r="165" ht="15.75" customHeight="1">
      <c r="A165">
        <f>IF(Table_17[[#This Row],[Part Name]]=0,"",Table_17[[#This Row],[Part Name]])</f>
        <v/>
      </c>
      <c r="E165" s="11" t="n"/>
      <c r="J165">
        <f>LEN(TRIM(CLEAN(SUBSTITUTE(SUBSTITUTE(Table_17[[#This Row],[Sequence]],CHAR(160)," ")," ",""))))</f>
        <v/>
      </c>
      <c r="K165" s="12" t="n"/>
      <c r="L165" s="21" t="n"/>
      <c r="M165" s="21">
        <f>IF($B165="","FALSE","TRUE")</f>
        <v/>
      </c>
      <c r="N165">
        <f t="array" ref="N165">IsURL(Table_121215[[#This Row],[Data Source]])</f>
        <v/>
      </c>
      <c r="O165">
        <f t="array" ref="O165">IsURL(Table_121215[[#This Row],[DOI]])</f>
        <v/>
      </c>
      <c r="P165">
        <f t="array" ref="P165">IsURL(Table_121215[[#This Row],[Data Source]])</f>
        <v/>
      </c>
      <c r="Q165">
        <f t="array" ref="Q165">IsURL(Table_121215[[#This Row],[Data Source]])</f>
        <v/>
      </c>
    </row>
    <row r="166" ht="15.75" customHeight="1">
      <c r="A166">
        <f>IF(Table_17[[#This Row],[Part Name]]=0,"",Table_17[[#This Row],[Part Name]])</f>
        <v/>
      </c>
      <c r="E166" s="11" t="n"/>
      <c r="J166">
        <f>LEN(TRIM(CLEAN(SUBSTITUTE(SUBSTITUTE(Table_17[[#This Row],[Sequence]],CHAR(160)," ")," ",""))))</f>
        <v/>
      </c>
      <c r="K166" s="12" t="n"/>
      <c r="L166" s="21" t="n"/>
      <c r="M166" s="21">
        <f>IF($B166="","FALSE","TRUE")</f>
        <v/>
      </c>
      <c r="N166">
        <f t="array" ref="N166">IsURL(Table_121215[[#This Row],[Data Source]])</f>
        <v/>
      </c>
      <c r="O166">
        <f t="array" ref="O166">IsURL(Table_121215[[#This Row],[DOI]])</f>
        <v/>
      </c>
      <c r="P166">
        <f t="array" ref="P166">IsURL(Table_121215[[#This Row],[Data Source]])</f>
        <v/>
      </c>
      <c r="Q166">
        <f t="array" ref="Q166">IsURL(Table_121215[[#This Row],[Data Source]])</f>
        <v/>
      </c>
    </row>
    <row r="167" ht="15.75" customHeight="1">
      <c r="A167">
        <f>IF(Table_17[[#This Row],[Part Name]]=0,"",Table_17[[#This Row],[Part Name]])</f>
        <v/>
      </c>
      <c r="E167" s="11" t="n"/>
      <c r="J167">
        <f>LEN(TRIM(CLEAN(SUBSTITUTE(SUBSTITUTE(Table_17[[#This Row],[Sequence]],CHAR(160)," ")," ",""))))</f>
        <v/>
      </c>
      <c r="K167" s="12" t="n"/>
      <c r="L167" s="21" t="n"/>
      <c r="M167" s="21">
        <f>IF($B167="","FALSE","TRUE")</f>
        <v/>
      </c>
      <c r="N167">
        <f t="array" ref="N167">IsURL(Table_121215[[#This Row],[Data Source]])</f>
        <v/>
      </c>
      <c r="O167">
        <f t="array" ref="O167">IsURL(Table_121215[[#This Row],[DOI]])</f>
        <v/>
      </c>
      <c r="P167">
        <f t="array" ref="P167">IsURL(Table_121215[[#This Row],[Data Source]])</f>
        <v/>
      </c>
      <c r="Q167">
        <f t="array" ref="Q167">IsURL(Table_121215[[#This Row],[Data Source]])</f>
        <v/>
      </c>
    </row>
    <row r="168" ht="15.75" customHeight="1">
      <c r="A168">
        <f>IF(Table_17[[#This Row],[Part Name]]=0,"",Table_17[[#This Row],[Part Name]])</f>
        <v/>
      </c>
      <c r="E168" s="11" t="n"/>
      <c r="J168">
        <f>LEN(TRIM(CLEAN(SUBSTITUTE(SUBSTITUTE(Table_17[[#This Row],[Sequence]],CHAR(160)," ")," ",""))))</f>
        <v/>
      </c>
      <c r="K168" s="12" t="n"/>
      <c r="L168" s="21" t="n"/>
      <c r="M168" s="21">
        <f>IF($B168="","FALSE","TRUE")</f>
        <v/>
      </c>
      <c r="N168">
        <f t="array" ref="N168">IsURL(Table_121215[[#This Row],[Data Source]])</f>
        <v/>
      </c>
      <c r="O168">
        <f t="array" ref="O168">IsURL(Table_121215[[#This Row],[DOI]])</f>
        <v/>
      </c>
      <c r="P168">
        <f t="array" ref="P168">IsURL(Table_121215[[#This Row],[Data Source]])</f>
        <v/>
      </c>
      <c r="Q168">
        <f t="array" ref="Q168">IsURL(Table_121215[[#This Row],[Data Source]])</f>
        <v/>
      </c>
    </row>
    <row r="169" ht="15.75" customHeight="1">
      <c r="A169">
        <f>IF(Table_17[[#This Row],[Part Name]]=0,"",Table_17[[#This Row],[Part Name]])</f>
        <v/>
      </c>
      <c r="E169" s="11" t="n"/>
      <c r="J169">
        <f>LEN(TRIM(CLEAN(SUBSTITUTE(SUBSTITUTE(Table_17[[#This Row],[Sequence]],CHAR(160)," ")," ",""))))</f>
        <v/>
      </c>
      <c r="K169" s="12" t="n"/>
      <c r="L169" s="21" t="n"/>
      <c r="M169" s="21">
        <f>IF($B169="","FALSE","TRUE")</f>
        <v/>
      </c>
      <c r="N169">
        <f t="array" ref="N169">IsURL(Table_121215[[#This Row],[Data Source]])</f>
        <v/>
      </c>
      <c r="O169">
        <f t="array" ref="O169">IsURL(Table_121215[[#This Row],[DOI]])</f>
        <v/>
      </c>
      <c r="P169">
        <f t="array" ref="P169">IsURL(Table_121215[[#This Row],[Data Source]])</f>
        <v/>
      </c>
      <c r="Q169">
        <f t="array" ref="Q169">IsURL(Table_121215[[#This Row],[Data Source]])</f>
        <v/>
      </c>
    </row>
    <row r="170" ht="15.75" customHeight="1">
      <c r="A170">
        <f>IF(Table_17[[#This Row],[Part Name]]=0,"",Table_17[[#This Row],[Part Name]])</f>
        <v/>
      </c>
      <c r="E170" s="11" t="n"/>
      <c r="J170">
        <f>LEN(TRIM(CLEAN(SUBSTITUTE(SUBSTITUTE(Table_17[[#This Row],[Sequence]],CHAR(160)," ")," ",""))))</f>
        <v/>
      </c>
      <c r="K170" s="12" t="n"/>
      <c r="L170" s="21" t="n"/>
      <c r="M170" s="21">
        <f>IF($B170="","FALSE","TRUE")</f>
        <v/>
      </c>
      <c r="N170">
        <f t="array" ref="N170">IsURL(Table_121215[[#This Row],[Data Source]])</f>
        <v/>
      </c>
      <c r="O170">
        <f t="array" ref="O170">IsURL(Table_121215[[#This Row],[DOI]])</f>
        <v/>
      </c>
      <c r="P170">
        <f t="array" ref="P170">IsURL(Table_121215[[#This Row],[Data Source]])</f>
        <v/>
      </c>
      <c r="Q170">
        <f t="array" ref="Q170">IsURL(Table_121215[[#This Row],[Data Source]])</f>
        <v/>
      </c>
    </row>
    <row r="171" ht="15.75" customHeight="1">
      <c r="A171">
        <f>IF(Table_17[[#This Row],[Part Name]]=0,"",Table_17[[#This Row],[Part Name]])</f>
        <v/>
      </c>
      <c r="E171" s="11" t="n"/>
      <c r="J171">
        <f>LEN(TRIM(CLEAN(SUBSTITUTE(SUBSTITUTE(Table_17[[#This Row],[Sequence]],CHAR(160)," ")," ",""))))</f>
        <v/>
      </c>
      <c r="K171" s="12" t="n"/>
      <c r="L171" s="21" t="n"/>
      <c r="M171" s="21">
        <f>IF($B171="","FALSE","TRUE")</f>
        <v/>
      </c>
      <c r="N171">
        <f t="array" ref="N171">IsURL(Table_121215[[#This Row],[Data Source]])</f>
        <v/>
      </c>
      <c r="O171">
        <f t="array" ref="O171">IsURL(Table_121215[[#This Row],[DOI]])</f>
        <v/>
      </c>
      <c r="P171">
        <f t="array" ref="P171">IsURL(Table_121215[[#This Row],[Data Source]])</f>
        <v/>
      </c>
      <c r="Q171">
        <f t="array" ref="Q171">IsURL(Table_121215[[#This Row],[Data Source]])</f>
        <v/>
      </c>
    </row>
    <row r="172" ht="15.75" customHeight="1">
      <c r="A172">
        <f>IF(Table_17[[#This Row],[Part Name]]=0,"",Table_17[[#This Row],[Part Name]])</f>
        <v/>
      </c>
      <c r="E172" s="11" t="n"/>
      <c r="J172">
        <f>LEN(TRIM(CLEAN(SUBSTITUTE(SUBSTITUTE(Table_17[[#This Row],[Sequence]],CHAR(160)," ")," ",""))))</f>
        <v/>
      </c>
      <c r="K172" s="12" t="n"/>
      <c r="L172" s="21" t="n"/>
      <c r="M172" s="21">
        <f>IF($B172="","FALSE","TRUE")</f>
        <v/>
      </c>
      <c r="N172">
        <f t="array" ref="N172">IsURL(Table_121215[[#This Row],[Data Source]])</f>
        <v/>
      </c>
      <c r="O172">
        <f t="array" ref="O172">IsURL(Table_121215[[#This Row],[DOI]])</f>
        <v/>
      </c>
      <c r="P172">
        <f t="array" ref="P172">IsURL(Table_121215[[#This Row],[Data Source]])</f>
        <v/>
      </c>
      <c r="Q172">
        <f t="array" ref="Q172">IsURL(Table_121215[[#This Row],[Data Source]])</f>
        <v/>
      </c>
    </row>
    <row r="173" ht="15.75" customHeight="1">
      <c r="A173">
        <f>IF(Table_17[[#This Row],[Part Name]]=0,"",Table_17[[#This Row],[Part Name]])</f>
        <v/>
      </c>
      <c r="E173" s="11" t="n"/>
      <c r="J173">
        <f>LEN(TRIM(CLEAN(SUBSTITUTE(SUBSTITUTE(Table_17[[#This Row],[Sequence]],CHAR(160)," ")," ",""))))</f>
        <v/>
      </c>
      <c r="K173" s="12" t="n"/>
      <c r="L173" s="21" t="n"/>
      <c r="M173" s="21">
        <f>IF($B173="","FALSE","TRUE")</f>
        <v/>
      </c>
      <c r="N173">
        <f t="array" ref="N173">IsURL(Table_121215[[#This Row],[Data Source]])</f>
        <v/>
      </c>
      <c r="O173">
        <f t="array" ref="O173">IsURL(Table_121215[[#This Row],[DOI]])</f>
        <v/>
      </c>
      <c r="P173">
        <f t="array" ref="P173">IsURL(Table_121215[[#This Row],[Data Source]])</f>
        <v/>
      </c>
      <c r="Q173">
        <f t="array" ref="Q173">IsURL(Table_121215[[#This Row],[Data Source]])</f>
        <v/>
      </c>
    </row>
    <row r="174" ht="15.75" customHeight="1">
      <c r="A174">
        <f>IF(Table_17[[#This Row],[Part Name]]=0,"",Table_17[[#This Row],[Part Name]])</f>
        <v/>
      </c>
      <c r="E174" s="11" t="n"/>
      <c r="J174">
        <f>LEN(TRIM(CLEAN(SUBSTITUTE(SUBSTITUTE(Table_17[[#This Row],[Sequence]],CHAR(160)," ")," ",""))))</f>
        <v/>
      </c>
      <c r="K174" s="12" t="n"/>
      <c r="L174" s="21" t="n"/>
      <c r="M174" s="21">
        <f>IF($B174="","FALSE","TRUE")</f>
        <v/>
      </c>
      <c r="N174">
        <f t="array" ref="N174">IsURL(Table_121215[[#This Row],[Data Source]])</f>
        <v/>
      </c>
      <c r="O174">
        <f t="array" ref="O174">IsURL(Table_121215[[#This Row],[DOI]])</f>
        <v/>
      </c>
      <c r="P174">
        <f t="array" ref="P174">IsURL(Table_121215[[#This Row],[Data Source]])</f>
        <v/>
      </c>
      <c r="Q174">
        <f t="array" ref="Q174">IsURL(Table_121215[[#This Row],[Data Source]])</f>
        <v/>
      </c>
    </row>
    <row r="175" ht="15.75" customHeight="1">
      <c r="A175">
        <f>IF(Table_17[[#This Row],[Part Name]]=0,"",Table_17[[#This Row],[Part Name]])</f>
        <v/>
      </c>
      <c r="E175" s="11" t="n"/>
      <c r="J175">
        <f>LEN(TRIM(CLEAN(SUBSTITUTE(SUBSTITUTE(Table_17[[#This Row],[Sequence]],CHAR(160)," ")," ",""))))</f>
        <v/>
      </c>
      <c r="K175" s="12" t="n"/>
      <c r="L175" s="21" t="n"/>
      <c r="M175" s="21">
        <f>IF($B175="","FALSE","TRUE")</f>
        <v/>
      </c>
      <c r="N175">
        <f t="array" ref="N175">IsURL(Table_121215[[#This Row],[Data Source]])</f>
        <v/>
      </c>
      <c r="O175">
        <f t="array" ref="O175">IsURL(Table_121215[[#This Row],[DOI]])</f>
        <v/>
      </c>
      <c r="P175">
        <f t="array" ref="P175">IsURL(Table_121215[[#This Row],[Data Source]])</f>
        <v/>
      </c>
      <c r="Q175">
        <f t="array" ref="Q175">IsURL(Table_121215[[#This Row],[Data Source]])</f>
        <v/>
      </c>
    </row>
    <row r="176" ht="15.75" customHeight="1">
      <c r="A176">
        <f>IF(Table_17[[#This Row],[Part Name]]=0,"",Table_17[[#This Row],[Part Name]])</f>
        <v/>
      </c>
      <c r="E176" s="11" t="n"/>
      <c r="J176">
        <f>LEN(TRIM(CLEAN(SUBSTITUTE(SUBSTITUTE(Table_17[[#This Row],[Sequence]],CHAR(160)," ")," ",""))))</f>
        <v/>
      </c>
      <c r="K176" s="12" t="n"/>
      <c r="L176" s="21" t="n"/>
      <c r="M176" s="21">
        <f>IF($B176="","FALSE","TRUE")</f>
        <v/>
      </c>
      <c r="N176">
        <f t="array" ref="N176">IsURL(Table_121215[[#This Row],[Data Source]])</f>
        <v/>
      </c>
      <c r="O176">
        <f t="array" ref="O176">IsURL(Table_121215[[#This Row],[DOI]])</f>
        <v/>
      </c>
      <c r="P176">
        <f t="array" ref="P176">IsURL(Table_121215[[#This Row],[Data Source]])</f>
        <v/>
      </c>
      <c r="Q176">
        <f t="array" ref="Q176">IsURL(Table_121215[[#This Row],[Data Source]])</f>
        <v/>
      </c>
    </row>
    <row r="177" ht="15.75" customHeight="1">
      <c r="A177">
        <f>IF(Table_17[[#This Row],[Part Name]]=0,"",Table_17[[#This Row],[Part Name]])</f>
        <v/>
      </c>
      <c r="E177" s="11" t="n"/>
      <c r="J177">
        <f>LEN(TRIM(CLEAN(SUBSTITUTE(SUBSTITUTE(Table_17[[#This Row],[Sequence]],CHAR(160)," ")," ",""))))</f>
        <v/>
      </c>
      <c r="K177" s="12" t="n"/>
      <c r="L177" s="21" t="n"/>
      <c r="M177" s="21">
        <f>IF($B177="","FALSE","TRUE")</f>
        <v/>
      </c>
      <c r="N177">
        <f t="array" ref="N177">IsURL(Table_121215[[#This Row],[Data Source]])</f>
        <v/>
      </c>
      <c r="O177">
        <f t="array" ref="O177">IsURL(Table_121215[[#This Row],[DOI]])</f>
        <v/>
      </c>
      <c r="P177">
        <f t="array" ref="P177">IsURL(Table_121215[[#This Row],[Data Source]])</f>
        <v/>
      </c>
      <c r="Q177">
        <f t="array" ref="Q177">IsURL(Table_121215[[#This Row],[Data Source]])</f>
        <v/>
      </c>
    </row>
    <row r="178" ht="15.75" customHeight="1">
      <c r="A178">
        <f>IF(Table_17[[#This Row],[Part Name]]=0,"",Table_17[[#This Row],[Part Name]])</f>
        <v/>
      </c>
      <c r="E178" s="11" t="n"/>
      <c r="J178">
        <f>LEN(TRIM(CLEAN(SUBSTITUTE(SUBSTITUTE(Table_17[[#This Row],[Sequence]],CHAR(160)," ")," ",""))))</f>
        <v/>
      </c>
      <c r="K178" s="12" t="n"/>
      <c r="L178" s="21" t="n"/>
      <c r="M178" s="21">
        <f>IF($B178="","FALSE","TRUE")</f>
        <v/>
      </c>
      <c r="N178">
        <f t="array" ref="N178">IsURL(Table_121215[[#This Row],[Data Source]])</f>
        <v/>
      </c>
      <c r="O178">
        <f t="array" ref="O178">IsURL(Table_121215[[#This Row],[DOI]])</f>
        <v/>
      </c>
      <c r="P178">
        <f t="array" ref="P178">IsURL(Table_121215[[#This Row],[Data Source]])</f>
        <v/>
      </c>
      <c r="Q178">
        <f t="array" ref="Q178">IsURL(Table_121215[[#This Row],[Data Source]])</f>
        <v/>
      </c>
    </row>
    <row r="179" ht="15.75" customHeight="1">
      <c r="A179">
        <f>IF(Table_17[[#This Row],[Part Name]]=0,"",Table_17[[#This Row],[Part Name]])</f>
        <v/>
      </c>
      <c r="E179" s="11" t="n"/>
      <c r="J179">
        <f>LEN(TRIM(CLEAN(SUBSTITUTE(SUBSTITUTE(Table_17[[#This Row],[Sequence]],CHAR(160)," ")," ",""))))</f>
        <v/>
      </c>
      <c r="K179" s="12" t="n"/>
      <c r="L179" s="21" t="n"/>
      <c r="M179" s="21">
        <f>IF($B179="","FALSE","TRUE")</f>
        <v/>
      </c>
      <c r="N179">
        <f t="array" ref="N179">IsURL(Table_121215[[#This Row],[Data Source]])</f>
        <v/>
      </c>
      <c r="O179">
        <f t="array" ref="O179">IsURL(Table_121215[[#This Row],[DOI]])</f>
        <v/>
      </c>
      <c r="P179">
        <f t="array" ref="P179">IsURL(Table_121215[[#This Row],[Data Source]])</f>
        <v/>
      </c>
      <c r="Q179">
        <f t="array" ref="Q179">IsURL(Table_121215[[#This Row],[Data Source]])</f>
        <v/>
      </c>
    </row>
    <row r="180" ht="15.75" customHeight="1">
      <c r="A180">
        <f>IF(Table_17[[#This Row],[Part Name]]=0,"",Table_17[[#This Row],[Part Name]])</f>
        <v/>
      </c>
      <c r="E180" s="11" t="n"/>
      <c r="J180">
        <f>LEN(TRIM(CLEAN(SUBSTITUTE(SUBSTITUTE(Table_17[[#This Row],[Sequence]],CHAR(160)," ")," ",""))))</f>
        <v/>
      </c>
      <c r="K180" s="12" t="n"/>
      <c r="L180" s="21" t="n"/>
      <c r="M180" s="21">
        <f>IF($B180="","FALSE","TRUE")</f>
        <v/>
      </c>
      <c r="N180">
        <f t="array" ref="N180">IsURL(Table_121215[[#This Row],[Data Source]])</f>
        <v/>
      </c>
      <c r="O180">
        <f t="array" ref="O180">IsURL(Table_121215[[#This Row],[DOI]])</f>
        <v/>
      </c>
      <c r="P180">
        <f t="array" ref="P180">IsURL(Table_121215[[#This Row],[Data Source]])</f>
        <v/>
      </c>
      <c r="Q180">
        <f t="array" ref="Q180">IsURL(Table_121215[[#This Row],[Data Source]])</f>
        <v/>
      </c>
    </row>
    <row r="181" ht="15.75" customHeight="1">
      <c r="A181">
        <f>IF(Table_17[[#This Row],[Part Name]]=0,"",Table_17[[#This Row],[Part Name]])</f>
        <v/>
      </c>
      <c r="E181" s="11" t="n"/>
      <c r="J181">
        <f>LEN(TRIM(CLEAN(SUBSTITUTE(SUBSTITUTE(Table_17[[#This Row],[Sequence]],CHAR(160)," ")," ",""))))</f>
        <v/>
      </c>
      <c r="K181" s="12" t="n"/>
      <c r="L181" s="21" t="n"/>
      <c r="M181" s="21">
        <f>IF($B181="","FALSE","TRUE")</f>
        <v/>
      </c>
      <c r="N181">
        <f t="array" ref="N181">IsURL(Table_121215[[#This Row],[Data Source]])</f>
        <v/>
      </c>
      <c r="O181">
        <f t="array" ref="O181">IsURL(Table_121215[[#This Row],[DOI]])</f>
        <v/>
      </c>
      <c r="P181">
        <f t="array" ref="P181">IsURL(Table_121215[[#This Row],[Data Source]])</f>
        <v/>
      </c>
      <c r="Q181">
        <f t="array" ref="Q181">IsURL(Table_121215[[#This Row],[Data Source]])</f>
        <v/>
      </c>
    </row>
    <row r="182" ht="15.75" customHeight="1">
      <c r="A182">
        <f>IF(Table_17[[#This Row],[Part Name]]=0,"",Table_17[[#This Row],[Part Name]])</f>
        <v/>
      </c>
      <c r="E182" s="11" t="n"/>
      <c r="J182">
        <f>LEN(TRIM(CLEAN(SUBSTITUTE(SUBSTITUTE(Table_17[[#This Row],[Sequence]],CHAR(160)," ")," ",""))))</f>
        <v/>
      </c>
      <c r="K182" s="12" t="n"/>
      <c r="L182" s="21" t="n"/>
      <c r="M182" s="21">
        <f>IF($B182="","FALSE","TRUE")</f>
        <v/>
      </c>
      <c r="N182">
        <f t="array" ref="N182">IsURL(Table_121215[[#This Row],[Data Source]])</f>
        <v/>
      </c>
      <c r="O182">
        <f t="array" ref="O182">IsURL(Table_121215[[#This Row],[DOI]])</f>
        <v/>
      </c>
      <c r="P182">
        <f t="array" ref="P182">IsURL(Table_121215[[#This Row],[Data Source]])</f>
        <v/>
      </c>
      <c r="Q182">
        <f t="array" ref="Q182">IsURL(Table_121215[[#This Row],[Data Source]])</f>
        <v/>
      </c>
    </row>
    <row r="183" ht="15.75" customHeight="1">
      <c r="A183">
        <f>IF(Table_17[[#This Row],[Part Name]]=0,"",Table_17[[#This Row],[Part Name]])</f>
        <v/>
      </c>
      <c r="E183" s="11" t="n"/>
      <c r="J183">
        <f>LEN(TRIM(CLEAN(SUBSTITUTE(SUBSTITUTE(Table_17[[#This Row],[Sequence]],CHAR(160)," ")," ",""))))</f>
        <v/>
      </c>
      <c r="K183" s="12" t="n"/>
      <c r="L183" s="21" t="n"/>
      <c r="M183" s="21">
        <f>IF($B183="","FALSE","TRUE")</f>
        <v/>
      </c>
      <c r="N183">
        <f t="array" ref="N183">IsURL(Table_121215[[#This Row],[Data Source]])</f>
        <v/>
      </c>
      <c r="O183">
        <f t="array" ref="O183">IsURL(Table_121215[[#This Row],[DOI]])</f>
        <v/>
      </c>
      <c r="P183">
        <f t="array" ref="P183">IsURL(Table_121215[[#This Row],[Data Source]])</f>
        <v/>
      </c>
      <c r="Q183">
        <f t="array" ref="Q183">IsURL(Table_121215[[#This Row],[Data Source]])</f>
        <v/>
      </c>
    </row>
    <row r="184" ht="15.75" customHeight="1">
      <c r="A184">
        <f>IF(Table_17[[#This Row],[Part Name]]=0,"",Table_17[[#This Row],[Part Name]])</f>
        <v/>
      </c>
      <c r="E184" s="11" t="n"/>
      <c r="J184">
        <f>LEN(TRIM(CLEAN(SUBSTITUTE(SUBSTITUTE(Table_17[[#This Row],[Sequence]],CHAR(160)," ")," ",""))))</f>
        <v/>
      </c>
      <c r="K184" s="12" t="n"/>
      <c r="L184" s="21" t="n"/>
      <c r="M184" s="21">
        <f>IF($B184="","FALSE","TRUE")</f>
        <v/>
      </c>
      <c r="N184">
        <f t="array" ref="N184">IsURL(Table_121215[[#This Row],[Data Source]])</f>
        <v/>
      </c>
      <c r="O184">
        <f t="array" ref="O184">IsURL(Table_121215[[#This Row],[DOI]])</f>
        <v/>
      </c>
      <c r="P184">
        <f t="array" ref="P184">IsURL(Table_121215[[#This Row],[Data Source]])</f>
        <v/>
      </c>
      <c r="Q184">
        <f t="array" ref="Q184">IsURL(Table_121215[[#This Row],[Data Source]])</f>
        <v/>
      </c>
    </row>
    <row r="185" ht="15.75" customHeight="1">
      <c r="A185">
        <f>IF(Table_17[[#This Row],[Part Name]]=0,"",Table_17[[#This Row],[Part Name]])</f>
        <v/>
      </c>
      <c r="E185" s="11" t="n"/>
      <c r="J185">
        <f>LEN(TRIM(CLEAN(SUBSTITUTE(SUBSTITUTE(Table_17[[#This Row],[Sequence]],CHAR(160)," ")," ",""))))</f>
        <v/>
      </c>
      <c r="K185" s="12" t="n"/>
      <c r="L185" s="21" t="n"/>
      <c r="M185" s="21">
        <f>IF($B185="","FALSE","TRUE")</f>
        <v/>
      </c>
      <c r="N185">
        <f t="array" ref="N185">IsURL(Table_121215[[#This Row],[Data Source]])</f>
        <v/>
      </c>
      <c r="O185">
        <f t="array" ref="O185">IsURL(Table_121215[[#This Row],[DOI]])</f>
        <v/>
      </c>
      <c r="P185">
        <f t="array" ref="P185">IsURL(Table_121215[[#This Row],[Data Source]])</f>
        <v/>
      </c>
      <c r="Q185">
        <f t="array" ref="Q185">IsURL(Table_121215[[#This Row],[Data Source]])</f>
        <v/>
      </c>
    </row>
    <row r="186" ht="15.75" customHeight="1">
      <c r="A186">
        <f>IF(Table_17[[#This Row],[Part Name]]=0,"",Table_17[[#This Row],[Part Name]])</f>
        <v/>
      </c>
      <c r="E186" s="11" t="n"/>
      <c r="J186">
        <f>LEN(TRIM(CLEAN(SUBSTITUTE(SUBSTITUTE(Table_17[[#This Row],[Sequence]],CHAR(160)," ")," ",""))))</f>
        <v/>
      </c>
      <c r="K186" s="12" t="n"/>
      <c r="L186" s="21" t="n"/>
      <c r="M186" s="21">
        <f>IF($B186="","FALSE","TRUE")</f>
        <v/>
      </c>
      <c r="N186">
        <f t="array" ref="N186">IsURL(Table_121215[[#This Row],[Data Source]])</f>
        <v/>
      </c>
      <c r="O186">
        <f t="array" ref="O186">IsURL(Table_121215[[#This Row],[DOI]])</f>
        <v/>
      </c>
      <c r="P186">
        <f t="array" ref="P186">IsURL(Table_121215[[#This Row],[Data Source]])</f>
        <v/>
      </c>
      <c r="Q186">
        <f t="array" ref="Q186">IsURL(Table_121215[[#This Row],[Data Source]])</f>
        <v/>
      </c>
    </row>
    <row r="187" ht="15.75" customHeight="1">
      <c r="A187">
        <f>IF(Table_17[[#This Row],[Part Name]]=0,"",Table_17[[#This Row],[Part Name]])</f>
        <v/>
      </c>
      <c r="E187" s="11" t="n"/>
      <c r="J187">
        <f>LEN(TRIM(CLEAN(SUBSTITUTE(SUBSTITUTE(Table_17[[#This Row],[Sequence]],CHAR(160)," ")," ",""))))</f>
        <v/>
      </c>
      <c r="K187" s="12" t="n"/>
      <c r="L187" s="21" t="n"/>
      <c r="M187" s="21">
        <f>IF($B187="","FALSE","TRUE")</f>
        <v/>
      </c>
      <c r="N187">
        <f t="array" ref="N187">IsURL(Table_121215[[#This Row],[Data Source]])</f>
        <v/>
      </c>
      <c r="O187">
        <f t="array" ref="O187">IsURL(Table_121215[[#This Row],[DOI]])</f>
        <v/>
      </c>
      <c r="P187">
        <f t="array" ref="P187">IsURL(Table_121215[[#This Row],[Data Source]])</f>
        <v/>
      </c>
      <c r="Q187">
        <f t="array" ref="Q187">IsURL(Table_121215[[#This Row],[Data Source]])</f>
        <v/>
      </c>
    </row>
    <row r="188" ht="15.75" customHeight="1">
      <c r="A188">
        <f>IF(Table_17[[#This Row],[Part Name]]=0,"",Table_17[[#This Row],[Part Name]])</f>
        <v/>
      </c>
      <c r="E188" s="11" t="n"/>
      <c r="J188">
        <f>LEN(TRIM(CLEAN(SUBSTITUTE(SUBSTITUTE(Table_17[[#This Row],[Sequence]],CHAR(160)," ")," ",""))))</f>
        <v/>
      </c>
      <c r="K188" s="12" t="n"/>
      <c r="L188" s="21" t="n"/>
      <c r="M188" s="21">
        <f>IF($B188="","FALSE","TRUE")</f>
        <v/>
      </c>
      <c r="N188">
        <f t="array" ref="N188">IsURL(Table_121215[[#This Row],[Data Source]])</f>
        <v/>
      </c>
      <c r="O188">
        <f t="array" ref="O188">IsURL(Table_121215[[#This Row],[DOI]])</f>
        <v/>
      </c>
      <c r="P188">
        <f t="array" ref="P188">IsURL(Table_121215[[#This Row],[Data Source]])</f>
        <v/>
      </c>
      <c r="Q188">
        <f t="array" ref="Q188">IsURL(Table_121215[[#This Row],[Data Source]])</f>
        <v/>
      </c>
    </row>
    <row r="189" ht="15.75" customHeight="1">
      <c r="A189">
        <f>IF(Table_17[[#This Row],[Part Name]]=0,"",Table_17[[#This Row],[Part Name]])</f>
        <v/>
      </c>
      <c r="E189" s="11" t="n"/>
      <c r="J189">
        <f>LEN(TRIM(CLEAN(SUBSTITUTE(SUBSTITUTE(Table_17[[#This Row],[Sequence]],CHAR(160)," ")," ",""))))</f>
        <v/>
      </c>
      <c r="K189" s="12" t="n"/>
      <c r="L189" s="21" t="n"/>
      <c r="M189" s="21">
        <f>IF($B189="","FALSE","TRUE")</f>
        <v/>
      </c>
      <c r="N189">
        <f t="array" ref="N189">IsURL(Table_121215[[#This Row],[Data Source]])</f>
        <v/>
      </c>
      <c r="O189">
        <f t="array" ref="O189">IsURL(Table_121215[[#This Row],[DOI]])</f>
        <v/>
      </c>
      <c r="P189">
        <f t="array" ref="P189">IsURL(Table_121215[[#This Row],[Data Source]])</f>
        <v/>
      </c>
      <c r="Q189">
        <f t="array" ref="Q189">IsURL(Table_121215[[#This Row],[Data Source]])</f>
        <v/>
      </c>
    </row>
    <row r="190" ht="15.75" customHeight="1">
      <c r="A190">
        <f>IF(Table_17[[#This Row],[Part Name]]=0,"",Table_17[[#This Row],[Part Name]])</f>
        <v/>
      </c>
      <c r="E190" s="11" t="n"/>
      <c r="J190">
        <f>LEN(TRIM(CLEAN(SUBSTITUTE(SUBSTITUTE(Table_17[[#This Row],[Sequence]],CHAR(160)," ")," ",""))))</f>
        <v/>
      </c>
      <c r="K190" s="12" t="n"/>
      <c r="L190" s="21" t="n"/>
      <c r="M190" s="21">
        <f>IF($B190="","FALSE","TRUE")</f>
        <v/>
      </c>
      <c r="N190">
        <f t="array" ref="N190">IsURL(Table_121215[[#This Row],[Data Source]])</f>
        <v/>
      </c>
      <c r="O190">
        <f t="array" ref="O190">IsURL(Table_121215[[#This Row],[DOI]])</f>
        <v/>
      </c>
      <c r="P190">
        <f t="array" ref="P190">IsURL(Table_121215[[#This Row],[Data Source]])</f>
        <v/>
      </c>
      <c r="Q190">
        <f t="array" ref="Q190">IsURL(Table_121215[[#This Row],[Data Source]])</f>
        <v/>
      </c>
    </row>
    <row r="191" ht="15.75" customHeight="1">
      <c r="A191">
        <f>IF(Table_17[[#This Row],[Part Name]]=0,"",Table_17[[#This Row],[Part Name]])</f>
        <v/>
      </c>
      <c r="E191" s="11" t="n"/>
      <c r="J191">
        <f>LEN(TRIM(CLEAN(SUBSTITUTE(SUBSTITUTE(Table_17[[#This Row],[Sequence]],CHAR(160)," ")," ",""))))</f>
        <v/>
      </c>
      <c r="K191" s="12" t="n"/>
      <c r="L191" s="21" t="n"/>
      <c r="M191" s="21">
        <f>IF($B191="","FALSE","TRUE")</f>
        <v/>
      </c>
      <c r="N191">
        <f t="array" ref="N191">IsURL(Table_121215[[#This Row],[Data Source]])</f>
        <v/>
      </c>
      <c r="O191">
        <f t="array" ref="O191">IsURL(Table_121215[[#This Row],[DOI]])</f>
        <v/>
      </c>
      <c r="P191">
        <f t="array" ref="P191">IsURL(Table_121215[[#This Row],[Data Source]])</f>
        <v/>
      </c>
      <c r="Q191">
        <f t="array" ref="Q191">IsURL(Table_121215[[#This Row],[Data Source]])</f>
        <v/>
      </c>
    </row>
    <row r="192" ht="15.75" customHeight="1">
      <c r="A192">
        <f>IF(Table_17[[#This Row],[Part Name]]=0,"",Table_17[[#This Row],[Part Name]])</f>
        <v/>
      </c>
      <c r="E192" s="11" t="n"/>
      <c r="J192">
        <f>LEN(TRIM(CLEAN(SUBSTITUTE(SUBSTITUTE(Table_17[[#This Row],[Sequence]],CHAR(160)," ")," ",""))))</f>
        <v/>
      </c>
      <c r="K192" s="12" t="n"/>
      <c r="L192" s="21" t="n"/>
      <c r="M192" s="21">
        <f>IF($B192="","FALSE","TRUE")</f>
        <v/>
      </c>
      <c r="N192">
        <f t="array" ref="N192">IsURL(Table_121215[[#This Row],[Data Source]])</f>
        <v/>
      </c>
      <c r="O192">
        <f t="array" ref="O192">IsURL(Table_121215[[#This Row],[DOI]])</f>
        <v/>
      </c>
      <c r="P192">
        <f t="array" ref="P192">IsURL(Table_121215[[#This Row],[Data Source]])</f>
        <v/>
      </c>
      <c r="Q192">
        <f t="array" ref="Q192">IsURL(Table_121215[[#This Row],[Data Source]])</f>
        <v/>
      </c>
    </row>
    <row r="193" ht="15.75" customHeight="1">
      <c r="A193">
        <f>IF(Table_17[[#This Row],[Part Name]]=0,"",Table_17[[#This Row],[Part Name]])</f>
        <v/>
      </c>
      <c r="E193" s="11" t="n"/>
      <c r="J193">
        <f>LEN(TRIM(CLEAN(SUBSTITUTE(SUBSTITUTE(Table_17[[#This Row],[Sequence]],CHAR(160)," ")," ",""))))</f>
        <v/>
      </c>
      <c r="K193" s="12" t="n"/>
      <c r="L193" s="21" t="n"/>
      <c r="M193" s="21">
        <f>IF($B193="","FALSE","TRUE")</f>
        <v/>
      </c>
      <c r="N193">
        <f t="array" ref="N193">IsURL(Table_121215[[#This Row],[Data Source]])</f>
        <v/>
      </c>
      <c r="O193">
        <f t="array" ref="O193">IsURL(Table_121215[[#This Row],[DOI]])</f>
        <v/>
      </c>
      <c r="P193">
        <f t="array" ref="P193">IsURL(Table_121215[[#This Row],[Data Source]])</f>
        <v/>
      </c>
      <c r="Q193">
        <f t="array" ref="Q193">IsURL(Table_121215[[#This Row],[Data Source]])</f>
        <v/>
      </c>
    </row>
    <row r="194" ht="15.75" customHeight="1">
      <c r="A194">
        <f>IF(Table_17[[#This Row],[Part Name]]=0,"",Table_17[[#This Row],[Part Name]])</f>
        <v/>
      </c>
      <c r="E194" s="11" t="n"/>
      <c r="J194">
        <f>LEN(TRIM(CLEAN(SUBSTITUTE(SUBSTITUTE(Table_17[[#This Row],[Sequence]],CHAR(160)," ")," ",""))))</f>
        <v/>
      </c>
      <c r="K194" s="12" t="n"/>
      <c r="L194" s="21" t="n"/>
      <c r="M194" s="21">
        <f>IF($B194="","FALSE","TRUE")</f>
        <v/>
      </c>
      <c r="N194">
        <f t="array" ref="N194">IsURL(Table_121215[[#This Row],[Data Source]])</f>
        <v/>
      </c>
      <c r="O194">
        <f t="array" ref="O194">IsURL(Table_121215[[#This Row],[DOI]])</f>
        <v/>
      </c>
      <c r="P194">
        <f t="array" ref="P194">IsURL(Table_121215[[#This Row],[Data Source]])</f>
        <v/>
      </c>
      <c r="Q194">
        <f t="array" ref="Q194">IsURL(Table_121215[[#This Row],[Data Source]])</f>
        <v/>
      </c>
    </row>
    <row r="195" ht="15.75" customHeight="1">
      <c r="A195">
        <f>IF(Table_17[[#This Row],[Part Name]]=0,"",Table_17[[#This Row],[Part Name]])</f>
        <v/>
      </c>
      <c r="E195" s="11" t="n"/>
      <c r="J195">
        <f>LEN(TRIM(CLEAN(SUBSTITUTE(SUBSTITUTE(Table_17[[#This Row],[Sequence]],CHAR(160)," ")," ",""))))</f>
        <v/>
      </c>
      <c r="K195" s="12" t="n"/>
      <c r="L195" s="21" t="n"/>
      <c r="M195" s="21">
        <f>IF($B195="","FALSE","TRUE")</f>
        <v/>
      </c>
      <c r="N195">
        <f t="array" ref="N195">IsURL(Table_121215[[#This Row],[Data Source]])</f>
        <v/>
      </c>
      <c r="O195">
        <f t="array" ref="O195">IsURL(Table_121215[[#This Row],[DOI]])</f>
        <v/>
      </c>
      <c r="P195">
        <f t="array" ref="P195">IsURL(Table_121215[[#This Row],[Data Source]])</f>
        <v/>
      </c>
      <c r="Q195">
        <f t="array" ref="Q195">IsURL(Table_121215[[#This Row],[Data Source]])</f>
        <v/>
      </c>
    </row>
    <row r="196" ht="15.75" customHeight="1">
      <c r="A196">
        <f>IF(Table_17[[#This Row],[Part Name]]=0,"",Table_17[[#This Row],[Part Name]])</f>
        <v/>
      </c>
      <c r="E196" s="11" t="n"/>
      <c r="J196">
        <f>LEN(TRIM(CLEAN(SUBSTITUTE(SUBSTITUTE(Table_17[[#This Row],[Sequence]],CHAR(160)," ")," ",""))))</f>
        <v/>
      </c>
      <c r="K196" s="12" t="n"/>
      <c r="L196" s="21" t="n"/>
      <c r="M196" s="21">
        <f>IF($B196="","FALSE","TRUE")</f>
        <v/>
      </c>
      <c r="N196">
        <f t="array" ref="N196">IsURL(Table_121215[[#This Row],[Data Source]])</f>
        <v/>
      </c>
      <c r="O196">
        <f t="array" ref="O196">IsURL(Table_121215[[#This Row],[DOI]])</f>
        <v/>
      </c>
      <c r="P196">
        <f t="array" ref="P196">IsURL(Table_121215[[#This Row],[Data Source]])</f>
        <v/>
      </c>
      <c r="Q196">
        <f t="array" ref="Q196">IsURL(Table_121215[[#This Row],[Data Source]])</f>
        <v/>
      </c>
    </row>
    <row r="197" ht="15.75" customHeight="1">
      <c r="A197">
        <f>IF(Table_17[[#This Row],[Part Name]]=0,"",Table_17[[#This Row],[Part Name]])</f>
        <v/>
      </c>
      <c r="E197" s="11" t="n"/>
      <c r="J197">
        <f>LEN(TRIM(CLEAN(SUBSTITUTE(SUBSTITUTE(Table_17[[#This Row],[Sequence]],CHAR(160)," ")," ",""))))</f>
        <v/>
      </c>
      <c r="K197" s="12" t="n"/>
      <c r="L197" s="21" t="n"/>
      <c r="M197" s="21">
        <f>IF($B197="","FALSE","TRUE")</f>
        <v/>
      </c>
      <c r="N197">
        <f t="array" ref="N197">IsURL(Table_121215[[#This Row],[Data Source]])</f>
        <v/>
      </c>
      <c r="O197">
        <f t="array" ref="O197">IsURL(Table_121215[[#This Row],[DOI]])</f>
        <v/>
      </c>
      <c r="P197">
        <f t="array" ref="P197">IsURL(Table_121215[[#This Row],[Data Source]])</f>
        <v/>
      </c>
      <c r="Q197">
        <f t="array" ref="Q197">IsURL(Table_121215[[#This Row],[Data Source]])</f>
        <v/>
      </c>
    </row>
    <row r="198" ht="15.75" customHeight="1">
      <c r="A198">
        <f>IF(Table_17[[#This Row],[Part Name]]=0,"",Table_17[[#This Row],[Part Name]])</f>
        <v/>
      </c>
      <c r="E198" s="11" t="n"/>
      <c r="J198">
        <f>LEN(TRIM(CLEAN(SUBSTITUTE(SUBSTITUTE(Table_17[[#This Row],[Sequence]],CHAR(160)," ")," ",""))))</f>
        <v/>
      </c>
      <c r="K198" s="12" t="n"/>
      <c r="L198" s="21" t="n"/>
      <c r="M198" s="21">
        <f>IF($B198="","FALSE","TRUE")</f>
        <v/>
      </c>
      <c r="N198">
        <f t="array" ref="N198">IsURL(Table_121215[[#This Row],[Data Source]])</f>
        <v/>
      </c>
      <c r="O198">
        <f t="array" ref="O198">IsURL(Table_121215[[#This Row],[DOI]])</f>
        <v/>
      </c>
      <c r="P198">
        <f t="array" ref="P198">IsURL(Table_121215[[#This Row],[Data Source]])</f>
        <v/>
      </c>
      <c r="Q198">
        <f t="array" ref="Q198">IsURL(Table_121215[[#This Row],[Data Source]])</f>
        <v/>
      </c>
    </row>
    <row r="199" ht="15.75" customHeight="1">
      <c r="A199">
        <f>IF(Table_17[[#This Row],[Part Name]]=0,"",Table_17[[#This Row],[Part Name]])</f>
        <v/>
      </c>
      <c r="E199" s="11" t="n"/>
      <c r="J199">
        <f>LEN(TRIM(CLEAN(SUBSTITUTE(SUBSTITUTE(Table_17[[#This Row],[Sequence]],CHAR(160)," ")," ",""))))</f>
        <v/>
      </c>
      <c r="K199" s="12" t="n"/>
      <c r="L199" s="21" t="n"/>
      <c r="M199" s="21">
        <f>IF($B199="","FALSE","TRUE")</f>
        <v/>
      </c>
      <c r="N199">
        <f t="array" ref="N199">IsURL(Table_121215[[#This Row],[Data Source]])</f>
        <v/>
      </c>
      <c r="O199">
        <f t="array" ref="O199">IsURL(Table_121215[[#This Row],[DOI]])</f>
        <v/>
      </c>
      <c r="P199">
        <f t="array" ref="P199">IsURL(Table_121215[[#This Row],[Data Source]])</f>
        <v/>
      </c>
      <c r="Q199">
        <f t="array" ref="Q199">IsURL(Table_121215[[#This Row],[Data Source]])</f>
        <v/>
      </c>
    </row>
    <row r="200" ht="15.75" customHeight="1">
      <c r="A200">
        <f>IF(Table_17[[#This Row],[Part Name]]=0,"",Table_17[[#This Row],[Part Name]])</f>
        <v/>
      </c>
      <c r="E200" s="11" t="n"/>
      <c r="J200">
        <f>LEN(TRIM(CLEAN(SUBSTITUTE(SUBSTITUTE(Table_17[[#This Row],[Sequence]],CHAR(160)," ")," ",""))))</f>
        <v/>
      </c>
      <c r="K200" s="12" t="n"/>
      <c r="L200" s="21" t="n"/>
      <c r="M200" s="21">
        <f>IF($B200="","FALSE","TRUE")</f>
        <v/>
      </c>
      <c r="N200">
        <f t="array" ref="N200">IsURL(Table_121215[[#This Row],[Data Source]])</f>
        <v/>
      </c>
      <c r="O200">
        <f t="array" ref="O200">IsURL(Table_121215[[#This Row],[DOI]])</f>
        <v/>
      </c>
      <c r="P200">
        <f t="array" ref="P200">IsURL(Table_121215[[#This Row],[Data Source]])</f>
        <v/>
      </c>
      <c r="Q200">
        <f t="array" ref="Q200">IsURL(Table_121215[[#This Row],[Data Source]])</f>
        <v/>
      </c>
    </row>
    <row r="201" ht="15.75" customHeight="1">
      <c r="A201">
        <f>IF(Table_17[[#This Row],[Part Name]]=0,"",Table_17[[#This Row],[Part Name]])</f>
        <v/>
      </c>
      <c r="E201" s="11" t="n"/>
      <c r="J201">
        <f>LEN(TRIM(CLEAN(SUBSTITUTE(SUBSTITUTE(Table_17[[#This Row],[Sequence]],CHAR(160)," ")," ",""))))</f>
        <v/>
      </c>
      <c r="K201" s="12" t="n"/>
      <c r="L201" s="21" t="n"/>
      <c r="M201" s="21">
        <f>IF($B201="","FALSE","TRUE")</f>
        <v/>
      </c>
      <c r="N201">
        <f t="array" ref="N201">IsURL(Table_121215[[#This Row],[Data Source]])</f>
        <v/>
      </c>
      <c r="O201">
        <f t="array" ref="O201">IsURL(Table_121215[[#This Row],[DOI]])</f>
        <v/>
      </c>
      <c r="P201">
        <f t="array" ref="P201">IsURL(Table_121215[[#This Row],[Data Source]])</f>
        <v/>
      </c>
      <c r="Q201">
        <f t="array" ref="Q201">IsURL(Table_121215[[#This Row],[Data Source]])</f>
        <v/>
      </c>
    </row>
    <row r="202" ht="15.75" customHeight="1">
      <c r="A202">
        <f>IF(Table_17[[#This Row],[Part Name]]=0,"",Table_17[[#This Row],[Part Name]])</f>
        <v/>
      </c>
      <c r="E202" s="11" t="n"/>
      <c r="J202">
        <f>LEN(TRIM(CLEAN(SUBSTITUTE(SUBSTITUTE(Table_17[[#This Row],[Sequence]],CHAR(160)," ")," ",""))))</f>
        <v/>
      </c>
      <c r="K202" s="12" t="n"/>
      <c r="L202" s="21" t="n"/>
      <c r="M202" s="21">
        <f>IF($B202="","FALSE","TRUE")</f>
        <v/>
      </c>
      <c r="N202">
        <f t="array" ref="N202">IsURL(Table_121215[[#This Row],[Data Source]])</f>
        <v/>
      </c>
      <c r="O202">
        <f t="array" ref="O202">IsURL(Table_121215[[#This Row],[DOI]])</f>
        <v/>
      </c>
      <c r="P202">
        <f t="array" ref="P202">IsURL(Table_121215[[#This Row],[Data Source]])</f>
        <v/>
      </c>
      <c r="Q202">
        <f t="array" ref="Q202">IsURL(Table_121215[[#This Row],[Data Source]])</f>
        <v/>
      </c>
    </row>
    <row r="203" ht="15.75" customHeight="1">
      <c r="A203">
        <f>IF(Table_17[[#This Row],[Part Name]]=0,"",Table_17[[#This Row],[Part Name]])</f>
        <v/>
      </c>
      <c r="E203" s="11" t="n"/>
      <c r="J203">
        <f>LEN(TRIM(CLEAN(SUBSTITUTE(SUBSTITUTE(Table_17[[#This Row],[Sequence]],CHAR(160)," ")," ",""))))</f>
        <v/>
      </c>
      <c r="K203" s="12" t="n"/>
      <c r="L203" s="21" t="n"/>
      <c r="M203" s="21">
        <f>IF($B203="","FALSE","TRUE")</f>
        <v/>
      </c>
      <c r="N203">
        <f t="array" ref="N203">IsURL(Table_121215[[#This Row],[Data Source]])</f>
        <v/>
      </c>
      <c r="O203">
        <f t="array" ref="O203">IsURL(Table_121215[[#This Row],[DOI]])</f>
        <v/>
      </c>
      <c r="P203">
        <f t="array" ref="P203">IsURL(Table_121215[[#This Row],[Data Source]])</f>
        <v/>
      </c>
      <c r="Q203">
        <f t="array" ref="Q203">IsURL(Table_121215[[#This Row],[Data Source]])</f>
        <v/>
      </c>
    </row>
    <row r="204" ht="15.75" customHeight="1">
      <c r="A204">
        <f>IF(Table_17[[#This Row],[Part Name]]=0,"",Table_17[[#This Row],[Part Name]])</f>
        <v/>
      </c>
      <c r="E204" s="11" t="n"/>
      <c r="J204">
        <f>LEN(TRIM(CLEAN(SUBSTITUTE(SUBSTITUTE(Table_17[[#This Row],[Sequence]],CHAR(160)," ")," ",""))))</f>
        <v/>
      </c>
      <c r="K204" s="12" t="n"/>
      <c r="L204" s="21" t="n"/>
      <c r="M204" s="21">
        <f>IF($B204="","FALSE","TRUE")</f>
        <v/>
      </c>
      <c r="N204">
        <f t="array" ref="N204">IsURL(Table_121215[[#This Row],[Data Source]])</f>
        <v/>
      </c>
      <c r="O204">
        <f t="array" ref="O204">IsURL(Table_121215[[#This Row],[DOI]])</f>
        <v/>
      </c>
      <c r="P204">
        <f t="array" ref="P204">IsURL(Table_121215[[#This Row],[Data Source]])</f>
        <v/>
      </c>
      <c r="Q204">
        <f t="array" ref="Q204">IsURL(Table_121215[[#This Row],[Data Source]])</f>
        <v/>
      </c>
    </row>
    <row r="205" ht="15.75" customHeight="1">
      <c r="A205">
        <f>IF(Table_17[[#This Row],[Part Name]]=0,"",Table_17[[#This Row],[Part Name]])</f>
        <v/>
      </c>
      <c r="E205" s="11" t="n"/>
      <c r="J205">
        <f>LEN(TRIM(CLEAN(SUBSTITUTE(SUBSTITUTE(Table_17[[#This Row],[Sequence]],CHAR(160)," ")," ",""))))</f>
        <v/>
      </c>
      <c r="K205" s="12" t="n"/>
      <c r="L205" s="21" t="n"/>
      <c r="M205" s="21">
        <f>IF($B205="","FALSE","TRUE")</f>
        <v/>
      </c>
      <c r="N205">
        <f t="array" ref="N205">IsURL(Table_121215[[#This Row],[Data Source]])</f>
        <v/>
      </c>
      <c r="O205">
        <f t="array" ref="O205">IsURL(Table_121215[[#This Row],[DOI]])</f>
        <v/>
      </c>
      <c r="P205">
        <f t="array" ref="P205">IsURL(Table_121215[[#This Row],[Data Source]])</f>
        <v/>
      </c>
      <c r="Q205">
        <f t="array" ref="Q205">IsURL(Table_121215[[#This Row],[Data Source]])</f>
        <v/>
      </c>
    </row>
    <row r="206" ht="15.75" customHeight="1">
      <c r="A206">
        <f>IF(Table_17[[#This Row],[Part Name]]=0,"",Table_17[[#This Row],[Part Name]])</f>
        <v/>
      </c>
      <c r="E206" s="11" t="n"/>
      <c r="J206">
        <f>LEN(TRIM(CLEAN(SUBSTITUTE(SUBSTITUTE(Table_17[[#This Row],[Sequence]],CHAR(160)," ")," ",""))))</f>
        <v/>
      </c>
      <c r="K206" s="12" t="n"/>
      <c r="L206" s="21" t="n"/>
      <c r="M206" s="21">
        <f>IF($B206="","FALSE","TRUE")</f>
        <v/>
      </c>
      <c r="N206">
        <f t="array" ref="N206">IsURL(Table_121215[[#This Row],[Data Source]])</f>
        <v/>
      </c>
      <c r="O206">
        <f t="array" ref="O206">IsURL(Table_121215[[#This Row],[DOI]])</f>
        <v/>
      </c>
      <c r="P206">
        <f t="array" ref="P206">IsURL(Table_121215[[#This Row],[Data Source]])</f>
        <v/>
      </c>
      <c r="Q206">
        <f t="array" ref="Q206">IsURL(Table_121215[[#This Row],[Data Source]])</f>
        <v/>
      </c>
    </row>
    <row r="207" ht="15.75" customHeight="1">
      <c r="A207">
        <f>IF(Table_17[[#This Row],[Part Name]]=0,"",Table_17[[#This Row],[Part Name]])</f>
        <v/>
      </c>
      <c r="E207" s="11" t="n"/>
      <c r="J207">
        <f>LEN(TRIM(CLEAN(SUBSTITUTE(SUBSTITUTE(Table_17[[#This Row],[Sequence]],CHAR(160)," ")," ",""))))</f>
        <v/>
      </c>
      <c r="K207" s="12" t="n"/>
      <c r="L207" s="21" t="n"/>
      <c r="M207" s="21">
        <f>IF($B207="","FALSE","TRUE")</f>
        <v/>
      </c>
      <c r="N207">
        <f t="array" ref="N207">IsURL(Table_121215[[#This Row],[Data Source]])</f>
        <v/>
      </c>
      <c r="O207">
        <f t="array" ref="O207">IsURL(Table_121215[[#This Row],[DOI]])</f>
        <v/>
      </c>
      <c r="P207">
        <f t="array" ref="P207">IsURL(Table_121215[[#This Row],[Data Source]])</f>
        <v/>
      </c>
      <c r="Q207">
        <f t="array" ref="Q207">IsURL(Table_121215[[#This Row],[Data Source]])</f>
        <v/>
      </c>
    </row>
    <row r="208" ht="15.75" customHeight="1">
      <c r="A208">
        <f>IF(Table_17[[#This Row],[Part Name]]=0,"",Table_17[[#This Row],[Part Name]])</f>
        <v/>
      </c>
      <c r="E208" s="11" t="n"/>
      <c r="J208">
        <f>LEN(TRIM(CLEAN(SUBSTITUTE(SUBSTITUTE(Table_17[[#This Row],[Sequence]],CHAR(160)," ")," ",""))))</f>
        <v/>
      </c>
      <c r="K208" s="12" t="n"/>
      <c r="L208" s="21" t="n"/>
      <c r="M208" s="21">
        <f>IF($B208="","FALSE","TRUE")</f>
        <v/>
      </c>
      <c r="N208">
        <f t="array" ref="N208">IsURL(Table_121215[[#This Row],[Data Source]])</f>
        <v/>
      </c>
      <c r="O208">
        <f t="array" ref="O208">IsURL(Table_121215[[#This Row],[DOI]])</f>
        <v/>
      </c>
      <c r="P208">
        <f t="array" ref="P208">IsURL(Table_121215[[#This Row],[Data Source]])</f>
        <v/>
      </c>
      <c r="Q208">
        <f t="array" ref="Q208">IsURL(Table_121215[[#This Row],[Data Source]])</f>
        <v/>
      </c>
    </row>
    <row r="209" ht="15.75" customHeight="1">
      <c r="A209">
        <f>IF(Table_17[[#This Row],[Part Name]]=0,"",Table_17[[#This Row],[Part Name]])</f>
        <v/>
      </c>
      <c r="E209" s="11" t="n"/>
      <c r="J209">
        <f>LEN(TRIM(CLEAN(SUBSTITUTE(SUBSTITUTE(Table_17[[#This Row],[Sequence]],CHAR(160)," ")," ",""))))</f>
        <v/>
      </c>
      <c r="K209" s="12" t="n"/>
      <c r="L209" s="21" t="n"/>
      <c r="M209" s="21">
        <f>IF($B209="","FALSE","TRUE")</f>
        <v/>
      </c>
      <c r="N209">
        <f t="array" ref="N209">IsURL(Table_121215[[#This Row],[Data Source]])</f>
        <v/>
      </c>
      <c r="O209">
        <f t="array" ref="O209">IsURL(Table_121215[[#This Row],[DOI]])</f>
        <v/>
      </c>
      <c r="P209">
        <f t="array" ref="P209">IsURL(Table_121215[[#This Row],[Data Source]])</f>
        <v/>
      </c>
      <c r="Q209">
        <f t="array" ref="Q209">IsURL(Table_121215[[#This Row],[Data Source]])</f>
        <v/>
      </c>
    </row>
    <row r="210" ht="15.75" customHeight="1">
      <c r="A210">
        <f>IF(Table_17[[#This Row],[Part Name]]=0,"",Table_17[[#This Row],[Part Name]])</f>
        <v/>
      </c>
      <c r="E210" s="11" t="n"/>
      <c r="J210">
        <f>LEN(TRIM(CLEAN(SUBSTITUTE(SUBSTITUTE(Table_17[[#This Row],[Sequence]],CHAR(160)," ")," ",""))))</f>
        <v/>
      </c>
      <c r="K210" s="12" t="n"/>
      <c r="L210" s="21" t="n"/>
      <c r="M210" s="21">
        <f>IF($B210="","FALSE","TRUE")</f>
        <v/>
      </c>
      <c r="N210">
        <f t="array" ref="N210">IsURL(Table_121215[[#This Row],[Data Source]])</f>
        <v/>
      </c>
      <c r="O210">
        <f t="array" ref="O210">IsURL(Table_121215[[#This Row],[DOI]])</f>
        <v/>
      </c>
      <c r="P210">
        <f t="array" ref="P210">IsURL(Table_121215[[#This Row],[Data Source]])</f>
        <v/>
      </c>
      <c r="Q210">
        <f t="array" ref="Q210">IsURL(Table_121215[[#This Row],[Data Source]])</f>
        <v/>
      </c>
    </row>
    <row r="211" ht="15.75" customHeight="1">
      <c r="A211">
        <f>IF(Table_17[[#This Row],[Part Name]]=0,"",Table_17[[#This Row],[Part Name]])</f>
        <v/>
      </c>
      <c r="E211" s="11" t="n"/>
      <c r="J211">
        <f>LEN(TRIM(CLEAN(SUBSTITUTE(SUBSTITUTE(Table_17[[#This Row],[Sequence]],CHAR(160)," ")," ",""))))</f>
        <v/>
      </c>
      <c r="K211" s="12" t="n"/>
      <c r="L211" s="21" t="n"/>
      <c r="M211" s="21">
        <f>IF($B211="","FALSE","TRUE")</f>
        <v/>
      </c>
      <c r="N211">
        <f t="array" ref="N211">IsURL(Table_121215[[#This Row],[Data Source]])</f>
        <v/>
      </c>
      <c r="O211">
        <f t="array" ref="O211">IsURL(Table_121215[[#This Row],[DOI]])</f>
        <v/>
      </c>
      <c r="P211">
        <f t="array" ref="P211">IsURL(Table_121215[[#This Row],[Data Source]])</f>
        <v/>
      </c>
      <c r="Q211">
        <f t="array" ref="Q211">IsURL(Table_121215[[#This Row],[Data Source]])</f>
        <v/>
      </c>
    </row>
    <row r="212" ht="15.75" customHeight="1">
      <c r="A212">
        <f>IF(Table_17[[#This Row],[Part Name]]=0,"",Table_17[[#This Row],[Part Name]])</f>
        <v/>
      </c>
      <c r="E212" s="11" t="n"/>
      <c r="J212">
        <f>LEN(TRIM(CLEAN(SUBSTITUTE(SUBSTITUTE(Table_17[[#This Row],[Sequence]],CHAR(160)," ")," ",""))))</f>
        <v/>
      </c>
      <c r="K212" s="12" t="n"/>
      <c r="L212" s="21" t="n"/>
      <c r="M212" s="21">
        <f>IF($B212="","FALSE","TRUE")</f>
        <v/>
      </c>
      <c r="N212">
        <f t="array" ref="N212">IsURL(Table_121215[[#This Row],[Data Source]])</f>
        <v/>
      </c>
      <c r="O212">
        <f t="array" ref="O212">IsURL(Table_121215[[#This Row],[DOI]])</f>
        <v/>
      </c>
      <c r="P212">
        <f t="array" ref="P212">IsURL(Table_121215[[#This Row],[Data Source]])</f>
        <v/>
      </c>
      <c r="Q212">
        <f t="array" ref="Q212">IsURL(Table_121215[[#This Row],[Data Source]])</f>
        <v/>
      </c>
    </row>
    <row r="213" ht="15.75" customHeight="1">
      <c r="A213">
        <f>IF(Table_17[[#This Row],[Part Name]]=0,"",Table_17[[#This Row],[Part Name]])</f>
        <v/>
      </c>
      <c r="E213" s="11" t="n"/>
      <c r="J213">
        <f>LEN(TRIM(CLEAN(SUBSTITUTE(SUBSTITUTE(Table_17[[#This Row],[Sequence]],CHAR(160)," ")," ",""))))</f>
        <v/>
      </c>
      <c r="K213" s="12" t="n"/>
      <c r="L213" s="21" t="n"/>
      <c r="M213" s="21">
        <f>IF($B213="","FALSE","TRUE")</f>
        <v/>
      </c>
      <c r="N213">
        <f t="array" ref="N213">IsURL(Table_121215[[#This Row],[Data Source]])</f>
        <v/>
      </c>
      <c r="O213">
        <f t="array" ref="O213">IsURL(Table_121215[[#This Row],[DOI]])</f>
        <v/>
      </c>
      <c r="P213">
        <f t="array" ref="P213">IsURL(Table_121215[[#This Row],[Data Source]])</f>
        <v/>
      </c>
      <c r="Q213">
        <f t="array" ref="Q213">IsURL(Table_121215[[#This Row],[Data Source]])</f>
        <v/>
      </c>
    </row>
    <row r="214" ht="15.75" customHeight="1">
      <c r="A214">
        <f>IF(Table_17[[#This Row],[Part Name]]=0,"",Table_17[[#This Row],[Part Name]])</f>
        <v/>
      </c>
      <c r="E214" s="11" t="n"/>
      <c r="J214">
        <f>LEN(TRIM(CLEAN(SUBSTITUTE(SUBSTITUTE(Table_17[[#This Row],[Sequence]],CHAR(160)," ")," ",""))))</f>
        <v/>
      </c>
      <c r="K214" s="12" t="n"/>
      <c r="L214" s="21" t="n"/>
      <c r="M214" s="21">
        <f>IF($B214="","FALSE","TRUE")</f>
        <v/>
      </c>
      <c r="N214">
        <f t="array" ref="N214">IsURL(Table_121215[[#This Row],[Data Source]])</f>
        <v/>
      </c>
      <c r="O214">
        <f t="array" ref="O214">IsURL(Table_121215[[#This Row],[DOI]])</f>
        <v/>
      </c>
      <c r="P214">
        <f t="array" ref="P214">IsURL(Table_121215[[#This Row],[Data Source]])</f>
        <v/>
      </c>
      <c r="Q214">
        <f t="array" ref="Q214">IsURL(Table_121215[[#This Row],[Data Source]])</f>
        <v/>
      </c>
    </row>
    <row r="215" ht="15.75" customHeight="1">
      <c r="A215">
        <f>IF(Table_17[[#This Row],[Part Name]]=0,"",Table_17[[#This Row],[Part Name]])</f>
        <v/>
      </c>
      <c r="E215" s="11" t="n"/>
      <c r="J215">
        <f>LEN(TRIM(CLEAN(SUBSTITUTE(SUBSTITUTE(Table_17[[#This Row],[Sequence]],CHAR(160)," ")," ",""))))</f>
        <v/>
      </c>
      <c r="K215" s="12" t="n"/>
      <c r="L215" s="21" t="n"/>
      <c r="M215" s="21">
        <f>IF($B215="","FALSE","TRUE")</f>
        <v/>
      </c>
      <c r="N215">
        <f t="array" ref="N215">IsURL(Table_121215[[#This Row],[Data Source]])</f>
        <v/>
      </c>
      <c r="O215">
        <f t="array" ref="O215">IsURL(Table_121215[[#This Row],[DOI]])</f>
        <v/>
      </c>
      <c r="P215">
        <f t="array" ref="P215">IsURL(Table_121215[[#This Row],[Data Source]])</f>
        <v/>
      </c>
      <c r="Q215">
        <f t="array" ref="Q215">IsURL(Table_121215[[#This Row],[Data Source]])</f>
        <v/>
      </c>
    </row>
    <row r="216" ht="15.75" customHeight="1">
      <c r="A216">
        <f>IF(Table_17[[#This Row],[Part Name]]=0,"",Table_17[[#This Row],[Part Name]])</f>
        <v/>
      </c>
      <c r="E216" s="11" t="n"/>
      <c r="J216">
        <f>LEN(TRIM(CLEAN(SUBSTITUTE(SUBSTITUTE(Table_17[[#This Row],[Sequence]],CHAR(160)," ")," ",""))))</f>
        <v/>
      </c>
      <c r="K216" s="12" t="n"/>
      <c r="L216" s="21" t="n"/>
      <c r="M216" s="21">
        <f>IF($B216="","FALSE","TRUE")</f>
        <v/>
      </c>
      <c r="N216">
        <f t="array" ref="N216">IsURL(Table_121215[[#This Row],[Data Source]])</f>
        <v/>
      </c>
      <c r="O216">
        <f t="array" ref="O216">IsURL(Table_121215[[#This Row],[DOI]])</f>
        <v/>
      </c>
      <c r="P216">
        <f t="array" ref="P216">IsURL(Table_121215[[#This Row],[Data Source]])</f>
        <v/>
      </c>
      <c r="Q216">
        <f t="array" ref="Q216">IsURL(Table_121215[[#This Row],[Data Source]])</f>
        <v/>
      </c>
    </row>
    <row r="217" ht="15.75" customHeight="1">
      <c r="A217">
        <f>IF(Table_17[[#This Row],[Part Name]]=0,"",Table_17[[#This Row],[Part Name]])</f>
        <v/>
      </c>
      <c r="E217" s="11" t="n"/>
      <c r="J217">
        <f>LEN(TRIM(CLEAN(SUBSTITUTE(SUBSTITUTE(Table_17[[#This Row],[Sequence]],CHAR(160)," ")," ",""))))</f>
        <v/>
      </c>
      <c r="K217" s="12" t="n"/>
      <c r="L217" s="21" t="n"/>
      <c r="M217" s="21">
        <f>IF($B217="","FALSE","TRUE")</f>
        <v/>
      </c>
      <c r="N217">
        <f t="array" ref="N217">IsURL(Table_121215[[#This Row],[Data Source]])</f>
        <v/>
      </c>
      <c r="O217">
        <f t="array" ref="O217">IsURL(Table_121215[[#This Row],[DOI]])</f>
        <v/>
      </c>
      <c r="P217">
        <f t="array" ref="P217">IsURL(Table_121215[[#This Row],[Data Source]])</f>
        <v/>
      </c>
      <c r="Q217">
        <f t="array" ref="Q217">IsURL(Table_121215[[#This Row],[Data Source]])</f>
        <v/>
      </c>
    </row>
    <row r="218" ht="15.75" customHeight="1">
      <c r="A218">
        <f>IF(Table_17[[#This Row],[Part Name]]=0,"",Table_17[[#This Row],[Part Name]])</f>
        <v/>
      </c>
      <c r="E218" s="11" t="n"/>
      <c r="J218">
        <f>LEN(TRIM(CLEAN(SUBSTITUTE(SUBSTITUTE(Table_17[[#This Row],[Sequence]],CHAR(160)," ")," ",""))))</f>
        <v/>
      </c>
      <c r="K218" s="12" t="n"/>
      <c r="L218" s="21" t="n"/>
      <c r="M218" s="21">
        <f>IF($B218="","FALSE","TRUE")</f>
        <v/>
      </c>
      <c r="N218">
        <f t="array" ref="N218">IsURL(Table_121215[[#This Row],[Data Source]])</f>
        <v/>
      </c>
      <c r="O218">
        <f t="array" ref="O218">IsURL(Table_121215[[#This Row],[DOI]])</f>
        <v/>
      </c>
      <c r="P218">
        <f t="array" ref="P218">IsURL(Table_121215[[#This Row],[Data Source]])</f>
        <v/>
      </c>
      <c r="Q218">
        <f t="array" ref="Q218">IsURL(Table_121215[[#This Row],[Data Source]])</f>
        <v/>
      </c>
    </row>
    <row r="219" ht="15.75" customHeight="1">
      <c r="A219">
        <f>IF(Table_17[[#This Row],[Part Name]]=0,"",Table_17[[#This Row],[Part Name]])</f>
        <v/>
      </c>
      <c r="E219" s="11" t="n"/>
      <c r="J219">
        <f>LEN(TRIM(CLEAN(SUBSTITUTE(SUBSTITUTE(Table_17[[#This Row],[Sequence]],CHAR(160)," ")," ",""))))</f>
        <v/>
      </c>
      <c r="K219" s="12" t="n"/>
      <c r="L219" s="21" t="n"/>
      <c r="M219" s="21">
        <f>IF($B219="","FALSE","TRUE")</f>
        <v/>
      </c>
      <c r="N219">
        <f t="array" ref="N219">IsURL(Table_121215[[#This Row],[Data Source]])</f>
        <v/>
      </c>
      <c r="O219">
        <f t="array" ref="O219">IsURL(Table_121215[[#This Row],[DOI]])</f>
        <v/>
      </c>
      <c r="P219">
        <f t="array" ref="P219">IsURL(Table_121215[[#This Row],[Data Source]])</f>
        <v/>
      </c>
      <c r="Q219">
        <f t="array" ref="Q219">IsURL(Table_121215[[#This Row],[Data Source]])</f>
        <v/>
      </c>
    </row>
    <row r="220" ht="15.75" customHeight="1">
      <c r="A220">
        <f>IF(Table_17[[#This Row],[Part Name]]=0,"",Table_17[[#This Row],[Part Name]])</f>
        <v/>
      </c>
      <c r="E220" s="11" t="n"/>
      <c r="J220">
        <f>LEN(TRIM(CLEAN(SUBSTITUTE(SUBSTITUTE(Table_17[[#This Row],[Sequence]],CHAR(160)," ")," ",""))))</f>
        <v/>
      </c>
      <c r="K220" s="12" t="n"/>
      <c r="L220" s="21" t="n"/>
      <c r="M220" s="21">
        <f>IF($B220="","FALSE","TRUE")</f>
        <v/>
      </c>
      <c r="N220">
        <f t="array" ref="N220">IsURL(Table_121215[[#This Row],[Data Source]])</f>
        <v/>
      </c>
      <c r="O220">
        <f t="array" ref="O220">IsURL(Table_121215[[#This Row],[DOI]])</f>
        <v/>
      </c>
      <c r="P220">
        <f t="array" ref="P220">IsURL(Table_121215[[#This Row],[Data Source]])</f>
        <v/>
      </c>
      <c r="Q220">
        <f t="array" ref="Q220">IsURL(Table_121215[[#This Row],[Data Source]])</f>
        <v/>
      </c>
    </row>
    <row r="221" ht="15.75" customHeight="1">
      <c r="A221">
        <f>IF(Table_17[[#This Row],[Part Name]]=0,"",Table_17[[#This Row],[Part Name]])</f>
        <v/>
      </c>
      <c r="E221" s="11" t="n"/>
      <c r="J221">
        <f>LEN(TRIM(CLEAN(SUBSTITUTE(SUBSTITUTE(Table_17[[#This Row],[Sequence]],CHAR(160)," ")," ",""))))</f>
        <v/>
      </c>
      <c r="K221" s="12" t="n"/>
      <c r="L221" s="21" t="n"/>
      <c r="M221" s="21">
        <f>IF($B221="","FALSE","TRUE")</f>
        <v/>
      </c>
      <c r="N221">
        <f t="array" ref="N221">IsURL(Table_121215[[#This Row],[Data Source]])</f>
        <v/>
      </c>
      <c r="O221">
        <f t="array" ref="O221">IsURL(Table_121215[[#This Row],[DOI]])</f>
        <v/>
      </c>
      <c r="P221">
        <f t="array" ref="P221">IsURL(Table_121215[[#This Row],[Data Source]])</f>
        <v/>
      </c>
      <c r="Q221">
        <f t="array" ref="Q221">IsURL(Table_121215[[#This Row],[Data Source]])</f>
        <v/>
      </c>
    </row>
    <row r="222" ht="15.75" customHeight="1">
      <c r="A222">
        <f>IF(Table_17[[#This Row],[Part Name]]=0,"",Table_17[[#This Row],[Part Name]])</f>
        <v/>
      </c>
      <c r="E222" s="11" t="n"/>
      <c r="J222">
        <f>LEN(TRIM(CLEAN(SUBSTITUTE(SUBSTITUTE(Table_17[[#This Row],[Sequence]],CHAR(160)," ")," ",""))))</f>
        <v/>
      </c>
      <c r="K222" s="12" t="n"/>
      <c r="L222" s="21" t="n"/>
      <c r="M222" s="21">
        <f>IF($B222="","FALSE","TRUE")</f>
        <v/>
      </c>
      <c r="N222">
        <f t="array" ref="N222">IsURL(Table_121215[[#This Row],[Data Source]])</f>
        <v/>
      </c>
      <c r="O222">
        <f t="array" ref="O222">IsURL(Table_121215[[#This Row],[DOI]])</f>
        <v/>
      </c>
      <c r="P222">
        <f t="array" ref="P222">IsURL(Table_121215[[#This Row],[Data Source]])</f>
        <v/>
      </c>
      <c r="Q222">
        <f t="array" ref="Q222">IsURL(Table_121215[[#This Row],[Data Source]])</f>
        <v/>
      </c>
    </row>
    <row r="223" ht="15.75" customHeight="1">
      <c r="A223">
        <f>IF(Table_17[[#This Row],[Part Name]]=0,"",Table_17[[#This Row],[Part Name]])</f>
        <v/>
      </c>
      <c r="E223" s="11" t="n"/>
      <c r="J223">
        <f>LEN(TRIM(CLEAN(SUBSTITUTE(SUBSTITUTE(Table_17[[#This Row],[Sequence]],CHAR(160)," ")," ",""))))</f>
        <v/>
      </c>
      <c r="K223" s="12" t="n"/>
      <c r="L223" s="21" t="n"/>
      <c r="M223" s="21">
        <f>IF($B223="","FALSE","TRUE")</f>
        <v/>
      </c>
      <c r="N223">
        <f t="array" ref="N223">IsURL(Table_121215[[#This Row],[Data Source]])</f>
        <v/>
      </c>
      <c r="O223">
        <f t="array" ref="O223">IsURL(Table_121215[[#This Row],[DOI]])</f>
        <v/>
      </c>
      <c r="P223">
        <f t="array" ref="P223">IsURL(Table_121215[[#This Row],[Data Source]])</f>
        <v/>
      </c>
      <c r="Q223">
        <f t="array" ref="Q223">IsURL(Table_121215[[#This Row],[Data Source]])</f>
        <v/>
      </c>
    </row>
    <row r="224" ht="15.75" customHeight="1">
      <c r="A224">
        <f>IF(Table_17[[#This Row],[Part Name]]=0,"",Table_17[[#This Row],[Part Name]])</f>
        <v/>
      </c>
      <c r="E224" s="11" t="n"/>
      <c r="J224">
        <f>LEN(TRIM(CLEAN(SUBSTITUTE(SUBSTITUTE(Table_17[[#This Row],[Sequence]],CHAR(160)," ")," ",""))))</f>
        <v/>
      </c>
      <c r="K224" s="12" t="n"/>
      <c r="L224" s="21" t="n"/>
      <c r="M224" s="21">
        <f>IF($B224="","FALSE","TRUE")</f>
        <v/>
      </c>
      <c r="N224">
        <f t="array" ref="N224">IsURL(Table_121215[[#This Row],[Data Source]])</f>
        <v/>
      </c>
      <c r="O224">
        <f t="array" ref="O224">IsURL(Table_121215[[#This Row],[DOI]])</f>
        <v/>
      </c>
      <c r="P224">
        <f t="array" ref="P224">IsURL(Table_121215[[#This Row],[Data Source]])</f>
        <v/>
      </c>
      <c r="Q224">
        <f t="array" ref="Q224">IsURL(Table_121215[[#This Row],[Data Source]])</f>
        <v/>
      </c>
    </row>
    <row r="225" ht="15.75" customHeight="1">
      <c r="A225">
        <f>IF(Table_17[[#This Row],[Part Name]]=0,"",Table_17[[#This Row],[Part Name]])</f>
        <v/>
      </c>
      <c r="E225" s="11" t="n"/>
      <c r="J225">
        <f>LEN(TRIM(CLEAN(SUBSTITUTE(SUBSTITUTE(Table_17[[#This Row],[Sequence]],CHAR(160)," ")," ",""))))</f>
        <v/>
      </c>
      <c r="K225" s="12" t="n"/>
      <c r="L225" s="21" t="n"/>
      <c r="M225" s="21">
        <f>IF($B225="","FALSE","TRUE")</f>
        <v/>
      </c>
      <c r="N225">
        <f t="array" ref="N225">IsURL(Table_121215[[#This Row],[Data Source]])</f>
        <v/>
      </c>
      <c r="O225">
        <f t="array" ref="O225">IsURL(Table_121215[[#This Row],[DOI]])</f>
        <v/>
      </c>
      <c r="P225">
        <f t="array" ref="P225">IsURL(Table_121215[[#This Row],[Data Source]])</f>
        <v/>
      </c>
      <c r="Q225">
        <f t="array" ref="Q225">IsURL(Table_121215[[#This Row],[Data Source]])</f>
        <v/>
      </c>
    </row>
    <row r="226" ht="15.75" customHeight="1">
      <c r="A226">
        <f>IF(Table_17[[#This Row],[Part Name]]=0,"",Table_17[[#This Row],[Part Name]])</f>
        <v/>
      </c>
      <c r="E226" s="11" t="n"/>
      <c r="J226">
        <f>LEN(TRIM(CLEAN(SUBSTITUTE(SUBSTITUTE(Table_17[[#This Row],[Sequence]],CHAR(160)," ")," ",""))))</f>
        <v/>
      </c>
      <c r="K226" s="12" t="n"/>
      <c r="L226" s="21" t="n"/>
      <c r="M226" s="21">
        <f>IF($B226="","FALSE","TRUE")</f>
        <v/>
      </c>
      <c r="N226">
        <f t="array" ref="N226">IsURL(Table_121215[[#This Row],[Data Source]])</f>
        <v/>
      </c>
      <c r="O226">
        <f t="array" ref="O226">IsURL(Table_121215[[#This Row],[DOI]])</f>
        <v/>
      </c>
      <c r="P226">
        <f t="array" ref="P226">IsURL(Table_121215[[#This Row],[Data Source]])</f>
        <v/>
      </c>
      <c r="Q226">
        <f t="array" ref="Q226">IsURL(Table_121215[[#This Row],[Data Source]])</f>
        <v/>
      </c>
    </row>
    <row r="227" ht="15.75" customHeight="1">
      <c r="A227">
        <f>IF(Table_17[[#This Row],[Part Name]]=0,"",Table_17[[#This Row],[Part Name]])</f>
        <v/>
      </c>
      <c r="E227" s="11" t="n"/>
      <c r="J227">
        <f>LEN(TRIM(CLEAN(SUBSTITUTE(SUBSTITUTE(Table_17[[#This Row],[Sequence]],CHAR(160)," ")," ",""))))</f>
        <v/>
      </c>
      <c r="K227" s="12" t="n"/>
      <c r="L227" s="21" t="n"/>
      <c r="M227" s="21">
        <f>IF($B227="","FALSE","TRUE")</f>
        <v/>
      </c>
      <c r="N227">
        <f t="array" ref="N227">IsURL(Table_121215[[#This Row],[Data Source]])</f>
        <v/>
      </c>
      <c r="O227">
        <f t="array" ref="O227">IsURL(Table_121215[[#This Row],[DOI]])</f>
        <v/>
      </c>
      <c r="P227">
        <f t="array" ref="P227">IsURL(Table_121215[[#This Row],[Data Source]])</f>
        <v/>
      </c>
      <c r="Q227">
        <f t="array" ref="Q227">IsURL(Table_121215[[#This Row],[Data Source]])</f>
        <v/>
      </c>
    </row>
    <row r="228" ht="15.75" customHeight="1">
      <c r="A228">
        <f>IF(Table_17[[#This Row],[Part Name]]=0,"",Table_17[[#This Row],[Part Name]])</f>
        <v/>
      </c>
      <c r="E228" s="11" t="n"/>
      <c r="J228">
        <f>LEN(TRIM(CLEAN(SUBSTITUTE(SUBSTITUTE(Table_17[[#This Row],[Sequence]],CHAR(160)," ")," ",""))))</f>
        <v/>
      </c>
      <c r="K228" s="12" t="n"/>
      <c r="L228" s="21" t="n"/>
      <c r="M228" s="21">
        <f>IF($B228="","FALSE","TRUE")</f>
        <v/>
      </c>
      <c r="N228">
        <f t="array" ref="N228">IsURL(Table_121215[[#This Row],[Data Source]])</f>
        <v/>
      </c>
      <c r="O228">
        <f t="array" ref="O228">IsURL(Table_121215[[#This Row],[DOI]])</f>
        <v/>
      </c>
      <c r="P228">
        <f t="array" ref="P228">IsURL(Table_121215[[#This Row],[Data Source]])</f>
        <v/>
      </c>
      <c r="Q228">
        <f t="array" ref="Q228">IsURL(Table_121215[[#This Row],[Data Source]])</f>
        <v/>
      </c>
    </row>
    <row r="229" ht="15.75" customHeight="1">
      <c r="A229">
        <f>IF(Table_17[[#This Row],[Part Name]]=0,"",Table_17[[#This Row],[Part Name]])</f>
        <v/>
      </c>
      <c r="E229" s="11" t="n"/>
      <c r="J229">
        <f>LEN(TRIM(CLEAN(SUBSTITUTE(SUBSTITUTE(Table_17[[#This Row],[Sequence]],CHAR(160)," ")," ",""))))</f>
        <v/>
      </c>
      <c r="K229" s="12" t="n"/>
      <c r="L229" s="21" t="n"/>
      <c r="M229" s="21">
        <f>IF($B229="","FALSE","TRUE")</f>
        <v/>
      </c>
      <c r="N229">
        <f t="array" ref="N229">IsURL(Table_121215[[#This Row],[Data Source]])</f>
        <v/>
      </c>
      <c r="O229">
        <f t="array" ref="O229">IsURL(Table_121215[[#This Row],[DOI]])</f>
        <v/>
      </c>
      <c r="P229">
        <f t="array" ref="P229">IsURL(Table_121215[[#This Row],[Data Source]])</f>
        <v/>
      </c>
      <c r="Q229">
        <f t="array" ref="Q229">IsURL(Table_121215[[#This Row],[Data Source]])</f>
        <v/>
      </c>
    </row>
    <row r="230" ht="15.75" customHeight="1">
      <c r="A230">
        <f>IF(Table_17[[#This Row],[Part Name]]=0,"",Table_17[[#This Row],[Part Name]])</f>
        <v/>
      </c>
      <c r="E230" s="11" t="n"/>
      <c r="J230">
        <f>LEN(TRIM(CLEAN(SUBSTITUTE(SUBSTITUTE(Table_17[[#This Row],[Sequence]],CHAR(160)," ")," ",""))))</f>
        <v/>
      </c>
      <c r="K230" s="12" t="n"/>
      <c r="L230" s="21" t="n"/>
      <c r="M230" s="21">
        <f>IF($B230="","FALSE","TRUE")</f>
        <v/>
      </c>
      <c r="N230">
        <f t="array" ref="N230">IsURL(Table_121215[[#This Row],[Data Source]])</f>
        <v/>
      </c>
      <c r="O230">
        <f t="array" ref="O230">IsURL(Table_121215[[#This Row],[DOI]])</f>
        <v/>
      </c>
      <c r="P230">
        <f t="array" ref="P230">IsURL(Table_121215[[#This Row],[Data Source]])</f>
        <v/>
      </c>
      <c r="Q230">
        <f t="array" ref="Q230">IsURL(Table_121215[[#This Row],[Data Source]])</f>
        <v/>
      </c>
    </row>
    <row r="231" ht="15.75" customHeight="1">
      <c r="A231">
        <f>IF(Table_17[[#This Row],[Part Name]]=0,"",Table_17[[#This Row],[Part Name]])</f>
        <v/>
      </c>
      <c r="E231" s="11" t="n"/>
      <c r="J231">
        <f>LEN(TRIM(CLEAN(SUBSTITUTE(SUBSTITUTE(Table_17[[#This Row],[Sequence]],CHAR(160)," ")," ",""))))</f>
        <v/>
      </c>
      <c r="K231" s="12" t="n"/>
      <c r="L231" s="21" t="n"/>
      <c r="M231" s="21">
        <f>IF($B231="","FALSE","TRUE")</f>
        <v/>
      </c>
      <c r="N231">
        <f t="array" ref="N231">IsURL(Table_121215[[#This Row],[Data Source]])</f>
        <v/>
      </c>
      <c r="O231">
        <f t="array" ref="O231">IsURL(Table_121215[[#This Row],[DOI]])</f>
        <v/>
      </c>
      <c r="P231">
        <f t="array" ref="P231">IsURL(Table_121215[[#This Row],[Data Source]])</f>
        <v/>
      </c>
      <c r="Q231">
        <f t="array" ref="Q231">IsURL(Table_121215[[#This Row],[Data Source]])</f>
        <v/>
      </c>
    </row>
    <row r="232" ht="15.75" customHeight="1">
      <c r="A232">
        <f>IF(Table_17[[#This Row],[Part Name]]=0,"",Table_17[[#This Row],[Part Name]])</f>
        <v/>
      </c>
      <c r="E232" s="11" t="n"/>
      <c r="J232">
        <f>LEN(TRIM(CLEAN(SUBSTITUTE(SUBSTITUTE(Table_17[[#This Row],[Sequence]],CHAR(160)," ")," ",""))))</f>
        <v/>
      </c>
      <c r="K232" s="12" t="n"/>
      <c r="L232" s="21" t="n"/>
      <c r="M232" s="21">
        <f>IF($B232="","FALSE","TRUE")</f>
        <v/>
      </c>
      <c r="N232">
        <f t="array" ref="N232">IsURL(Table_121215[[#This Row],[Data Source]])</f>
        <v/>
      </c>
      <c r="O232">
        <f t="array" ref="O232">IsURL(Table_121215[[#This Row],[DOI]])</f>
        <v/>
      </c>
      <c r="P232">
        <f t="array" ref="P232">IsURL(Table_121215[[#This Row],[Data Source]])</f>
        <v/>
      </c>
      <c r="Q232">
        <f t="array" ref="Q232">IsURL(Table_121215[[#This Row],[Data Source]])</f>
        <v/>
      </c>
    </row>
    <row r="233" ht="15.75" customHeight="1">
      <c r="A233">
        <f>IF(Table_17[[#This Row],[Part Name]]=0,"",Table_17[[#This Row],[Part Name]])</f>
        <v/>
      </c>
      <c r="E233" s="11" t="n"/>
      <c r="J233">
        <f>LEN(TRIM(CLEAN(SUBSTITUTE(SUBSTITUTE(Table_17[[#This Row],[Sequence]],CHAR(160)," ")," ",""))))</f>
        <v/>
      </c>
      <c r="K233" s="12" t="n"/>
      <c r="L233" s="21" t="n"/>
      <c r="M233" s="21">
        <f>IF($B233="","FALSE","TRUE")</f>
        <v/>
      </c>
      <c r="N233">
        <f t="array" ref="N233">IsURL(Table_121215[[#This Row],[Data Source]])</f>
        <v/>
      </c>
      <c r="O233">
        <f t="array" ref="O233">IsURL(Table_121215[[#This Row],[DOI]])</f>
        <v/>
      </c>
      <c r="P233">
        <f t="array" ref="P233">IsURL(Table_121215[[#This Row],[Data Source]])</f>
        <v/>
      </c>
      <c r="Q233">
        <f t="array" ref="Q233">IsURL(Table_121215[[#This Row],[Data Source]])</f>
        <v/>
      </c>
    </row>
    <row r="234" ht="15.75" customHeight="1">
      <c r="A234">
        <f>IF(Table_17[[#This Row],[Part Name]]=0,"",Table_17[[#This Row],[Part Name]])</f>
        <v/>
      </c>
      <c r="E234" s="11" t="n"/>
      <c r="J234">
        <f>LEN(TRIM(CLEAN(SUBSTITUTE(SUBSTITUTE(Table_17[[#This Row],[Sequence]],CHAR(160)," ")," ",""))))</f>
        <v/>
      </c>
      <c r="K234" s="12" t="n"/>
      <c r="L234" s="21" t="n"/>
      <c r="M234" s="21">
        <f>IF($B234="","FALSE","TRUE")</f>
        <v/>
      </c>
      <c r="N234">
        <f t="array" ref="N234">IsURL(Table_121215[[#This Row],[Data Source]])</f>
        <v/>
      </c>
      <c r="O234">
        <f t="array" ref="O234">IsURL(Table_121215[[#This Row],[DOI]])</f>
        <v/>
      </c>
      <c r="P234">
        <f t="array" ref="P234">IsURL(Table_121215[[#This Row],[Data Source]])</f>
        <v/>
      </c>
      <c r="Q234">
        <f t="array" ref="Q234">IsURL(Table_121215[[#This Row],[Data Source]])</f>
        <v/>
      </c>
    </row>
    <row r="235" ht="15.75" customHeight="1">
      <c r="A235">
        <f>IF(Table_17[[#This Row],[Part Name]]=0,"",Table_17[[#This Row],[Part Name]])</f>
        <v/>
      </c>
      <c r="E235" s="11" t="n"/>
      <c r="J235">
        <f>LEN(TRIM(CLEAN(SUBSTITUTE(SUBSTITUTE(Table_17[[#This Row],[Sequence]],CHAR(160)," ")," ",""))))</f>
        <v/>
      </c>
      <c r="K235" s="12" t="n"/>
      <c r="L235" s="21" t="n"/>
      <c r="M235" s="21">
        <f>IF($B235="","FALSE","TRUE")</f>
        <v/>
      </c>
      <c r="N235">
        <f t="array" ref="N235">IsURL(Table_121215[[#This Row],[Data Source]])</f>
        <v/>
      </c>
      <c r="O235">
        <f t="array" ref="O235">IsURL(Table_121215[[#This Row],[DOI]])</f>
        <v/>
      </c>
      <c r="P235">
        <f t="array" ref="P235">IsURL(Table_121215[[#This Row],[Data Source]])</f>
        <v/>
      </c>
      <c r="Q235">
        <f t="array" ref="Q235">IsURL(Table_121215[[#This Row],[Data Source]])</f>
        <v/>
      </c>
    </row>
    <row r="236" ht="15.75" customHeight="1">
      <c r="A236">
        <f>IF(Table_17[[#This Row],[Part Name]]=0,"",Table_17[[#This Row],[Part Name]])</f>
        <v/>
      </c>
      <c r="E236" s="11" t="n"/>
      <c r="J236">
        <f>LEN(TRIM(CLEAN(SUBSTITUTE(SUBSTITUTE(Table_17[[#This Row],[Sequence]],CHAR(160)," ")," ",""))))</f>
        <v/>
      </c>
      <c r="K236" s="12" t="n"/>
      <c r="L236" s="21" t="n"/>
      <c r="M236" s="21">
        <f>IF($B236="","FALSE","TRUE")</f>
        <v/>
      </c>
      <c r="N236">
        <f t="array" ref="N236">IsURL(Table_121215[[#This Row],[Data Source]])</f>
        <v/>
      </c>
      <c r="O236">
        <f t="array" ref="O236">IsURL(Table_121215[[#This Row],[DOI]])</f>
        <v/>
      </c>
      <c r="P236">
        <f t="array" ref="P236">IsURL(Table_121215[[#This Row],[Data Source]])</f>
        <v/>
      </c>
      <c r="Q236">
        <f t="array" ref="Q236">IsURL(Table_121215[[#This Row],[Data Source]])</f>
        <v/>
      </c>
    </row>
    <row r="237" ht="15.75" customHeight="1">
      <c r="A237">
        <f>IF(Table_17[[#This Row],[Part Name]]=0,"",Table_17[[#This Row],[Part Name]])</f>
        <v/>
      </c>
      <c r="E237" s="11" t="n"/>
      <c r="J237">
        <f>LEN(TRIM(CLEAN(SUBSTITUTE(SUBSTITUTE(Table_17[[#This Row],[Sequence]],CHAR(160)," ")," ",""))))</f>
        <v/>
      </c>
      <c r="K237" s="12" t="n"/>
      <c r="L237" s="21" t="n"/>
      <c r="M237" s="21">
        <f>IF($B237="","FALSE","TRUE")</f>
        <v/>
      </c>
      <c r="N237">
        <f t="array" ref="N237">IsURL(Table_121215[[#This Row],[Data Source]])</f>
        <v/>
      </c>
      <c r="O237">
        <f t="array" ref="O237">IsURL(Table_121215[[#This Row],[DOI]])</f>
        <v/>
      </c>
      <c r="P237">
        <f t="array" ref="P237">IsURL(Table_121215[[#This Row],[Data Source]])</f>
        <v/>
      </c>
      <c r="Q237">
        <f t="array" ref="Q237">IsURL(Table_121215[[#This Row],[Data Source]])</f>
        <v/>
      </c>
    </row>
    <row r="238" ht="15.75" customHeight="1">
      <c r="A238">
        <f>IF(Table_17[[#This Row],[Part Name]]=0,"",Table_17[[#This Row],[Part Name]])</f>
        <v/>
      </c>
      <c r="E238" s="11" t="n"/>
      <c r="J238">
        <f>LEN(TRIM(CLEAN(SUBSTITUTE(SUBSTITUTE(Table_17[[#This Row],[Sequence]],CHAR(160)," ")," ",""))))</f>
        <v/>
      </c>
      <c r="K238" s="12" t="n"/>
      <c r="L238" s="21" t="n"/>
      <c r="M238" s="21">
        <f>IF($B238="","FALSE","TRUE")</f>
        <v/>
      </c>
      <c r="N238">
        <f t="array" ref="N238">IsURL(Table_121215[[#This Row],[Data Source]])</f>
        <v/>
      </c>
      <c r="O238">
        <f t="array" ref="O238">IsURL(Table_121215[[#This Row],[DOI]])</f>
        <v/>
      </c>
      <c r="P238">
        <f t="array" ref="P238">IsURL(Table_121215[[#This Row],[Data Source]])</f>
        <v/>
      </c>
      <c r="Q238">
        <f t="array" ref="Q238">IsURL(Table_121215[[#This Row],[Data Source]])</f>
        <v/>
      </c>
    </row>
    <row r="239" ht="15.75" customHeight="1">
      <c r="A239">
        <f>IF(Table_17[[#This Row],[Part Name]]=0,"",Table_17[[#This Row],[Part Name]])</f>
        <v/>
      </c>
      <c r="E239" s="11" t="n"/>
      <c r="J239">
        <f>LEN(TRIM(CLEAN(SUBSTITUTE(SUBSTITUTE(Table_17[[#This Row],[Sequence]],CHAR(160)," ")," ",""))))</f>
        <v/>
      </c>
      <c r="K239" s="12" t="n"/>
      <c r="L239" s="21" t="n"/>
      <c r="M239" s="21">
        <f>IF($B239="","FALSE","TRUE")</f>
        <v/>
      </c>
      <c r="N239">
        <f t="array" ref="N239">IsURL(Table_121215[[#This Row],[Data Source]])</f>
        <v/>
      </c>
      <c r="O239">
        <f t="array" ref="O239">IsURL(Table_121215[[#This Row],[DOI]])</f>
        <v/>
      </c>
      <c r="P239">
        <f t="array" ref="P239">IsURL(Table_121215[[#This Row],[Data Source]])</f>
        <v/>
      </c>
      <c r="Q239">
        <f t="array" ref="Q239">IsURL(Table_121215[[#This Row],[Data Source]])</f>
        <v/>
      </c>
    </row>
    <row r="240" ht="15.75" customHeight="1">
      <c r="A240">
        <f>IF(Table_17[[#This Row],[Part Name]]=0,"",Table_17[[#This Row],[Part Name]])</f>
        <v/>
      </c>
      <c r="E240" s="11" t="n"/>
      <c r="J240">
        <f>LEN(TRIM(CLEAN(SUBSTITUTE(SUBSTITUTE(Table_17[[#This Row],[Sequence]],CHAR(160)," ")," ",""))))</f>
        <v/>
      </c>
      <c r="K240" s="12" t="n"/>
      <c r="L240" s="21" t="n"/>
      <c r="M240" s="21">
        <f>IF($B240="","FALSE","TRUE")</f>
        <v/>
      </c>
      <c r="N240">
        <f t="array" ref="N240">IsURL(Table_121215[[#This Row],[Data Source]])</f>
        <v/>
      </c>
      <c r="O240">
        <f t="array" ref="O240">IsURL(Table_121215[[#This Row],[DOI]])</f>
        <v/>
      </c>
      <c r="P240">
        <f t="array" ref="P240">IsURL(Table_121215[[#This Row],[Data Source]])</f>
        <v/>
      </c>
      <c r="Q240">
        <f t="array" ref="Q240">IsURL(Table_121215[[#This Row],[Data Source]])</f>
        <v/>
      </c>
    </row>
    <row r="241" ht="15.75" customHeight="1">
      <c r="A241">
        <f>IF(Table_17[[#This Row],[Part Name]]=0,"",Table_17[[#This Row],[Part Name]])</f>
        <v/>
      </c>
      <c r="E241" s="11" t="n"/>
      <c r="J241">
        <f>LEN(TRIM(CLEAN(SUBSTITUTE(SUBSTITUTE(Table_17[[#This Row],[Sequence]],CHAR(160)," ")," ",""))))</f>
        <v/>
      </c>
      <c r="K241" s="12" t="n"/>
      <c r="L241" s="21" t="n"/>
      <c r="M241" s="21">
        <f>IF($B241="","FALSE","TRUE")</f>
        <v/>
      </c>
      <c r="N241">
        <f t="array" ref="N241">IsURL(Table_121215[[#This Row],[Data Source]])</f>
        <v/>
      </c>
      <c r="O241">
        <f t="array" ref="O241">IsURL(Table_121215[[#This Row],[DOI]])</f>
        <v/>
      </c>
      <c r="P241">
        <f t="array" ref="P241">IsURL(Table_121215[[#This Row],[Data Source]])</f>
        <v/>
      </c>
      <c r="Q241">
        <f t="array" ref="Q241">IsURL(Table_121215[[#This Row],[Data Source]])</f>
        <v/>
      </c>
    </row>
    <row r="242" ht="15.75" customHeight="1">
      <c r="A242">
        <f>IF(Table_17[[#This Row],[Part Name]]=0,"",Table_17[[#This Row],[Part Name]])</f>
        <v/>
      </c>
      <c r="E242" s="11" t="n"/>
      <c r="J242">
        <f>LEN(TRIM(CLEAN(SUBSTITUTE(SUBSTITUTE(Table_17[[#This Row],[Sequence]],CHAR(160)," ")," ",""))))</f>
        <v/>
      </c>
      <c r="K242" s="12" t="n"/>
      <c r="L242" s="21" t="n"/>
      <c r="M242" s="21">
        <f>IF($B242="","FALSE","TRUE")</f>
        <v/>
      </c>
      <c r="N242">
        <f t="array" ref="N242">IsURL(Table_121215[[#This Row],[Data Source]])</f>
        <v/>
      </c>
      <c r="O242">
        <f t="array" ref="O242">IsURL(Table_121215[[#This Row],[DOI]])</f>
        <v/>
      </c>
      <c r="P242">
        <f t="array" ref="P242">IsURL(Table_121215[[#This Row],[Data Source]])</f>
        <v/>
      </c>
      <c r="Q242">
        <f t="array" ref="Q242">IsURL(Table_121215[[#This Row],[Data Source]])</f>
        <v/>
      </c>
    </row>
    <row r="243" ht="15.75" customHeight="1">
      <c r="A243">
        <f>IF(Table_17[[#This Row],[Part Name]]=0,"",Table_17[[#This Row],[Part Name]])</f>
        <v/>
      </c>
      <c r="E243" s="11" t="n"/>
      <c r="J243">
        <f>LEN(TRIM(CLEAN(SUBSTITUTE(SUBSTITUTE(Table_17[[#This Row],[Sequence]],CHAR(160)," ")," ",""))))</f>
        <v/>
      </c>
      <c r="K243" s="12" t="n"/>
      <c r="L243" s="21" t="n"/>
      <c r="M243" s="21">
        <f>IF($B243="","FALSE","TRUE")</f>
        <v/>
      </c>
      <c r="N243">
        <f t="array" ref="N243">IsURL(Table_121215[[#This Row],[Data Source]])</f>
        <v/>
      </c>
      <c r="O243">
        <f t="array" ref="O243">IsURL(Table_121215[[#This Row],[DOI]])</f>
        <v/>
      </c>
      <c r="P243">
        <f t="array" ref="P243">IsURL(Table_121215[[#This Row],[Data Source]])</f>
        <v/>
      </c>
      <c r="Q243">
        <f t="array" ref="Q243">IsURL(Table_121215[[#This Row],[Data Source]])</f>
        <v/>
      </c>
    </row>
    <row r="244" ht="15.75" customHeight="1">
      <c r="A244">
        <f>IF(Table_17[[#This Row],[Part Name]]=0,"",Table_17[[#This Row],[Part Name]])</f>
        <v/>
      </c>
      <c r="E244" s="11" t="n"/>
      <c r="J244">
        <f>LEN(TRIM(CLEAN(SUBSTITUTE(SUBSTITUTE(Table_17[[#This Row],[Sequence]],CHAR(160)," ")," ",""))))</f>
        <v/>
      </c>
      <c r="K244" s="12" t="n"/>
      <c r="L244" s="21" t="n"/>
      <c r="M244" s="21">
        <f>IF($B244="","FALSE","TRUE")</f>
        <v/>
      </c>
      <c r="N244">
        <f t="array" ref="N244">IsURL(Table_121215[[#This Row],[Data Source]])</f>
        <v/>
      </c>
      <c r="O244">
        <f t="array" ref="O244">IsURL(Table_121215[[#This Row],[DOI]])</f>
        <v/>
      </c>
      <c r="P244">
        <f t="array" ref="P244">IsURL(Table_121215[[#This Row],[Data Source]])</f>
        <v/>
      </c>
      <c r="Q244">
        <f t="array" ref="Q244">IsURL(Table_121215[[#This Row],[Data Source]])</f>
        <v/>
      </c>
    </row>
    <row r="245" ht="15.75" customHeight="1">
      <c r="A245">
        <f>IF(Table_17[[#This Row],[Part Name]]=0,"",Table_17[[#This Row],[Part Name]])</f>
        <v/>
      </c>
      <c r="E245" s="11" t="n"/>
      <c r="J245">
        <f>LEN(TRIM(CLEAN(SUBSTITUTE(SUBSTITUTE(Table_17[[#This Row],[Sequence]],CHAR(160)," ")," ",""))))</f>
        <v/>
      </c>
      <c r="K245" s="12" t="n"/>
      <c r="L245" s="21" t="n"/>
      <c r="M245" s="21">
        <f>IF($B245="","FALSE","TRUE")</f>
        <v/>
      </c>
      <c r="N245">
        <f t="array" ref="N245">IsURL(Table_121215[[#This Row],[Data Source]])</f>
        <v/>
      </c>
      <c r="O245">
        <f t="array" ref="O245">IsURL(Table_121215[[#This Row],[DOI]])</f>
        <v/>
      </c>
      <c r="P245">
        <f t="array" ref="P245">IsURL(Table_121215[[#This Row],[Data Source]])</f>
        <v/>
      </c>
      <c r="Q245">
        <f t="array" ref="Q245">IsURL(Table_121215[[#This Row],[Data Source]])</f>
        <v/>
      </c>
    </row>
    <row r="246" ht="15.75" customHeight="1">
      <c r="A246">
        <f>IF(Table_17[[#This Row],[Part Name]]=0,"",Table_17[[#This Row],[Part Name]])</f>
        <v/>
      </c>
      <c r="E246" s="11" t="n"/>
      <c r="J246">
        <f>LEN(TRIM(CLEAN(SUBSTITUTE(SUBSTITUTE(Table_17[[#This Row],[Sequence]],CHAR(160)," ")," ",""))))</f>
        <v/>
      </c>
      <c r="K246" s="12" t="n"/>
      <c r="L246" s="21" t="n"/>
      <c r="M246" s="21">
        <f>IF($B246="","FALSE","TRUE")</f>
        <v/>
      </c>
      <c r="N246">
        <f t="array" ref="N246">IsURL(Table_121215[[#This Row],[Data Source]])</f>
        <v/>
      </c>
      <c r="O246">
        <f t="array" ref="O246">IsURL(Table_121215[[#This Row],[DOI]])</f>
        <v/>
      </c>
      <c r="P246">
        <f t="array" ref="P246">IsURL(Table_121215[[#This Row],[Data Source]])</f>
        <v/>
      </c>
      <c r="Q246">
        <f t="array" ref="Q246">IsURL(Table_121215[[#This Row],[Data Source]])</f>
        <v/>
      </c>
    </row>
    <row r="247" ht="15.75" customHeight="1">
      <c r="A247">
        <f>IF(Table_17[[#This Row],[Part Name]]=0,"",Table_17[[#This Row],[Part Name]])</f>
        <v/>
      </c>
      <c r="E247" s="11" t="n"/>
      <c r="J247">
        <f>LEN(TRIM(CLEAN(SUBSTITUTE(SUBSTITUTE(Table_17[[#This Row],[Sequence]],CHAR(160)," ")," ",""))))</f>
        <v/>
      </c>
      <c r="K247" s="12" t="n"/>
      <c r="L247" s="21" t="n"/>
      <c r="M247" s="21">
        <f>IF($B247="","FALSE","TRUE")</f>
        <v/>
      </c>
      <c r="N247">
        <f t="array" ref="N247">IsURL(Table_121215[[#This Row],[Data Source]])</f>
        <v/>
      </c>
      <c r="O247">
        <f t="array" ref="O247">IsURL(Table_121215[[#This Row],[DOI]])</f>
        <v/>
      </c>
      <c r="P247">
        <f t="array" ref="P247">IsURL(Table_121215[[#This Row],[Data Source]])</f>
        <v/>
      </c>
      <c r="Q247">
        <f t="array" ref="Q247">IsURL(Table_121215[[#This Row],[Data Source]])</f>
        <v/>
      </c>
    </row>
    <row r="248" ht="15.75" customHeight="1">
      <c r="A248">
        <f>IF(Table_17[[#This Row],[Part Name]]=0,"",Table_17[[#This Row],[Part Name]])</f>
        <v/>
      </c>
      <c r="E248" s="11" t="n"/>
      <c r="J248">
        <f>LEN(TRIM(CLEAN(SUBSTITUTE(SUBSTITUTE(Table_17[[#This Row],[Sequence]],CHAR(160)," ")," ",""))))</f>
        <v/>
      </c>
      <c r="K248" s="12" t="n"/>
      <c r="L248" s="21" t="n"/>
      <c r="M248" s="21">
        <f>IF($B248="","FALSE","TRUE")</f>
        <v/>
      </c>
      <c r="N248">
        <f t="array" ref="N248">IsURL(Table_121215[[#This Row],[Data Source]])</f>
        <v/>
      </c>
      <c r="O248">
        <f t="array" ref="O248">IsURL(Table_121215[[#This Row],[DOI]])</f>
        <v/>
      </c>
      <c r="P248">
        <f t="array" ref="P248">IsURL(Table_121215[[#This Row],[Data Source]])</f>
        <v/>
      </c>
      <c r="Q248">
        <f t="array" ref="Q248">IsURL(Table_121215[[#This Row],[Data Source]])</f>
        <v/>
      </c>
    </row>
    <row r="249" ht="15.75" customHeight="1">
      <c r="A249">
        <f>IF(Table_17[[#This Row],[Part Name]]=0,"",Table_17[[#This Row],[Part Name]])</f>
        <v/>
      </c>
      <c r="E249" s="11" t="n"/>
      <c r="J249">
        <f>LEN(TRIM(CLEAN(SUBSTITUTE(SUBSTITUTE(Table_17[[#This Row],[Sequence]],CHAR(160)," ")," ",""))))</f>
        <v/>
      </c>
      <c r="K249" s="12" t="n"/>
      <c r="L249" s="21" t="n"/>
      <c r="M249" s="21">
        <f>IF($B249="","FALSE","TRUE")</f>
        <v/>
      </c>
      <c r="N249">
        <f t="array" ref="N249">IsURL(Table_121215[[#This Row],[Data Source]])</f>
        <v/>
      </c>
      <c r="O249">
        <f t="array" ref="O249">IsURL(Table_121215[[#This Row],[DOI]])</f>
        <v/>
      </c>
      <c r="P249">
        <f t="array" ref="P249">IsURL(Table_121215[[#This Row],[Data Source]])</f>
        <v/>
      </c>
      <c r="Q249">
        <f t="array" ref="Q249">IsURL(Table_121215[[#This Row],[Data Source]])</f>
        <v/>
      </c>
    </row>
    <row r="250" ht="15.75" customHeight="1">
      <c r="A250">
        <f>IF(Table_17[[#This Row],[Part Name]]=0,"",Table_17[[#This Row],[Part Name]])</f>
        <v/>
      </c>
      <c r="E250" s="11" t="n"/>
      <c r="J250">
        <f>LEN(TRIM(CLEAN(SUBSTITUTE(SUBSTITUTE(Table_17[[#This Row],[Sequence]],CHAR(160)," ")," ",""))))</f>
        <v/>
      </c>
      <c r="K250" s="12" t="n"/>
      <c r="L250" s="21" t="n"/>
      <c r="M250" s="21">
        <f>IF($B250="","FALSE","TRUE")</f>
        <v/>
      </c>
      <c r="N250">
        <f t="array" ref="N250">IsURL(Table_121215[[#This Row],[Data Source]])</f>
        <v/>
      </c>
      <c r="O250">
        <f t="array" ref="O250">IsURL(Table_121215[[#This Row],[DOI]])</f>
        <v/>
      </c>
      <c r="P250">
        <f t="array" ref="P250">IsURL(Table_121215[[#This Row],[Data Source]])</f>
        <v/>
      </c>
      <c r="Q250">
        <f t="array" ref="Q250">IsURL(Table_121215[[#This Row],[Data Source]])</f>
        <v/>
      </c>
    </row>
    <row r="251" ht="15.75" customHeight="1">
      <c r="A251">
        <f>IF(Table_17[[#This Row],[Part Name]]=0,"",Table_17[[#This Row],[Part Name]])</f>
        <v/>
      </c>
      <c r="E251" s="11" t="n"/>
      <c r="J251">
        <f>LEN(TRIM(CLEAN(SUBSTITUTE(SUBSTITUTE(Table_17[[#This Row],[Sequence]],CHAR(160)," ")," ",""))))</f>
        <v/>
      </c>
      <c r="K251" s="12" t="n"/>
      <c r="L251" s="21" t="n"/>
      <c r="M251" s="21">
        <f>IF($B251="","FALSE","TRUE")</f>
        <v/>
      </c>
      <c r="N251">
        <f t="array" ref="N251">IsURL(Table_121215[[#This Row],[Data Source]])</f>
        <v/>
      </c>
      <c r="O251">
        <f t="array" ref="O251">IsURL(Table_121215[[#This Row],[DOI]])</f>
        <v/>
      </c>
      <c r="P251">
        <f t="array" ref="P251">IsURL(Table_121215[[#This Row],[Data Source]])</f>
        <v/>
      </c>
      <c r="Q251">
        <f t="array" ref="Q251">IsURL(Table_121215[[#This Row],[Data Source]])</f>
        <v/>
      </c>
    </row>
    <row r="252" ht="15.75" customHeight="1">
      <c r="A252">
        <f>IF(Table_17[[#This Row],[Part Name]]=0,"",Table_17[[#This Row],[Part Name]])</f>
        <v/>
      </c>
      <c r="E252" s="11" t="n"/>
      <c r="J252">
        <f>LEN(TRIM(CLEAN(SUBSTITUTE(SUBSTITUTE(Table_17[[#This Row],[Sequence]],CHAR(160)," ")," ",""))))</f>
        <v/>
      </c>
      <c r="K252" s="12" t="n"/>
      <c r="L252" s="21" t="n"/>
      <c r="M252" s="21">
        <f>IF($B252="","FALSE","TRUE")</f>
        <v/>
      </c>
      <c r="N252">
        <f t="array" ref="N252">IsURL(Table_121215[[#This Row],[Data Source]])</f>
        <v/>
      </c>
      <c r="O252">
        <f t="array" ref="O252">IsURL(Table_121215[[#This Row],[DOI]])</f>
        <v/>
      </c>
      <c r="P252">
        <f t="array" ref="P252">IsURL(Table_121215[[#This Row],[Data Source]])</f>
        <v/>
      </c>
      <c r="Q252">
        <f t="array" ref="Q252">IsURL(Table_121215[[#This Row],[Data Source]])</f>
        <v/>
      </c>
    </row>
    <row r="253" ht="15.75" customHeight="1">
      <c r="A253">
        <f>IF(Table_17[[#This Row],[Part Name]]=0,"",Table_17[[#This Row],[Part Name]])</f>
        <v/>
      </c>
      <c r="E253" s="11" t="n"/>
      <c r="J253">
        <f>LEN(TRIM(CLEAN(SUBSTITUTE(SUBSTITUTE(Table_17[[#This Row],[Sequence]],CHAR(160)," ")," ",""))))</f>
        <v/>
      </c>
      <c r="K253" s="12" t="n"/>
      <c r="L253" s="21" t="n"/>
      <c r="M253" s="21">
        <f>IF($B253="","FALSE","TRUE")</f>
        <v/>
      </c>
      <c r="N253">
        <f t="array" ref="N253">IsURL(Table_121215[[#This Row],[Data Source]])</f>
        <v/>
      </c>
      <c r="O253">
        <f t="array" ref="O253">IsURL(Table_121215[[#This Row],[DOI]])</f>
        <v/>
      </c>
      <c r="P253">
        <f t="array" ref="P253">IsURL(Table_121215[[#This Row],[Data Source]])</f>
        <v/>
      </c>
      <c r="Q253">
        <f t="array" ref="Q253">IsURL(Table_121215[[#This Row],[Data Source]])</f>
        <v/>
      </c>
    </row>
    <row r="254" ht="15.75" customHeight="1">
      <c r="A254">
        <f>IF(Table_17[[#This Row],[Part Name]]=0,"",Table_17[[#This Row],[Part Name]])</f>
        <v/>
      </c>
      <c r="E254" s="11" t="n"/>
      <c r="J254">
        <f>LEN(TRIM(CLEAN(SUBSTITUTE(SUBSTITUTE(Table_17[[#This Row],[Sequence]],CHAR(160)," ")," ",""))))</f>
        <v/>
      </c>
      <c r="K254" s="12" t="n"/>
      <c r="L254" s="21" t="n"/>
      <c r="M254" s="21">
        <f>IF($B254="","FALSE","TRUE")</f>
        <v/>
      </c>
      <c r="N254">
        <f t="array" ref="N254">IsURL(Table_121215[[#This Row],[Data Source]])</f>
        <v/>
      </c>
      <c r="O254">
        <f t="array" ref="O254">IsURL(Table_121215[[#This Row],[DOI]])</f>
        <v/>
      </c>
      <c r="P254">
        <f t="array" ref="P254">IsURL(Table_121215[[#This Row],[Data Source]])</f>
        <v/>
      </c>
      <c r="Q254">
        <f t="array" ref="Q254">IsURL(Table_121215[[#This Row],[Data Source]])</f>
        <v/>
      </c>
    </row>
    <row r="255" ht="15.75" customHeight="1">
      <c r="A255">
        <f>IF(Table_17[[#This Row],[Part Name]]=0,"",Table_17[[#This Row],[Part Name]])</f>
        <v/>
      </c>
      <c r="E255" s="11" t="n"/>
      <c r="J255">
        <f>LEN(TRIM(CLEAN(SUBSTITUTE(SUBSTITUTE(Table_17[[#This Row],[Sequence]],CHAR(160)," ")," ",""))))</f>
        <v/>
      </c>
      <c r="K255" s="12" t="n"/>
      <c r="L255" s="21" t="n"/>
      <c r="M255" s="21">
        <f>IF($B255="","FALSE","TRUE")</f>
        <v/>
      </c>
      <c r="N255">
        <f t="array" ref="N255">IsURL(Table_121215[[#This Row],[Data Source]])</f>
        <v/>
      </c>
      <c r="O255">
        <f t="array" ref="O255">IsURL(Table_121215[[#This Row],[DOI]])</f>
        <v/>
      </c>
      <c r="P255">
        <f t="array" ref="P255">IsURL(Table_121215[[#This Row],[Data Source]])</f>
        <v/>
      </c>
      <c r="Q255">
        <f t="array" ref="Q255">IsURL(Table_121215[[#This Row],[Data Source]])</f>
        <v/>
      </c>
    </row>
    <row r="256" ht="15.75" customHeight="1">
      <c r="A256">
        <f>IF(Table_17[[#This Row],[Part Name]]=0,"",Table_17[[#This Row],[Part Name]])</f>
        <v/>
      </c>
      <c r="E256" s="11" t="n"/>
      <c r="J256">
        <f>LEN(TRIM(CLEAN(SUBSTITUTE(SUBSTITUTE(Table_17[[#This Row],[Sequence]],CHAR(160)," ")," ",""))))</f>
        <v/>
      </c>
      <c r="K256" s="12" t="n"/>
      <c r="L256" s="21" t="n"/>
      <c r="M256" s="21">
        <f>IF($B256="","FALSE","TRUE")</f>
        <v/>
      </c>
      <c r="N256">
        <f t="array" ref="N256">IsURL(Table_121215[[#This Row],[Data Source]])</f>
        <v/>
      </c>
      <c r="O256">
        <f t="array" ref="O256">IsURL(Table_121215[[#This Row],[DOI]])</f>
        <v/>
      </c>
      <c r="P256">
        <f t="array" ref="P256">IsURL(Table_121215[[#This Row],[Data Source]])</f>
        <v/>
      </c>
      <c r="Q256">
        <f t="array" ref="Q256">IsURL(Table_121215[[#This Row],[Data Source]])</f>
        <v/>
      </c>
    </row>
    <row r="257" ht="15.75" customHeight="1">
      <c r="A257">
        <f>IF(Table_17[[#This Row],[Part Name]]=0,"",Table_17[[#This Row],[Part Name]])</f>
        <v/>
      </c>
      <c r="E257" s="11" t="n"/>
      <c r="J257">
        <f>LEN(TRIM(CLEAN(SUBSTITUTE(SUBSTITUTE(Table_17[[#This Row],[Sequence]],CHAR(160)," ")," ",""))))</f>
        <v/>
      </c>
      <c r="K257" s="12" t="n"/>
      <c r="L257" s="21" t="n"/>
      <c r="M257" s="21">
        <f>IF($B257="","FALSE","TRUE")</f>
        <v/>
      </c>
      <c r="N257">
        <f t="array" ref="N257">IsURL(Table_121215[[#This Row],[Data Source]])</f>
        <v/>
      </c>
      <c r="O257">
        <f t="array" ref="O257">IsURL(Table_121215[[#This Row],[DOI]])</f>
        <v/>
      </c>
      <c r="P257">
        <f t="array" ref="P257">IsURL(Table_121215[[#This Row],[Data Source]])</f>
        <v/>
      </c>
      <c r="Q257">
        <f t="array" ref="Q257">IsURL(Table_121215[[#This Row],[Data Source]])</f>
        <v/>
      </c>
    </row>
    <row r="258" ht="15.75" customHeight="1">
      <c r="A258">
        <f>IF(Table_17[[#This Row],[Part Name]]=0,"",Table_17[[#This Row],[Part Name]])</f>
        <v/>
      </c>
      <c r="E258" s="11" t="n"/>
      <c r="J258">
        <f>LEN(TRIM(CLEAN(SUBSTITUTE(SUBSTITUTE(Table_17[[#This Row],[Sequence]],CHAR(160)," ")," ",""))))</f>
        <v/>
      </c>
      <c r="K258" s="12" t="n"/>
      <c r="L258" s="21" t="n"/>
      <c r="M258" s="21">
        <f>IF($B258="","FALSE","TRUE")</f>
        <v/>
      </c>
      <c r="N258">
        <f t="array" ref="N258">IsURL(Table_121215[[#This Row],[Data Source]])</f>
        <v/>
      </c>
      <c r="O258">
        <f t="array" ref="O258">IsURL(Table_121215[[#This Row],[DOI]])</f>
        <v/>
      </c>
      <c r="P258">
        <f t="array" ref="P258">IsURL(Table_121215[[#This Row],[Data Source]])</f>
        <v/>
      </c>
      <c r="Q258">
        <f t="array" ref="Q258">IsURL(Table_121215[[#This Row],[Data Source]])</f>
        <v/>
      </c>
    </row>
    <row r="259" ht="15.75" customHeight="1">
      <c r="A259">
        <f>IF(Table_17[[#This Row],[Part Name]]=0,"",Table_17[[#This Row],[Part Name]])</f>
        <v/>
      </c>
      <c r="E259" s="11" t="n"/>
      <c r="J259">
        <f>LEN(TRIM(CLEAN(SUBSTITUTE(SUBSTITUTE(Table_17[[#This Row],[Sequence]],CHAR(160)," ")," ",""))))</f>
        <v/>
      </c>
      <c r="K259" s="12" t="n"/>
      <c r="L259" s="21" t="n"/>
      <c r="M259" s="21">
        <f>IF($B259="","FALSE","TRUE")</f>
        <v/>
      </c>
      <c r="N259">
        <f t="array" ref="N259">IsURL(Table_121215[[#This Row],[Data Source]])</f>
        <v/>
      </c>
      <c r="O259">
        <f t="array" ref="O259">IsURL(Table_121215[[#This Row],[DOI]])</f>
        <v/>
      </c>
      <c r="P259">
        <f t="array" ref="P259">IsURL(Table_121215[[#This Row],[Data Source]])</f>
        <v/>
      </c>
      <c r="Q259">
        <f t="array" ref="Q259">IsURL(Table_121215[[#This Row],[Data Source]])</f>
        <v/>
      </c>
    </row>
    <row r="260" ht="15.75" customHeight="1">
      <c r="A260">
        <f>IF(Table_17[[#This Row],[Part Name]]=0,"",Table_17[[#This Row],[Part Name]])</f>
        <v/>
      </c>
      <c r="E260" s="11" t="n"/>
      <c r="J260">
        <f>LEN(TRIM(CLEAN(SUBSTITUTE(SUBSTITUTE(Table_17[[#This Row],[Sequence]],CHAR(160)," ")," ",""))))</f>
        <v/>
      </c>
      <c r="K260" s="12" t="n"/>
      <c r="L260" s="21" t="n"/>
      <c r="M260" s="21">
        <f>IF($B260="","FALSE","TRUE")</f>
        <v/>
      </c>
      <c r="N260">
        <f t="array" ref="N260">IsURL(Table_121215[[#This Row],[Data Source]])</f>
        <v/>
      </c>
      <c r="O260">
        <f t="array" ref="O260">IsURL(Table_121215[[#This Row],[DOI]])</f>
        <v/>
      </c>
      <c r="P260">
        <f t="array" ref="P260">IsURL(Table_121215[[#This Row],[Data Source]])</f>
        <v/>
      </c>
      <c r="Q260">
        <f t="array" ref="Q260">IsURL(Table_121215[[#This Row],[Data Source]])</f>
        <v/>
      </c>
    </row>
    <row r="261" ht="15.75" customHeight="1">
      <c r="A261">
        <f>IF(Table_17[[#This Row],[Part Name]]=0,"",Table_17[[#This Row],[Part Name]])</f>
        <v/>
      </c>
      <c r="E261" s="11" t="n"/>
      <c r="J261">
        <f>LEN(TRIM(CLEAN(SUBSTITUTE(SUBSTITUTE(Table_17[[#This Row],[Sequence]],CHAR(160)," ")," ",""))))</f>
        <v/>
      </c>
      <c r="K261" s="12" t="n"/>
      <c r="L261" s="21" t="n"/>
      <c r="M261" s="21">
        <f>IF($B261="","FALSE","TRUE")</f>
        <v/>
      </c>
      <c r="N261">
        <f t="array" ref="N261">IsURL(Table_121215[[#This Row],[Data Source]])</f>
        <v/>
      </c>
      <c r="O261">
        <f t="array" ref="O261">IsURL(Table_121215[[#This Row],[DOI]])</f>
        <v/>
      </c>
      <c r="P261">
        <f t="array" ref="P261">IsURL(Table_121215[[#This Row],[Data Source]])</f>
        <v/>
      </c>
      <c r="Q261">
        <f t="array" ref="Q261">IsURL(Table_121215[[#This Row],[Data Source]])</f>
        <v/>
      </c>
    </row>
    <row r="262" ht="15.75" customHeight="1">
      <c r="A262">
        <f>IF(Table_17[[#This Row],[Part Name]]=0,"",Table_17[[#This Row],[Part Name]])</f>
        <v/>
      </c>
      <c r="E262" s="11" t="n"/>
      <c r="J262">
        <f>LEN(TRIM(CLEAN(SUBSTITUTE(SUBSTITUTE(Table_17[[#This Row],[Sequence]],CHAR(160)," ")," ",""))))</f>
        <v/>
      </c>
      <c r="K262" s="12" t="n"/>
      <c r="L262" s="21" t="n"/>
      <c r="M262" s="21">
        <f>IF($B262="","FALSE","TRUE")</f>
        <v/>
      </c>
      <c r="N262">
        <f t="array" ref="N262">IsURL(Table_121215[[#This Row],[Data Source]])</f>
        <v/>
      </c>
      <c r="O262">
        <f t="array" ref="O262">IsURL(Table_121215[[#This Row],[DOI]])</f>
        <v/>
      </c>
      <c r="P262">
        <f t="array" ref="P262">IsURL(Table_121215[[#This Row],[Data Source]])</f>
        <v/>
      </c>
      <c r="Q262">
        <f t="array" ref="Q262">IsURL(Table_121215[[#This Row],[Data Source]])</f>
        <v/>
      </c>
    </row>
    <row r="263" ht="15.75" customHeight="1">
      <c r="A263">
        <f>IF(Table_17[[#This Row],[Part Name]]=0,"",Table_17[[#This Row],[Part Name]])</f>
        <v/>
      </c>
      <c r="E263" s="11" t="n"/>
      <c r="J263">
        <f>LEN(TRIM(CLEAN(SUBSTITUTE(SUBSTITUTE(Table_17[[#This Row],[Sequence]],CHAR(160)," ")," ",""))))</f>
        <v/>
      </c>
      <c r="K263" s="12" t="n"/>
      <c r="L263" s="21" t="n"/>
      <c r="M263" s="21">
        <f>IF($B263="","FALSE","TRUE")</f>
        <v/>
      </c>
      <c r="N263">
        <f t="array" ref="N263">IsURL(Table_121215[[#This Row],[Data Source]])</f>
        <v/>
      </c>
      <c r="O263">
        <f t="array" ref="O263">IsURL(Table_121215[[#This Row],[DOI]])</f>
        <v/>
      </c>
      <c r="P263">
        <f t="array" ref="P263">IsURL(Table_121215[[#This Row],[Data Source]])</f>
        <v/>
      </c>
      <c r="Q263">
        <f t="array" ref="Q263">IsURL(Table_121215[[#This Row],[Data Source]])</f>
        <v/>
      </c>
    </row>
    <row r="264" ht="15.75" customHeight="1">
      <c r="A264">
        <f>IF(Table_17[[#This Row],[Part Name]]=0,"",Table_17[[#This Row],[Part Name]])</f>
        <v/>
      </c>
      <c r="E264" s="11" t="n"/>
      <c r="J264">
        <f>LEN(TRIM(CLEAN(SUBSTITUTE(SUBSTITUTE(Table_17[[#This Row],[Sequence]],CHAR(160)," ")," ",""))))</f>
        <v/>
      </c>
      <c r="K264" s="12" t="n"/>
      <c r="L264" s="21" t="n"/>
      <c r="M264" s="21">
        <f>IF($B264="","FALSE","TRUE")</f>
        <v/>
      </c>
      <c r="N264">
        <f t="array" ref="N264">IsURL(Table_121215[[#This Row],[Data Source]])</f>
        <v/>
      </c>
      <c r="O264">
        <f t="array" ref="O264">IsURL(Table_121215[[#This Row],[DOI]])</f>
        <v/>
      </c>
      <c r="P264">
        <f t="array" ref="P264">IsURL(Table_121215[[#This Row],[Data Source]])</f>
        <v/>
      </c>
      <c r="Q264">
        <f t="array" ref="Q264">IsURL(Table_121215[[#This Row],[Data Source]])</f>
        <v/>
      </c>
    </row>
    <row r="265" ht="15.75" customHeight="1">
      <c r="A265">
        <f>IF(Table_17[[#This Row],[Part Name]]=0,"",Table_17[[#This Row],[Part Name]])</f>
        <v/>
      </c>
      <c r="E265" s="11" t="n"/>
      <c r="J265">
        <f>LEN(TRIM(CLEAN(SUBSTITUTE(SUBSTITUTE(Table_17[[#This Row],[Sequence]],CHAR(160)," ")," ",""))))</f>
        <v/>
      </c>
      <c r="K265" s="12" t="n"/>
      <c r="L265" s="21" t="n"/>
      <c r="M265" s="21">
        <f>IF($B265="","FALSE","TRUE")</f>
        <v/>
      </c>
      <c r="N265">
        <f t="array" ref="N265">IsURL(Table_121215[[#This Row],[Data Source]])</f>
        <v/>
      </c>
      <c r="O265">
        <f t="array" ref="O265">IsURL(Table_121215[[#This Row],[DOI]])</f>
        <v/>
      </c>
      <c r="P265">
        <f t="array" ref="P265">IsURL(Table_121215[[#This Row],[Data Source]])</f>
        <v/>
      </c>
      <c r="Q265">
        <f t="array" ref="Q265">IsURL(Table_121215[[#This Row],[Data Source]])</f>
        <v/>
      </c>
    </row>
    <row r="266" ht="15.75" customHeight="1">
      <c r="A266">
        <f>IF(Table_17[[#This Row],[Part Name]]=0,"",Table_17[[#This Row],[Part Name]])</f>
        <v/>
      </c>
      <c r="E266" s="11" t="n"/>
      <c r="J266">
        <f>LEN(TRIM(CLEAN(SUBSTITUTE(SUBSTITUTE(Table_17[[#This Row],[Sequence]],CHAR(160)," ")," ",""))))</f>
        <v/>
      </c>
      <c r="K266" s="12" t="n"/>
      <c r="L266" s="21" t="n"/>
      <c r="M266" s="21">
        <f>IF($B266="","FALSE","TRUE")</f>
        <v/>
      </c>
      <c r="N266">
        <f t="array" ref="N266">IsURL(Table_121215[[#This Row],[Data Source]])</f>
        <v/>
      </c>
      <c r="O266">
        <f t="array" ref="O266">IsURL(Table_121215[[#This Row],[DOI]])</f>
        <v/>
      </c>
      <c r="P266">
        <f t="array" ref="P266">IsURL(Table_121215[[#This Row],[Data Source]])</f>
        <v/>
      </c>
      <c r="Q266">
        <f t="array" ref="Q266">IsURL(Table_121215[[#This Row],[Data Source]])</f>
        <v/>
      </c>
    </row>
    <row r="267" ht="15.75" customHeight="1">
      <c r="A267">
        <f>IF(Table_17[[#This Row],[Part Name]]=0,"",Table_17[[#This Row],[Part Name]])</f>
        <v/>
      </c>
      <c r="E267" s="11" t="n"/>
      <c r="J267">
        <f>LEN(TRIM(CLEAN(SUBSTITUTE(SUBSTITUTE(Table_17[[#This Row],[Sequence]],CHAR(160)," ")," ",""))))</f>
        <v/>
      </c>
      <c r="K267" s="12" t="n"/>
      <c r="L267" s="21" t="n"/>
      <c r="M267" s="21">
        <f>IF($B267="","FALSE","TRUE")</f>
        <v/>
      </c>
      <c r="N267">
        <f t="array" ref="N267">IsURL(Table_121215[[#This Row],[Data Source]])</f>
        <v/>
      </c>
      <c r="O267">
        <f t="array" ref="O267">IsURL(Table_121215[[#This Row],[DOI]])</f>
        <v/>
      </c>
      <c r="P267">
        <f t="array" ref="P267">IsURL(Table_121215[[#This Row],[Data Source]])</f>
        <v/>
      </c>
      <c r="Q267">
        <f t="array" ref="Q267">IsURL(Table_121215[[#This Row],[Data Source]])</f>
        <v/>
      </c>
    </row>
    <row r="268" ht="15.75" customHeight="1">
      <c r="A268">
        <f>IF(Table_17[[#This Row],[Part Name]]=0,"",Table_17[[#This Row],[Part Name]])</f>
        <v/>
      </c>
      <c r="E268" s="11" t="n"/>
      <c r="J268">
        <f>LEN(TRIM(CLEAN(SUBSTITUTE(SUBSTITUTE(Table_17[[#This Row],[Sequence]],CHAR(160)," ")," ",""))))</f>
        <v/>
      </c>
      <c r="K268" s="12" t="n"/>
      <c r="L268" s="21" t="n"/>
      <c r="M268" s="21">
        <f>IF($B268="","FALSE","TRUE")</f>
        <v/>
      </c>
      <c r="N268">
        <f t="array" ref="N268">IsURL(Table_121215[[#This Row],[Data Source]])</f>
        <v/>
      </c>
      <c r="O268">
        <f t="array" ref="O268">IsURL(Table_121215[[#This Row],[DOI]])</f>
        <v/>
      </c>
      <c r="P268">
        <f t="array" ref="P268">IsURL(Table_121215[[#This Row],[Data Source]])</f>
        <v/>
      </c>
      <c r="Q268">
        <f t="array" ref="Q268">IsURL(Table_121215[[#This Row],[Data Source]])</f>
        <v/>
      </c>
    </row>
    <row r="269" ht="15.75" customHeight="1">
      <c r="A269">
        <f>IF(Table_17[[#This Row],[Part Name]]=0,"",Table_17[[#This Row],[Part Name]])</f>
        <v/>
      </c>
      <c r="E269" s="11" t="n"/>
      <c r="J269">
        <f>LEN(TRIM(CLEAN(SUBSTITUTE(SUBSTITUTE(Table_17[[#This Row],[Sequence]],CHAR(160)," ")," ",""))))</f>
        <v/>
      </c>
      <c r="K269" s="12" t="n"/>
      <c r="L269" s="21" t="n"/>
      <c r="M269" s="21">
        <f>IF($B269="","FALSE","TRUE")</f>
        <v/>
      </c>
      <c r="N269">
        <f t="array" ref="N269">IsURL(Table_121215[[#This Row],[Data Source]])</f>
        <v/>
      </c>
      <c r="O269">
        <f t="array" ref="O269">IsURL(Table_121215[[#This Row],[DOI]])</f>
        <v/>
      </c>
      <c r="P269">
        <f t="array" ref="P269">IsURL(Table_121215[[#This Row],[Data Source]])</f>
        <v/>
      </c>
      <c r="Q269">
        <f t="array" ref="Q269">IsURL(Table_121215[[#This Row],[Data Source]])</f>
        <v/>
      </c>
    </row>
    <row r="270" ht="15.75" customHeight="1">
      <c r="A270">
        <f>IF(Table_17[[#This Row],[Part Name]]=0,"",Table_17[[#This Row],[Part Name]])</f>
        <v/>
      </c>
      <c r="E270" s="11" t="n"/>
      <c r="J270">
        <f>LEN(TRIM(CLEAN(SUBSTITUTE(SUBSTITUTE(Table_17[[#This Row],[Sequence]],CHAR(160)," ")," ",""))))</f>
        <v/>
      </c>
      <c r="K270" s="12" t="n"/>
      <c r="L270" s="21" t="n"/>
      <c r="M270" s="21">
        <f>IF($B270="","FALSE","TRUE")</f>
        <v/>
      </c>
      <c r="N270">
        <f t="array" ref="N270">IsURL(Table_121215[[#This Row],[Data Source]])</f>
        <v/>
      </c>
      <c r="O270">
        <f t="array" ref="O270">IsURL(Table_121215[[#This Row],[DOI]])</f>
        <v/>
      </c>
      <c r="P270">
        <f t="array" ref="P270">IsURL(Table_121215[[#This Row],[Data Source]])</f>
        <v/>
      </c>
      <c r="Q270">
        <f t="array" ref="Q270">IsURL(Table_121215[[#This Row],[Data Source]])</f>
        <v/>
      </c>
    </row>
    <row r="271" ht="15.75" customHeight="1">
      <c r="A271">
        <f>IF(Table_17[[#This Row],[Part Name]]=0,"",Table_17[[#This Row],[Part Name]])</f>
        <v/>
      </c>
      <c r="E271" s="11" t="n"/>
      <c r="J271">
        <f>LEN(TRIM(CLEAN(SUBSTITUTE(SUBSTITUTE(Table_17[[#This Row],[Sequence]],CHAR(160)," ")," ",""))))</f>
        <v/>
      </c>
      <c r="K271" s="12" t="n"/>
      <c r="L271" s="21" t="n"/>
      <c r="M271" s="21">
        <f>IF($B271="","FALSE","TRUE")</f>
        <v/>
      </c>
      <c r="N271">
        <f t="array" ref="N271">IsURL(Table_121215[[#This Row],[Data Source]])</f>
        <v/>
      </c>
      <c r="O271">
        <f t="array" ref="O271">IsURL(Table_121215[[#This Row],[DOI]])</f>
        <v/>
      </c>
      <c r="P271">
        <f t="array" ref="P271">IsURL(Table_121215[[#This Row],[Data Source]])</f>
        <v/>
      </c>
      <c r="Q271">
        <f t="array" ref="Q271">IsURL(Table_121215[[#This Row],[Data Source]])</f>
        <v/>
      </c>
    </row>
    <row r="272" ht="15.75" customHeight="1">
      <c r="A272">
        <f>IF(Table_17[[#This Row],[Part Name]]=0,"",Table_17[[#This Row],[Part Name]])</f>
        <v/>
      </c>
      <c r="E272" s="11" t="n"/>
      <c r="J272">
        <f>LEN(TRIM(CLEAN(SUBSTITUTE(SUBSTITUTE(Table_17[[#This Row],[Sequence]],CHAR(160)," ")," ",""))))</f>
        <v/>
      </c>
      <c r="K272" s="12" t="n"/>
      <c r="L272" s="21" t="n"/>
      <c r="M272" s="21">
        <f>IF($B272="","FALSE","TRUE")</f>
        <v/>
      </c>
      <c r="N272">
        <f t="array" ref="N272">IsURL(Table_121215[[#This Row],[Data Source]])</f>
        <v/>
      </c>
      <c r="O272">
        <f t="array" ref="O272">IsURL(Table_121215[[#This Row],[DOI]])</f>
        <v/>
      </c>
      <c r="P272">
        <f t="array" ref="P272">IsURL(Table_121215[[#This Row],[Data Source]])</f>
        <v/>
      </c>
      <c r="Q272">
        <f t="array" ref="Q272">IsURL(Table_121215[[#This Row],[Data Source]])</f>
        <v/>
      </c>
    </row>
    <row r="273" ht="15.75" customHeight="1">
      <c r="A273">
        <f>IF(Table_17[[#This Row],[Part Name]]=0,"",Table_17[[#This Row],[Part Name]])</f>
        <v/>
      </c>
      <c r="E273" s="11" t="n"/>
      <c r="J273">
        <f>LEN(TRIM(CLEAN(SUBSTITUTE(SUBSTITUTE(Table_17[[#This Row],[Sequence]],CHAR(160)," ")," ",""))))</f>
        <v/>
      </c>
      <c r="K273" s="12" t="n"/>
      <c r="L273" s="21" t="n"/>
      <c r="M273" s="21">
        <f>IF($B273="","FALSE","TRUE")</f>
        <v/>
      </c>
      <c r="N273">
        <f t="array" ref="N273">IsURL(Table_121215[[#This Row],[Data Source]])</f>
        <v/>
      </c>
      <c r="O273">
        <f t="array" ref="O273">IsURL(Table_121215[[#This Row],[DOI]])</f>
        <v/>
      </c>
      <c r="P273">
        <f t="array" ref="P273">IsURL(Table_121215[[#This Row],[Data Source]])</f>
        <v/>
      </c>
      <c r="Q273">
        <f t="array" ref="Q273">IsURL(Table_121215[[#This Row],[Data Source]])</f>
        <v/>
      </c>
    </row>
    <row r="274" ht="15.75" customHeight="1">
      <c r="A274">
        <f>IF(Table_17[[#This Row],[Part Name]]=0,"",Table_17[[#This Row],[Part Name]])</f>
        <v/>
      </c>
      <c r="E274" s="11" t="n"/>
      <c r="J274">
        <f>LEN(TRIM(CLEAN(SUBSTITUTE(SUBSTITUTE(Table_17[[#This Row],[Sequence]],CHAR(160)," ")," ",""))))</f>
        <v/>
      </c>
      <c r="K274" s="12" t="n"/>
      <c r="L274" s="21" t="n"/>
      <c r="M274" s="21">
        <f>IF($B274="","FALSE","TRUE")</f>
        <v/>
      </c>
      <c r="N274">
        <f t="array" ref="N274">IsURL(Table_121215[[#This Row],[Data Source]])</f>
        <v/>
      </c>
      <c r="O274">
        <f t="array" ref="O274">IsURL(Table_121215[[#This Row],[DOI]])</f>
        <v/>
      </c>
      <c r="P274">
        <f t="array" ref="P274">IsURL(Table_121215[[#This Row],[Data Source]])</f>
        <v/>
      </c>
      <c r="Q274">
        <f t="array" ref="Q274">IsURL(Table_121215[[#This Row],[Data Source]])</f>
        <v/>
      </c>
    </row>
    <row r="275" ht="15.75" customHeight="1">
      <c r="A275">
        <f>IF(Table_17[[#This Row],[Part Name]]=0,"",Table_17[[#This Row],[Part Name]])</f>
        <v/>
      </c>
      <c r="E275" s="11" t="n"/>
      <c r="J275">
        <f>LEN(TRIM(CLEAN(SUBSTITUTE(SUBSTITUTE(Table_17[[#This Row],[Sequence]],CHAR(160)," ")," ",""))))</f>
        <v/>
      </c>
      <c r="K275" s="12" t="n"/>
      <c r="L275" s="21" t="n"/>
      <c r="M275" s="21">
        <f>IF($B275="","FALSE","TRUE")</f>
        <v/>
      </c>
      <c r="N275">
        <f t="array" ref="N275">IsURL(Table_121215[[#This Row],[Data Source]])</f>
        <v/>
      </c>
      <c r="O275">
        <f t="array" ref="O275">IsURL(Table_121215[[#This Row],[DOI]])</f>
        <v/>
      </c>
      <c r="P275">
        <f t="array" ref="P275">IsURL(Table_121215[[#This Row],[Data Source]])</f>
        <v/>
      </c>
      <c r="Q275">
        <f t="array" ref="Q275">IsURL(Table_121215[[#This Row],[Data Source]])</f>
        <v/>
      </c>
    </row>
    <row r="276" ht="15.75" customHeight="1">
      <c r="A276">
        <f>IF(Table_17[[#This Row],[Part Name]]=0,"",Table_17[[#This Row],[Part Name]])</f>
        <v/>
      </c>
      <c r="E276" s="11" t="n"/>
      <c r="J276">
        <f>LEN(TRIM(CLEAN(SUBSTITUTE(SUBSTITUTE(Table_17[[#This Row],[Sequence]],CHAR(160)," ")," ",""))))</f>
        <v/>
      </c>
      <c r="K276" s="12" t="n"/>
      <c r="L276" s="21" t="n"/>
      <c r="M276" s="21">
        <f>IF($B276="","FALSE","TRUE")</f>
        <v/>
      </c>
      <c r="N276">
        <f t="array" ref="N276">IsURL(Table_121215[[#This Row],[Data Source]])</f>
        <v/>
      </c>
      <c r="O276">
        <f t="array" ref="O276">IsURL(Table_121215[[#This Row],[DOI]])</f>
        <v/>
      </c>
      <c r="P276">
        <f t="array" ref="P276">IsURL(Table_121215[[#This Row],[Data Source]])</f>
        <v/>
      </c>
      <c r="Q276">
        <f t="array" ref="Q276">IsURL(Table_121215[[#This Row],[Data Source]])</f>
        <v/>
      </c>
    </row>
    <row r="277" ht="15.75" customHeight="1">
      <c r="A277">
        <f>IF(Table_17[[#This Row],[Part Name]]=0,"",Table_17[[#This Row],[Part Name]])</f>
        <v/>
      </c>
      <c r="E277" s="11" t="n"/>
      <c r="J277">
        <f>LEN(TRIM(CLEAN(SUBSTITUTE(SUBSTITUTE(Table_17[[#This Row],[Sequence]],CHAR(160)," ")," ",""))))</f>
        <v/>
      </c>
      <c r="K277" s="12" t="n"/>
      <c r="L277" s="21" t="n"/>
      <c r="M277" s="21">
        <f>IF($B277="","FALSE","TRUE")</f>
        <v/>
      </c>
      <c r="N277">
        <f t="array" ref="N277">IsURL(Table_121215[[#This Row],[Data Source]])</f>
        <v/>
      </c>
      <c r="O277">
        <f t="array" ref="O277">IsURL(Table_121215[[#This Row],[DOI]])</f>
        <v/>
      </c>
      <c r="P277">
        <f t="array" ref="P277">IsURL(Table_121215[[#This Row],[Data Source]])</f>
        <v/>
      </c>
      <c r="Q277">
        <f t="array" ref="Q277">IsURL(Table_121215[[#This Row],[Data Source]])</f>
        <v/>
      </c>
    </row>
    <row r="278" ht="15.75" customHeight="1">
      <c r="A278">
        <f>IF(Table_17[[#This Row],[Part Name]]=0,"",Table_17[[#This Row],[Part Name]])</f>
        <v/>
      </c>
      <c r="E278" s="11" t="n"/>
      <c r="J278">
        <f>LEN(TRIM(CLEAN(SUBSTITUTE(SUBSTITUTE(Table_17[[#This Row],[Sequence]],CHAR(160)," ")," ",""))))</f>
        <v/>
      </c>
      <c r="K278" s="12" t="n"/>
      <c r="L278" s="21" t="n"/>
      <c r="M278" s="21">
        <f>IF($B278="","FALSE","TRUE")</f>
        <v/>
      </c>
      <c r="N278">
        <f t="array" ref="N278">IsURL(Table_121215[[#This Row],[Data Source]])</f>
        <v/>
      </c>
      <c r="O278">
        <f t="array" ref="O278">IsURL(Table_121215[[#This Row],[DOI]])</f>
        <v/>
      </c>
      <c r="P278">
        <f t="array" ref="P278">IsURL(Table_121215[[#This Row],[Data Source]])</f>
        <v/>
      </c>
      <c r="Q278">
        <f t="array" ref="Q278">IsURL(Table_121215[[#This Row],[Data Source]])</f>
        <v/>
      </c>
    </row>
    <row r="279" ht="15.75" customHeight="1">
      <c r="A279">
        <f>IF(Table_17[[#This Row],[Part Name]]=0,"",Table_17[[#This Row],[Part Name]])</f>
        <v/>
      </c>
      <c r="E279" s="11" t="n"/>
      <c r="J279">
        <f>LEN(TRIM(CLEAN(SUBSTITUTE(SUBSTITUTE(Table_17[[#This Row],[Sequence]],CHAR(160)," ")," ",""))))</f>
        <v/>
      </c>
      <c r="K279" s="12" t="n"/>
      <c r="L279" s="21" t="n"/>
      <c r="M279" s="21">
        <f>IF($B279="","FALSE","TRUE")</f>
        <v/>
      </c>
      <c r="N279">
        <f t="array" ref="N279">IsURL(Table_121215[[#This Row],[Data Source]])</f>
        <v/>
      </c>
      <c r="O279">
        <f t="array" ref="O279">IsURL(Table_121215[[#This Row],[DOI]])</f>
        <v/>
      </c>
      <c r="P279">
        <f t="array" ref="P279">IsURL(Table_121215[[#This Row],[Data Source]])</f>
        <v/>
      </c>
      <c r="Q279">
        <f t="array" ref="Q279">IsURL(Table_121215[[#This Row],[Data Source]])</f>
        <v/>
      </c>
    </row>
    <row r="280" ht="15.75" customHeight="1">
      <c r="A280">
        <f>IF(Table_17[[#This Row],[Part Name]]=0,"",Table_17[[#This Row],[Part Name]])</f>
        <v/>
      </c>
      <c r="E280" s="11" t="n"/>
      <c r="J280">
        <f>LEN(TRIM(CLEAN(SUBSTITUTE(SUBSTITUTE(Table_17[[#This Row],[Sequence]],CHAR(160)," ")," ",""))))</f>
        <v/>
      </c>
      <c r="K280" s="12" t="n"/>
      <c r="L280" s="21" t="n"/>
      <c r="M280" s="21">
        <f>IF($B280="","FALSE","TRUE")</f>
        <v/>
      </c>
      <c r="N280">
        <f t="array" ref="N280">IsURL(Table_121215[[#This Row],[Data Source]])</f>
        <v/>
      </c>
      <c r="O280">
        <f t="array" ref="O280">IsURL(Table_121215[[#This Row],[DOI]])</f>
        <v/>
      </c>
      <c r="P280">
        <f t="array" ref="P280">IsURL(Table_121215[[#This Row],[Data Source]])</f>
        <v/>
      </c>
      <c r="Q280">
        <f t="array" ref="Q280">IsURL(Table_121215[[#This Row],[Data Source]])</f>
        <v/>
      </c>
    </row>
    <row r="281" ht="15.75" customHeight="1">
      <c r="A281">
        <f>IF(Table_17[[#This Row],[Part Name]]=0,"",Table_17[[#This Row],[Part Name]])</f>
        <v/>
      </c>
      <c r="E281" s="11" t="n"/>
      <c r="J281">
        <f>LEN(TRIM(CLEAN(SUBSTITUTE(SUBSTITUTE(Table_17[[#This Row],[Sequence]],CHAR(160)," ")," ",""))))</f>
        <v/>
      </c>
      <c r="K281" s="12" t="n"/>
      <c r="L281" s="21" t="n"/>
      <c r="M281" s="21">
        <f>IF($B281="","FALSE","TRUE")</f>
        <v/>
      </c>
      <c r="N281">
        <f t="array" ref="N281">IsURL(Table_121215[[#This Row],[Data Source]])</f>
        <v/>
      </c>
      <c r="O281">
        <f t="array" ref="O281">IsURL(Table_121215[[#This Row],[DOI]])</f>
        <v/>
      </c>
      <c r="P281">
        <f t="array" ref="P281">IsURL(Table_121215[[#This Row],[Data Source]])</f>
        <v/>
      </c>
      <c r="Q281">
        <f t="array" ref="Q281">IsURL(Table_121215[[#This Row],[Data Source]])</f>
        <v/>
      </c>
    </row>
    <row r="282" ht="15.75" customHeight="1">
      <c r="A282">
        <f>IF(Table_17[[#This Row],[Part Name]]=0,"",Table_17[[#This Row],[Part Name]])</f>
        <v/>
      </c>
      <c r="E282" s="11" t="n"/>
      <c r="J282">
        <f>LEN(TRIM(CLEAN(SUBSTITUTE(SUBSTITUTE(Table_17[[#This Row],[Sequence]],CHAR(160)," ")," ",""))))</f>
        <v/>
      </c>
      <c r="K282" s="12" t="n"/>
      <c r="L282" s="21" t="n"/>
      <c r="M282" s="21">
        <f>IF($B282="","FALSE","TRUE")</f>
        <v/>
      </c>
      <c r="N282">
        <f t="array" ref="N282">IsURL(Table_121215[[#This Row],[Data Source]])</f>
        <v/>
      </c>
      <c r="O282">
        <f t="array" ref="O282">IsURL(Table_121215[[#This Row],[DOI]])</f>
        <v/>
      </c>
      <c r="P282">
        <f t="array" ref="P282">IsURL(Table_121215[[#This Row],[Data Source]])</f>
        <v/>
      </c>
      <c r="Q282">
        <f t="array" ref="Q282">IsURL(Table_121215[[#This Row],[Data Source]])</f>
        <v/>
      </c>
    </row>
    <row r="283" ht="15.75" customHeight="1">
      <c r="A283">
        <f>IF(Table_17[[#This Row],[Part Name]]=0,"",Table_17[[#This Row],[Part Name]])</f>
        <v/>
      </c>
      <c r="E283" s="11" t="n"/>
      <c r="J283">
        <f>LEN(TRIM(CLEAN(SUBSTITUTE(SUBSTITUTE(Table_17[[#This Row],[Sequence]],CHAR(160)," ")," ",""))))</f>
        <v/>
      </c>
      <c r="K283" s="12" t="n"/>
      <c r="L283" s="21" t="n"/>
      <c r="M283" s="21">
        <f>IF($B283="","FALSE","TRUE")</f>
        <v/>
      </c>
      <c r="N283">
        <f t="array" ref="N283">IsURL(Table_121215[[#This Row],[Data Source]])</f>
        <v/>
      </c>
      <c r="O283">
        <f t="array" ref="O283">IsURL(Table_121215[[#This Row],[DOI]])</f>
        <v/>
      </c>
      <c r="P283">
        <f t="array" ref="P283">IsURL(Table_121215[[#This Row],[Data Source]])</f>
        <v/>
      </c>
      <c r="Q283">
        <f t="array" ref="Q283">IsURL(Table_121215[[#This Row],[Data Source]])</f>
        <v/>
      </c>
    </row>
    <row r="284" ht="15.75" customHeight="1">
      <c r="A284">
        <f>IF(Table_17[[#This Row],[Part Name]]=0,"",Table_17[[#This Row],[Part Name]])</f>
        <v/>
      </c>
      <c r="E284" s="11" t="n"/>
      <c r="J284">
        <f>LEN(TRIM(CLEAN(SUBSTITUTE(SUBSTITUTE(Table_17[[#This Row],[Sequence]],CHAR(160)," ")," ",""))))</f>
        <v/>
      </c>
      <c r="K284" s="12" t="n"/>
      <c r="L284" s="21" t="n"/>
      <c r="M284" s="21">
        <f>IF($B284="","FALSE","TRUE")</f>
        <v/>
      </c>
      <c r="N284">
        <f t="array" ref="N284">IsURL(Table_121215[[#This Row],[Data Source]])</f>
        <v/>
      </c>
      <c r="O284">
        <f t="array" ref="O284">IsURL(Table_121215[[#This Row],[DOI]])</f>
        <v/>
      </c>
      <c r="P284">
        <f t="array" ref="P284">IsURL(Table_121215[[#This Row],[Data Source]])</f>
        <v/>
      </c>
      <c r="Q284">
        <f t="array" ref="Q284">IsURL(Table_121215[[#This Row],[Data Source]])</f>
        <v/>
      </c>
    </row>
    <row r="285" ht="15.75" customHeight="1">
      <c r="A285">
        <f>IF(Table_17[[#This Row],[Part Name]]=0,"",Table_17[[#This Row],[Part Name]])</f>
        <v/>
      </c>
      <c r="E285" s="11" t="n"/>
      <c r="J285">
        <f>LEN(TRIM(CLEAN(SUBSTITUTE(SUBSTITUTE(Table_17[[#This Row],[Sequence]],CHAR(160)," ")," ",""))))</f>
        <v/>
      </c>
      <c r="K285" s="12" t="n"/>
      <c r="L285" s="21" t="n"/>
      <c r="M285" s="21">
        <f>IF($B285="","FALSE","TRUE")</f>
        <v/>
      </c>
      <c r="N285">
        <f t="array" ref="N285">IsURL(Table_121215[[#This Row],[Data Source]])</f>
        <v/>
      </c>
      <c r="O285">
        <f t="array" ref="O285">IsURL(Table_121215[[#This Row],[DOI]])</f>
        <v/>
      </c>
      <c r="P285">
        <f t="array" ref="P285">IsURL(Table_121215[[#This Row],[Data Source]])</f>
        <v/>
      </c>
      <c r="Q285">
        <f t="array" ref="Q285">IsURL(Table_121215[[#This Row],[Data Source]])</f>
        <v/>
      </c>
    </row>
    <row r="286" ht="15.75" customHeight="1">
      <c r="A286">
        <f>IF(Table_17[[#This Row],[Part Name]]=0,"",Table_17[[#This Row],[Part Name]])</f>
        <v/>
      </c>
      <c r="E286" s="11" t="n"/>
      <c r="J286">
        <f>LEN(TRIM(CLEAN(SUBSTITUTE(SUBSTITUTE(Table_17[[#This Row],[Sequence]],CHAR(160)," ")," ",""))))</f>
        <v/>
      </c>
      <c r="K286" s="12" t="n"/>
      <c r="L286" s="21" t="n"/>
      <c r="M286" s="21">
        <f>IF($B286="","FALSE","TRUE")</f>
        <v/>
      </c>
      <c r="N286">
        <f t="array" ref="N286">IsURL(Table_121215[[#This Row],[Data Source]])</f>
        <v/>
      </c>
      <c r="O286">
        <f t="array" ref="O286">IsURL(Table_121215[[#This Row],[DOI]])</f>
        <v/>
      </c>
      <c r="P286">
        <f t="array" ref="P286">IsURL(Table_121215[[#This Row],[Data Source]])</f>
        <v/>
      </c>
      <c r="Q286">
        <f t="array" ref="Q286">IsURL(Table_121215[[#This Row],[Data Source]])</f>
        <v/>
      </c>
    </row>
    <row r="287" ht="15.75" customHeight="1">
      <c r="A287">
        <f>IF(Table_17[[#This Row],[Part Name]]=0,"",Table_17[[#This Row],[Part Name]])</f>
        <v/>
      </c>
      <c r="E287" s="11" t="n"/>
      <c r="J287">
        <f>LEN(TRIM(CLEAN(SUBSTITUTE(SUBSTITUTE(Table_17[[#This Row],[Sequence]],CHAR(160)," ")," ",""))))</f>
        <v/>
      </c>
      <c r="K287" s="12" t="n"/>
      <c r="L287" s="21" t="n"/>
      <c r="M287" s="21">
        <f>IF($B287="","FALSE","TRUE")</f>
        <v/>
      </c>
      <c r="N287">
        <f t="array" ref="N287">IsURL(Table_121215[[#This Row],[Data Source]])</f>
        <v/>
      </c>
      <c r="O287">
        <f t="array" ref="O287">IsURL(Table_121215[[#This Row],[DOI]])</f>
        <v/>
      </c>
      <c r="P287">
        <f t="array" ref="P287">IsURL(Table_121215[[#This Row],[Data Source]])</f>
        <v/>
      </c>
      <c r="Q287">
        <f t="array" ref="Q287">IsURL(Table_121215[[#This Row],[Data Source]])</f>
        <v/>
      </c>
    </row>
    <row r="288" ht="15.75" customHeight="1">
      <c r="A288">
        <f>IF(Table_17[[#This Row],[Part Name]]=0,"",Table_17[[#This Row],[Part Name]])</f>
        <v/>
      </c>
      <c r="E288" s="11" t="n"/>
      <c r="J288">
        <f>LEN(TRIM(CLEAN(SUBSTITUTE(SUBSTITUTE(Table_17[[#This Row],[Sequence]],CHAR(160)," ")," ",""))))</f>
        <v/>
      </c>
      <c r="K288" s="12" t="n"/>
      <c r="L288" s="21" t="n"/>
      <c r="M288" s="21">
        <f>IF($B288="","FALSE","TRUE")</f>
        <v/>
      </c>
      <c r="N288">
        <f t="array" ref="N288">IsURL(Table_121215[[#This Row],[Data Source]])</f>
        <v/>
      </c>
      <c r="O288">
        <f t="array" ref="O288">IsURL(Table_121215[[#This Row],[DOI]])</f>
        <v/>
      </c>
      <c r="P288">
        <f t="array" ref="P288">IsURL(Table_121215[[#This Row],[Data Source]])</f>
        <v/>
      </c>
      <c r="Q288">
        <f t="array" ref="Q288">IsURL(Table_121215[[#This Row],[Data Source]])</f>
        <v/>
      </c>
    </row>
    <row r="289" ht="15.75" customHeight="1">
      <c r="A289">
        <f>IF(Table_17[[#This Row],[Part Name]]=0,"",Table_17[[#This Row],[Part Name]])</f>
        <v/>
      </c>
      <c r="E289" s="11" t="n"/>
      <c r="J289">
        <f>LEN(TRIM(CLEAN(SUBSTITUTE(SUBSTITUTE(Table_17[[#This Row],[Sequence]],CHAR(160)," ")," ",""))))</f>
        <v/>
      </c>
      <c r="K289" s="12" t="n"/>
      <c r="L289" s="21" t="n"/>
      <c r="M289" s="21">
        <f>IF($B289="","FALSE","TRUE")</f>
        <v/>
      </c>
      <c r="N289">
        <f t="array" ref="N289">IsURL(Table_121215[[#This Row],[Data Source]])</f>
        <v/>
      </c>
      <c r="O289">
        <f t="array" ref="O289">IsURL(Table_121215[[#This Row],[DOI]])</f>
        <v/>
      </c>
      <c r="P289">
        <f t="array" ref="P289">IsURL(Table_121215[[#This Row],[Data Source]])</f>
        <v/>
      </c>
      <c r="Q289">
        <f t="array" ref="Q289">IsURL(Table_121215[[#This Row],[Data Source]])</f>
        <v/>
      </c>
    </row>
    <row r="290" ht="15.75" customHeight="1">
      <c r="A290">
        <f>IF(Table_17[[#This Row],[Part Name]]=0,"",Table_17[[#This Row],[Part Name]])</f>
        <v/>
      </c>
      <c r="E290" s="11" t="n"/>
      <c r="J290">
        <f>LEN(TRIM(CLEAN(SUBSTITUTE(SUBSTITUTE(Table_17[[#This Row],[Sequence]],CHAR(160)," ")," ",""))))</f>
        <v/>
      </c>
      <c r="K290" s="12" t="n"/>
      <c r="L290" s="21" t="n"/>
      <c r="M290" s="21">
        <f>IF($B290="","FALSE","TRUE")</f>
        <v/>
      </c>
      <c r="N290">
        <f t="array" ref="N290">IsURL(Table_121215[[#This Row],[Data Source]])</f>
        <v/>
      </c>
      <c r="O290">
        <f t="array" ref="O290">IsURL(Table_121215[[#This Row],[DOI]])</f>
        <v/>
      </c>
      <c r="P290">
        <f t="array" ref="P290">IsURL(Table_121215[[#This Row],[Data Source]])</f>
        <v/>
      </c>
      <c r="Q290">
        <f t="array" ref="Q290">IsURL(Table_121215[[#This Row],[Data Source]])</f>
        <v/>
      </c>
    </row>
    <row r="291" ht="15.75" customHeight="1">
      <c r="A291">
        <f>IF(Table_17[[#This Row],[Part Name]]=0,"",Table_17[[#This Row],[Part Name]])</f>
        <v/>
      </c>
      <c r="E291" s="11" t="n"/>
      <c r="J291">
        <f>LEN(TRIM(CLEAN(SUBSTITUTE(SUBSTITUTE(Table_17[[#This Row],[Sequence]],CHAR(160)," ")," ",""))))</f>
        <v/>
      </c>
      <c r="K291" s="12" t="n"/>
      <c r="L291" s="21" t="n"/>
      <c r="M291" s="21">
        <f>IF($B291="","FALSE","TRUE")</f>
        <v/>
      </c>
      <c r="N291">
        <f t="array" ref="N291">IsURL(Table_121215[[#This Row],[Data Source]])</f>
        <v/>
      </c>
      <c r="O291">
        <f t="array" ref="O291">IsURL(Table_121215[[#This Row],[DOI]])</f>
        <v/>
      </c>
      <c r="P291">
        <f t="array" ref="P291">IsURL(Table_121215[[#This Row],[Data Source]])</f>
        <v/>
      </c>
      <c r="Q291">
        <f t="array" ref="Q291">IsURL(Table_121215[[#This Row],[Data Source]])</f>
        <v/>
      </c>
    </row>
    <row r="292" ht="15.75" customHeight="1">
      <c r="A292">
        <f>IF(Table_17[[#This Row],[Part Name]]=0,"",Table_17[[#This Row],[Part Name]])</f>
        <v/>
      </c>
      <c r="E292" s="11" t="n"/>
      <c r="J292">
        <f>LEN(TRIM(CLEAN(SUBSTITUTE(SUBSTITUTE(Table_17[[#This Row],[Sequence]],CHAR(160)," ")," ",""))))</f>
        <v/>
      </c>
      <c r="K292" s="12" t="n"/>
      <c r="L292" s="21" t="n"/>
      <c r="M292" s="21">
        <f>IF($B292="","FALSE","TRUE")</f>
        <v/>
      </c>
      <c r="N292">
        <f t="array" ref="N292">IsURL(Table_121215[[#This Row],[Data Source]])</f>
        <v/>
      </c>
      <c r="O292">
        <f t="array" ref="O292">IsURL(Table_121215[[#This Row],[DOI]])</f>
        <v/>
      </c>
      <c r="P292">
        <f t="array" ref="P292">IsURL(Table_121215[[#This Row],[Data Source]])</f>
        <v/>
      </c>
      <c r="Q292">
        <f t="array" ref="Q292">IsURL(Table_121215[[#This Row],[Data Source]])</f>
        <v/>
      </c>
    </row>
    <row r="293" ht="15.75" customHeight="1">
      <c r="A293">
        <f>IF(Table_17[[#This Row],[Part Name]]=0,"",Table_17[[#This Row],[Part Name]])</f>
        <v/>
      </c>
      <c r="E293" s="11" t="n"/>
      <c r="J293">
        <f>LEN(TRIM(CLEAN(SUBSTITUTE(SUBSTITUTE(Table_17[[#This Row],[Sequence]],CHAR(160)," ")," ",""))))</f>
        <v/>
      </c>
      <c r="K293" s="12" t="n"/>
      <c r="L293" s="21" t="n"/>
      <c r="M293" s="21">
        <f>IF($B293="","FALSE","TRUE")</f>
        <v/>
      </c>
      <c r="N293">
        <f t="array" ref="N293">IsURL(Table_121215[[#This Row],[Data Source]])</f>
        <v/>
      </c>
      <c r="O293">
        <f t="array" ref="O293">IsURL(Table_121215[[#This Row],[DOI]])</f>
        <v/>
      </c>
      <c r="P293">
        <f t="array" ref="P293">IsURL(Table_121215[[#This Row],[Data Source]])</f>
        <v/>
      </c>
      <c r="Q293">
        <f t="array" ref="Q293">IsURL(Table_121215[[#This Row],[Data Source]])</f>
        <v/>
      </c>
    </row>
    <row r="294" ht="15.75" customHeight="1">
      <c r="A294">
        <f>IF(Table_17[[#This Row],[Part Name]]=0,"",Table_17[[#This Row],[Part Name]])</f>
        <v/>
      </c>
      <c r="E294" s="11" t="n"/>
      <c r="J294">
        <f>LEN(TRIM(CLEAN(SUBSTITUTE(SUBSTITUTE(Table_17[[#This Row],[Sequence]],CHAR(160)," ")," ",""))))</f>
        <v/>
      </c>
      <c r="K294" s="12" t="n"/>
      <c r="L294" s="21" t="n"/>
      <c r="M294" s="21">
        <f>IF($B294="","FALSE","TRUE")</f>
        <v/>
      </c>
      <c r="N294">
        <f t="array" ref="N294">IsURL(Table_121215[[#This Row],[Data Source]])</f>
        <v/>
      </c>
      <c r="O294">
        <f t="array" ref="O294">IsURL(Table_121215[[#This Row],[DOI]])</f>
        <v/>
      </c>
      <c r="P294">
        <f t="array" ref="P294">IsURL(Table_121215[[#This Row],[Data Source]])</f>
        <v/>
      </c>
      <c r="Q294">
        <f t="array" ref="Q294">IsURL(Table_121215[[#This Row],[Data Source]])</f>
        <v/>
      </c>
    </row>
    <row r="295" ht="15.75" customHeight="1">
      <c r="A295">
        <f>IF(Table_17[[#This Row],[Part Name]]=0,"",Table_17[[#This Row],[Part Name]])</f>
        <v/>
      </c>
      <c r="E295" s="11" t="n"/>
      <c r="J295">
        <f>LEN(TRIM(CLEAN(SUBSTITUTE(SUBSTITUTE(Table_17[[#This Row],[Sequence]],CHAR(160)," ")," ",""))))</f>
        <v/>
      </c>
      <c r="K295" s="12" t="n"/>
      <c r="L295" s="21" t="n"/>
      <c r="M295" s="21">
        <f>IF($B295="","FALSE","TRUE")</f>
        <v/>
      </c>
      <c r="N295">
        <f t="array" ref="N295">IsURL(Table_121215[[#This Row],[Data Source]])</f>
        <v/>
      </c>
      <c r="O295">
        <f t="array" ref="O295">IsURL(Table_121215[[#This Row],[DOI]])</f>
        <v/>
      </c>
      <c r="P295">
        <f t="array" ref="P295">IsURL(Table_121215[[#This Row],[Data Source]])</f>
        <v/>
      </c>
      <c r="Q295">
        <f t="array" ref="Q295">IsURL(Table_121215[[#This Row],[Data Source]])</f>
        <v/>
      </c>
    </row>
    <row r="296" ht="15.75" customHeight="1">
      <c r="A296">
        <f>IF(Table_17[[#This Row],[Part Name]]=0,"",Table_17[[#This Row],[Part Name]])</f>
        <v/>
      </c>
      <c r="E296" s="11" t="n"/>
      <c r="J296">
        <f>LEN(TRIM(CLEAN(SUBSTITUTE(SUBSTITUTE(Table_17[[#This Row],[Sequence]],CHAR(160)," ")," ",""))))</f>
        <v/>
      </c>
      <c r="K296" s="12" t="n"/>
      <c r="L296" s="21" t="n"/>
      <c r="M296" s="21">
        <f>IF($B296="","FALSE","TRUE")</f>
        <v/>
      </c>
      <c r="N296">
        <f t="array" ref="N296">IsURL(Table_121215[[#This Row],[Data Source]])</f>
        <v/>
      </c>
      <c r="O296">
        <f t="array" ref="O296">IsURL(Table_121215[[#This Row],[DOI]])</f>
        <v/>
      </c>
      <c r="P296">
        <f t="array" ref="P296">IsURL(Table_121215[[#This Row],[Data Source]])</f>
        <v/>
      </c>
      <c r="Q296">
        <f t="array" ref="Q296">IsURL(Table_121215[[#This Row],[Data Source]])</f>
        <v/>
      </c>
    </row>
    <row r="297" ht="15.75" customHeight="1">
      <c r="A297">
        <f>IF(Table_17[[#This Row],[Part Name]]=0,"",Table_17[[#This Row],[Part Name]])</f>
        <v/>
      </c>
      <c r="E297" s="11" t="n"/>
      <c r="J297">
        <f>LEN(TRIM(CLEAN(SUBSTITUTE(SUBSTITUTE(Table_17[[#This Row],[Sequence]],CHAR(160)," ")," ",""))))</f>
        <v/>
      </c>
      <c r="K297" s="12" t="n"/>
      <c r="L297" s="21" t="n"/>
      <c r="M297" s="21">
        <f>IF($B297="","FALSE","TRUE")</f>
        <v/>
      </c>
      <c r="N297">
        <f t="array" ref="N297">IsURL(Table_121215[[#This Row],[Data Source]])</f>
        <v/>
      </c>
      <c r="O297">
        <f t="array" ref="O297">IsURL(Table_121215[[#This Row],[DOI]])</f>
        <v/>
      </c>
      <c r="P297">
        <f t="array" ref="P297">IsURL(Table_121215[[#This Row],[Data Source]])</f>
        <v/>
      </c>
      <c r="Q297">
        <f t="array" ref="Q297">IsURL(Table_121215[[#This Row],[Data Source]])</f>
        <v/>
      </c>
    </row>
    <row r="298" ht="15.75" customHeight="1">
      <c r="A298">
        <f>IF(Table_17[[#This Row],[Part Name]]=0,"",Table_17[[#This Row],[Part Name]])</f>
        <v/>
      </c>
      <c r="E298" s="11" t="n"/>
      <c r="J298">
        <f>LEN(TRIM(CLEAN(SUBSTITUTE(SUBSTITUTE(Table_17[[#This Row],[Sequence]],CHAR(160)," ")," ",""))))</f>
        <v/>
      </c>
      <c r="K298" s="12" t="n"/>
      <c r="L298" s="21" t="n"/>
      <c r="M298" s="21">
        <f>IF($B298="","FALSE","TRUE")</f>
        <v/>
      </c>
      <c r="N298">
        <f t="array" ref="N298">IsURL(Table_121215[[#This Row],[Data Source]])</f>
        <v/>
      </c>
      <c r="O298">
        <f t="array" ref="O298">IsURL(Table_121215[[#This Row],[DOI]])</f>
        <v/>
      </c>
      <c r="P298">
        <f t="array" ref="P298">IsURL(Table_121215[[#This Row],[Data Source]])</f>
        <v/>
      </c>
      <c r="Q298">
        <f t="array" ref="Q298">IsURL(Table_121215[[#This Row],[Data Source]])</f>
        <v/>
      </c>
    </row>
    <row r="299" ht="15.75" customHeight="1">
      <c r="A299">
        <f>IF(Table_17[[#This Row],[Part Name]]=0,"",Table_17[[#This Row],[Part Name]])</f>
        <v/>
      </c>
      <c r="E299" s="11" t="n"/>
      <c r="J299">
        <f>LEN(TRIM(CLEAN(SUBSTITUTE(SUBSTITUTE(Table_17[[#This Row],[Sequence]],CHAR(160)," ")," ",""))))</f>
        <v/>
      </c>
      <c r="K299" s="12" t="n"/>
      <c r="L299" s="21" t="n"/>
      <c r="M299" s="21">
        <f>IF($B299="","FALSE","TRUE")</f>
        <v/>
      </c>
      <c r="N299">
        <f t="array" ref="N299">IsURL(Table_121215[[#This Row],[Data Source]])</f>
        <v/>
      </c>
      <c r="O299">
        <f t="array" ref="O299">IsURL(Table_121215[[#This Row],[DOI]])</f>
        <v/>
      </c>
      <c r="P299">
        <f t="array" ref="P299">IsURL(Table_121215[[#This Row],[Data Source]])</f>
        <v/>
      </c>
      <c r="Q299">
        <f t="array" ref="Q299">IsURL(Table_121215[[#This Row],[Data Source]])</f>
        <v/>
      </c>
    </row>
    <row r="300" ht="15.75" customHeight="1">
      <c r="A300">
        <f>IF(Table_17[[#This Row],[Part Name]]=0,"",Table_17[[#This Row],[Part Name]])</f>
        <v/>
      </c>
      <c r="E300" s="11" t="n"/>
      <c r="J300">
        <f>LEN(TRIM(CLEAN(SUBSTITUTE(SUBSTITUTE(Table_17[[#This Row],[Sequence]],CHAR(160)," ")," ",""))))</f>
        <v/>
      </c>
      <c r="K300" s="12" t="n"/>
      <c r="L300" s="21" t="n"/>
      <c r="M300" s="21">
        <f>IF($B300="","FALSE","TRUE")</f>
        <v/>
      </c>
      <c r="N300">
        <f t="array" ref="N300">IsURL(Table_121215[[#This Row],[Data Source]])</f>
        <v/>
      </c>
      <c r="O300">
        <f t="array" ref="O300">IsURL(Table_121215[[#This Row],[DOI]])</f>
        <v/>
      </c>
      <c r="P300">
        <f t="array" ref="P300">IsURL(Table_121215[[#This Row],[Data Source]])</f>
        <v/>
      </c>
      <c r="Q300">
        <f t="array" ref="Q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sheetData>
  <conditionalFormatting sqref="B5:B300">
    <cfRule type="expression" priority="13" dxfId="6" stopIfTrue="1">
      <formula>ISBLANK(B5)</formula>
    </cfRule>
  </conditionalFormatting>
  <conditionalFormatting sqref="K5:K300">
    <cfRule type="duplicateValues" priority="1" dxfId="6"/>
  </conditionalFormatting>
  <dataValidations count="2">
    <dataValidation sqref="M5:M300" showErrorMessage="1" showInputMessage="1" allowBlank="0" type="list">
      <formula1>"TRUE, FALSE"</formula1>
    </dataValidation>
    <dataValidation sqref="E5:E300" showErrorMessage="1" showInputMessage="1" allowBlank="0" errorTitle="Invalid URL" error="The URL entered seems to be invalid, please check again." type="custom">
      <formula1>#REF!</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8.xml><?xml version="1.0" encoding="utf-8"?>
<worksheet xmlns="http://schemas.openxmlformats.org/spreadsheetml/2006/main">
  <sheetPr codeName="Sheet5">
    <outlinePr summaryBelow="0"/>
    <pageSetUpPr/>
  </sheetPr>
  <dimension ref="A3:P300"/>
  <sheetViews>
    <sheetView topLeftCell="G1" zoomScale="133" zoomScaleNormal="130" workbookViewId="0">
      <selection activeCell="M1" sqref="M1:P1048576"/>
    </sheetView>
  </sheetViews>
  <sheetFormatPr baseColWidth="10" defaultColWidth="8.6640625" defaultRowHeight="15"/>
  <cols>
    <col hidden="1" width="26.5" customWidth="1" min="1" max="1"/>
    <col width="12.6640625" bestFit="1" customWidth="1" min="2" max="2"/>
    <col width="24" bestFit="1" customWidth="1" min="3" max="3"/>
    <col width="17.83203125" bestFit="1" customWidth="1" min="4" max="4"/>
    <col width="14.33203125" bestFit="1" customWidth="1" min="5" max="5"/>
    <col width="13" bestFit="1" customWidth="1" min="6" max="6"/>
    <col width="7" bestFit="1" customWidth="1" min="7" max="7"/>
    <col width="19.1640625" bestFit="1" customWidth="1" min="8" max="8"/>
    <col width="13.5" bestFit="1" customWidth="1" min="9" max="9"/>
    <col width="12.33203125" bestFit="1" customWidth="1" min="10" max="10"/>
    <col width="6.83203125" bestFit="1" customWidth="1" min="11" max="11"/>
    <col width="10" bestFit="1" customWidth="1" min="12" max="12"/>
    <col hidden="1" width="27.83203125" customWidth="1" min="13" max="13"/>
    <col hidden="1" width="20.33203125" customWidth="1" min="14" max="14"/>
    <col hidden="1" width="27.83203125" customWidth="1" min="15" max="16"/>
    <col width="8.5" customWidth="1" min="17" max="25"/>
    <col width="8.5" bestFit="1" customWidth="1" min="26" max="29"/>
    <col width="12.5" bestFit="1" customWidth="1" min="30" max="30"/>
  </cols>
  <sheetData>
    <row r="1" ht="15.75" customHeight="1"/>
    <row r="2" ht="15.75" customHeight="1"/>
    <row r="3" ht="15.75" customHeight="1">
      <c r="A3" s="13" t="inlineStr">
        <is>
          <t>This ID is used to reference the terminators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Where is the genetic information coming from, e.g. gene taken from Aequorea victoria if available add in strain name too. This should match the scientific name for the txid in the next column</t>
        </is>
      </c>
      <c r="I3" t="inlineStr">
        <is>
          <t>Automatically calculated length of the sequence pasted to the right. Use this column for checking there are no paste errors.</t>
        </is>
      </c>
      <c r="J3" t="inlineStr">
        <is>
          <t>The series of ATGCs that make up the part. Spaces can be used within the sequence but no other characters.</t>
        </is>
      </c>
      <c r="M3" s="22" t="inlineStr">
        <is>
          <t>DO NOT CHANGE</t>
        </is>
      </c>
      <c r="N3" s="22" t="inlineStr">
        <is>
          <t>DO NOT CHANGE</t>
        </is>
      </c>
      <c r="O3" s="22" t="inlineStr">
        <is>
          <t>DO NOT CHANGE</t>
        </is>
      </c>
      <c r="P3" s="22" t="inlineStr">
        <is>
          <t>DO NOT CHANGE</t>
        </is>
      </c>
    </row>
    <row r="4" ht="15.75" customHeight="1">
      <c r="A4" t="inlineStr">
        <is>
          <t>Part ID</t>
        </is>
      </c>
      <c r="B4" t="inlineStr">
        <is>
          <t>Part Name</t>
        </is>
      </c>
      <c r="C4" t="inlineStr">
        <is>
          <t>Previous Version (URI)</t>
        </is>
      </c>
      <c r="D4" t="inlineStr">
        <is>
          <t>Part Description</t>
        </is>
      </c>
      <c r="E4" t="inlineStr">
        <is>
          <t>Data Source</t>
        </is>
      </c>
      <c r="F4" t="inlineStr">
        <is>
          <t>PubMed Id</t>
        </is>
      </c>
      <c r="G4" t="inlineStr">
        <is>
          <t>DOI</t>
        </is>
      </c>
      <c r="H4" t="inlineStr">
        <is>
          <t>Source Organism</t>
        </is>
      </c>
      <c r="I4" t="inlineStr">
        <is>
          <t>length (bp)</t>
        </is>
      </c>
      <c r="J4" t="inlineStr">
        <is>
          <t>Sequence</t>
        </is>
      </c>
      <c r="K4" s="20" t="inlineStr">
        <is>
          <t>URI</t>
        </is>
      </c>
      <c r="L4" s="20" t="inlineStr">
        <is>
          <t>Update</t>
        </is>
      </c>
      <c r="M4" s="23" t="inlineStr">
        <is>
          <t>URL Checker - Data Source</t>
        </is>
      </c>
      <c r="N4" s="24" t="inlineStr">
        <is>
          <t>URL Checker - DOI</t>
        </is>
      </c>
      <c r="O4" s="23" t="inlineStr">
        <is>
          <t>URL Checker - Previous Version</t>
        </is>
      </c>
      <c r="P4" s="23" t="inlineStr">
        <is>
          <t>URL Checker - URI</t>
        </is>
      </c>
    </row>
    <row r="5" ht="15.75" customHeight="1">
      <c r="A5">
        <f>IF(Table_15[[#This Row],[Part Name]]=0,"",Table_15[[#This Row],[Part Name]])</f>
        <v/>
      </c>
      <c r="I5">
        <f>LEN(TRIM(CLEAN(SUBSTITUTE(SUBSTITUTE(Table_15[[#This Row],[Sequence]],CHAR(160)," ")," ",""))))</f>
        <v/>
      </c>
      <c r="K5" s="21" t="n"/>
      <c r="L5" s="21">
        <f>IF($B5="","FALSE","TRUE")</f>
        <v/>
      </c>
      <c r="M5">
        <f t="array" ref="M5">IsURL(Table_121215[[#This Row],[Data Source]])</f>
        <v/>
      </c>
      <c r="N5">
        <f t="array" ref="N5">IsURL(Table_121215[[#This Row],[DOI]])</f>
        <v/>
      </c>
      <c r="O5">
        <f t="array" ref="O5">IsURL(Table_121215[[#This Row],[Data Source]])</f>
        <v/>
      </c>
      <c r="P5">
        <f t="array" ref="P5">IsURL(Table_121215[[#This Row],[Data Source]])</f>
        <v/>
      </c>
    </row>
    <row r="6" ht="15.75" customHeight="1">
      <c r="A6">
        <f>IF(Table_15[[#This Row],[Part Name]]=0,"",Table_15[[#This Row],[Part Name]])</f>
        <v/>
      </c>
      <c r="I6">
        <f>LEN(TRIM(CLEAN(SUBSTITUTE(SUBSTITUTE(Table_15[[#This Row],[Sequence]],CHAR(160)," ")," ",""))))</f>
        <v/>
      </c>
      <c r="K6" s="21" t="n"/>
      <c r="L6" s="21">
        <f>IF($B6="","FALSE","TRUE")</f>
        <v/>
      </c>
      <c r="M6">
        <f t="array" ref="M6">IsURL(Table_121215[[#This Row],[Data Source]])</f>
        <v/>
      </c>
      <c r="N6">
        <f t="array" ref="N6">IsURL(Table_121215[[#This Row],[DOI]])</f>
        <v/>
      </c>
      <c r="O6">
        <f t="array" ref="O6">IsURL(Table_121215[[#This Row],[Data Source]])</f>
        <v/>
      </c>
      <c r="P6">
        <f t="array" ref="P6">IsURL(Table_121215[[#This Row],[Data Source]])</f>
        <v/>
      </c>
    </row>
    <row r="7" ht="15.75" customHeight="1">
      <c r="A7">
        <f>IF(Table_15[[#This Row],[Part Name]]=0,"",Table_15[[#This Row],[Part Name]])</f>
        <v/>
      </c>
      <c r="I7">
        <f>LEN(TRIM(CLEAN(SUBSTITUTE(SUBSTITUTE(Table_15[[#This Row],[Sequence]],CHAR(160)," ")," ",""))))</f>
        <v/>
      </c>
      <c r="K7" s="21" t="n"/>
      <c r="L7" s="21">
        <f>IF($B7="","FALSE","TRUE")</f>
        <v/>
      </c>
      <c r="M7">
        <f t="array" ref="M7">IsURL(Table_121215[[#This Row],[Data Source]])</f>
        <v/>
      </c>
      <c r="N7">
        <f t="array" ref="N7">IsURL(Table_121215[[#This Row],[DOI]])</f>
        <v/>
      </c>
      <c r="O7">
        <f t="array" ref="O7">IsURL(Table_121215[[#This Row],[Data Source]])</f>
        <v/>
      </c>
      <c r="P7">
        <f t="array" ref="P7">IsURL(Table_121215[[#This Row],[Data Source]])</f>
        <v/>
      </c>
    </row>
    <row r="8" ht="15.75" customHeight="1">
      <c r="A8">
        <f>IF(Table_15[[#This Row],[Part Name]]=0,"",Table_15[[#This Row],[Part Name]])</f>
        <v/>
      </c>
      <c r="I8">
        <f>LEN(TRIM(CLEAN(SUBSTITUTE(SUBSTITUTE(Table_15[[#This Row],[Sequence]],CHAR(160)," ")," ",""))))</f>
        <v/>
      </c>
      <c r="K8" s="21" t="n"/>
      <c r="L8" s="21">
        <f>IF($B8="","FALSE","TRUE")</f>
        <v/>
      </c>
      <c r="M8">
        <f t="array" ref="M8">IsURL(Table_121215[[#This Row],[Data Source]])</f>
        <v/>
      </c>
      <c r="N8">
        <f t="array" ref="N8">IsURL(Table_121215[[#This Row],[DOI]])</f>
        <v/>
      </c>
      <c r="O8">
        <f t="array" ref="O8">IsURL(Table_121215[[#This Row],[Data Source]])</f>
        <v/>
      </c>
      <c r="P8">
        <f t="array" ref="P8">IsURL(Table_121215[[#This Row],[Data Source]])</f>
        <v/>
      </c>
    </row>
    <row r="9" ht="15.75" customHeight="1">
      <c r="A9">
        <f>IF(Table_15[[#This Row],[Part Name]]=0,"",Table_15[[#This Row],[Part Name]])</f>
        <v/>
      </c>
      <c r="I9">
        <f>LEN(TRIM(CLEAN(SUBSTITUTE(SUBSTITUTE(Table_15[[#This Row],[Sequence]],CHAR(160)," ")," ",""))))</f>
        <v/>
      </c>
      <c r="K9" s="21" t="n"/>
      <c r="L9" s="21">
        <f>IF($B9="","FALSE","TRUE")</f>
        <v/>
      </c>
      <c r="M9">
        <f t="array" ref="M9">IsURL(Table_121215[[#This Row],[Data Source]])</f>
        <v/>
      </c>
      <c r="N9">
        <f t="array" ref="N9">IsURL(Table_121215[[#This Row],[DOI]])</f>
        <v/>
      </c>
      <c r="O9">
        <f t="array" ref="O9">IsURL(Table_121215[[#This Row],[Data Source]])</f>
        <v/>
      </c>
      <c r="P9">
        <f t="array" ref="P9">IsURL(Table_121215[[#This Row],[Data Source]])</f>
        <v/>
      </c>
    </row>
    <row r="10" ht="15.75" customHeight="1">
      <c r="A10">
        <f>IF(Table_15[[#This Row],[Part Name]]=0,"",Table_15[[#This Row],[Part Name]])</f>
        <v/>
      </c>
      <c r="I10">
        <f>LEN(TRIM(CLEAN(SUBSTITUTE(SUBSTITUTE(Table_15[[#This Row],[Sequence]],CHAR(160)," ")," ",""))))</f>
        <v/>
      </c>
      <c r="K10" s="21" t="n"/>
      <c r="L10" s="21">
        <f>IF($B10="","FALSE","TRUE")</f>
        <v/>
      </c>
      <c r="M10">
        <f t="array" ref="M10">IsURL(Table_121215[[#This Row],[Data Source]])</f>
        <v/>
      </c>
      <c r="N10">
        <f t="array" ref="N10">IsURL(Table_121215[[#This Row],[DOI]])</f>
        <v/>
      </c>
      <c r="O10">
        <f t="array" ref="O10">IsURL(Table_121215[[#This Row],[Data Source]])</f>
        <v/>
      </c>
      <c r="P10">
        <f t="array" ref="P10">IsURL(Table_121215[[#This Row],[Data Source]])</f>
        <v/>
      </c>
    </row>
    <row r="11" ht="15.75" customHeight="1">
      <c r="A11">
        <f>IF(Table_15[[#This Row],[Part Name]]=0,"",Table_15[[#This Row],[Part Name]])</f>
        <v/>
      </c>
      <c r="I11">
        <f>LEN(TRIM(CLEAN(SUBSTITUTE(SUBSTITUTE(Table_15[[#This Row],[Sequence]],CHAR(160)," ")," ",""))))</f>
        <v/>
      </c>
      <c r="K11" s="21" t="n"/>
      <c r="L11" s="21">
        <f>IF($B11="","FALSE","TRUE")</f>
        <v/>
      </c>
      <c r="M11">
        <f t="array" ref="M11">IsURL(Table_121215[[#This Row],[Data Source]])</f>
        <v/>
      </c>
      <c r="N11">
        <f t="array" ref="N11">IsURL(Table_121215[[#This Row],[DOI]])</f>
        <v/>
      </c>
      <c r="O11">
        <f t="array" ref="O11">IsURL(Table_121215[[#This Row],[Data Source]])</f>
        <v/>
      </c>
      <c r="P11">
        <f t="array" ref="P11">IsURL(Table_121215[[#This Row],[Data Source]])</f>
        <v/>
      </c>
    </row>
    <row r="12" ht="15.75" customHeight="1">
      <c r="A12">
        <f>IF(Table_15[[#This Row],[Part Name]]=0,"",Table_15[[#This Row],[Part Name]])</f>
        <v/>
      </c>
      <c r="I12">
        <f>LEN(TRIM(CLEAN(SUBSTITUTE(SUBSTITUTE(Table_15[[#This Row],[Sequence]],CHAR(160)," ")," ",""))))</f>
        <v/>
      </c>
      <c r="K12" s="21" t="n"/>
      <c r="L12" s="21">
        <f>IF($B12="","FALSE","TRUE")</f>
        <v/>
      </c>
      <c r="M12">
        <f t="array" ref="M12">IsURL(Table_121215[[#This Row],[Data Source]])</f>
        <v/>
      </c>
      <c r="N12">
        <f t="array" ref="N12">IsURL(Table_121215[[#This Row],[DOI]])</f>
        <v/>
      </c>
      <c r="O12">
        <f t="array" ref="O12">IsURL(Table_121215[[#This Row],[Data Source]])</f>
        <v/>
      </c>
      <c r="P12">
        <f t="array" ref="P12">IsURL(Table_121215[[#This Row],[Data Source]])</f>
        <v/>
      </c>
    </row>
    <row r="13" ht="15.75" customHeight="1">
      <c r="A13">
        <f>IF(Table_15[[#This Row],[Part Name]]=0,"",Table_15[[#This Row],[Part Name]])</f>
        <v/>
      </c>
      <c r="I13">
        <f>LEN(TRIM(CLEAN(SUBSTITUTE(SUBSTITUTE(Table_15[[#This Row],[Sequence]],CHAR(160)," ")," ",""))))</f>
        <v/>
      </c>
      <c r="K13" s="21" t="n"/>
      <c r="L13" s="21">
        <f>IF($B13="","FALSE","TRUE")</f>
        <v/>
      </c>
      <c r="M13">
        <f t="array" ref="M13">IsURL(Table_121215[[#This Row],[Data Source]])</f>
        <v/>
      </c>
      <c r="N13">
        <f t="array" ref="N13">IsURL(Table_121215[[#This Row],[DOI]])</f>
        <v/>
      </c>
      <c r="O13">
        <f t="array" ref="O13">IsURL(Table_121215[[#This Row],[Data Source]])</f>
        <v/>
      </c>
      <c r="P13">
        <f t="array" ref="P13">IsURL(Table_121215[[#This Row],[Data Source]])</f>
        <v/>
      </c>
    </row>
    <row r="14" ht="15.75" customHeight="1">
      <c r="A14">
        <f>IF(Table_15[[#This Row],[Part Name]]=0,"",Table_15[[#This Row],[Part Name]])</f>
        <v/>
      </c>
      <c r="I14">
        <f>LEN(TRIM(CLEAN(SUBSTITUTE(SUBSTITUTE(Table_15[[#This Row],[Sequence]],CHAR(160)," ")," ",""))))</f>
        <v/>
      </c>
      <c r="K14" s="21" t="n"/>
      <c r="L14" s="21">
        <f>IF($B14="","FALSE","TRUE")</f>
        <v/>
      </c>
      <c r="M14">
        <f t="array" ref="M14">IsURL(Table_121215[[#This Row],[Data Source]])</f>
        <v/>
      </c>
      <c r="N14">
        <f t="array" ref="N14">IsURL(Table_121215[[#This Row],[DOI]])</f>
        <v/>
      </c>
      <c r="O14">
        <f t="array" ref="O14">IsURL(Table_121215[[#This Row],[Data Source]])</f>
        <v/>
      </c>
      <c r="P14">
        <f t="array" ref="P14">IsURL(Table_121215[[#This Row],[Data Source]])</f>
        <v/>
      </c>
    </row>
    <row r="15" ht="15.75" customHeight="1">
      <c r="A15">
        <f>IF(Table_15[[#This Row],[Part Name]]=0,"",Table_15[[#This Row],[Part Name]])</f>
        <v/>
      </c>
      <c r="I15">
        <f>LEN(TRIM(CLEAN(SUBSTITUTE(SUBSTITUTE(Table_15[[#This Row],[Sequence]],CHAR(160)," ")," ",""))))</f>
        <v/>
      </c>
      <c r="K15" s="21" t="n"/>
      <c r="L15" s="21">
        <f>IF($B15="","FALSE","TRUE")</f>
        <v/>
      </c>
      <c r="M15">
        <f t="array" ref="M15">IsURL(Table_121215[[#This Row],[Data Source]])</f>
        <v/>
      </c>
      <c r="N15">
        <f t="array" ref="N15">IsURL(Table_121215[[#This Row],[DOI]])</f>
        <v/>
      </c>
      <c r="O15">
        <f t="array" ref="O15">IsURL(Table_121215[[#This Row],[Data Source]])</f>
        <v/>
      </c>
      <c r="P15">
        <f t="array" ref="P15">IsURL(Table_121215[[#This Row],[Data Source]])</f>
        <v/>
      </c>
    </row>
    <row r="16" ht="15.75" customHeight="1">
      <c r="A16">
        <f>IF(Table_15[[#This Row],[Part Name]]=0,"",Table_15[[#This Row],[Part Name]])</f>
        <v/>
      </c>
      <c r="I16">
        <f>LEN(TRIM(CLEAN(SUBSTITUTE(SUBSTITUTE(Table_15[[#This Row],[Sequence]],CHAR(160)," ")," ",""))))</f>
        <v/>
      </c>
      <c r="K16" s="21" t="n"/>
      <c r="L16" s="21">
        <f>IF($B16="","FALSE","TRUE")</f>
        <v/>
      </c>
      <c r="M16">
        <f t="array" ref="M16">IsURL(Table_121215[[#This Row],[Data Source]])</f>
        <v/>
      </c>
      <c r="N16">
        <f t="array" ref="N16">IsURL(Table_121215[[#This Row],[DOI]])</f>
        <v/>
      </c>
      <c r="O16">
        <f t="array" ref="O16">IsURL(Table_121215[[#This Row],[Data Source]])</f>
        <v/>
      </c>
      <c r="P16">
        <f t="array" ref="P16">IsURL(Table_121215[[#This Row],[Data Source]])</f>
        <v/>
      </c>
    </row>
    <row r="17" ht="15.75" customHeight="1">
      <c r="A17">
        <f>IF(Table_15[[#This Row],[Part Name]]=0,"",Table_15[[#This Row],[Part Name]])</f>
        <v/>
      </c>
      <c r="I17">
        <f>LEN(TRIM(CLEAN(SUBSTITUTE(SUBSTITUTE(Table_15[[#This Row],[Sequence]],CHAR(160)," ")," ",""))))</f>
        <v/>
      </c>
      <c r="K17" s="21" t="n"/>
      <c r="L17" s="21">
        <f>IF($B17="","FALSE","TRUE")</f>
        <v/>
      </c>
      <c r="M17">
        <f t="array" ref="M17">IsURL(Table_121215[[#This Row],[Data Source]])</f>
        <v/>
      </c>
      <c r="N17">
        <f t="array" ref="N17">IsURL(Table_121215[[#This Row],[DOI]])</f>
        <v/>
      </c>
      <c r="O17">
        <f t="array" ref="O17">IsURL(Table_121215[[#This Row],[Data Source]])</f>
        <v/>
      </c>
      <c r="P17">
        <f t="array" ref="P17">IsURL(Table_121215[[#This Row],[Data Source]])</f>
        <v/>
      </c>
    </row>
    <row r="18" ht="15.75" customHeight="1">
      <c r="A18">
        <f>IF(Table_15[[#This Row],[Part Name]]=0,"",Table_15[[#This Row],[Part Name]])</f>
        <v/>
      </c>
      <c r="I18">
        <f>LEN(TRIM(CLEAN(SUBSTITUTE(SUBSTITUTE(Table_15[[#This Row],[Sequence]],CHAR(160)," ")," ",""))))</f>
        <v/>
      </c>
      <c r="K18" s="21" t="n"/>
      <c r="L18" s="21">
        <f>IF($B18="","FALSE","TRUE")</f>
        <v/>
      </c>
      <c r="M18">
        <f t="array" ref="M18">IsURL(Table_121215[[#This Row],[Data Source]])</f>
        <v/>
      </c>
      <c r="N18">
        <f t="array" ref="N18">IsURL(Table_121215[[#This Row],[DOI]])</f>
        <v/>
      </c>
      <c r="O18">
        <f t="array" ref="O18">IsURL(Table_121215[[#This Row],[Data Source]])</f>
        <v/>
      </c>
      <c r="P18">
        <f t="array" ref="P18">IsURL(Table_121215[[#This Row],[Data Source]])</f>
        <v/>
      </c>
    </row>
    <row r="19" ht="15.75" customHeight="1">
      <c r="A19">
        <f>IF(Table_15[[#This Row],[Part Name]]=0,"",Table_15[[#This Row],[Part Name]])</f>
        <v/>
      </c>
      <c r="I19">
        <f>LEN(TRIM(CLEAN(SUBSTITUTE(SUBSTITUTE(Table_15[[#This Row],[Sequence]],CHAR(160)," ")," ",""))))</f>
        <v/>
      </c>
      <c r="K19" s="21" t="n"/>
      <c r="L19" s="21">
        <f>IF($B19="","FALSE","TRUE")</f>
        <v/>
      </c>
      <c r="M19">
        <f t="array" ref="M19">IsURL(Table_121215[[#This Row],[Data Source]])</f>
        <v/>
      </c>
      <c r="N19">
        <f t="array" ref="N19">IsURL(Table_121215[[#This Row],[DOI]])</f>
        <v/>
      </c>
      <c r="O19">
        <f t="array" ref="O19">IsURL(Table_121215[[#This Row],[Data Source]])</f>
        <v/>
      </c>
      <c r="P19">
        <f t="array" ref="P19">IsURL(Table_121215[[#This Row],[Data Source]])</f>
        <v/>
      </c>
    </row>
    <row r="20" ht="15.75" customHeight="1">
      <c r="A20">
        <f>IF(Table_15[[#This Row],[Part Name]]=0,"",Table_15[[#This Row],[Part Name]])</f>
        <v/>
      </c>
      <c r="I20">
        <f>LEN(TRIM(CLEAN(SUBSTITUTE(SUBSTITUTE(Table_15[[#This Row],[Sequence]],CHAR(160)," ")," ",""))))</f>
        <v/>
      </c>
      <c r="K20" s="21" t="n"/>
      <c r="L20" s="21">
        <f>IF($B20="","FALSE","TRUE")</f>
        <v/>
      </c>
      <c r="M20">
        <f t="array" ref="M20">IsURL(Table_121215[[#This Row],[Data Source]])</f>
        <v/>
      </c>
      <c r="N20">
        <f t="array" ref="N20">IsURL(Table_121215[[#This Row],[DOI]])</f>
        <v/>
      </c>
      <c r="O20">
        <f t="array" ref="O20">IsURL(Table_121215[[#This Row],[Data Source]])</f>
        <v/>
      </c>
      <c r="P20">
        <f t="array" ref="P20">IsURL(Table_121215[[#This Row],[Data Source]])</f>
        <v/>
      </c>
    </row>
    <row r="21" ht="15.75" customHeight="1">
      <c r="A21">
        <f>IF(Table_15[[#This Row],[Part Name]]=0,"",Table_15[[#This Row],[Part Name]])</f>
        <v/>
      </c>
      <c r="I21">
        <f>LEN(TRIM(CLEAN(SUBSTITUTE(SUBSTITUTE(Table_15[[#This Row],[Sequence]],CHAR(160)," ")," ",""))))</f>
        <v/>
      </c>
      <c r="K21" s="21" t="n"/>
      <c r="L21" s="21">
        <f>IF($B21="","FALSE","TRUE")</f>
        <v/>
      </c>
      <c r="M21">
        <f t="array" ref="M21">IsURL(Table_121215[[#This Row],[Data Source]])</f>
        <v/>
      </c>
      <c r="N21">
        <f t="array" ref="N21">IsURL(Table_121215[[#This Row],[DOI]])</f>
        <v/>
      </c>
      <c r="O21">
        <f t="array" ref="O21">IsURL(Table_121215[[#This Row],[Data Source]])</f>
        <v/>
      </c>
      <c r="P21">
        <f t="array" ref="P21">IsURL(Table_121215[[#This Row],[Data Source]])</f>
        <v/>
      </c>
    </row>
    <row r="22" ht="15.75" customHeight="1">
      <c r="A22">
        <f>IF(Table_15[[#This Row],[Part Name]]=0,"",Table_15[[#This Row],[Part Name]])</f>
        <v/>
      </c>
      <c r="I22">
        <f>LEN(TRIM(CLEAN(SUBSTITUTE(SUBSTITUTE(Table_15[[#This Row],[Sequence]],CHAR(160)," ")," ",""))))</f>
        <v/>
      </c>
      <c r="K22" s="21" t="n"/>
      <c r="L22" s="21">
        <f>IF($B22="","FALSE","TRUE")</f>
        <v/>
      </c>
      <c r="M22">
        <f t="array" ref="M22">IsURL(Table_121215[[#This Row],[Data Source]])</f>
        <v/>
      </c>
      <c r="N22">
        <f t="array" ref="N22">IsURL(Table_121215[[#This Row],[DOI]])</f>
        <v/>
      </c>
      <c r="O22">
        <f t="array" ref="O22">IsURL(Table_121215[[#This Row],[Data Source]])</f>
        <v/>
      </c>
      <c r="P22">
        <f t="array" ref="P22">IsURL(Table_121215[[#This Row],[Data Source]])</f>
        <v/>
      </c>
    </row>
    <row r="23" ht="15.75" customHeight="1">
      <c r="A23">
        <f>IF(Table_15[[#This Row],[Part Name]]=0,"",Table_15[[#This Row],[Part Name]])</f>
        <v/>
      </c>
      <c r="I23">
        <f>LEN(TRIM(CLEAN(SUBSTITUTE(SUBSTITUTE(Table_15[[#This Row],[Sequence]],CHAR(160)," ")," ",""))))</f>
        <v/>
      </c>
      <c r="K23" s="21" t="n"/>
      <c r="L23" s="21">
        <f>IF($B23="","FALSE","TRUE")</f>
        <v/>
      </c>
      <c r="M23">
        <f t="array" ref="M23">IsURL(Table_121215[[#This Row],[Data Source]])</f>
        <v/>
      </c>
      <c r="N23">
        <f t="array" ref="N23">IsURL(Table_121215[[#This Row],[DOI]])</f>
        <v/>
      </c>
      <c r="O23">
        <f t="array" ref="O23">IsURL(Table_121215[[#This Row],[Data Source]])</f>
        <v/>
      </c>
      <c r="P23">
        <f t="array" ref="P23">IsURL(Table_121215[[#This Row],[Data Source]])</f>
        <v/>
      </c>
    </row>
    <row r="24" ht="15.75" customHeight="1">
      <c r="A24">
        <f>IF(Table_15[[#This Row],[Part Name]]=0,"",Table_15[[#This Row],[Part Name]])</f>
        <v/>
      </c>
      <c r="I24">
        <f>LEN(TRIM(CLEAN(SUBSTITUTE(SUBSTITUTE(Table_15[[#This Row],[Sequence]],CHAR(160)," ")," ",""))))</f>
        <v/>
      </c>
      <c r="K24" s="21" t="n"/>
      <c r="L24" s="21">
        <f>IF($B24="","FALSE","TRUE")</f>
        <v/>
      </c>
      <c r="M24">
        <f t="array" ref="M24">IsURL(Table_121215[[#This Row],[Data Source]])</f>
        <v/>
      </c>
      <c r="N24">
        <f t="array" ref="N24">IsURL(Table_121215[[#This Row],[DOI]])</f>
        <v/>
      </c>
      <c r="O24">
        <f t="array" ref="O24">IsURL(Table_121215[[#This Row],[Data Source]])</f>
        <v/>
      </c>
      <c r="P24">
        <f t="array" ref="P24">IsURL(Table_121215[[#This Row],[Data Source]])</f>
        <v/>
      </c>
    </row>
    <row r="25" ht="15.75" customHeight="1">
      <c r="A25">
        <f>IF(Table_15[[#This Row],[Part Name]]=0,"",Table_15[[#This Row],[Part Name]])</f>
        <v/>
      </c>
      <c r="I25">
        <f>LEN(TRIM(CLEAN(SUBSTITUTE(SUBSTITUTE(Table_15[[#This Row],[Sequence]],CHAR(160)," ")," ",""))))</f>
        <v/>
      </c>
      <c r="K25" s="21" t="n"/>
      <c r="L25" s="21">
        <f>IF($B25="","FALSE","TRUE")</f>
        <v/>
      </c>
      <c r="M25">
        <f t="array" ref="M25">IsURL(Table_121215[[#This Row],[Data Source]])</f>
        <v/>
      </c>
      <c r="N25">
        <f t="array" ref="N25">IsURL(Table_121215[[#This Row],[DOI]])</f>
        <v/>
      </c>
      <c r="O25">
        <f t="array" ref="O25">IsURL(Table_121215[[#This Row],[Data Source]])</f>
        <v/>
      </c>
      <c r="P25">
        <f t="array" ref="P25">IsURL(Table_121215[[#This Row],[Data Source]])</f>
        <v/>
      </c>
    </row>
    <row r="26" ht="15.75" customHeight="1">
      <c r="A26">
        <f>IF(Table_15[[#This Row],[Part Name]]=0,"",Table_15[[#This Row],[Part Name]])</f>
        <v/>
      </c>
      <c r="I26">
        <f>LEN(TRIM(CLEAN(SUBSTITUTE(SUBSTITUTE(Table_15[[#This Row],[Sequence]],CHAR(160)," ")," ",""))))</f>
        <v/>
      </c>
      <c r="K26" s="21" t="n"/>
      <c r="L26" s="21">
        <f>IF($B26="","FALSE","TRUE")</f>
        <v/>
      </c>
      <c r="M26">
        <f t="array" ref="M26">IsURL(Table_121215[[#This Row],[Data Source]])</f>
        <v/>
      </c>
      <c r="N26">
        <f t="array" ref="N26">IsURL(Table_121215[[#This Row],[DOI]])</f>
        <v/>
      </c>
      <c r="O26">
        <f t="array" ref="O26">IsURL(Table_121215[[#This Row],[Data Source]])</f>
        <v/>
      </c>
      <c r="P26">
        <f t="array" ref="P26">IsURL(Table_121215[[#This Row],[Data Source]])</f>
        <v/>
      </c>
    </row>
    <row r="27" ht="15.75" customHeight="1">
      <c r="A27">
        <f>IF(Table_15[[#This Row],[Part Name]]=0,"",Table_15[[#This Row],[Part Name]])</f>
        <v/>
      </c>
      <c r="I27">
        <f>LEN(TRIM(CLEAN(SUBSTITUTE(SUBSTITUTE(Table_15[[#This Row],[Sequence]],CHAR(160)," ")," ",""))))</f>
        <v/>
      </c>
      <c r="K27" s="21" t="n"/>
      <c r="L27" s="21">
        <f>IF($B27="","FALSE","TRUE")</f>
        <v/>
      </c>
      <c r="M27">
        <f t="array" ref="M27">IsURL(Table_121215[[#This Row],[Data Source]])</f>
        <v/>
      </c>
      <c r="N27">
        <f t="array" ref="N27">IsURL(Table_121215[[#This Row],[DOI]])</f>
        <v/>
      </c>
      <c r="O27">
        <f t="array" ref="O27">IsURL(Table_121215[[#This Row],[Data Source]])</f>
        <v/>
      </c>
      <c r="P27">
        <f t="array" ref="P27">IsURL(Table_121215[[#This Row],[Data Source]])</f>
        <v/>
      </c>
    </row>
    <row r="28" ht="15.75" customHeight="1">
      <c r="A28">
        <f>IF(Table_15[[#This Row],[Part Name]]=0,"",Table_15[[#This Row],[Part Name]])</f>
        <v/>
      </c>
      <c r="I28">
        <f>LEN(TRIM(CLEAN(SUBSTITUTE(SUBSTITUTE(Table_15[[#This Row],[Sequence]],CHAR(160)," ")," ",""))))</f>
        <v/>
      </c>
      <c r="K28" s="21" t="n"/>
      <c r="L28" s="21">
        <f>IF($B28="","FALSE","TRUE")</f>
        <v/>
      </c>
      <c r="M28">
        <f t="array" ref="M28">IsURL(Table_121215[[#This Row],[Data Source]])</f>
        <v/>
      </c>
      <c r="N28">
        <f t="array" ref="N28">IsURL(Table_121215[[#This Row],[DOI]])</f>
        <v/>
      </c>
      <c r="O28">
        <f t="array" ref="O28">IsURL(Table_121215[[#This Row],[Data Source]])</f>
        <v/>
      </c>
      <c r="P28">
        <f t="array" ref="P28">IsURL(Table_121215[[#This Row],[Data Source]])</f>
        <v/>
      </c>
    </row>
    <row r="29" ht="15.75" customHeight="1">
      <c r="A29">
        <f>IF(Table_15[[#This Row],[Part Name]]=0,"",Table_15[[#This Row],[Part Name]])</f>
        <v/>
      </c>
      <c r="I29">
        <f>LEN(TRIM(CLEAN(SUBSTITUTE(SUBSTITUTE(Table_15[[#This Row],[Sequence]],CHAR(160)," ")," ",""))))</f>
        <v/>
      </c>
      <c r="K29" s="21" t="n"/>
      <c r="L29" s="21">
        <f>IF($B29="","FALSE","TRUE")</f>
        <v/>
      </c>
      <c r="M29">
        <f t="array" ref="M29">IsURL(Table_121215[[#This Row],[Data Source]])</f>
        <v/>
      </c>
      <c r="N29">
        <f t="array" ref="N29">IsURL(Table_121215[[#This Row],[DOI]])</f>
        <v/>
      </c>
      <c r="O29">
        <f t="array" ref="O29">IsURL(Table_121215[[#This Row],[Data Source]])</f>
        <v/>
      </c>
      <c r="P29">
        <f t="array" ref="P29">IsURL(Table_121215[[#This Row],[Data Source]])</f>
        <v/>
      </c>
    </row>
    <row r="30" ht="15.75" customHeight="1">
      <c r="A30">
        <f>IF(Table_15[[#This Row],[Part Name]]=0,"",Table_15[[#This Row],[Part Name]])</f>
        <v/>
      </c>
      <c r="I30">
        <f>LEN(TRIM(CLEAN(SUBSTITUTE(SUBSTITUTE(Table_15[[#This Row],[Sequence]],CHAR(160)," ")," ",""))))</f>
        <v/>
      </c>
      <c r="K30" s="21" t="n"/>
      <c r="L30" s="21">
        <f>IF($B30="","FALSE","TRUE")</f>
        <v/>
      </c>
      <c r="M30">
        <f t="array" ref="M30">IsURL(Table_121215[[#This Row],[Data Source]])</f>
        <v/>
      </c>
      <c r="N30">
        <f t="array" ref="N30">IsURL(Table_121215[[#This Row],[DOI]])</f>
        <v/>
      </c>
      <c r="O30">
        <f t="array" ref="O30">IsURL(Table_121215[[#This Row],[Data Source]])</f>
        <v/>
      </c>
      <c r="P30">
        <f t="array" ref="P30">IsURL(Table_121215[[#This Row],[Data Source]])</f>
        <v/>
      </c>
    </row>
    <row r="31" ht="15.75" customHeight="1">
      <c r="A31">
        <f>IF(Table_15[[#This Row],[Part Name]]=0,"",Table_15[[#This Row],[Part Name]])</f>
        <v/>
      </c>
      <c r="I31">
        <f>LEN(TRIM(CLEAN(SUBSTITUTE(SUBSTITUTE(Table_15[[#This Row],[Sequence]],CHAR(160)," ")," ",""))))</f>
        <v/>
      </c>
      <c r="K31" s="21" t="n"/>
      <c r="L31" s="21">
        <f>IF($B31="","FALSE","TRUE")</f>
        <v/>
      </c>
      <c r="M31">
        <f t="array" ref="M31">IsURL(Table_121215[[#This Row],[Data Source]])</f>
        <v/>
      </c>
      <c r="N31">
        <f t="array" ref="N31">IsURL(Table_121215[[#This Row],[DOI]])</f>
        <v/>
      </c>
      <c r="O31">
        <f t="array" ref="O31">IsURL(Table_121215[[#This Row],[Data Source]])</f>
        <v/>
      </c>
      <c r="P31">
        <f t="array" ref="P31">IsURL(Table_121215[[#This Row],[Data Source]])</f>
        <v/>
      </c>
    </row>
    <row r="32" ht="15.75" customHeight="1">
      <c r="A32">
        <f>IF(Table_15[[#This Row],[Part Name]]=0,"",Table_15[[#This Row],[Part Name]])</f>
        <v/>
      </c>
      <c r="I32">
        <f>LEN(TRIM(CLEAN(SUBSTITUTE(SUBSTITUTE(Table_15[[#This Row],[Sequence]],CHAR(160)," ")," ",""))))</f>
        <v/>
      </c>
      <c r="K32" s="21" t="n"/>
      <c r="L32" s="21">
        <f>IF($B32="","FALSE","TRUE")</f>
        <v/>
      </c>
      <c r="M32">
        <f t="array" ref="M32">IsURL(Table_121215[[#This Row],[Data Source]])</f>
        <v/>
      </c>
      <c r="N32">
        <f t="array" ref="N32">IsURL(Table_121215[[#This Row],[DOI]])</f>
        <v/>
      </c>
      <c r="O32">
        <f t="array" ref="O32">IsURL(Table_121215[[#This Row],[Data Source]])</f>
        <v/>
      </c>
      <c r="P32">
        <f t="array" ref="P32">IsURL(Table_121215[[#This Row],[Data Source]])</f>
        <v/>
      </c>
    </row>
    <row r="33" ht="15.75" customHeight="1">
      <c r="A33">
        <f>IF(Table_15[[#This Row],[Part Name]]=0,"",Table_15[[#This Row],[Part Name]])</f>
        <v/>
      </c>
      <c r="I33">
        <f>LEN(TRIM(CLEAN(SUBSTITUTE(SUBSTITUTE(Table_15[[#This Row],[Sequence]],CHAR(160)," ")," ",""))))</f>
        <v/>
      </c>
      <c r="K33" s="21" t="n"/>
      <c r="L33" s="21">
        <f>IF($B33="","FALSE","TRUE")</f>
        <v/>
      </c>
      <c r="M33">
        <f t="array" ref="M33">IsURL(Table_121215[[#This Row],[Data Source]])</f>
        <v/>
      </c>
      <c r="N33">
        <f t="array" ref="N33">IsURL(Table_121215[[#This Row],[DOI]])</f>
        <v/>
      </c>
      <c r="O33">
        <f t="array" ref="O33">IsURL(Table_121215[[#This Row],[Data Source]])</f>
        <v/>
      </c>
      <c r="P33">
        <f t="array" ref="P33">IsURL(Table_121215[[#This Row],[Data Source]])</f>
        <v/>
      </c>
    </row>
    <row r="34" ht="15.75" customHeight="1">
      <c r="A34">
        <f>IF(Table_15[[#This Row],[Part Name]]=0,"",Table_15[[#This Row],[Part Name]])</f>
        <v/>
      </c>
      <c r="I34">
        <f>LEN(TRIM(CLEAN(SUBSTITUTE(SUBSTITUTE(Table_15[[#This Row],[Sequence]],CHAR(160)," ")," ",""))))</f>
        <v/>
      </c>
      <c r="K34" s="21" t="n"/>
      <c r="L34" s="21">
        <f>IF($B34="","FALSE","TRUE")</f>
        <v/>
      </c>
      <c r="M34">
        <f t="array" ref="M34">IsURL(Table_121215[[#This Row],[Data Source]])</f>
        <v/>
      </c>
      <c r="N34">
        <f t="array" ref="N34">IsURL(Table_121215[[#This Row],[DOI]])</f>
        <v/>
      </c>
      <c r="O34">
        <f t="array" ref="O34">IsURL(Table_121215[[#This Row],[Data Source]])</f>
        <v/>
      </c>
      <c r="P34">
        <f t="array" ref="P34">IsURL(Table_121215[[#This Row],[Data Source]])</f>
        <v/>
      </c>
    </row>
    <row r="35" ht="15.75" customHeight="1">
      <c r="A35">
        <f>IF(Table_15[[#This Row],[Part Name]]=0,"",Table_15[[#This Row],[Part Name]])</f>
        <v/>
      </c>
      <c r="I35">
        <f>LEN(TRIM(CLEAN(SUBSTITUTE(SUBSTITUTE(Table_15[[#This Row],[Sequence]],CHAR(160)," ")," ",""))))</f>
        <v/>
      </c>
      <c r="K35" s="21" t="n"/>
      <c r="L35" s="21">
        <f>IF($B35="","FALSE","TRUE")</f>
        <v/>
      </c>
      <c r="M35">
        <f t="array" ref="M35">IsURL(Table_121215[[#This Row],[Data Source]])</f>
        <v/>
      </c>
      <c r="N35">
        <f t="array" ref="N35">IsURL(Table_121215[[#This Row],[DOI]])</f>
        <v/>
      </c>
      <c r="O35">
        <f t="array" ref="O35">IsURL(Table_121215[[#This Row],[Data Source]])</f>
        <v/>
      </c>
      <c r="P35">
        <f t="array" ref="P35">IsURL(Table_121215[[#This Row],[Data Source]])</f>
        <v/>
      </c>
    </row>
    <row r="36" ht="15.75" customHeight="1">
      <c r="A36">
        <f>IF(Table_15[[#This Row],[Part Name]]=0,"",Table_15[[#This Row],[Part Name]])</f>
        <v/>
      </c>
      <c r="I36">
        <f>LEN(TRIM(CLEAN(SUBSTITUTE(SUBSTITUTE(Table_15[[#This Row],[Sequence]],CHAR(160)," ")," ",""))))</f>
        <v/>
      </c>
      <c r="K36" s="21" t="n"/>
      <c r="L36" s="21">
        <f>IF($B36="","FALSE","TRUE")</f>
        <v/>
      </c>
      <c r="M36">
        <f t="array" ref="M36">IsURL(Table_121215[[#This Row],[Data Source]])</f>
        <v/>
      </c>
      <c r="N36">
        <f t="array" ref="N36">IsURL(Table_121215[[#This Row],[DOI]])</f>
        <v/>
      </c>
      <c r="O36">
        <f t="array" ref="O36">IsURL(Table_121215[[#This Row],[Data Source]])</f>
        <v/>
      </c>
      <c r="P36">
        <f t="array" ref="P36">IsURL(Table_121215[[#This Row],[Data Source]])</f>
        <v/>
      </c>
    </row>
    <row r="37" ht="15.75" customHeight="1">
      <c r="A37">
        <f>IF(Table_15[[#This Row],[Part Name]]=0,"",Table_15[[#This Row],[Part Name]])</f>
        <v/>
      </c>
      <c r="I37">
        <f>LEN(TRIM(CLEAN(SUBSTITUTE(SUBSTITUTE(Table_15[[#This Row],[Sequence]],CHAR(160)," ")," ",""))))</f>
        <v/>
      </c>
      <c r="K37" s="21" t="n"/>
      <c r="L37" s="21">
        <f>IF($B37="","FALSE","TRUE")</f>
        <v/>
      </c>
      <c r="M37">
        <f t="array" ref="M37">IsURL(Table_121215[[#This Row],[Data Source]])</f>
        <v/>
      </c>
      <c r="N37">
        <f t="array" ref="N37">IsURL(Table_121215[[#This Row],[DOI]])</f>
        <v/>
      </c>
      <c r="O37">
        <f t="array" ref="O37">IsURL(Table_121215[[#This Row],[Data Source]])</f>
        <v/>
      </c>
      <c r="P37">
        <f t="array" ref="P37">IsURL(Table_121215[[#This Row],[Data Source]])</f>
        <v/>
      </c>
    </row>
    <row r="38" ht="15.75" customHeight="1">
      <c r="A38">
        <f>IF(Table_15[[#This Row],[Part Name]]=0,"",Table_15[[#This Row],[Part Name]])</f>
        <v/>
      </c>
      <c r="I38">
        <f>LEN(TRIM(CLEAN(SUBSTITUTE(SUBSTITUTE(Table_15[[#This Row],[Sequence]],CHAR(160)," ")," ",""))))</f>
        <v/>
      </c>
      <c r="K38" s="21" t="n"/>
      <c r="L38" s="21">
        <f>IF($B38="","FALSE","TRUE")</f>
        <v/>
      </c>
      <c r="M38">
        <f t="array" ref="M38">IsURL(Table_121215[[#This Row],[Data Source]])</f>
        <v/>
      </c>
      <c r="N38">
        <f t="array" ref="N38">IsURL(Table_121215[[#This Row],[DOI]])</f>
        <v/>
      </c>
      <c r="O38">
        <f t="array" ref="O38">IsURL(Table_121215[[#This Row],[Data Source]])</f>
        <v/>
      </c>
      <c r="P38">
        <f t="array" ref="P38">IsURL(Table_121215[[#This Row],[Data Source]])</f>
        <v/>
      </c>
    </row>
    <row r="39" ht="15.75" customHeight="1">
      <c r="A39">
        <f>IF(Table_15[[#This Row],[Part Name]]=0,"",Table_15[[#This Row],[Part Name]])</f>
        <v/>
      </c>
      <c r="I39">
        <f>LEN(TRIM(CLEAN(SUBSTITUTE(SUBSTITUTE(Table_15[[#This Row],[Sequence]],CHAR(160)," ")," ",""))))</f>
        <v/>
      </c>
      <c r="K39" s="21" t="n"/>
      <c r="L39" s="21">
        <f>IF($B39="","FALSE","TRUE")</f>
        <v/>
      </c>
      <c r="M39">
        <f t="array" ref="M39">IsURL(Table_121215[[#This Row],[Data Source]])</f>
        <v/>
      </c>
      <c r="N39">
        <f t="array" ref="N39">IsURL(Table_121215[[#This Row],[DOI]])</f>
        <v/>
      </c>
      <c r="O39">
        <f t="array" ref="O39">IsURL(Table_121215[[#This Row],[Data Source]])</f>
        <v/>
      </c>
      <c r="P39">
        <f t="array" ref="P39">IsURL(Table_121215[[#This Row],[Data Source]])</f>
        <v/>
      </c>
    </row>
    <row r="40" ht="15.75" customHeight="1">
      <c r="A40">
        <f>IF(Table_15[[#This Row],[Part Name]]=0,"",Table_15[[#This Row],[Part Name]])</f>
        <v/>
      </c>
      <c r="I40">
        <f>LEN(TRIM(CLEAN(SUBSTITUTE(SUBSTITUTE(Table_15[[#This Row],[Sequence]],CHAR(160)," ")," ",""))))</f>
        <v/>
      </c>
      <c r="K40" s="21" t="n"/>
      <c r="L40" s="21">
        <f>IF($B40="","FALSE","TRUE")</f>
        <v/>
      </c>
      <c r="M40">
        <f t="array" ref="M40">IsURL(Table_121215[[#This Row],[Data Source]])</f>
        <v/>
      </c>
      <c r="N40">
        <f t="array" ref="N40">IsURL(Table_121215[[#This Row],[DOI]])</f>
        <v/>
      </c>
      <c r="O40">
        <f t="array" ref="O40">IsURL(Table_121215[[#This Row],[Data Source]])</f>
        <v/>
      </c>
      <c r="P40">
        <f t="array" ref="P40">IsURL(Table_121215[[#This Row],[Data Source]])</f>
        <v/>
      </c>
    </row>
    <row r="41" ht="15.75" customHeight="1">
      <c r="A41">
        <f>IF(Table_15[[#This Row],[Part Name]]=0,"",Table_15[[#This Row],[Part Name]])</f>
        <v/>
      </c>
      <c r="I41">
        <f>LEN(TRIM(CLEAN(SUBSTITUTE(SUBSTITUTE(Table_15[[#This Row],[Sequence]],CHAR(160)," ")," ",""))))</f>
        <v/>
      </c>
      <c r="K41" s="21" t="n"/>
      <c r="L41" s="21">
        <f>IF($B41="","FALSE","TRUE")</f>
        <v/>
      </c>
      <c r="M41">
        <f t="array" ref="M41">IsURL(Table_121215[[#This Row],[Data Source]])</f>
        <v/>
      </c>
      <c r="N41">
        <f t="array" ref="N41">IsURL(Table_121215[[#This Row],[DOI]])</f>
        <v/>
      </c>
      <c r="O41">
        <f t="array" ref="O41">IsURL(Table_121215[[#This Row],[Data Source]])</f>
        <v/>
      </c>
      <c r="P41">
        <f t="array" ref="P41">IsURL(Table_121215[[#This Row],[Data Source]])</f>
        <v/>
      </c>
    </row>
    <row r="42" ht="15.75" customHeight="1">
      <c r="A42">
        <f>IF(Table_15[[#This Row],[Part Name]]=0,"",Table_15[[#This Row],[Part Name]])</f>
        <v/>
      </c>
      <c r="I42">
        <f>LEN(TRIM(CLEAN(SUBSTITUTE(SUBSTITUTE(Table_15[[#This Row],[Sequence]],CHAR(160)," ")," ",""))))</f>
        <v/>
      </c>
      <c r="K42" s="21" t="n"/>
      <c r="L42" s="21">
        <f>IF($B42="","FALSE","TRUE")</f>
        <v/>
      </c>
      <c r="M42">
        <f t="array" ref="M42">IsURL(Table_121215[[#This Row],[Data Source]])</f>
        <v/>
      </c>
      <c r="N42">
        <f t="array" ref="N42">IsURL(Table_121215[[#This Row],[DOI]])</f>
        <v/>
      </c>
      <c r="O42">
        <f t="array" ref="O42">IsURL(Table_121215[[#This Row],[Data Source]])</f>
        <v/>
      </c>
      <c r="P42">
        <f t="array" ref="P42">IsURL(Table_121215[[#This Row],[Data Source]])</f>
        <v/>
      </c>
    </row>
    <row r="43" ht="15.75" customHeight="1">
      <c r="A43">
        <f>IF(Table_15[[#This Row],[Part Name]]=0,"",Table_15[[#This Row],[Part Name]])</f>
        <v/>
      </c>
      <c r="I43">
        <f>LEN(TRIM(CLEAN(SUBSTITUTE(SUBSTITUTE(Table_15[[#This Row],[Sequence]],CHAR(160)," ")," ",""))))</f>
        <v/>
      </c>
      <c r="K43" s="21" t="n"/>
      <c r="L43" s="21">
        <f>IF($B43="","FALSE","TRUE")</f>
        <v/>
      </c>
      <c r="M43">
        <f t="array" ref="M43">IsURL(Table_121215[[#This Row],[Data Source]])</f>
        <v/>
      </c>
      <c r="N43">
        <f t="array" ref="N43">IsURL(Table_121215[[#This Row],[DOI]])</f>
        <v/>
      </c>
      <c r="O43">
        <f t="array" ref="O43">IsURL(Table_121215[[#This Row],[Data Source]])</f>
        <v/>
      </c>
      <c r="P43">
        <f t="array" ref="P43">IsURL(Table_121215[[#This Row],[Data Source]])</f>
        <v/>
      </c>
    </row>
    <row r="44" ht="15.75" customHeight="1">
      <c r="A44">
        <f>IF(Table_15[[#This Row],[Part Name]]=0,"",Table_15[[#This Row],[Part Name]])</f>
        <v/>
      </c>
      <c r="I44">
        <f>LEN(TRIM(CLEAN(SUBSTITUTE(SUBSTITUTE(Table_15[[#This Row],[Sequence]],CHAR(160)," ")," ",""))))</f>
        <v/>
      </c>
      <c r="K44" s="21" t="n"/>
      <c r="L44" s="21">
        <f>IF($B44="","FALSE","TRUE")</f>
        <v/>
      </c>
      <c r="M44">
        <f t="array" ref="M44">IsURL(Table_121215[[#This Row],[Data Source]])</f>
        <v/>
      </c>
      <c r="N44">
        <f t="array" ref="N44">IsURL(Table_121215[[#This Row],[DOI]])</f>
        <v/>
      </c>
      <c r="O44">
        <f t="array" ref="O44">IsURL(Table_121215[[#This Row],[Data Source]])</f>
        <v/>
      </c>
      <c r="P44">
        <f t="array" ref="P44">IsURL(Table_121215[[#This Row],[Data Source]])</f>
        <v/>
      </c>
    </row>
    <row r="45" ht="15.75" customHeight="1">
      <c r="A45">
        <f>IF(Table_15[[#This Row],[Part Name]]=0,"",Table_15[[#This Row],[Part Name]])</f>
        <v/>
      </c>
      <c r="I45">
        <f>LEN(TRIM(CLEAN(SUBSTITUTE(SUBSTITUTE(Table_15[[#This Row],[Sequence]],CHAR(160)," ")," ",""))))</f>
        <v/>
      </c>
      <c r="K45" s="21" t="n"/>
      <c r="L45" s="21">
        <f>IF($B45="","FALSE","TRUE")</f>
        <v/>
      </c>
      <c r="M45">
        <f t="array" ref="M45">IsURL(Table_121215[[#This Row],[Data Source]])</f>
        <v/>
      </c>
      <c r="N45">
        <f t="array" ref="N45">IsURL(Table_121215[[#This Row],[DOI]])</f>
        <v/>
      </c>
      <c r="O45">
        <f t="array" ref="O45">IsURL(Table_121215[[#This Row],[Data Source]])</f>
        <v/>
      </c>
      <c r="P45">
        <f t="array" ref="P45">IsURL(Table_121215[[#This Row],[Data Source]])</f>
        <v/>
      </c>
    </row>
    <row r="46" ht="15.75" customHeight="1">
      <c r="A46">
        <f>IF(Table_15[[#This Row],[Part Name]]=0,"",Table_15[[#This Row],[Part Name]])</f>
        <v/>
      </c>
      <c r="I46">
        <f>LEN(TRIM(CLEAN(SUBSTITUTE(SUBSTITUTE(Table_15[[#This Row],[Sequence]],CHAR(160)," ")," ",""))))</f>
        <v/>
      </c>
      <c r="K46" s="21" t="n"/>
      <c r="L46" s="21">
        <f>IF($B46="","FALSE","TRUE")</f>
        <v/>
      </c>
      <c r="M46">
        <f t="array" ref="M46">IsURL(Table_121215[[#This Row],[Data Source]])</f>
        <v/>
      </c>
      <c r="N46">
        <f t="array" ref="N46">IsURL(Table_121215[[#This Row],[DOI]])</f>
        <v/>
      </c>
      <c r="O46">
        <f t="array" ref="O46">IsURL(Table_121215[[#This Row],[Data Source]])</f>
        <v/>
      </c>
      <c r="P46">
        <f t="array" ref="P46">IsURL(Table_121215[[#This Row],[Data Source]])</f>
        <v/>
      </c>
    </row>
    <row r="47" ht="15.75" customHeight="1">
      <c r="A47">
        <f>IF(Table_15[[#This Row],[Part Name]]=0,"",Table_15[[#This Row],[Part Name]])</f>
        <v/>
      </c>
      <c r="I47">
        <f>LEN(TRIM(CLEAN(SUBSTITUTE(SUBSTITUTE(Table_15[[#This Row],[Sequence]],CHAR(160)," ")," ",""))))</f>
        <v/>
      </c>
      <c r="K47" s="21" t="n"/>
      <c r="L47" s="21">
        <f>IF($B47="","FALSE","TRUE")</f>
        <v/>
      </c>
      <c r="M47">
        <f t="array" ref="M47">IsURL(Table_121215[[#This Row],[Data Source]])</f>
        <v/>
      </c>
      <c r="N47">
        <f t="array" ref="N47">IsURL(Table_121215[[#This Row],[DOI]])</f>
        <v/>
      </c>
      <c r="O47">
        <f t="array" ref="O47">IsURL(Table_121215[[#This Row],[Data Source]])</f>
        <v/>
      </c>
      <c r="P47">
        <f t="array" ref="P47">IsURL(Table_121215[[#This Row],[Data Source]])</f>
        <v/>
      </c>
    </row>
    <row r="48" ht="15.75" customHeight="1">
      <c r="A48">
        <f>IF(Table_15[[#This Row],[Part Name]]=0,"",Table_15[[#This Row],[Part Name]])</f>
        <v/>
      </c>
      <c r="I48">
        <f>LEN(TRIM(CLEAN(SUBSTITUTE(SUBSTITUTE(Table_15[[#This Row],[Sequence]],CHAR(160)," ")," ",""))))</f>
        <v/>
      </c>
      <c r="K48" s="21" t="n"/>
      <c r="L48" s="21">
        <f>IF($B48="","FALSE","TRUE")</f>
        <v/>
      </c>
      <c r="M48">
        <f t="array" ref="M48">IsURL(Table_121215[[#This Row],[Data Source]])</f>
        <v/>
      </c>
      <c r="N48">
        <f t="array" ref="N48">IsURL(Table_121215[[#This Row],[DOI]])</f>
        <v/>
      </c>
      <c r="O48">
        <f t="array" ref="O48">IsURL(Table_121215[[#This Row],[Data Source]])</f>
        <v/>
      </c>
      <c r="P48">
        <f t="array" ref="P48">IsURL(Table_121215[[#This Row],[Data Source]])</f>
        <v/>
      </c>
    </row>
    <row r="49" ht="15.75" customHeight="1">
      <c r="A49">
        <f>IF(Table_15[[#This Row],[Part Name]]=0,"",Table_15[[#This Row],[Part Name]])</f>
        <v/>
      </c>
      <c r="I49">
        <f>LEN(TRIM(CLEAN(SUBSTITUTE(SUBSTITUTE(Table_15[[#This Row],[Sequence]],CHAR(160)," ")," ",""))))</f>
        <v/>
      </c>
      <c r="K49" s="21" t="n"/>
      <c r="L49" s="21">
        <f>IF($B49="","FALSE","TRUE")</f>
        <v/>
      </c>
      <c r="M49">
        <f t="array" ref="M49">IsURL(Table_121215[[#This Row],[Data Source]])</f>
        <v/>
      </c>
      <c r="N49">
        <f t="array" ref="N49">IsURL(Table_121215[[#This Row],[DOI]])</f>
        <v/>
      </c>
      <c r="O49">
        <f t="array" ref="O49">IsURL(Table_121215[[#This Row],[Data Source]])</f>
        <v/>
      </c>
      <c r="P49">
        <f t="array" ref="P49">IsURL(Table_121215[[#This Row],[Data Source]])</f>
        <v/>
      </c>
    </row>
    <row r="50" ht="15.75" customHeight="1">
      <c r="A50">
        <f>IF(Table_15[[#This Row],[Part Name]]=0,"",Table_15[[#This Row],[Part Name]])</f>
        <v/>
      </c>
      <c r="I50">
        <f>LEN(TRIM(CLEAN(SUBSTITUTE(SUBSTITUTE(Table_15[[#This Row],[Sequence]],CHAR(160)," ")," ",""))))</f>
        <v/>
      </c>
      <c r="K50" s="21" t="n"/>
      <c r="L50" s="21">
        <f>IF($B50="","FALSE","TRUE")</f>
        <v/>
      </c>
      <c r="M50">
        <f t="array" ref="M50">IsURL(Table_121215[[#This Row],[Data Source]])</f>
        <v/>
      </c>
      <c r="N50">
        <f t="array" ref="N50">IsURL(Table_121215[[#This Row],[DOI]])</f>
        <v/>
      </c>
      <c r="O50">
        <f t="array" ref="O50">IsURL(Table_121215[[#This Row],[Data Source]])</f>
        <v/>
      </c>
      <c r="P50">
        <f t="array" ref="P50">IsURL(Table_121215[[#This Row],[Data Source]])</f>
        <v/>
      </c>
    </row>
    <row r="51" ht="15.75" customHeight="1">
      <c r="A51">
        <f>IF(Table_15[[#This Row],[Part Name]]=0,"",Table_15[[#This Row],[Part Name]])</f>
        <v/>
      </c>
      <c r="I51">
        <f>LEN(TRIM(CLEAN(SUBSTITUTE(SUBSTITUTE(Table_15[[#This Row],[Sequence]],CHAR(160)," ")," ",""))))</f>
        <v/>
      </c>
      <c r="K51" s="21" t="n"/>
      <c r="L51" s="21">
        <f>IF($B51="","FALSE","TRUE")</f>
        <v/>
      </c>
      <c r="M51">
        <f t="array" ref="M51">IsURL(Table_121215[[#This Row],[Data Source]])</f>
        <v/>
      </c>
      <c r="N51">
        <f t="array" ref="N51">IsURL(Table_121215[[#This Row],[DOI]])</f>
        <v/>
      </c>
      <c r="O51">
        <f t="array" ref="O51">IsURL(Table_121215[[#This Row],[Data Source]])</f>
        <v/>
      </c>
      <c r="P51">
        <f t="array" ref="P51">IsURL(Table_121215[[#This Row],[Data Source]])</f>
        <v/>
      </c>
    </row>
    <row r="52" ht="15.75" customHeight="1">
      <c r="A52">
        <f>IF(Table_15[[#This Row],[Part Name]]=0,"",Table_15[[#This Row],[Part Name]])</f>
        <v/>
      </c>
      <c r="I52">
        <f>LEN(TRIM(CLEAN(SUBSTITUTE(SUBSTITUTE(Table_15[[#This Row],[Sequence]],CHAR(160)," ")," ",""))))</f>
        <v/>
      </c>
      <c r="K52" s="21" t="n"/>
      <c r="L52" s="21">
        <f>IF($B52="","FALSE","TRUE")</f>
        <v/>
      </c>
      <c r="M52">
        <f t="array" ref="M52">IsURL(Table_121215[[#This Row],[Data Source]])</f>
        <v/>
      </c>
      <c r="N52">
        <f t="array" ref="N52">IsURL(Table_121215[[#This Row],[DOI]])</f>
        <v/>
      </c>
      <c r="O52">
        <f t="array" ref="O52">IsURL(Table_121215[[#This Row],[Data Source]])</f>
        <v/>
      </c>
      <c r="P52">
        <f t="array" ref="P52">IsURL(Table_121215[[#This Row],[Data Source]])</f>
        <v/>
      </c>
    </row>
    <row r="53" ht="15.75" customHeight="1">
      <c r="A53">
        <f>IF(Table_15[[#This Row],[Part Name]]=0,"",Table_15[[#This Row],[Part Name]])</f>
        <v/>
      </c>
      <c r="I53">
        <f>LEN(TRIM(CLEAN(SUBSTITUTE(SUBSTITUTE(Table_15[[#This Row],[Sequence]],CHAR(160)," ")," ",""))))</f>
        <v/>
      </c>
      <c r="K53" s="21" t="n"/>
      <c r="L53" s="21">
        <f>IF($B53="","FALSE","TRUE")</f>
        <v/>
      </c>
      <c r="M53">
        <f t="array" ref="M53">IsURL(Table_121215[[#This Row],[Data Source]])</f>
        <v/>
      </c>
      <c r="N53">
        <f t="array" ref="N53">IsURL(Table_121215[[#This Row],[DOI]])</f>
        <v/>
      </c>
      <c r="O53">
        <f t="array" ref="O53">IsURL(Table_121215[[#This Row],[Data Source]])</f>
        <v/>
      </c>
      <c r="P53">
        <f t="array" ref="P53">IsURL(Table_121215[[#This Row],[Data Source]])</f>
        <v/>
      </c>
    </row>
    <row r="54" ht="15.75" customHeight="1">
      <c r="A54">
        <f>IF(Table_15[[#This Row],[Part Name]]=0,"",Table_15[[#This Row],[Part Name]])</f>
        <v/>
      </c>
      <c r="I54">
        <f>LEN(TRIM(CLEAN(SUBSTITUTE(SUBSTITUTE(Table_15[[#This Row],[Sequence]],CHAR(160)," ")," ",""))))</f>
        <v/>
      </c>
      <c r="K54" s="21" t="n"/>
      <c r="L54" s="21">
        <f>IF($B54="","FALSE","TRUE")</f>
        <v/>
      </c>
      <c r="M54">
        <f t="array" ref="M54">IsURL(Table_121215[[#This Row],[Data Source]])</f>
        <v/>
      </c>
      <c r="N54">
        <f t="array" ref="N54">IsURL(Table_121215[[#This Row],[DOI]])</f>
        <v/>
      </c>
      <c r="O54">
        <f t="array" ref="O54">IsURL(Table_121215[[#This Row],[Data Source]])</f>
        <v/>
      </c>
      <c r="P54">
        <f t="array" ref="P54">IsURL(Table_121215[[#This Row],[Data Source]])</f>
        <v/>
      </c>
    </row>
    <row r="55" ht="15.75" customHeight="1">
      <c r="A55">
        <f>IF(Table_15[[#This Row],[Part Name]]=0,"",Table_15[[#This Row],[Part Name]])</f>
        <v/>
      </c>
      <c r="I55">
        <f>LEN(TRIM(CLEAN(SUBSTITUTE(SUBSTITUTE(Table_15[[#This Row],[Sequence]],CHAR(160)," ")," ",""))))</f>
        <v/>
      </c>
      <c r="K55" s="21" t="n"/>
      <c r="L55" s="21">
        <f>IF($B55="","FALSE","TRUE")</f>
        <v/>
      </c>
      <c r="M55">
        <f t="array" ref="M55">IsURL(Table_121215[[#This Row],[Data Source]])</f>
        <v/>
      </c>
      <c r="N55">
        <f t="array" ref="N55">IsURL(Table_121215[[#This Row],[DOI]])</f>
        <v/>
      </c>
      <c r="O55">
        <f t="array" ref="O55">IsURL(Table_121215[[#This Row],[Data Source]])</f>
        <v/>
      </c>
      <c r="P55">
        <f t="array" ref="P55">IsURL(Table_121215[[#This Row],[Data Source]])</f>
        <v/>
      </c>
    </row>
    <row r="56" ht="15.75" customHeight="1">
      <c r="A56">
        <f>IF(Table_15[[#This Row],[Part Name]]=0,"",Table_15[[#This Row],[Part Name]])</f>
        <v/>
      </c>
      <c r="I56">
        <f>LEN(TRIM(CLEAN(SUBSTITUTE(SUBSTITUTE(Table_15[[#This Row],[Sequence]],CHAR(160)," ")," ",""))))</f>
        <v/>
      </c>
      <c r="K56" s="21" t="n"/>
      <c r="L56" s="21">
        <f>IF($B56="","FALSE","TRUE")</f>
        <v/>
      </c>
      <c r="M56">
        <f t="array" ref="M56">IsURL(Table_121215[[#This Row],[Data Source]])</f>
        <v/>
      </c>
      <c r="N56">
        <f t="array" ref="N56">IsURL(Table_121215[[#This Row],[DOI]])</f>
        <v/>
      </c>
      <c r="O56">
        <f t="array" ref="O56">IsURL(Table_121215[[#This Row],[Data Source]])</f>
        <v/>
      </c>
      <c r="P56">
        <f t="array" ref="P56">IsURL(Table_121215[[#This Row],[Data Source]])</f>
        <v/>
      </c>
    </row>
    <row r="57" ht="15.75" customHeight="1">
      <c r="A57">
        <f>IF(Table_15[[#This Row],[Part Name]]=0,"",Table_15[[#This Row],[Part Name]])</f>
        <v/>
      </c>
      <c r="I57">
        <f>LEN(TRIM(CLEAN(SUBSTITUTE(SUBSTITUTE(Table_15[[#This Row],[Sequence]],CHAR(160)," ")," ",""))))</f>
        <v/>
      </c>
      <c r="K57" s="21" t="n"/>
      <c r="L57" s="21">
        <f>IF($B57="","FALSE","TRUE")</f>
        <v/>
      </c>
      <c r="M57">
        <f t="array" ref="M57">IsURL(Table_121215[[#This Row],[Data Source]])</f>
        <v/>
      </c>
      <c r="N57">
        <f t="array" ref="N57">IsURL(Table_121215[[#This Row],[DOI]])</f>
        <v/>
      </c>
      <c r="O57">
        <f t="array" ref="O57">IsURL(Table_121215[[#This Row],[Data Source]])</f>
        <v/>
      </c>
      <c r="P57">
        <f t="array" ref="P57">IsURL(Table_121215[[#This Row],[Data Source]])</f>
        <v/>
      </c>
    </row>
    <row r="58" ht="15.75" customHeight="1">
      <c r="A58">
        <f>IF(Table_15[[#This Row],[Part Name]]=0,"",Table_15[[#This Row],[Part Name]])</f>
        <v/>
      </c>
      <c r="I58">
        <f>LEN(TRIM(CLEAN(SUBSTITUTE(SUBSTITUTE(Table_15[[#This Row],[Sequence]],CHAR(160)," ")," ",""))))</f>
        <v/>
      </c>
      <c r="K58" s="21" t="n"/>
      <c r="L58" s="21">
        <f>IF($B58="","FALSE","TRUE")</f>
        <v/>
      </c>
      <c r="M58">
        <f t="array" ref="M58">IsURL(Table_121215[[#This Row],[Data Source]])</f>
        <v/>
      </c>
      <c r="N58">
        <f t="array" ref="N58">IsURL(Table_121215[[#This Row],[DOI]])</f>
        <v/>
      </c>
      <c r="O58">
        <f t="array" ref="O58">IsURL(Table_121215[[#This Row],[Data Source]])</f>
        <v/>
      </c>
      <c r="P58">
        <f t="array" ref="P58">IsURL(Table_121215[[#This Row],[Data Source]])</f>
        <v/>
      </c>
    </row>
    <row r="59" ht="15.75" customHeight="1">
      <c r="A59">
        <f>IF(Table_15[[#This Row],[Part Name]]=0,"",Table_15[[#This Row],[Part Name]])</f>
        <v/>
      </c>
      <c r="I59">
        <f>LEN(TRIM(CLEAN(SUBSTITUTE(SUBSTITUTE(Table_15[[#This Row],[Sequence]],CHAR(160)," ")," ",""))))</f>
        <v/>
      </c>
      <c r="K59" s="21" t="n"/>
      <c r="L59" s="21">
        <f>IF($B59="","FALSE","TRUE")</f>
        <v/>
      </c>
      <c r="M59">
        <f t="array" ref="M59">IsURL(Table_121215[[#This Row],[Data Source]])</f>
        <v/>
      </c>
      <c r="N59">
        <f t="array" ref="N59">IsURL(Table_121215[[#This Row],[DOI]])</f>
        <v/>
      </c>
      <c r="O59">
        <f t="array" ref="O59">IsURL(Table_121215[[#This Row],[Data Source]])</f>
        <v/>
      </c>
      <c r="P59">
        <f t="array" ref="P59">IsURL(Table_121215[[#This Row],[Data Source]])</f>
        <v/>
      </c>
    </row>
    <row r="60" ht="15.75" customHeight="1">
      <c r="A60">
        <f>IF(Table_15[[#This Row],[Part Name]]=0,"",Table_15[[#This Row],[Part Name]])</f>
        <v/>
      </c>
      <c r="I60">
        <f>LEN(TRIM(CLEAN(SUBSTITUTE(SUBSTITUTE(Table_15[[#This Row],[Sequence]],CHAR(160)," ")," ",""))))</f>
        <v/>
      </c>
      <c r="K60" s="21" t="n"/>
      <c r="L60" s="21">
        <f>IF($B60="","FALSE","TRUE")</f>
        <v/>
      </c>
      <c r="M60">
        <f t="array" ref="M60">IsURL(Table_121215[[#This Row],[Data Source]])</f>
        <v/>
      </c>
      <c r="N60">
        <f t="array" ref="N60">IsURL(Table_121215[[#This Row],[DOI]])</f>
        <v/>
      </c>
      <c r="O60">
        <f t="array" ref="O60">IsURL(Table_121215[[#This Row],[Data Source]])</f>
        <v/>
      </c>
      <c r="P60">
        <f t="array" ref="P60">IsURL(Table_121215[[#This Row],[Data Source]])</f>
        <v/>
      </c>
    </row>
    <row r="61" ht="15.75" customHeight="1">
      <c r="A61">
        <f>IF(Table_15[[#This Row],[Part Name]]=0,"",Table_15[[#This Row],[Part Name]])</f>
        <v/>
      </c>
      <c r="I61">
        <f>LEN(TRIM(CLEAN(SUBSTITUTE(SUBSTITUTE(Table_15[[#This Row],[Sequence]],CHAR(160)," ")," ",""))))</f>
        <v/>
      </c>
      <c r="K61" s="21" t="n"/>
      <c r="L61" s="21">
        <f>IF($B61="","FALSE","TRUE")</f>
        <v/>
      </c>
      <c r="M61">
        <f t="array" ref="M61">IsURL(Table_121215[[#This Row],[Data Source]])</f>
        <v/>
      </c>
      <c r="N61">
        <f t="array" ref="N61">IsURL(Table_121215[[#This Row],[DOI]])</f>
        <v/>
      </c>
      <c r="O61">
        <f t="array" ref="O61">IsURL(Table_121215[[#This Row],[Data Source]])</f>
        <v/>
      </c>
      <c r="P61">
        <f t="array" ref="P61">IsURL(Table_121215[[#This Row],[Data Source]])</f>
        <v/>
      </c>
    </row>
    <row r="62" ht="15.75" customHeight="1">
      <c r="A62">
        <f>IF(Table_15[[#This Row],[Part Name]]=0,"",Table_15[[#This Row],[Part Name]])</f>
        <v/>
      </c>
      <c r="I62">
        <f>LEN(TRIM(CLEAN(SUBSTITUTE(SUBSTITUTE(Table_15[[#This Row],[Sequence]],CHAR(160)," ")," ",""))))</f>
        <v/>
      </c>
      <c r="K62" s="21" t="n"/>
      <c r="L62" s="21">
        <f>IF($B62="","FALSE","TRUE")</f>
        <v/>
      </c>
      <c r="M62">
        <f t="array" ref="M62">IsURL(Table_121215[[#This Row],[Data Source]])</f>
        <v/>
      </c>
      <c r="N62">
        <f t="array" ref="N62">IsURL(Table_121215[[#This Row],[DOI]])</f>
        <v/>
      </c>
      <c r="O62">
        <f t="array" ref="O62">IsURL(Table_121215[[#This Row],[Data Source]])</f>
        <v/>
      </c>
      <c r="P62">
        <f t="array" ref="P62">IsURL(Table_121215[[#This Row],[Data Source]])</f>
        <v/>
      </c>
    </row>
    <row r="63" ht="15.75" customHeight="1">
      <c r="A63">
        <f>IF(Table_15[[#This Row],[Part Name]]=0,"",Table_15[[#This Row],[Part Name]])</f>
        <v/>
      </c>
      <c r="I63">
        <f>LEN(TRIM(CLEAN(SUBSTITUTE(SUBSTITUTE(Table_15[[#This Row],[Sequence]],CHAR(160)," ")," ",""))))</f>
        <v/>
      </c>
      <c r="K63" s="21" t="n"/>
      <c r="L63" s="21">
        <f>IF($B63="","FALSE","TRUE")</f>
        <v/>
      </c>
      <c r="M63">
        <f t="array" ref="M63">IsURL(Table_121215[[#This Row],[Data Source]])</f>
        <v/>
      </c>
      <c r="N63">
        <f t="array" ref="N63">IsURL(Table_121215[[#This Row],[DOI]])</f>
        <v/>
      </c>
      <c r="O63">
        <f t="array" ref="O63">IsURL(Table_121215[[#This Row],[Data Source]])</f>
        <v/>
      </c>
      <c r="P63">
        <f t="array" ref="P63">IsURL(Table_121215[[#This Row],[Data Source]])</f>
        <v/>
      </c>
    </row>
    <row r="64" ht="15.75" customHeight="1">
      <c r="A64">
        <f>IF(Table_15[[#This Row],[Part Name]]=0,"",Table_15[[#This Row],[Part Name]])</f>
        <v/>
      </c>
      <c r="I64">
        <f>LEN(TRIM(CLEAN(SUBSTITUTE(SUBSTITUTE(Table_15[[#This Row],[Sequence]],CHAR(160)," ")," ",""))))</f>
        <v/>
      </c>
      <c r="K64" s="21" t="n"/>
      <c r="L64" s="21">
        <f>IF($B64="","FALSE","TRUE")</f>
        <v/>
      </c>
      <c r="M64">
        <f t="array" ref="M64">IsURL(Table_121215[[#This Row],[Data Source]])</f>
        <v/>
      </c>
      <c r="N64">
        <f t="array" ref="N64">IsURL(Table_121215[[#This Row],[DOI]])</f>
        <v/>
      </c>
      <c r="O64">
        <f t="array" ref="O64">IsURL(Table_121215[[#This Row],[Data Source]])</f>
        <v/>
      </c>
      <c r="P64">
        <f t="array" ref="P64">IsURL(Table_121215[[#This Row],[Data Source]])</f>
        <v/>
      </c>
    </row>
    <row r="65" ht="15.75" customHeight="1">
      <c r="A65">
        <f>IF(Table_15[[#This Row],[Part Name]]=0,"",Table_15[[#This Row],[Part Name]])</f>
        <v/>
      </c>
      <c r="I65">
        <f>LEN(TRIM(CLEAN(SUBSTITUTE(SUBSTITUTE(Table_15[[#This Row],[Sequence]],CHAR(160)," ")," ",""))))</f>
        <v/>
      </c>
      <c r="K65" s="21" t="n"/>
      <c r="L65" s="21">
        <f>IF($B65="","FALSE","TRUE")</f>
        <v/>
      </c>
      <c r="M65">
        <f t="array" ref="M65">IsURL(Table_121215[[#This Row],[Data Source]])</f>
        <v/>
      </c>
      <c r="N65">
        <f t="array" ref="N65">IsURL(Table_121215[[#This Row],[DOI]])</f>
        <v/>
      </c>
      <c r="O65">
        <f t="array" ref="O65">IsURL(Table_121215[[#This Row],[Data Source]])</f>
        <v/>
      </c>
      <c r="P65">
        <f t="array" ref="P65">IsURL(Table_121215[[#This Row],[Data Source]])</f>
        <v/>
      </c>
    </row>
    <row r="66" ht="15.75" customHeight="1">
      <c r="A66">
        <f>IF(Table_15[[#This Row],[Part Name]]=0,"",Table_15[[#This Row],[Part Name]])</f>
        <v/>
      </c>
      <c r="I66">
        <f>LEN(TRIM(CLEAN(SUBSTITUTE(SUBSTITUTE(Table_15[[#This Row],[Sequence]],CHAR(160)," ")," ",""))))</f>
        <v/>
      </c>
      <c r="K66" s="21" t="n"/>
      <c r="L66" s="21">
        <f>IF($B66="","FALSE","TRUE")</f>
        <v/>
      </c>
      <c r="M66">
        <f t="array" ref="M66">IsURL(Table_121215[[#This Row],[Data Source]])</f>
        <v/>
      </c>
      <c r="N66">
        <f t="array" ref="N66">IsURL(Table_121215[[#This Row],[DOI]])</f>
        <v/>
      </c>
      <c r="O66">
        <f t="array" ref="O66">IsURL(Table_121215[[#This Row],[Data Source]])</f>
        <v/>
      </c>
      <c r="P66">
        <f t="array" ref="P66">IsURL(Table_121215[[#This Row],[Data Source]])</f>
        <v/>
      </c>
    </row>
    <row r="67" ht="15.75" customHeight="1">
      <c r="A67">
        <f>IF(Table_15[[#This Row],[Part Name]]=0,"",Table_15[[#This Row],[Part Name]])</f>
        <v/>
      </c>
      <c r="I67">
        <f>LEN(TRIM(CLEAN(SUBSTITUTE(SUBSTITUTE(Table_15[[#This Row],[Sequence]],CHAR(160)," ")," ",""))))</f>
        <v/>
      </c>
      <c r="K67" s="21" t="n"/>
      <c r="L67" s="21">
        <f>IF($B67="","FALSE","TRUE")</f>
        <v/>
      </c>
      <c r="M67">
        <f t="array" ref="M67">IsURL(Table_121215[[#This Row],[Data Source]])</f>
        <v/>
      </c>
      <c r="N67">
        <f t="array" ref="N67">IsURL(Table_121215[[#This Row],[DOI]])</f>
        <v/>
      </c>
      <c r="O67">
        <f t="array" ref="O67">IsURL(Table_121215[[#This Row],[Data Source]])</f>
        <v/>
      </c>
      <c r="P67">
        <f t="array" ref="P67">IsURL(Table_121215[[#This Row],[Data Source]])</f>
        <v/>
      </c>
    </row>
    <row r="68" ht="15.75" customHeight="1">
      <c r="A68">
        <f>IF(Table_15[[#This Row],[Part Name]]=0,"",Table_15[[#This Row],[Part Name]])</f>
        <v/>
      </c>
      <c r="I68">
        <f>LEN(TRIM(CLEAN(SUBSTITUTE(SUBSTITUTE(Table_15[[#This Row],[Sequence]],CHAR(160)," ")," ",""))))</f>
        <v/>
      </c>
      <c r="K68" s="21" t="n"/>
      <c r="L68" s="21">
        <f>IF($B68="","FALSE","TRUE")</f>
        <v/>
      </c>
      <c r="M68">
        <f t="array" ref="M68">IsURL(Table_121215[[#This Row],[Data Source]])</f>
        <v/>
      </c>
      <c r="N68">
        <f t="array" ref="N68">IsURL(Table_121215[[#This Row],[DOI]])</f>
        <v/>
      </c>
      <c r="O68">
        <f t="array" ref="O68">IsURL(Table_121215[[#This Row],[Data Source]])</f>
        <v/>
      </c>
      <c r="P68">
        <f t="array" ref="P68">IsURL(Table_121215[[#This Row],[Data Source]])</f>
        <v/>
      </c>
    </row>
    <row r="69" ht="15.75" customHeight="1">
      <c r="A69">
        <f>IF(Table_15[[#This Row],[Part Name]]=0,"",Table_15[[#This Row],[Part Name]])</f>
        <v/>
      </c>
      <c r="I69">
        <f>LEN(TRIM(CLEAN(SUBSTITUTE(SUBSTITUTE(Table_15[[#This Row],[Sequence]],CHAR(160)," ")," ",""))))</f>
        <v/>
      </c>
      <c r="K69" s="21" t="n"/>
      <c r="L69" s="21">
        <f>IF($B69="","FALSE","TRUE")</f>
        <v/>
      </c>
      <c r="M69">
        <f t="array" ref="M69">IsURL(Table_121215[[#This Row],[Data Source]])</f>
        <v/>
      </c>
      <c r="N69">
        <f t="array" ref="N69">IsURL(Table_121215[[#This Row],[DOI]])</f>
        <v/>
      </c>
      <c r="O69">
        <f t="array" ref="O69">IsURL(Table_121215[[#This Row],[Data Source]])</f>
        <v/>
      </c>
      <c r="P69">
        <f t="array" ref="P69">IsURL(Table_121215[[#This Row],[Data Source]])</f>
        <v/>
      </c>
    </row>
    <row r="70" ht="15.75" customHeight="1">
      <c r="A70">
        <f>IF(Table_15[[#This Row],[Part Name]]=0,"",Table_15[[#This Row],[Part Name]])</f>
        <v/>
      </c>
      <c r="I70">
        <f>LEN(TRIM(CLEAN(SUBSTITUTE(SUBSTITUTE(Table_15[[#This Row],[Sequence]],CHAR(160)," ")," ",""))))</f>
        <v/>
      </c>
      <c r="K70" s="21" t="n"/>
      <c r="L70" s="21">
        <f>IF($B70="","FALSE","TRUE")</f>
        <v/>
      </c>
      <c r="M70">
        <f t="array" ref="M70">IsURL(Table_121215[[#This Row],[Data Source]])</f>
        <v/>
      </c>
      <c r="N70">
        <f t="array" ref="N70">IsURL(Table_121215[[#This Row],[DOI]])</f>
        <v/>
      </c>
      <c r="O70">
        <f t="array" ref="O70">IsURL(Table_121215[[#This Row],[Data Source]])</f>
        <v/>
      </c>
      <c r="P70">
        <f t="array" ref="P70">IsURL(Table_121215[[#This Row],[Data Source]])</f>
        <v/>
      </c>
    </row>
    <row r="71" ht="15.75" customHeight="1">
      <c r="A71">
        <f>IF(Table_15[[#This Row],[Part Name]]=0,"",Table_15[[#This Row],[Part Name]])</f>
        <v/>
      </c>
      <c r="I71">
        <f>LEN(TRIM(CLEAN(SUBSTITUTE(SUBSTITUTE(Table_15[[#This Row],[Sequence]],CHAR(160)," ")," ",""))))</f>
        <v/>
      </c>
      <c r="K71" s="21" t="n"/>
      <c r="L71" s="21">
        <f>IF($B71="","FALSE","TRUE")</f>
        <v/>
      </c>
      <c r="M71">
        <f t="array" ref="M71">IsURL(Table_121215[[#This Row],[Data Source]])</f>
        <v/>
      </c>
      <c r="N71">
        <f t="array" ref="N71">IsURL(Table_121215[[#This Row],[DOI]])</f>
        <v/>
      </c>
      <c r="O71">
        <f t="array" ref="O71">IsURL(Table_121215[[#This Row],[Data Source]])</f>
        <v/>
      </c>
      <c r="P71">
        <f t="array" ref="P71">IsURL(Table_121215[[#This Row],[Data Source]])</f>
        <v/>
      </c>
    </row>
    <row r="72" ht="15.75" customHeight="1">
      <c r="A72">
        <f>IF(Table_15[[#This Row],[Part Name]]=0,"",Table_15[[#This Row],[Part Name]])</f>
        <v/>
      </c>
      <c r="I72">
        <f>LEN(TRIM(CLEAN(SUBSTITUTE(SUBSTITUTE(Table_15[[#This Row],[Sequence]],CHAR(160)," ")," ",""))))</f>
        <v/>
      </c>
      <c r="K72" s="21" t="n"/>
      <c r="L72" s="21">
        <f>IF($B72="","FALSE","TRUE")</f>
        <v/>
      </c>
      <c r="M72">
        <f t="array" ref="M72">IsURL(Table_121215[[#This Row],[Data Source]])</f>
        <v/>
      </c>
      <c r="N72">
        <f t="array" ref="N72">IsURL(Table_121215[[#This Row],[DOI]])</f>
        <v/>
      </c>
      <c r="O72">
        <f t="array" ref="O72">IsURL(Table_121215[[#This Row],[Data Source]])</f>
        <v/>
      </c>
      <c r="P72">
        <f t="array" ref="P72">IsURL(Table_121215[[#This Row],[Data Source]])</f>
        <v/>
      </c>
    </row>
    <row r="73" ht="15.75" customHeight="1">
      <c r="A73">
        <f>IF(Table_15[[#This Row],[Part Name]]=0,"",Table_15[[#This Row],[Part Name]])</f>
        <v/>
      </c>
      <c r="I73">
        <f>LEN(TRIM(CLEAN(SUBSTITUTE(SUBSTITUTE(Table_15[[#This Row],[Sequence]],CHAR(160)," ")," ",""))))</f>
        <v/>
      </c>
      <c r="K73" s="21" t="n"/>
      <c r="L73" s="21">
        <f>IF($B73="","FALSE","TRUE")</f>
        <v/>
      </c>
      <c r="M73">
        <f t="array" ref="M73">IsURL(Table_121215[[#This Row],[Data Source]])</f>
        <v/>
      </c>
      <c r="N73">
        <f t="array" ref="N73">IsURL(Table_121215[[#This Row],[DOI]])</f>
        <v/>
      </c>
      <c r="O73">
        <f t="array" ref="O73">IsURL(Table_121215[[#This Row],[Data Source]])</f>
        <v/>
      </c>
      <c r="P73">
        <f t="array" ref="P73">IsURL(Table_121215[[#This Row],[Data Source]])</f>
        <v/>
      </c>
    </row>
    <row r="74" ht="15.75" customHeight="1">
      <c r="A74">
        <f>IF(Table_15[[#This Row],[Part Name]]=0,"",Table_15[[#This Row],[Part Name]])</f>
        <v/>
      </c>
      <c r="I74">
        <f>LEN(TRIM(CLEAN(SUBSTITUTE(SUBSTITUTE(Table_15[[#This Row],[Sequence]],CHAR(160)," ")," ",""))))</f>
        <v/>
      </c>
      <c r="K74" s="21" t="n"/>
      <c r="L74" s="21">
        <f>IF($B74="","FALSE","TRUE")</f>
        <v/>
      </c>
      <c r="M74">
        <f t="array" ref="M74">IsURL(Table_121215[[#This Row],[Data Source]])</f>
        <v/>
      </c>
      <c r="N74">
        <f t="array" ref="N74">IsURL(Table_121215[[#This Row],[DOI]])</f>
        <v/>
      </c>
      <c r="O74">
        <f t="array" ref="O74">IsURL(Table_121215[[#This Row],[Data Source]])</f>
        <v/>
      </c>
      <c r="P74">
        <f t="array" ref="P74">IsURL(Table_121215[[#This Row],[Data Source]])</f>
        <v/>
      </c>
    </row>
    <row r="75" ht="15.75" customHeight="1">
      <c r="A75">
        <f>IF(Table_15[[#This Row],[Part Name]]=0,"",Table_15[[#This Row],[Part Name]])</f>
        <v/>
      </c>
      <c r="I75">
        <f>LEN(TRIM(CLEAN(SUBSTITUTE(SUBSTITUTE(Table_15[[#This Row],[Sequence]],CHAR(160)," ")," ",""))))</f>
        <v/>
      </c>
      <c r="K75" s="21" t="n"/>
      <c r="L75" s="21">
        <f>IF($B75="","FALSE","TRUE")</f>
        <v/>
      </c>
      <c r="M75">
        <f t="array" ref="M75">IsURL(Table_121215[[#This Row],[Data Source]])</f>
        <v/>
      </c>
      <c r="N75">
        <f t="array" ref="N75">IsURL(Table_121215[[#This Row],[DOI]])</f>
        <v/>
      </c>
      <c r="O75">
        <f t="array" ref="O75">IsURL(Table_121215[[#This Row],[Data Source]])</f>
        <v/>
      </c>
      <c r="P75">
        <f t="array" ref="P75">IsURL(Table_121215[[#This Row],[Data Source]])</f>
        <v/>
      </c>
    </row>
    <row r="76" ht="15.75" customHeight="1">
      <c r="A76">
        <f>IF(Table_15[[#This Row],[Part Name]]=0,"",Table_15[[#This Row],[Part Name]])</f>
        <v/>
      </c>
      <c r="I76">
        <f>LEN(TRIM(CLEAN(SUBSTITUTE(SUBSTITUTE(Table_15[[#This Row],[Sequence]],CHAR(160)," ")," ",""))))</f>
        <v/>
      </c>
      <c r="K76" s="21" t="n"/>
      <c r="L76" s="21">
        <f>IF($B76="","FALSE","TRUE")</f>
        <v/>
      </c>
      <c r="M76">
        <f t="array" ref="M76">IsURL(Table_121215[[#This Row],[Data Source]])</f>
        <v/>
      </c>
      <c r="N76">
        <f t="array" ref="N76">IsURL(Table_121215[[#This Row],[DOI]])</f>
        <v/>
      </c>
      <c r="O76">
        <f t="array" ref="O76">IsURL(Table_121215[[#This Row],[Data Source]])</f>
        <v/>
      </c>
      <c r="P76">
        <f t="array" ref="P76">IsURL(Table_121215[[#This Row],[Data Source]])</f>
        <v/>
      </c>
    </row>
    <row r="77" ht="15.75" customHeight="1">
      <c r="A77">
        <f>IF(Table_15[[#This Row],[Part Name]]=0,"",Table_15[[#This Row],[Part Name]])</f>
        <v/>
      </c>
      <c r="I77">
        <f>LEN(TRIM(CLEAN(SUBSTITUTE(SUBSTITUTE(Table_15[[#This Row],[Sequence]],CHAR(160)," ")," ",""))))</f>
        <v/>
      </c>
      <c r="K77" s="21" t="n"/>
      <c r="L77" s="21">
        <f>IF($B77="","FALSE","TRUE")</f>
        <v/>
      </c>
      <c r="M77">
        <f t="array" ref="M77">IsURL(Table_121215[[#This Row],[Data Source]])</f>
        <v/>
      </c>
      <c r="N77">
        <f t="array" ref="N77">IsURL(Table_121215[[#This Row],[DOI]])</f>
        <v/>
      </c>
      <c r="O77">
        <f t="array" ref="O77">IsURL(Table_121215[[#This Row],[Data Source]])</f>
        <v/>
      </c>
      <c r="P77">
        <f t="array" ref="P77">IsURL(Table_121215[[#This Row],[Data Source]])</f>
        <v/>
      </c>
    </row>
    <row r="78" ht="15.75" customHeight="1">
      <c r="A78">
        <f>IF(Table_15[[#This Row],[Part Name]]=0,"",Table_15[[#This Row],[Part Name]])</f>
        <v/>
      </c>
      <c r="I78">
        <f>LEN(TRIM(CLEAN(SUBSTITUTE(SUBSTITUTE(Table_15[[#This Row],[Sequence]],CHAR(160)," ")," ",""))))</f>
        <v/>
      </c>
      <c r="K78" s="21" t="n"/>
      <c r="L78" s="21">
        <f>IF($B78="","FALSE","TRUE")</f>
        <v/>
      </c>
      <c r="M78">
        <f t="array" ref="M78">IsURL(Table_121215[[#This Row],[Data Source]])</f>
        <v/>
      </c>
      <c r="N78">
        <f t="array" ref="N78">IsURL(Table_121215[[#This Row],[DOI]])</f>
        <v/>
      </c>
      <c r="O78">
        <f t="array" ref="O78">IsURL(Table_121215[[#This Row],[Data Source]])</f>
        <v/>
      </c>
      <c r="P78">
        <f t="array" ref="P78">IsURL(Table_121215[[#This Row],[Data Source]])</f>
        <v/>
      </c>
    </row>
    <row r="79" ht="15.75" customHeight="1">
      <c r="A79">
        <f>IF(Table_15[[#This Row],[Part Name]]=0,"",Table_15[[#This Row],[Part Name]])</f>
        <v/>
      </c>
      <c r="I79">
        <f>LEN(TRIM(CLEAN(SUBSTITUTE(SUBSTITUTE(Table_15[[#This Row],[Sequence]],CHAR(160)," ")," ",""))))</f>
        <v/>
      </c>
      <c r="K79" s="21" t="n"/>
      <c r="L79" s="21">
        <f>IF($B79="","FALSE","TRUE")</f>
        <v/>
      </c>
      <c r="M79">
        <f t="array" ref="M79">IsURL(Table_121215[[#This Row],[Data Source]])</f>
        <v/>
      </c>
      <c r="N79">
        <f t="array" ref="N79">IsURL(Table_121215[[#This Row],[DOI]])</f>
        <v/>
      </c>
      <c r="O79">
        <f t="array" ref="O79">IsURL(Table_121215[[#This Row],[Data Source]])</f>
        <v/>
      </c>
      <c r="P79">
        <f t="array" ref="P79">IsURL(Table_121215[[#This Row],[Data Source]])</f>
        <v/>
      </c>
    </row>
    <row r="80" ht="15.75" customHeight="1">
      <c r="A80">
        <f>IF(Table_15[[#This Row],[Part Name]]=0,"",Table_15[[#This Row],[Part Name]])</f>
        <v/>
      </c>
      <c r="I80">
        <f>LEN(TRIM(CLEAN(SUBSTITUTE(SUBSTITUTE(Table_15[[#This Row],[Sequence]],CHAR(160)," ")," ",""))))</f>
        <v/>
      </c>
      <c r="K80" s="21" t="n"/>
      <c r="L80" s="21">
        <f>IF($B80="","FALSE","TRUE")</f>
        <v/>
      </c>
      <c r="M80">
        <f t="array" ref="M80">IsURL(Table_121215[[#This Row],[Data Source]])</f>
        <v/>
      </c>
      <c r="N80">
        <f t="array" ref="N80">IsURL(Table_121215[[#This Row],[DOI]])</f>
        <v/>
      </c>
      <c r="O80">
        <f t="array" ref="O80">IsURL(Table_121215[[#This Row],[Data Source]])</f>
        <v/>
      </c>
      <c r="P80">
        <f t="array" ref="P80">IsURL(Table_121215[[#This Row],[Data Source]])</f>
        <v/>
      </c>
    </row>
    <row r="81" ht="15.75" customHeight="1">
      <c r="A81">
        <f>IF(Table_15[[#This Row],[Part Name]]=0,"",Table_15[[#This Row],[Part Name]])</f>
        <v/>
      </c>
      <c r="I81">
        <f>LEN(TRIM(CLEAN(SUBSTITUTE(SUBSTITUTE(Table_15[[#This Row],[Sequence]],CHAR(160)," ")," ",""))))</f>
        <v/>
      </c>
      <c r="K81" s="21" t="n"/>
      <c r="L81" s="21">
        <f>IF($B81="","FALSE","TRUE")</f>
        <v/>
      </c>
      <c r="M81">
        <f t="array" ref="M81">IsURL(Table_121215[[#This Row],[Data Source]])</f>
        <v/>
      </c>
      <c r="N81">
        <f t="array" ref="N81">IsURL(Table_121215[[#This Row],[DOI]])</f>
        <v/>
      </c>
      <c r="O81">
        <f t="array" ref="O81">IsURL(Table_121215[[#This Row],[Data Source]])</f>
        <v/>
      </c>
      <c r="P81">
        <f t="array" ref="P81">IsURL(Table_121215[[#This Row],[Data Source]])</f>
        <v/>
      </c>
    </row>
    <row r="82" ht="15.75" customHeight="1">
      <c r="A82">
        <f>IF(Table_15[[#This Row],[Part Name]]=0,"",Table_15[[#This Row],[Part Name]])</f>
        <v/>
      </c>
      <c r="I82">
        <f>LEN(TRIM(CLEAN(SUBSTITUTE(SUBSTITUTE(Table_15[[#This Row],[Sequence]],CHAR(160)," ")," ",""))))</f>
        <v/>
      </c>
      <c r="K82" s="21" t="n"/>
      <c r="L82" s="21">
        <f>IF($B82="","FALSE","TRUE")</f>
        <v/>
      </c>
      <c r="M82">
        <f t="array" ref="M82">IsURL(Table_121215[[#This Row],[Data Source]])</f>
        <v/>
      </c>
      <c r="N82">
        <f t="array" ref="N82">IsURL(Table_121215[[#This Row],[DOI]])</f>
        <v/>
      </c>
      <c r="O82">
        <f t="array" ref="O82">IsURL(Table_121215[[#This Row],[Data Source]])</f>
        <v/>
      </c>
      <c r="P82">
        <f t="array" ref="P82">IsURL(Table_121215[[#This Row],[Data Source]])</f>
        <v/>
      </c>
    </row>
    <row r="83" ht="15.75" customHeight="1">
      <c r="A83">
        <f>IF(Table_15[[#This Row],[Part Name]]=0,"",Table_15[[#This Row],[Part Name]])</f>
        <v/>
      </c>
      <c r="I83">
        <f>LEN(TRIM(CLEAN(SUBSTITUTE(SUBSTITUTE(Table_15[[#This Row],[Sequence]],CHAR(160)," ")," ",""))))</f>
        <v/>
      </c>
      <c r="K83" s="21" t="n"/>
      <c r="L83" s="21">
        <f>IF($B83="","FALSE","TRUE")</f>
        <v/>
      </c>
      <c r="M83">
        <f t="array" ref="M83">IsURL(Table_121215[[#This Row],[Data Source]])</f>
        <v/>
      </c>
      <c r="N83">
        <f t="array" ref="N83">IsURL(Table_121215[[#This Row],[DOI]])</f>
        <v/>
      </c>
      <c r="O83">
        <f t="array" ref="O83">IsURL(Table_121215[[#This Row],[Data Source]])</f>
        <v/>
      </c>
      <c r="P83">
        <f t="array" ref="P83">IsURL(Table_121215[[#This Row],[Data Source]])</f>
        <v/>
      </c>
    </row>
    <row r="84" ht="15.75" customHeight="1">
      <c r="A84">
        <f>IF(Table_15[[#This Row],[Part Name]]=0,"",Table_15[[#This Row],[Part Name]])</f>
        <v/>
      </c>
      <c r="I84">
        <f>LEN(TRIM(CLEAN(SUBSTITUTE(SUBSTITUTE(Table_15[[#This Row],[Sequence]],CHAR(160)," ")," ",""))))</f>
        <v/>
      </c>
      <c r="K84" s="21" t="n"/>
      <c r="L84" s="21">
        <f>IF($B84="","FALSE","TRUE")</f>
        <v/>
      </c>
      <c r="M84">
        <f t="array" ref="M84">IsURL(Table_121215[[#This Row],[Data Source]])</f>
        <v/>
      </c>
      <c r="N84">
        <f t="array" ref="N84">IsURL(Table_121215[[#This Row],[DOI]])</f>
        <v/>
      </c>
      <c r="O84">
        <f t="array" ref="O84">IsURL(Table_121215[[#This Row],[Data Source]])</f>
        <v/>
      </c>
      <c r="P84">
        <f t="array" ref="P84">IsURL(Table_121215[[#This Row],[Data Source]])</f>
        <v/>
      </c>
    </row>
    <row r="85" ht="15.75" customHeight="1">
      <c r="A85">
        <f>IF(Table_15[[#This Row],[Part Name]]=0,"",Table_15[[#This Row],[Part Name]])</f>
        <v/>
      </c>
      <c r="I85">
        <f>LEN(TRIM(CLEAN(SUBSTITUTE(SUBSTITUTE(Table_15[[#This Row],[Sequence]],CHAR(160)," ")," ",""))))</f>
        <v/>
      </c>
      <c r="K85" s="21" t="n"/>
      <c r="L85" s="21">
        <f>IF($B85="","FALSE","TRUE")</f>
        <v/>
      </c>
      <c r="M85">
        <f t="array" ref="M85">IsURL(Table_121215[[#This Row],[Data Source]])</f>
        <v/>
      </c>
      <c r="N85">
        <f t="array" ref="N85">IsURL(Table_121215[[#This Row],[DOI]])</f>
        <v/>
      </c>
      <c r="O85">
        <f t="array" ref="O85">IsURL(Table_121215[[#This Row],[Data Source]])</f>
        <v/>
      </c>
      <c r="P85">
        <f t="array" ref="P85">IsURL(Table_121215[[#This Row],[Data Source]])</f>
        <v/>
      </c>
    </row>
    <row r="86" ht="15.75" customHeight="1">
      <c r="A86">
        <f>IF(Table_15[[#This Row],[Part Name]]=0,"",Table_15[[#This Row],[Part Name]])</f>
        <v/>
      </c>
      <c r="I86">
        <f>LEN(TRIM(CLEAN(SUBSTITUTE(SUBSTITUTE(Table_15[[#This Row],[Sequence]],CHAR(160)," ")," ",""))))</f>
        <v/>
      </c>
      <c r="K86" s="21" t="n"/>
      <c r="L86" s="21">
        <f>IF($B86="","FALSE","TRUE")</f>
        <v/>
      </c>
      <c r="M86">
        <f t="array" ref="M86">IsURL(Table_121215[[#This Row],[Data Source]])</f>
        <v/>
      </c>
      <c r="N86">
        <f t="array" ref="N86">IsURL(Table_121215[[#This Row],[DOI]])</f>
        <v/>
      </c>
      <c r="O86">
        <f t="array" ref="O86">IsURL(Table_121215[[#This Row],[Data Source]])</f>
        <v/>
      </c>
      <c r="P86">
        <f t="array" ref="P86">IsURL(Table_121215[[#This Row],[Data Source]])</f>
        <v/>
      </c>
    </row>
    <row r="87" ht="15.75" customHeight="1">
      <c r="A87">
        <f>IF(Table_15[[#This Row],[Part Name]]=0,"",Table_15[[#This Row],[Part Name]])</f>
        <v/>
      </c>
      <c r="I87">
        <f>LEN(TRIM(CLEAN(SUBSTITUTE(SUBSTITUTE(Table_15[[#This Row],[Sequence]],CHAR(160)," ")," ",""))))</f>
        <v/>
      </c>
      <c r="K87" s="21" t="n"/>
      <c r="L87" s="21">
        <f>IF($B87="","FALSE","TRUE")</f>
        <v/>
      </c>
      <c r="M87">
        <f t="array" ref="M87">IsURL(Table_121215[[#This Row],[Data Source]])</f>
        <v/>
      </c>
      <c r="N87">
        <f t="array" ref="N87">IsURL(Table_121215[[#This Row],[DOI]])</f>
        <v/>
      </c>
      <c r="O87">
        <f t="array" ref="O87">IsURL(Table_121215[[#This Row],[Data Source]])</f>
        <v/>
      </c>
      <c r="P87">
        <f t="array" ref="P87">IsURL(Table_121215[[#This Row],[Data Source]])</f>
        <v/>
      </c>
    </row>
    <row r="88" ht="15.75" customHeight="1">
      <c r="A88">
        <f>IF(Table_15[[#This Row],[Part Name]]=0,"",Table_15[[#This Row],[Part Name]])</f>
        <v/>
      </c>
      <c r="I88">
        <f>LEN(TRIM(CLEAN(SUBSTITUTE(SUBSTITUTE(Table_15[[#This Row],[Sequence]],CHAR(160)," ")," ",""))))</f>
        <v/>
      </c>
      <c r="K88" s="21" t="n"/>
      <c r="L88" s="21">
        <f>IF($B88="","FALSE","TRUE")</f>
        <v/>
      </c>
      <c r="M88">
        <f t="array" ref="M88">IsURL(Table_121215[[#This Row],[Data Source]])</f>
        <v/>
      </c>
      <c r="N88">
        <f t="array" ref="N88">IsURL(Table_121215[[#This Row],[DOI]])</f>
        <v/>
      </c>
      <c r="O88">
        <f t="array" ref="O88">IsURL(Table_121215[[#This Row],[Data Source]])</f>
        <v/>
      </c>
      <c r="P88">
        <f t="array" ref="P88">IsURL(Table_121215[[#This Row],[Data Source]])</f>
        <v/>
      </c>
    </row>
    <row r="89" ht="15.75" customHeight="1">
      <c r="A89">
        <f>IF(Table_15[[#This Row],[Part Name]]=0,"",Table_15[[#This Row],[Part Name]])</f>
        <v/>
      </c>
      <c r="I89">
        <f>LEN(TRIM(CLEAN(SUBSTITUTE(SUBSTITUTE(Table_15[[#This Row],[Sequence]],CHAR(160)," ")," ",""))))</f>
        <v/>
      </c>
      <c r="K89" s="21" t="n"/>
      <c r="L89" s="21">
        <f>IF($B89="","FALSE","TRUE")</f>
        <v/>
      </c>
      <c r="M89">
        <f t="array" ref="M89">IsURL(Table_121215[[#This Row],[Data Source]])</f>
        <v/>
      </c>
      <c r="N89">
        <f t="array" ref="N89">IsURL(Table_121215[[#This Row],[DOI]])</f>
        <v/>
      </c>
      <c r="O89">
        <f t="array" ref="O89">IsURL(Table_121215[[#This Row],[Data Source]])</f>
        <v/>
      </c>
      <c r="P89">
        <f t="array" ref="P89">IsURL(Table_121215[[#This Row],[Data Source]])</f>
        <v/>
      </c>
    </row>
    <row r="90" ht="15.75" customHeight="1">
      <c r="A90">
        <f>IF(Table_15[[#This Row],[Part Name]]=0,"",Table_15[[#This Row],[Part Name]])</f>
        <v/>
      </c>
      <c r="I90">
        <f>LEN(TRIM(CLEAN(SUBSTITUTE(SUBSTITUTE(Table_15[[#This Row],[Sequence]],CHAR(160)," ")," ",""))))</f>
        <v/>
      </c>
      <c r="K90" s="21" t="n"/>
      <c r="L90" s="21">
        <f>IF($B90="","FALSE","TRUE")</f>
        <v/>
      </c>
      <c r="M90">
        <f t="array" ref="M90">IsURL(Table_121215[[#This Row],[Data Source]])</f>
        <v/>
      </c>
      <c r="N90">
        <f t="array" ref="N90">IsURL(Table_121215[[#This Row],[DOI]])</f>
        <v/>
      </c>
      <c r="O90">
        <f t="array" ref="O90">IsURL(Table_121215[[#This Row],[Data Source]])</f>
        <v/>
      </c>
      <c r="P90">
        <f t="array" ref="P90">IsURL(Table_121215[[#This Row],[Data Source]])</f>
        <v/>
      </c>
    </row>
    <row r="91" ht="15.75" customHeight="1">
      <c r="A91">
        <f>IF(Table_15[[#This Row],[Part Name]]=0,"",Table_15[[#This Row],[Part Name]])</f>
        <v/>
      </c>
      <c r="I91">
        <f>LEN(TRIM(CLEAN(SUBSTITUTE(SUBSTITUTE(Table_15[[#This Row],[Sequence]],CHAR(160)," ")," ",""))))</f>
        <v/>
      </c>
      <c r="K91" s="21" t="n"/>
      <c r="L91" s="21">
        <f>IF($B91="","FALSE","TRUE")</f>
        <v/>
      </c>
      <c r="M91">
        <f t="array" ref="M91">IsURL(Table_121215[[#This Row],[Data Source]])</f>
        <v/>
      </c>
      <c r="N91">
        <f t="array" ref="N91">IsURL(Table_121215[[#This Row],[DOI]])</f>
        <v/>
      </c>
      <c r="O91">
        <f t="array" ref="O91">IsURL(Table_121215[[#This Row],[Data Source]])</f>
        <v/>
      </c>
      <c r="P91">
        <f t="array" ref="P91">IsURL(Table_121215[[#This Row],[Data Source]])</f>
        <v/>
      </c>
    </row>
    <row r="92" ht="15.75" customHeight="1">
      <c r="A92">
        <f>IF(Table_15[[#This Row],[Part Name]]=0,"",Table_15[[#This Row],[Part Name]])</f>
        <v/>
      </c>
      <c r="I92">
        <f>LEN(TRIM(CLEAN(SUBSTITUTE(SUBSTITUTE(Table_15[[#This Row],[Sequence]],CHAR(160)," ")," ",""))))</f>
        <v/>
      </c>
      <c r="K92" s="21" t="n"/>
      <c r="L92" s="21">
        <f>IF($B92="","FALSE","TRUE")</f>
        <v/>
      </c>
      <c r="M92">
        <f t="array" ref="M92">IsURL(Table_121215[[#This Row],[Data Source]])</f>
        <v/>
      </c>
      <c r="N92">
        <f t="array" ref="N92">IsURL(Table_121215[[#This Row],[DOI]])</f>
        <v/>
      </c>
      <c r="O92">
        <f t="array" ref="O92">IsURL(Table_121215[[#This Row],[Data Source]])</f>
        <v/>
      </c>
      <c r="P92">
        <f t="array" ref="P92">IsURL(Table_121215[[#This Row],[Data Source]])</f>
        <v/>
      </c>
    </row>
    <row r="93" ht="15.75" customHeight="1">
      <c r="A93">
        <f>IF(Table_15[[#This Row],[Part Name]]=0,"",Table_15[[#This Row],[Part Name]])</f>
        <v/>
      </c>
      <c r="I93">
        <f>LEN(TRIM(CLEAN(SUBSTITUTE(SUBSTITUTE(Table_15[[#This Row],[Sequence]],CHAR(160)," ")," ",""))))</f>
        <v/>
      </c>
      <c r="K93" s="21" t="n"/>
      <c r="L93" s="21">
        <f>IF($B93="","FALSE","TRUE")</f>
        <v/>
      </c>
      <c r="M93">
        <f t="array" ref="M93">IsURL(Table_121215[[#This Row],[Data Source]])</f>
        <v/>
      </c>
      <c r="N93">
        <f t="array" ref="N93">IsURL(Table_121215[[#This Row],[DOI]])</f>
        <v/>
      </c>
      <c r="O93">
        <f t="array" ref="O93">IsURL(Table_121215[[#This Row],[Data Source]])</f>
        <v/>
      </c>
      <c r="P93">
        <f t="array" ref="P93">IsURL(Table_121215[[#This Row],[Data Source]])</f>
        <v/>
      </c>
    </row>
    <row r="94" ht="15.75" customHeight="1">
      <c r="A94">
        <f>IF(Table_15[[#This Row],[Part Name]]=0,"",Table_15[[#This Row],[Part Name]])</f>
        <v/>
      </c>
      <c r="I94">
        <f>LEN(TRIM(CLEAN(SUBSTITUTE(SUBSTITUTE(Table_15[[#This Row],[Sequence]],CHAR(160)," ")," ",""))))</f>
        <v/>
      </c>
      <c r="K94" s="21" t="n"/>
      <c r="L94" s="21">
        <f>IF($B94="","FALSE","TRUE")</f>
        <v/>
      </c>
      <c r="M94">
        <f t="array" ref="M94">IsURL(Table_121215[[#This Row],[Data Source]])</f>
        <v/>
      </c>
      <c r="N94">
        <f t="array" ref="N94">IsURL(Table_121215[[#This Row],[DOI]])</f>
        <v/>
      </c>
      <c r="O94">
        <f t="array" ref="O94">IsURL(Table_121215[[#This Row],[Data Source]])</f>
        <v/>
      </c>
      <c r="P94">
        <f t="array" ref="P94">IsURL(Table_121215[[#This Row],[Data Source]])</f>
        <v/>
      </c>
    </row>
    <row r="95" ht="15.75" customHeight="1">
      <c r="A95">
        <f>IF(Table_15[[#This Row],[Part Name]]=0,"",Table_15[[#This Row],[Part Name]])</f>
        <v/>
      </c>
      <c r="I95">
        <f>LEN(TRIM(CLEAN(SUBSTITUTE(SUBSTITUTE(Table_15[[#This Row],[Sequence]],CHAR(160)," ")," ",""))))</f>
        <v/>
      </c>
      <c r="K95" s="21" t="n"/>
      <c r="L95" s="21">
        <f>IF($B95="","FALSE","TRUE")</f>
        <v/>
      </c>
      <c r="M95">
        <f t="array" ref="M95">IsURL(Table_121215[[#This Row],[Data Source]])</f>
        <v/>
      </c>
      <c r="N95">
        <f t="array" ref="N95">IsURL(Table_121215[[#This Row],[DOI]])</f>
        <v/>
      </c>
      <c r="O95">
        <f t="array" ref="O95">IsURL(Table_121215[[#This Row],[Data Source]])</f>
        <v/>
      </c>
      <c r="P95">
        <f t="array" ref="P95">IsURL(Table_121215[[#This Row],[Data Source]])</f>
        <v/>
      </c>
    </row>
    <row r="96" ht="15.75" customHeight="1">
      <c r="A96">
        <f>IF(Table_15[[#This Row],[Part Name]]=0,"",Table_15[[#This Row],[Part Name]])</f>
        <v/>
      </c>
      <c r="I96">
        <f>LEN(TRIM(CLEAN(SUBSTITUTE(SUBSTITUTE(Table_15[[#This Row],[Sequence]],CHAR(160)," ")," ",""))))</f>
        <v/>
      </c>
      <c r="K96" s="21" t="n"/>
      <c r="L96" s="21">
        <f>IF($B96="","FALSE","TRUE")</f>
        <v/>
      </c>
      <c r="M96">
        <f t="array" ref="M96">IsURL(Table_121215[[#This Row],[Data Source]])</f>
        <v/>
      </c>
      <c r="N96">
        <f t="array" ref="N96">IsURL(Table_121215[[#This Row],[DOI]])</f>
        <v/>
      </c>
      <c r="O96">
        <f t="array" ref="O96">IsURL(Table_121215[[#This Row],[Data Source]])</f>
        <v/>
      </c>
      <c r="P96">
        <f t="array" ref="P96">IsURL(Table_121215[[#This Row],[Data Source]])</f>
        <v/>
      </c>
    </row>
    <row r="97" ht="15.75" customHeight="1">
      <c r="A97">
        <f>IF(Table_15[[#This Row],[Part Name]]=0,"",Table_15[[#This Row],[Part Name]])</f>
        <v/>
      </c>
      <c r="I97">
        <f>LEN(TRIM(CLEAN(SUBSTITUTE(SUBSTITUTE(Table_15[[#This Row],[Sequence]],CHAR(160)," ")," ",""))))</f>
        <v/>
      </c>
      <c r="K97" s="21" t="n"/>
      <c r="L97" s="21">
        <f>IF($B97="","FALSE","TRUE")</f>
        <v/>
      </c>
      <c r="M97">
        <f t="array" ref="M97">IsURL(Table_121215[[#This Row],[Data Source]])</f>
        <v/>
      </c>
      <c r="N97">
        <f t="array" ref="N97">IsURL(Table_121215[[#This Row],[DOI]])</f>
        <v/>
      </c>
      <c r="O97">
        <f t="array" ref="O97">IsURL(Table_121215[[#This Row],[Data Source]])</f>
        <v/>
      </c>
      <c r="P97">
        <f t="array" ref="P97">IsURL(Table_121215[[#This Row],[Data Source]])</f>
        <v/>
      </c>
    </row>
    <row r="98" ht="15.75" customHeight="1">
      <c r="A98">
        <f>IF(Table_15[[#This Row],[Part Name]]=0,"",Table_15[[#This Row],[Part Name]])</f>
        <v/>
      </c>
      <c r="I98">
        <f>LEN(TRIM(CLEAN(SUBSTITUTE(SUBSTITUTE(Table_15[[#This Row],[Sequence]],CHAR(160)," ")," ",""))))</f>
        <v/>
      </c>
      <c r="K98" s="21" t="n"/>
      <c r="L98" s="21">
        <f>IF($B98="","FALSE","TRUE")</f>
        <v/>
      </c>
      <c r="M98">
        <f t="array" ref="M98">IsURL(Table_121215[[#This Row],[Data Source]])</f>
        <v/>
      </c>
      <c r="N98">
        <f t="array" ref="N98">IsURL(Table_121215[[#This Row],[DOI]])</f>
        <v/>
      </c>
      <c r="O98">
        <f t="array" ref="O98">IsURL(Table_121215[[#This Row],[Data Source]])</f>
        <v/>
      </c>
      <c r="P98">
        <f t="array" ref="P98">IsURL(Table_121215[[#This Row],[Data Source]])</f>
        <v/>
      </c>
    </row>
    <row r="99" ht="15.75" customHeight="1">
      <c r="A99">
        <f>IF(Table_15[[#This Row],[Part Name]]=0,"",Table_15[[#This Row],[Part Name]])</f>
        <v/>
      </c>
      <c r="I99">
        <f>LEN(TRIM(CLEAN(SUBSTITUTE(SUBSTITUTE(Table_15[[#This Row],[Sequence]],CHAR(160)," ")," ",""))))</f>
        <v/>
      </c>
      <c r="K99" s="21" t="n"/>
      <c r="L99" s="21">
        <f>IF($B99="","FALSE","TRUE")</f>
        <v/>
      </c>
      <c r="M99">
        <f t="array" ref="M99">IsURL(Table_121215[[#This Row],[Data Source]])</f>
        <v/>
      </c>
      <c r="N99">
        <f t="array" ref="N99">IsURL(Table_121215[[#This Row],[DOI]])</f>
        <v/>
      </c>
      <c r="O99">
        <f t="array" ref="O99">IsURL(Table_121215[[#This Row],[Data Source]])</f>
        <v/>
      </c>
      <c r="P99">
        <f t="array" ref="P99">IsURL(Table_121215[[#This Row],[Data Source]])</f>
        <v/>
      </c>
    </row>
    <row r="100" ht="15.75" customHeight="1">
      <c r="A100">
        <f>IF(Table_15[[#This Row],[Part Name]]=0,"",Table_15[[#This Row],[Part Name]])</f>
        <v/>
      </c>
      <c r="I100">
        <f>LEN(TRIM(CLEAN(SUBSTITUTE(SUBSTITUTE(Table_15[[#This Row],[Sequence]],CHAR(160)," ")," ",""))))</f>
        <v/>
      </c>
      <c r="K100" s="21" t="n"/>
      <c r="L100" s="21">
        <f>IF($B100="","FALSE","TRUE")</f>
        <v/>
      </c>
      <c r="M100">
        <f t="array" ref="M100">IsURL(Table_121215[[#This Row],[Data Source]])</f>
        <v/>
      </c>
      <c r="N100">
        <f t="array" ref="N100">IsURL(Table_121215[[#This Row],[DOI]])</f>
        <v/>
      </c>
      <c r="O100">
        <f t="array" ref="O100">IsURL(Table_121215[[#This Row],[Data Source]])</f>
        <v/>
      </c>
      <c r="P100">
        <f t="array" ref="P100">IsURL(Table_121215[[#This Row],[Data Source]])</f>
        <v/>
      </c>
    </row>
    <row r="101" ht="15.75" customHeight="1">
      <c r="A101">
        <f>IF(Table_15[[#This Row],[Part Name]]=0,"",Table_15[[#This Row],[Part Name]])</f>
        <v/>
      </c>
      <c r="I101">
        <f>LEN(TRIM(CLEAN(SUBSTITUTE(SUBSTITUTE(Table_15[[#This Row],[Sequence]],CHAR(160)," ")," ",""))))</f>
        <v/>
      </c>
      <c r="K101" s="21" t="n"/>
      <c r="L101" s="21">
        <f>IF($B101="","FALSE","TRUE")</f>
        <v/>
      </c>
      <c r="M101">
        <f t="array" ref="M101">IsURL(Table_121215[[#This Row],[Data Source]])</f>
        <v/>
      </c>
      <c r="N101">
        <f t="array" ref="N101">IsURL(Table_121215[[#This Row],[DOI]])</f>
        <v/>
      </c>
      <c r="O101">
        <f t="array" ref="O101">IsURL(Table_121215[[#This Row],[Data Source]])</f>
        <v/>
      </c>
      <c r="P101">
        <f t="array" ref="P101">IsURL(Table_121215[[#This Row],[Data Source]])</f>
        <v/>
      </c>
    </row>
    <row r="102" ht="15.75" customHeight="1">
      <c r="A102">
        <f>IF(Table_15[[#This Row],[Part Name]]=0,"",Table_15[[#This Row],[Part Name]])</f>
        <v/>
      </c>
      <c r="I102">
        <f>LEN(TRIM(CLEAN(SUBSTITUTE(SUBSTITUTE(Table_15[[#This Row],[Sequence]],CHAR(160)," ")," ",""))))</f>
        <v/>
      </c>
      <c r="K102" s="21" t="n"/>
      <c r="L102" s="21">
        <f>IF($B102="","FALSE","TRUE")</f>
        <v/>
      </c>
      <c r="M102">
        <f t="array" ref="M102">IsURL(Table_121215[[#This Row],[Data Source]])</f>
        <v/>
      </c>
      <c r="N102">
        <f t="array" ref="N102">IsURL(Table_121215[[#This Row],[DOI]])</f>
        <v/>
      </c>
      <c r="O102">
        <f t="array" ref="O102">IsURL(Table_121215[[#This Row],[Data Source]])</f>
        <v/>
      </c>
      <c r="P102">
        <f t="array" ref="P102">IsURL(Table_121215[[#This Row],[Data Source]])</f>
        <v/>
      </c>
    </row>
    <row r="103" ht="15.75" customHeight="1">
      <c r="A103">
        <f>IF(Table_15[[#This Row],[Part Name]]=0,"",Table_15[[#This Row],[Part Name]])</f>
        <v/>
      </c>
      <c r="I103">
        <f>LEN(TRIM(CLEAN(SUBSTITUTE(SUBSTITUTE(Table_15[[#This Row],[Sequence]],CHAR(160)," ")," ",""))))</f>
        <v/>
      </c>
      <c r="K103" s="21" t="n"/>
      <c r="L103" s="21">
        <f>IF($B103="","FALSE","TRUE")</f>
        <v/>
      </c>
      <c r="M103">
        <f t="array" ref="M103">IsURL(Table_121215[[#This Row],[Data Source]])</f>
        <v/>
      </c>
      <c r="N103">
        <f t="array" ref="N103">IsURL(Table_121215[[#This Row],[DOI]])</f>
        <v/>
      </c>
      <c r="O103">
        <f t="array" ref="O103">IsURL(Table_121215[[#This Row],[Data Source]])</f>
        <v/>
      </c>
      <c r="P103">
        <f t="array" ref="P103">IsURL(Table_121215[[#This Row],[Data Source]])</f>
        <v/>
      </c>
    </row>
    <row r="104" ht="15.75" customHeight="1">
      <c r="A104">
        <f>IF(Table_15[[#This Row],[Part Name]]=0,"",Table_15[[#This Row],[Part Name]])</f>
        <v/>
      </c>
      <c r="I104">
        <f>LEN(TRIM(CLEAN(SUBSTITUTE(SUBSTITUTE(Table_15[[#This Row],[Sequence]],CHAR(160)," ")," ",""))))</f>
        <v/>
      </c>
      <c r="K104" s="21" t="n"/>
      <c r="L104" s="21">
        <f>IF($B104="","FALSE","TRUE")</f>
        <v/>
      </c>
      <c r="M104">
        <f t="array" ref="M104">IsURL(Table_121215[[#This Row],[Data Source]])</f>
        <v/>
      </c>
      <c r="N104">
        <f t="array" ref="N104">IsURL(Table_121215[[#This Row],[DOI]])</f>
        <v/>
      </c>
      <c r="O104">
        <f t="array" ref="O104">IsURL(Table_121215[[#This Row],[Data Source]])</f>
        <v/>
      </c>
      <c r="P104">
        <f t="array" ref="P104">IsURL(Table_121215[[#This Row],[Data Source]])</f>
        <v/>
      </c>
    </row>
    <row r="105" ht="15.75" customHeight="1">
      <c r="A105">
        <f>IF(Table_15[[#This Row],[Part Name]]=0,"",Table_15[[#This Row],[Part Name]])</f>
        <v/>
      </c>
      <c r="I105">
        <f>LEN(TRIM(CLEAN(SUBSTITUTE(SUBSTITUTE(Table_15[[#This Row],[Sequence]],CHAR(160)," ")," ",""))))</f>
        <v/>
      </c>
      <c r="K105" s="21" t="n"/>
      <c r="L105" s="21">
        <f>IF($B105="","FALSE","TRUE")</f>
        <v/>
      </c>
      <c r="M105">
        <f t="array" ref="M105">IsURL(Table_121215[[#This Row],[Data Source]])</f>
        <v/>
      </c>
      <c r="N105">
        <f t="array" ref="N105">IsURL(Table_121215[[#This Row],[DOI]])</f>
        <v/>
      </c>
      <c r="O105">
        <f t="array" ref="O105">IsURL(Table_121215[[#This Row],[Data Source]])</f>
        <v/>
      </c>
      <c r="P105">
        <f t="array" ref="P105">IsURL(Table_121215[[#This Row],[Data Source]])</f>
        <v/>
      </c>
    </row>
    <row r="106" ht="15.75" customHeight="1">
      <c r="A106">
        <f>IF(Table_15[[#This Row],[Part Name]]=0,"",Table_15[[#This Row],[Part Name]])</f>
        <v/>
      </c>
      <c r="I106">
        <f>LEN(TRIM(CLEAN(SUBSTITUTE(SUBSTITUTE(Table_15[[#This Row],[Sequence]],CHAR(160)," ")," ",""))))</f>
        <v/>
      </c>
      <c r="K106" s="21" t="n"/>
      <c r="L106" s="21">
        <f>IF($B106="","FALSE","TRUE")</f>
        <v/>
      </c>
      <c r="M106">
        <f t="array" ref="M106">IsURL(Table_121215[[#This Row],[Data Source]])</f>
        <v/>
      </c>
      <c r="N106">
        <f t="array" ref="N106">IsURL(Table_121215[[#This Row],[DOI]])</f>
        <v/>
      </c>
      <c r="O106">
        <f t="array" ref="O106">IsURL(Table_121215[[#This Row],[Data Source]])</f>
        <v/>
      </c>
      <c r="P106">
        <f t="array" ref="P106">IsURL(Table_121215[[#This Row],[Data Source]])</f>
        <v/>
      </c>
    </row>
    <row r="107" ht="15.75" customHeight="1">
      <c r="A107">
        <f>IF(Table_15[[#This Row],[Part Name]]=0,"",Table_15[[#This Row],[Part Name]])</f>
        <v/>
      </c>
      <c r="I107">
        <f>LEN(TRIM(CLEAN(SUBSTITUTE(SUBSTITUTE(Table_15[[#This Row],[Sequence]],CHAR(160)," ")," ",""))))</f>
        <v/>
      </c>
      <c r="K107" s="21" t="n"/>
      <c r="L107" s="21">
        <f>IF($B107="","FALSE","TRUE")</f>
        <v/>
      </c>
      <c r="M107">
        <f t="array" ref="M107">IsURL(Table_121215[[#This Row],[Data Source]])</f>
        <v/>
      </c>
      <c r="N107">
        <f t="array" ref="N107">IsURL(Table_121215[[#This Row],[DOI]])</f>
        <v/>
      </c>
      <c r="O107">
        <f t="array" ref="O107">IsURL(Table_121215[[#This Row],[Data Source]])</f>
        <v/>
      </c>
      <c r="P107">
        <f t="array" ref="P107">IsURL(Table_121215[[#This Row],[Data Source]])</f>
        <v/>
      </c>
    </row>
    <row r="108" ht="15.75" customHeight="1">
      <c r="A108">
        <f>IF(Table_15[[#This Row],[Part Name]]=0,"",Table_15[[#This Row],[Part Name]])</f>
        <v/>
      </c>
      <c r="I108">
        <f>LEN(TRIM(CLEAN(SUBSTITUTE(SUBSTITUTE(Table_15[[#This Row],[Sequence]],CHAR(160)," ")," ",""))))</f>
        <v/>
      </c>
      <c r="K108" s="21" t="n"/>
      <c r="L108" s="21">
        <f>IF($B108="","FALSE","TRUE")</f>
        <v/>
      </c>
      <c r="M108">
        <f t="array" ref="M108">IsURL(Table_121215[[#This Row],[Data Source]])</f>
        <v/>
      </c>
      <c r="N108">
        <f t="array" ref="N108">IsURL(Table_121215[[#This Row],[DOI]])</f>
        <v/>
      </c>
      <c r="O108">
        <f t="array" ref="O108">IsURL(Table_121215[[#This Row],[Data Source]])</f>
        <v/>
      </c>
      <c r="P108">
        <f t="array" ref="P108">IsURL(Table_121215[[#This Row],[Data Source]])</f>
        <v/>
      </c>
    </row>
    <row r="109" ht="15.75" customHeight="1">
      <c r="A109">
        <f>IF(Table_15[[#This Row],[Part Name]]=0,"",Table_15[[#This Row],[Part Name]])</f>
        <v/>
      </c>
      <c r="I109">
        <f>LEN(TRIM(CLEAN(SUBSTITUTE(SUBSTITUTE(Table_15[[#This Row],[Sequence]],CHAR(160)," ")," ",""))))</f>
        <v/>
      </c>
      <c r="K109" s="21" t="n"/>
      <c r="L109" s="21">
        <f>IF($B109="","FALSE","TRUE")</f>
        <v/>
      </c>
      <c r="M109">
        <f t="array" ref="M109">IsURL(Table_121215[[#This Row],[Data Source]])</f>
        <v/>
      </c>
      <c r="N109">
        <f t="array" ref="N109">IsURL(Table_121215[[#This Row],[DOI]])</f>
        <v/>
      </c>
      <c r="O109">
        <f t="array" ref="O109">IsURL(Table_121215[[#This Row],[Data Source]])</f>
        <v/>
      </c>
      <c r="P109">
        <f t="array" ref="P109">IsURL(Table_121215[[#This Row],[Data Source]])</f>
        <v/>
      </c>
    </row>
    <row r="110" ht="15.75" customHeight="1">
      <c r="A110">
        <f>IF(Table_15[[#This Row],[Part Name]]=0,"",Table_15[[#This Row],[Part Name]])</f>
        <v/>
      </c>
      <c r="I110">
        <f>LEN(TRIM(CLEAN(SUBSTITUTE(SUBSTITUTE(Table_15[[#This Row],[Sequence]],CHAR(160)," ")," ",""))))</f>
        <v/>
      </c>
      <c r="K110" s="21" t="n"/>
      <c r="L110" s="21">
        <f>IF($B110="","FALSE","TRUE")</f>
        <v/>
      </c>
      <c r="M110">
        <f t="array" ref="M110">IsURL(Table_121215[[#This Row],[Data Source]])</f>
        <v/>
      </c>
      <c r="N110">
        <f t="array" ref="N110">IsURL(Table_121215[[#This Row],[DOI]])</f>
        <v/>
      </c>
      <c r="O110">
        <f t="array" ref="O110">IsURL(Table_121215[[#This Row],[Data Source]])</f>
        <v/>
      </c>
      <c r="P110">
        <f t="array" ref="P110">IsURL(Table_121215[[#This Row],[Data Source]])</f>
        <v/>
      </c>
    </row>
    <row r="111" ht="15.75" customHeight="1">
      <c r="A111">
        <f>IF(Table_15[[#This Row],[Part Name]]=0,"",Table_15[[#This Row],[Part Name]])</f>
        <v/>
      </c>
      <c r="I111">
        <f>LEN(TRIM(CLEAN(SUBSTITUTE(SUBSTITUTE(Table_15[[#This Row],[Sequence]],CHAR(160)," ")," ",""))))</f>
        <v/>
      </c>
      <c r="K111" s="21" t="n"/>
      <c r="L111" s="21">
        <f>IF($B111="","FALSE","TRUE")</f>
        <v/>
      </c>
      <c r="M111">
        <f t="array" ref="M111">IsURL(Table_121215[[#This Row],[Data Source]])</f>
        <v/>
      </c>
      <c r="N111">
        <f t="array" ref="N111">IsURL(Table_121215[[#This Row],[DOI]])</f>
        <v/>
      </c>
      <c r="O111">
        <f t="array" ref="O111">IsURL(Table_121215[[#This Row],[Data Source]])</f>
        <v/>
      </c>
      <c r="P111">
        <f t="array" ref="P111">IsURL(Table_121215[[#This Row],[Data Source]])</f>
        <v/>
      </c>
    </row>
    <row r="112" ht="15.75" customHeight="1">
      <c r="A112">
        <f>IF(Table_15[[#This Row],[Part Name]]=0,"",Table_15[[#This Row],[Part Name]])</f>
        <v/>
      </c>
      <c r="I112">
        <f>LEN(TRIM(CLEAN(SUBSTITUTE(SUBSTITUTE(Table_15[[#This Row],[Sequence]],CHAR(160)," ")," ",""))))</f>
        <v/>
      </c>
      <c r="K112" s="21" t="n"/>
      <c r="L112" s="21">
        <f>IF($B112="","FALSE","TRUE")</f>
        <v/>
      </c>
      <c r="M112">
        <f t="array" ref="M112">IsURL(Table_121215[[#This Row],[Data Source]])</f>
        <v/>
      </c>
      <c r="N112">
        <f t="array" ref="N112">IsURL(Table_121215[[#This Row],[DOI]])</f>
        <v/>
      </c>
      <c r="O112">
        <f t="array" ref="O112">IsURL(Table_121215[[#This Row],[Data Source]])</f>
        <v/>
      </c>
      <c r="P112">
        <f t="array" ref="P112">IsURL(Table_121215[[#This Row],[Data Source]])</f>
        <v/>
      </c>
    </row>
    <row r="113" ht="15.75" customHeight="1">
      <c r="A113">
        <f>IF(Table_15[[#This Row],[Part Name]]=0,"",Table_15[[#This Row],[Part Name]])</f>
        <v/>
      </c>
      <c r="I113">
        <f>LEN(TRIM(CLEAN(SUBSTITUTE(SUBSTITUTE(Table_15[[#This Row],[Sequence]],CHAR(160)," ")," ",""))))</f>
        <v/>
      </c>
      <c r="K113" s="21" t="n"/>
      <c r="L113" s="21">
        <f>IF($B113="","FALSE","TRUE")</f>
        <v/>
      </c>
      <c r="M113">
        <f t="array" ref="M113">IsURL(Table_121215[[#This Row],[Data Source]])</f>
        <v/>
      </c>
      <c r="N113">
        <f t="array" ref="N113">IsURL(Table_121215[[#This Row],[DOI]])</f>
        <v/>
      </c>
      <c r="O113">
        <f t="array" ref="O113">IsURL(Table_121215[[#This Row],[Data Source]])</f>
        <v/>
      </c>
      <c r="P113">
        <f t="array" ref="P113">IsURL(Table_121215[[#This Row],[Data Source]])</f>
        <v/>
      </c>
    </row>
    <row r="114" ht="15.75" customHeight="1">
      <c r="A114">
        <f>IF(Table_15[[#This Row],[Part Name]]=0,"",Table_15[[#This Row],[Part Name]])</f>
        <v/>
      </c>
      <c r="I114">
        <f>LEN(TRIM(CLEAN(SUBSTITUTE(SUBSTITUTE(Table_15[[#This Row],[Sequence]],CHAR(160)," ")," ",""))))</f>
        <v/>
      </c>
      <c r="K114" s="21" t="n"/>
      <c r="L114" s="21">
        <f>IF($B114="","FALSE","TRUE")</f>
        <v/>
      </c>
      <c r="M114">
        <f t="array" ref="M114">IsURL(Table_121215[[#This Row],[Data Source]])</f>
        <v/>
      </c>
      <c r="N114">
        <f t="array" ref="N114">IsURL(Table_121215[[#This Row],[DOI]])</f>
        <v/>
      </c>
      <c r="O114">
        <f t="array" ref="O114">IsURL(Table_121215[[#This Row],[Data Source]])</f>
        <v/>
      </c>
      <c r="P114">
        <f t="array" ref="P114">IsURL(Table_121215[[#This Row],[Data Source]])</f>
        <v/>
      </c>
    </row>
    <row r="115" ht="15.75" customHeight="1">
      <c r="A115">
        <f>IF(Table_15[[#This Row],[Part Name]]=0,"",Table_15[[#This Row],[Part Name]])</f>
        <v/>
      </c>
      <c r="I115">
        <f>LEN(TRIM(CLEAN(SUBSTITUTE(SUBSTITUTE(Table_15[[#This Row],[Sequence]],CHAR(160)," ")," ",""))))</f>
        <v/>
      </c>
      <c r="K115" s="21" t="n"/>
      <c r="L115" s="21">
        <f>IF($B115="","FALSE","TRUE")</f>
        <v/>
      </c>
      <c r="M115">
        <f t="array" ref="M115">IsURL(Table_121215[[#This Row],[Data Source]])</f>
        <v/>
      </c>
      <c r="N115">
        <f t="array" ref="N115">IsURL(Table_121215[[#This Row],[DOI]])</f>
        <v/>
      </c>
      <c r="O115">
        <f t="array" ref="O115">IsURL(Table_121215[[#This Row],[Data Source]])</f>
        <v/>
      </c>
      <c r="P115">
        <f t="array" ref="P115">IsURL(Table_121215[[#This Row],[Data Source]])</f>
        <v/>
      </c>
    </row>
    <row r="116" ht="15.75" customHeight="1">
      <c r="A116">
        <f>IF(Table_15[[#This Row],[Part Name]]=0,"",Table_15[[#This Row],[Part Name]])</f>
        <v/>
      </c>
      <c r="I116">
        <f>LEN(TRIM(CLEAN(SUBSTITUTE(SUBSTITUTE(Table_15[[#This Row],[Sequence]],CHAR(160)," ")," ",""))))</f>
        <v/>
      </c>
      <c r="K116" s="21" t="n"/>
      <c r="L116" s="21">
        <f>IF($B116="","FALSE","TRUE")</f>
        <v/>
      </c>
      <c r="M116">
        <f t="array" ref="M116">IsURL(Table_121215[[#This Row],[Data Source]])</f>
        <v/>
      </c>
      <c r="N116">
        <f t="array" ref="N116">IsURL(Table_121215[[#This Row],[DOI]])</f>
        <v/>
      </c>
      <c r="O116">
        <f t="array" ref="O116">IsURL(Table_121215[[#This Row],[Data Source]])</f>
        <v/>
      </c>
      <c r="P116">
        <f t="array" ref="P116">IsURL(Table_121215[[#This Row],[Data Source]])</f>
        <v/>
      </c>
    </row>
    <row r="117" ht="15.75" customHeight="1">
      <c r="A117">
        <f>IF(Table_15[[#This Row],[Part Name]]=0,"",Table_15[[#This Row],[Part Name]])</f>
        <v/>
      </c>
      <c r="I117">
        <f>LEN(TRIM(CLEAN(SUBSTITUTE(SUBSTITUTE(Table_15[[#This Row],[Sequence]],CHAR(160)," ")," ",""))))</f>
        <v/>
      </c>
      <c r="K117" s="21" t="n"/>
      <c r="L117" s="21">
        <f>IF($B117="","FALSE","TRUE")</f>
        <v/>
      </c>
      <c r="M117">
        <f t="array" ref="M117">IsURL(Table_121215[[#This Row],[Data Source]])</f>
        <v/>
      </c>
      <c r="N117">
        <f t="array" ref="N117">IsURL(Table_121215[[#This Row],[DOI]])</f>
        <v/>
      </c>
      <c r="O117">
        <f t="array" ref="O117">IsURL(Table_121215[[#This Row],[Data Source]])</f>
        <v/>
      </c>
      <c r="P117">
        <f t="array" ref="P117">IsURL(Table_121215[[#This Row],[Data Source]])</f>
        <v/>
      </c>
    </row>
    <row r="118" ht="15.75" customHeight="1">
      <c r="A118">
        <f>IF(Table_15[[#This Row],[Part Name]]=0,"",Table_15[[#This Row],[Part Name]])</f>
        <v/>
      </c>
      <c r="I118">
        <f>LEN(TRIM(CLEAN(SUBSTITUTE(SUBSTITUTE(Table_15[[#This Row],[Sequence]],CHAR(160)," ")," ",""))))</f>
        <v/>
      </c>
      <c r="K118" s="21" t="n"/>
      <c r="L118" s="21">
        <f>IF($B118="","FALSE","TRUE")</f>
        <v/>
      </c>
      <c r="M118">
        <f t="array" ref="M118">IsURL(Table_121215[[#This Row],[Data Source]])</f>
        <v/>
      </c>
      <c r="N118">
        <f t="array" ref="N118">IsURL(Table_121215[[#This Row],[DOI]])</f>
        <v/>
      </c>
      <c r="O118">
        <f t="array" ref="O118">IsURL(Table_121215[[#This Row],[Data Source]])</f>
        <v/>
      </c>
      <c r="P118">
        <f t="array" ref="P118">IsURL(Table_121215[[#This Row],[Data Source]])</f>
        <v/>
      </c>
    </row>
    <row r="119" ht="15.75" customHeight="1">
      <c r="A119">
        <f>IF(Table_15[[#This Row],[Part Name]]=0,"",Table_15[[#This Row],[Part Name]])</f>
        <v/>
      </c>
      <c r="I119">
        <f>LEN(TRIM(CLEAN(SUBSTITUTE(SUBSTITUTE(Table_15[[#This Row],[Sequence]],CHAR(160)," ")," ",""))))</f>
        <v/>
      </c>
      <c r="K119" s="21" t="n"/>
      <c r="L119" s="21">
        <f>IF($B119="","FALSE","TRUE")</f>
        <v/>
      </c>
      <c r="M119">
        <f t="array" ref="M119">IsURL(Table_121215[[#This Row],[Data Source]])</f>
        <v/>
      </c>
      <c r="N119">
        <f t="array" ref="N119">IsURL(Table_121215[[#This Row],[DOI]])</f>
        <v/>
      </c>
      <c r="O119">
        <f t="array" ref="O119">IsURL(Table_121215[[#This Row],[Data Source]])</f>
        <v/>
      </c>
      <c r="P119">
        <f t="array" ref="P119">IsURL(Table_121215[[#This Row],[Data Source]])</f>
        <v/>
      </c>
    </row>
    <row r="120" ht="15.75" customHeight="1">
      <c r="A120">
        <f>IF(Table_15[[#This Row],[Part Name]]=0,"",Table_15[[#This Row],[Part Name]])</f>
        <v/>
      </c>
      <c r="I120">
        <f>LEN(TRIM(CLEAN(SUBSTITUTE(SUBSTITUTE(Table_15[[#This Row],[Sequence]],CHAR(160)," ")," ",""))))</f>
        <v/>
      </c>
      <c r="K120" s="21" t="n"/>
      <c r="L120" s="21">
        <f>IF($B120="","FALSE","TRUE")</f>
        <v/>
      </c>
      <c r="M120">
        <f t="array" ref="M120">IsURL(Table_121215[[#This Row],[Data Source]])</f>
        <v/>
      </c>
      <c r="N120">
        <f t="array" ref="N120">IsURL(Table_121215[[#This Row],[DOI]])</f>
        <v/>
      </c>
      <c r="O120">
        <f t="array" ref="O120">IsURL(Table_121215[[#This Row],[Data Source]])</f>
        <v/>
      </c>
      <c r="P120">
        <f t="array" ref="P120">IsURL(Table_121215[[#This Row],[Data Source]])</f>
        <v/>
      </c>
    </row>
    <row r="121" ht="15.75" customHeight="1">
      <c r="A121">
        <f>IF(Table_15[[#This Row],[Part Name]]=0,"",Table_15[[#This Row],[Part Name]])</f>
        <v/>
      </c>
      <c r="I121">
        <f>LEN(TRIM(CLEAN(SUBSTITUTE(SUBSTITUTE(Table_15[[#This Row],[Sequence]],CHAR(160)," ")," ",""))))</f>
        <v/>
      </c>
      <c r="K121" s="21" t="n"/>
      <c r="L121" s="21">
        <f>IF($B121="","FALSE","TRUE")</f>
        <v/>
      </c>
      <c r="M121">
        <f t="array" ref="M121">IsURL(Table_121215[[#This Row],[Data Source]])</f>
        <v/>
      </c>
      <c r="N121">
        <f t="array" ref="N121">IsURL(Table_121215[[#This Row],[DOI]])</f>
        <v/>
      </c>
      <c r="O121">
        <f t="array" ref="O121">IsURL(Table_121215[[#This Row],[Data Source]])</f>
        <v/>
      </c>
      <c r="P121">
        <f t="array" ref="P121">IsURL(Table_121215[[#This Row],[Data Source]])</f>
        <v/>
      </c>
    </row>
    <row r="122" ht="15.75" customHeight="1">
      <c r="A122">
        <f>IF(Table_15[[#This Row],[Part Name]]=0,"",Table_15[[#This Row],[Part Name]])</f>
        <v/>
      </c>
      <c r="I122">
        <f>LEN(TRIM(CLEAN(SUBSTITUTE(SUBSTITUTE(Table_15[[#This Row],[Sequence]],CHAR(160)," ")," ",""))))</f>
        <v/>
      </c>
      <c r="K122" s="21" t="n"/>
      <c r="L122" s="21">
        <f>IF($B122="","FALSE","TRUE")</f>
        <v/>
      </c>
      <c r="M122">
        <f t="array" ref="M122">IsURL(Table_121215[[#This Row],[Data Source]])</f>
        <v/>
      </c>
      <c r="N122">
        <f t="array" ref="N122">IsURL(Table_121215[[#This Row],[DOI]])</f>
        <v/>
      </c>
      <c r="O122">
        <f t="array" ref="O122">IsURL(Table_121215[[#This Row],[Data Source]])</f>
        <v/>
      </c>
      <c r="P122">
        <f t="array" ref="P122">IsURL(Table_121215[[#This Row],[Data Source]])</f>
        <v/>
      </c>
    </row>
    <row r="123" ht="15.75" customHeight="1">
      <c r="A123">
        <f>IF(Table_15[[#This Row],[Part Name]]=0,"",Table_15[[#This Row],[Part Name]])</f>
        <v/>
      </c>
      <c r="I123">
        <f>LEN(TRIM(CLEAN(SUBSTITUTE(SUBSTITUTE(Table_15[[#This Row],[Sequence]],CHAR(160)," ")," ",""))))</f>
        <v/>
      </c>
      <c r="K123" s="21" t="n"/>
      <c r="L123" s="21">
        <f>IF($B123="","FALSE","TRUE")</f>
        <v/>
      </c>
      <c r="M123">
        <f t="array" ref="M123">IsURL(Table_121215[[#This Row],[Data Source]])</f>
        <v/>
      </c>
      <c r="N123">
        <f t="array" ref="N123">IsURL(Table_121215[[#This Row],[DOI]])</f>
        <v/>
      </c>
      <c r="O123">
        <f t="array" ref="O123">IsURL(Table_121215[[#This Row],[Data Source]])</f>
        <v/>
      </c>
      <c r="P123">
        <f t="array" ref="P123">IsURL(Table_121215[[#This Row],[Data Source]])</f>
        <v/>
      </c>
    </row>
    <row r="124" ht="15.75" customHeight="1">
      <c r="A124">
        <f>IF(Table_15[[#This Row],[Part Name]]=0,"",Table_15[[#This Row],[Part Name]])</f>
        <v/>
      </c>
      <c r="I124">
        <f>LEN(TRIM(CLEAN(SUBSTITUTE(SUBSTITUTE(Table_15[[#This Row],[Sequence]],CHAR(160)," ")," ",""))))</f>
        <v/>
      </c>
      <c r="K124" s="21" t="n"/>
      <c r="L124" s="21">
        <f>IF($B124="","FALSE","TRUE")</f>
        <v/>
      </c>
      <c r="M124">
        <f t="array" ref="M124">IsURL(Table_121215[[#This Row],[Data Source]])</f>
        <v/>
      </c>
      <c r="N124">
        <f t="array" ref="N124">IsURL(Table_121215[[#This Row],[DOI]])</f>
        <v/>
      </c>
      <c r="O124">
        <f t="array" ref="O124">IsURL(Table_121215[[#This Row],[Data Source]])</f>
        <v/>
      </c>
      <c r="P124">
        <f t="array" ref="P124">IsURL(Table_121215[[#This Row],[Data Source]])</f>
        <v/>
      </c>
    </row>
    <row r="125" ht="15.75" customHeight="1">
      <c r="A125">
        <f>IF(Table_15[[#This Row],[Part Name]]=0,"",Table_15[[#This Row],[Part Name]])</f>
        <v/>
      </c>
      <c r="I125">
        <f>LEN(TRIM(CLEAN(SUBSTITUTE(SUBSTITUTE(Table_15[[#This Row],[Sequence]],CHAR(160)," ")," ",""))))</f>
        <v/>
      </c>
      <c r="K125" s="21" t="n"/>
      <c r="L125" s="21">
        <f>IF($B125="","FALSE","TRUE")</f>
        <v/>
      </c>
      <c r="M125">
        <f t="array" ref="M125">IsURL(Table_121215[[#This Row],[Data Source]])</f>
        <v/>
      </c>
      <c r="N125">
        <f t="array" ref="N125">IsURL(Table_121215[[#This Row],[DOI]])</f>
        <v/>
      </c>
      <c r="O125">
        <f t="array" ref="O125">IsURL(Table_121215[[#This Row],[Data Source]])</f>
        <v/>
      </c>
      <c r="P125">
        <f t="array" ref="P125">IsURL(Table_121215[[#This Row],[Data Source]])</f>
        <v/>
      </c>
    </row>
    <row r="126" ht="15.75" customHeight="1">
      <c r="A126">
        <f>IF(Table_15[[#This Row],[Part Name]]=0,"",Table_15[[#This Row],[Part Name]])</f>
        <v/>
      </c>
      <c r="I126">
        <f>LEN(TRIM(CLEAN(SUBSTITUTE(SUBSTITUTE(Table_15[[#This Row],[Sequence]],CHAR(160)," ")," ",""))))</f>
        <v/>
      </c>
      <c r="K126" s="21" t="n"/>
      <c r="L126" s="21">
        <f>IF($B126="","FALSE","TRUE")</f>
        <v/>
      </c>
      <c r="M126">
        <f t="array" ref="M126">IsURL(Table_121215[[#This Row],[Data Source]])</f>
        <v/>
      </c>
      <c r="N126">
        <f t="array" ref="N126">IsURL(Table_121215[[#This Row],[DOI]])</f>
        <v/>
      </c>
      <c r="O126">
        <f t="array" ref="O126">IsURL(Table_121215[[#This Row],[Data Source]])</f>
        <v/>
      </c>
      <c r="P126">
        <f t="array" ref="P126">IsURL(Table_121215[[#This Row],[Data Source]])</f>
        <v/>
      </c>
    </row>
    <row r="127" ht="15.75" customHeight="1">
      <c r="A127">
        <f>IF(Table_15[[#This Row],[Part Name]]=0,"",Table_15[[#This Row],[Part Name]])</f>
        <v/>
      </c>
      <c r="I127">
        <f>LEN(TRIM(CLEAN(SUBSTITUTE(SUBSTITUTE(Table_15[[#This Row],[Sequence]],CHAR(160)," ")," ",""))))</f>
        <v/>
      </c>
      <c r="K127" s="21" t="n"/>
      <c r="L127" s="21">
        <f>IF($B127="","FALSE","TRUE")</f>
        <v/>
      </c>
      <c r="M127">
        <f t="array" ref="M127">IsURL(Table_121215[[#This Row],[Data Source]])</f>
        <v/>
      </c>
      <c r="N127">
        <f t="array" ref="N127">IsURL(Table_121215[[#This Row],[DOI]])</f>
        <v/>
      </c>
      <c r="O127">
        <f t="array" ref="O127">IsURL(Table_121215[[#This Row],[Data Source]])</f>
        <v/>
      </c>
      <c r="P127">
        <f t="array" ref="P127">IsURL(Table_121215[[#This Row],[Data Source]])</f>
        <v/>
      </c>
    </row>
    <row r="128" ht="15.75" customHeight="1">
      <c r="A128">
        <f>IF(Table_15[[#This Row],[Part Name]]=0,"",Table_15[[#This Row],[Part Name]])</f>
        <v/>
      </c>
      <c r="I128">
        <f>LEN(TRIM(CLEAN(SUBSTITUTE(SUBSTITUTE(Table_15[[#This Row],[Sequence]],CHAR(160)," ")," ",""))))</f>
        <v/>
      </c>
      <c r="K128" s="21" t="n"/>
      <c r="L128" s="21">
        <f>IF($B128="","FALSE","TRUE")</f>
        <v/>
      </c>
      <c r="M128">
        <f t="array" ref="M128">IsURL(Table_121215[[#This Row],[Data Source]])</f>
        <v/>
      </c>
      <c r="N128">
        <f t="array" ref="N128">IsURL(Table_121215[[#This Row],[DOI]])</f>
        <v/>
      </c>
      <c r="O128">
        <f t="array" ref="O128">IsURL(Table_121215[[#This Row],[Data Source]])</f>
        <v/>
      </c>
      <c r="P128">
        <f t="array" ref="P128">IsURL(Table_121215[[#This Row],[Data Source]])</f>
        <v/>
      </c>
    </row>
    <row r="129" ht="15.75" customHeight="1">
      <c r="A129">
        <f>IF(Table_15[[#This Row],[Part Name]]=0,"",Table_15[[#This Row],[Part Name]])</f>
        <v/>
      </c>
      <c r="I129">
        <f>LEN(TRIM(CLEAN(SUBSTITUTE(SUBSTITUTE(Table_15[[#This Row],[Sequence]],CHAR(160)," ")," ",""))))</f>
        <v/>
      </c>
      <c r="K129" s="21" t="n"/>
      <c r="L129" s="21">
        <f>IF($B129="","FALSE","TRUE")</f>
        <v/>
      </c>
      <c r="M129">
        <f t="array" ref="M129">IsURL(Table_121215[[#This Row],[Data Source]])</f>
        <v/>
      </c>
      <c r="N129">
        <f t="array" ref="N129">IsURL(Table_121215[[#This Row],[DOI]])</f>
        <v/>
      </c>
      <c r="O129">
        <f t="array" ref="O129">IsURL(Table_121215[[#This Row],[Data Source]])</f>
        <v/>
      </c>
      <c r="P129">
        <f t="array" ref="P129">IsURL(Table_121215[[#This Row],[Data Source]])</f>
        <v/>
      </c>
    </row>
    <row r="130" ht="15.75" customHeight="1">
      <c r="A130">
        <f>IF(Table_15[[#This Row],[Part Name]]=0,"",Table_15[[#This Row],[Part Name]])</f>
        <v/>
      </c>
      <c r="I130">
        <f>LEN(TRIM(CLEAN(SUBSTITUTE(SUBSTITUTE(Table_15[[#This Row],[Sequence]],CHAR(160)," ")," ",""))))</f>
        <v/>
      </c>
      <c r="K130" s="21" t="n"/>
      <c r="L130" s="21">
        <f>IF($B130="","FALSE","TRUE")</f>
        <v/>
      </c>
      <c r="M130">
        <f t="array" ref="M130">IsURL(Table_121215[[#This Row],[Data Source]])</f>
        <v/>
      </c>
      <c r="N130">
        <f t="array" ref="N130">IsURL(Table_121215[[#This Row],[DOI]])</f>
        <v/>
      </c>
      <c r="O130">
        <f t="array" ref="O130">IsURL(Table_121215[[#This Row],[Data Source]])</f>
        <v/>
      </c>
      <c r="P130">
        <f t="array" ref="P130">IsURL(Table_121215[[#This Row],[Data Source]])</f>
        <v/>
      </c>
    </row>
    <row r="131" ht="15.75" customHeight="1">
      <c r="A131">
        <f>IF(Table_15[[#This Row],[Part Name]]=0,"",Table_15[[#This Row],[Part Name]])</f>
        <v/>
      </c>
      <c r="I131">
        <f>LEN(TRIM(CLEAN(SUBSTITUTE(SUBSTITUTE(Table_15[[#This Row],[Sequence]],CHAR(160)," ")," ",""))))</f>
        <v/>
      </c>
      <c r="K131" s="21" t="n"/>
      <c r="L131" s="21">
        <f>IF($B131="","FALSE","TRUE")</f>
        <v/>
      </c>
      <c r="M131">
        <f t="array" ref="M131">IsURL(Table_121215[[#This Row],[Data Source]])</f>
        <v/>
      </c>
      <c r="N131">
        <f t="array" ref="N131">IsURL(Table_121215[[#This Row],[DOI]])</f>
        <v/>
      </c>
      <c r="O131">
        <f t="array" ref="O131">IsURL(Table_121215[[#This Row],[Data Source]])</f>
        <v/>
      </c>
      <c r="P131">
        <f t="array" ref="P131">IsURL(Table_121215[[#This Row],[Data Source]])</f>
        <v/>
      </c>
    </row>
    <row r="132" ht="15.75" customHeight="1">
      <c r="A132">
        <f>IF(Table_15[[#This Row],[Part Name]]=0,"",Table_15[[#This Row],[Part Name]])</f>
        <v/>
      </c>
      <c r="I132">
        <f>LEN(TRIM(CLEAN(SUBSTITUTE(SUBSTITUTE(Table_15[[#This Row],[Sequence]],CHAR(160)," ")," ",""))))</f>
        <v/>
      </c>
      <c r="K132" s="21" t="n"/>
      <c r="L132" s="21">
        <f>IF($B132="","FALSE","TRUE")</f>
        <v/>
      </c>
      <c r="M132">
        <f t="array" ref="M132">IsURL(Table_121215[[#This Row],[Data Source]])</f>
        <v/>
      </c>
      <c r="N132">
        <f t="array" ref="N132">IsURL(Table_121215[[#This Row],[DOI]])</f>
        <v/>
      </c>
      <c r="O132">
        <f t="array" ref="O132">IsURL(Table_121215[[#This Row],[Data Source]])</f>
        <v/>
      </c>
      <c r="P132">
        <f t="array" ref="P132">IsURL(Table_121215[[#This Row],[Data Source]])</f>
        <v/>
      </c>
    </row>
    <row r="133" ht="15.75" customHeight="1">
      <c r="A133">
        <f>IF(Table_15[[#This Row],[Part Name]]=0,"",Table_15[[#This Row],[Part Name]])</f>
        <v/>
      </c>
      <c r="I133">
        <f>LEN(TRIM(CLEAN(SUBSTITUTE(SUBSTITUTE(Table_15[[#This Row],[Sequence]],CHAR(160)," ")," ",""))))</f>
        <v/>
      </c>
      <c r="K133" s="21" t="n"/>
      <c r="L133" s="21">
        <f>IF($B133="","FALSE","TRUE")</f>
        <v/>
      </c>
      <c r="M133">
        <f t="array" ref="M133">IsURL(Table_121215[[#This Row],[Data Source]])</f>
        <v/>
      </c>
      <c r="N133">
        <f t="array" ref="N133">IsURL(Table_121215[[#This Row],[DOI]])</f>
        <v/>
      </c>
      <c r="O133">
        <f t="array" ref="O133">IsURL(Table_121215[[#This Row],[Data Source]])</f>
        <v/>
      </c>
      <c r="P133">
        <f t="array" ref="P133">IsURL(Table_121215[[#This Row],[Data Source]])</f>
        <v/>
      </c>
    </row>
    <row r="134" ht="15.75" customHeight="1">
      <c r="A134">
        <f>IF(Table_15[[#This Row],[Part Name]]=0,"",Table_15[[#This Row],[Part Name]])</f>
        <v/>
      </c>
      <c r="I134">
        <f>LEN(TRIM(CLEAN(SUBSTITUTE(SUBSTITUTE(Table_15[[#This Row],[Sequence]],CHAR(160)," ")," ",""))))</f>
        <v/>
      </c>
      <c r="K134" s="21" t="n"/>
      <c r="L134" s="21">
        <f>IF($B134="","FALSE","TRUE")</f>
        <v/>
      </c>
      <c r="M134">
        <f t="array" ref="M134">IsURL(Table_121215[[#This Row],[Data Source]])</f>
        <v/>
      </c>
      <c r="N134">
        <f t="array" ref="N134">IsURL(Table_121215[[#This Row],[DOI]])</f>
        <v/>
      </c>
      <c r="O134">
        <f t="array" ref="O134">IsURL(Table_121215[[#This Row],[Data Source]])</f>
        <v/>
      </c>
      <c r="P134">
        <f t="array" ref="P134">IsURL(Table_121215[[#This Row],[Data Source]])</f>
        <v/>
      </c>
    </row>
    <row r="135" ht="15.75" customHeight="1">
      <c r="A135">
        <f>IF(Table_15[[#This Row],[Part Name]]=0,"",Table_15[[#This Row],[Part Name]])</f>
        <v/>
      </c>
      <c r="I135">
        <f>LEN(TRIM(CLEAN(SUBSTITUTE(SUBSTITUTE(Table_15[[#This Row],[Sequence]],CHAR(160)," ")," ",""))))</f>
        <v/>
      </c>
      <c r="K135" s="21" t="n"/>
      <c r="L135" s="21">
        <f>IF($B135="","FALSE","TRUE")</f>
        <v/>
      </c>
      <c r="M135">
        <f t="array" ref="M135">IsURL(Table_121215[[#This Row],[Data Source]])</f>
        <v/>
      </c>
      <c r="N135">
        <f t="array" ref="N135">IsURL(Table_121215[[#This Row],[DOI]])</f>
        <v/>
      </c>
      <c r="O135">
        <f t="array" ref="O135">IsURL(Table_121215[[#This Row],[Data Source]])</f>
        <v/>
      </c>
      <c r="P135">
        <f t="array" ref="P135">IsURL(Table_121215[[#This Row],[Data Source]])</f>
        <v/>
      </c>
    </row>
    <row r="136" ht="15.75" customHeight="1">
      <c r="A136">
        <f>IF(Table_15[[#This Row],[Part Name]]=0,"",Table_15[[#This Row],[Part Name]])</f>
        <v/>
      </c>
      <c r="I136">
        <f>LEN(TRIM(CLEAN(SUBSTITUTE(SUBSTITUTE(Table_15[[#This Row],[Sequence]],CHAR(160)," ")," ",""))))</f>
        <v/>
      </c>
      <c r="K136" s="21" t="n"/>
      <c r="L136" s="21">
        <f>IF($B136="","FALSE","TRUE")</f>
        <v/>
      </c>
      <c r="M136">
        <f t="array" ref="M136">IsURL(Table_121215[[#This Row],[Data Source]])</f>
        <v/>
      </c>
      <c r="N136">
        <f t="array" ref="N136">IsURL(Table_121215[[#This Row],[DOI]])</f>
        <v/>
      </c>
      <c r="O136">
        <f t="array" ref="O136">IsURL(Table_121215[[#This Row],[Data Source]])</f>
        <v/>
      </c>
      <c r="P136">
        <f t="array" ref="P136">IsURL(Table_121215[[#This Row],[Data Source]])</f>
        <v/>
      </c>
    </row>
    <row r="137" ht="15.75" customHeight="1">
      <c r="A137">
        <f>IF(Table_15[[#This Row],[Part Name]]=0,"",Table_15[[#This Row],[Part Name]])</f>
        <v/>
      </c>
      <c r="I137">
        <f>LEN(TRIM(CLEAN(SUBSTITUTE(SUBSTITUTE(Table_15[[#This Row],[Sequence]],CHAR(160)," ")," ",""))))</f>
        <v/>
      </c>
      <c r="K137" s="21" t="n"/>
      <c r="L137" s="21">
        <f>IF($B137="","FALSE","TRUE")</f>
        <v/>
      </c>
      <c r="M137">
        <f t="array" ref="M137">IsURL(Table_121215[[#This Row],[Data Source]])</f>
        <v/>
      </c>
      <c r="N137">
        <f t="array" ref="N137">IsURL(Table_121215[[#This Row],[DOI]])</f>
        <v/>
      </c>
      <c r="O137">
        <f t="array" ref="O137">IsURL(Table_121215[[#This Row],[Data Source]])</f>
        <v/>
      </c>
      <c r="P137">
        <f t="array" ref="P137">IsURL(Table_121215[[#This Row],[Data Source]])</f>
        <v/>
      </c>
    </row>
    <row r="138" ht="15.75" customHeight="1">
      <c r="A138">
        <f>IF(Table_15[[#This Row],[Part Name]]=0,"",Table_15[[#This Row],[Part Name]])</f>
        <v/>
      </c>
      <c r="I138">
        <f>LEN(TRIM(CLEAN(SUBSTITUTE(SUBSTITUTE(Table_15[[#This Row],[Sequence]],CHAR(160)," ")," ",""))))</f>
        <v/>
      </c>
      <c r="K138" s="21" t="n"/>
      <c r="L138" s="21">
        <f>IF($B138="","FALSE","TRUE")</f>
        <v/>
      </c>
      <c r="M138">
        <f t="array" ref="M138">IsURL(Table_121215[[#This Row],[Data Source]])</f>
        <v/>
      </c>
      <c r="N138">
        <f t="array" ref="N138">IsURL(Table_121215[[#This Row],[DOI]])</f>
        <v/>
      </c>
      <c r="O138">
        <f t="array" ref="O138">IsURL(Table_121215[[#This Row],[Data Source]])</f>
        <v/>
      </c>
      <c r="P138">
        <f t="array" ref="P138">IsURL(Table_121215[[#This Row],[Data Source]])</f>
        <v/>
      </c>
    </row>
    <row r="139" ht="15.75" customHeight="1">
      <c r="A139">
        <f>IF(Table_15[[#This Row],[Part Name]]=0,"",Table_15[[#This Row],[Part Name]])</f>
        <v/>
      </c>
      <c r="I139">
        <f>LEN(TRIM(CLEAN(SUBSTITUTE(SUBSTITUTE(Table_15[[#This Row],[Sequence]],CHAR(160)," ")," ",""))))</f>
        <v/>
      </c>
      <c r="K139" s="21" t="n"/>
      <c r="L139" s="21">
        <f>IF($B139="","FALSE","TRUE")</f>
        <v/>
      </c>
      <c r="M139">
        <f t="array" ref="M139">IsURL(Table_121215[[#This Row],[Data Source]])</f>
        <v/>
      </c>
      <c r="N139">
        <f t="array" ref="N139">IsURL(Table_121215[[#This Row],[DOI]])</f>
        <v/>
      </c>
      <c r="O139">
        <f t="array" ref="O139">IsURL(Table_121215[[#This Row],[Data Source]])</f>
        <v/>
      </c>
      <c r="P139">
        <f t="array" ref="P139">IsURL(Table_121215[[#This Row],[Data Source]])</f>
        <v/>
      </c>
    </row>
    <row r="140" ht="15.75" customHeight="1">
      <c r="A140">
        <f>IF(Table_15[[#This Row],[Part Name]]=0,"",Table_15[[#This Row],[Part Name]])</f>
        <v/>
      </c>
      <c r="I140">
        <f>LEN(TRIM(CLEAN(SUBSTITUTE(SUBSTITUTE(Table_15[[#This Row],[Sequence]],CHAR(160)," ")," ",""))))</f>
        <v/>
      </c>
      <c r="K140" s="21" t="n"/>
      <c r="L140" s="21">
        <f>IF($B140="","FALSE","TRUE")</f>
        <v/>
      </c>
      <c r="M140">
        <f t="array" ref="M140">IsURL(Table_121215[[#This Row],[Data Source]])</f>
        <v/>
      </c>
      <c r="N140">
        <f t="array" ref="N140">IsURL(Table_121215[[#This Row],[DOI]])</f>
        <v/>
      </c>
      <c r="O140">
        <f t="array" ref="O140">IsURL(Table_121215[[#This Row],[Data Source]])</f>
        <v/>
      </c>
      <c r="P140">
        <f t="array" ref="P140">IsURL(Table_121215[[#This Row],[Data Source]])</f>
        <v/>
      </c>
    </row>
    <row r="141" ht="15.75" customHeight="1">
      <c r="A141">
        <f>IF(Table_15[[#This Row],[Part Name]]=0,"",Table_15[[#This Row],[Part Name]])</f>
        <v/>
      </c>
      <c r="I141">
        <f>LEN(TRIM(CLEAN(SUBSTITUTE(SUBSTITUTE(Table_15[[#This Row],[Sequence]],CHAR(160)," ")," ",""))))</f>
        <v/>
      </c>
      <c r="K141" s="21" t="n"/>
      <c r="L141" s="21">
        <f>IF($B141="","FALSE","TRUE")</f>
        <v/>
      </c>
      <c r="M141">
        <f t="array" ref="M141">IsURL(Table_121215[[#This Row],[Data Source]])</f>
        <v/>
      </c>
      <c r="N141">
        <f t="array" ref="N141">IsURL(Table_121215[[#This Row],[DOI]])</f>
        <v/>
      </c>
      <c r="O141">
        <f t="array" ref="O141">IsURL(Table_121215[[#This Row],[Data Source]])</f>
        <v/>
      </c>
      <c r="P141">
        <f t="array" ref="P141">IsURL(Table_121215[[#This Row],[Data Source]])</f>
        <v/>
      </c>
    </row>
    <row r="142" ht="15.75" customHeight="1">
      <c r="A142">
        <f>IF(Table_15[[#This Row],[Part Name]]=0,"",Table_15[[#This Row],[Part Name]])</f>
        <v/>
      </c>
      <c r="I142">
        <f>LEN(TRIM(CLEAN(SUBSTITUTE(SUBSTITUTE(Table_15[[#This Row],[Sequence]],CHAR(160)," ")," ",""))))</f>
        <v/>
      </c>
      <c r="K142" s="21" t="n"/>
      <c r="L142" s="21">
        <f>IF($B142="","FALSE","TRUE")</f>
        <v/>
      </c>
      <c r="M142">
        <f t="array" ref="M142">IsURL(Table_121215[[#This Row],[Data Source]])</f>
        <v/>
      </c>
      <c r="N142">
        <f t="array" ref="N142">IsURL(Table_121215[[#This Row],[DOI]])</f>
        <v/>
      </c>
      <c r="O142">
        <f t="array" ref="O142">IsURL(Table_121215[[#This Row],[Data Source]])</f>
        <v/>
      </c>
      <c r="P142">
        <f t="array" ref="P142">IsURL(Table_121215[[#This Row],[Data Source]])</f>
        <v/>
      </c>
    </row>
    <row r="143" ht="15.75" customHeight="1">
      <c r="A143">
        <f>IF(Table_15[[#This Row],[Part Name]]=0,"",Table_15[[#This Row],[Part Name]])</f>
        <v/>
      </c>
      <c r="I143">
        <f>LEN(TRIM(CLEAN(SUBSTITUTE(SUBSTITUTE(Table_15[[#This Row],[Sequence]],CHAR(160)," ")," ",""))))</f>
        <v/>
      </c>
      <c r="K143" s="21" t="n"/>
      <c r="L143" s="21">
        <f>IF($B143="","FALSE","TRUE")</f>
        <v/>
      </c>
      <c r="M143">
        <f t="array" ref="M143">IsURL(Table_121215[[#This Row],[Data Source]])</f>
        <v/>
      </c>
      <c r="N143">
        <f t="array" ref="N143">IsURL(Table_121215[[#This Row],[DOI]])</f>
        <v/>
      </c>
      <c r="O143">
        <f t="array" ref="O143">IsURL(Table_121215[[#This Row],[Data Source]])</f>
        <v/>
      </c>
      <c r="P143">
        <f t="array" ref="P143">IsURL(Table_121215[[#This Row],[Data Source]])</f>
        <v/>
      </c>
    </row>
    <row r="144" ht="15.75" customHeight="1">
      <c r="A144">
        <f>IF(Table_15[[#This Row],[Part Name]]=0,"",Table_15[[#This Row],[Part Name]])</f>
        <v/>
      </c>
      <c r="I144">
        <f>LEN(TRIM(CLEAN(SUBSTITUTE(SUBSTITUTE(Table_15[[#This Row],[Sequence]],CHAR(160)," ")," ",""))))</f>
        <v/>
      </c>
      <c r="K144" s="21" t="n"/>
      <c r="L144" s="21">
        <f>IF($B144="","FALSE","TRUE")</f>
        <v/>
      </c>
      <c r="M144">
        <f t="array" ref="M144">IsURL(Table_121215[[#This Row],[Data Source]])</f>
        <v/>
      </c>
      <c r="N144">
        <f t="array" ref="N144">IsURL(Table_121215[[#This Row],[DOI]])</f>
        <v/>
      </c>
      <c r="O144">
        <f t="array" ref="O144">IsURL(Table_121215[[#This Row],[Data Source]])</f>
        <v/>
      </c>
      <c r="P144">
        <f t="array" ref="P144">IsURL(Table_121215[[#This Row],[Data Source]])</f>
        <v/>
      </c>
    </row>
    <row r="145" ht="15.75" customHeight="1">
      <c r="A145">
        <f>IF(Table_15[[#This Row],[Part Name]]=0,"",Table_15[[#This Row],[Part Name]])</f>
        <v/>
      </c>
      <c r="I145">
        <f>LEN(TRIM(CLEAN(SUBSTITUTE(SUBSTITUTE(Table_15[[#This Row],[Sequence]],CHAR(160)," ")," ",""))))</f>
        <v/>
      </c>
      <c r="K145" s="21" t="n"/>
      <c r="L145" s="21">
        <f>IF($B145="","FALSE","TRUE")</f>
        <v/>
      </c>
      <c r="M145">
        <f t="array" ref="M145">IsURL(Table_121215[[#This Row],[Data Source]])</f>
        <v/>
      </c>
      <c r="N145">
        <f t="array" ref="N145">IsURL(Table_121215[[#This Row],[DOI]])</f>
        <v/>
      </c>
      <c r="O145">
        <f t="array" ref="O145">IsURL(Table_121215[[#This Row],[Data Source]])</f>
        <v/>
      </c>
      <c r="P145">
        <f t="array" ref="P145">IsURL(Table_121215[[#This Row],[Data Source]])</f>
        <v/>
      </c>
    </row>
    <row r="146" ht="15.75" customHeight="1">
      <c r="A146">
        <f>IF(Table_15[[#This Row],[Part Name]]=0,"",Table_15[[#This Row],[Part Name]])</f>
        <v/>
      </c>
      <c r="I146">
        <f>LEN(TRIM(CLEAN(SUBSTITUTE(SUBSTITUTE(Table_15[[#This Row],[Sequence]],CHAR(160)," ")," ",""))))</f>
        <v/>
      </c>
      <c r="K146" s="21" t="n"/>
      <c r="L146" s="21">
        <f>IF($B146="","FALSE","TRUE")</f>
        <v/>
      </c>
      <c r="M146">
        <f t="array" ref="M146">IsURL(Table_121215[[#This Row],[Data Source]])</f>
        <v/>
      </c>
      <c r="N146">
        <f t="array" ref="N146">IsURL(Table_121215[[#This Row],[DOI]])</f>
        <v/>
      </c>
      <c r="O146">
        <f t="array" ref="O146">IsURL(Table_121215[[#This Row],[Data Source]])</f>
        <v/>
      </c>
      <c r="P146">
        <f t="array" ref="P146">IsURL(Table_121215[[#This Row],[Data Source]])</f>
        <v/>
      </c>
    </row>
    <row r="147" ht="15.75" customHeight="1">
      <c r="A147">
        <f>IF(Table_15[[#This Row],[Part Name]]=0,"",Table_15[[#This Row],[Part Name]])</f>
        <v/>
      </c>
      <c r="I147">
        <f>LEN(TRIM(CLEAN(SUBSTITUTE(SUBSTITUTE(Table_15[[#This Row],[Sequence]],CHAR(160)," ")," ",""))))</f>
        <v/>
      </c>
      <c r="K147" s="21" t="n"/>
      <c r="L147" s="21">
        <f>IF($B147="","FALSE","TRUE")</f>
        <v/>
      </c>
      <c r="M147">
        <f t="array" ref="M147">IsURL(Table_121215[[#This Row],[Data Source]])</f>
        <v/>
      </c>
      <c r="N147">
        <f t="array" ref="N147">IsURL(Table_121215[[#This Row],[DOI]])</f>
        <v/>
      </c>
      <c r="O147">
        <f t="array" ref="O147">IsURL(Table_121215[[#This Row],[Data Source]])</f>
        <v/>
      </c>
      <c r="P147">
        <f t="array" ref="P147">IsURL(Table_121215[[#This Row],[Data Source]])</f>
        <v/>
      </c>
    </row>
    <row r="148" ht="15.75" customHeight="1">
      <c r="A148">
        <f>IF(Table_15[[#This Row],[Part Name]]=0,"",Table_15[[#This Row],[Part Name]])</f>
        <v/>
      </c>
      <c r="I148">
        <f>LEN(TRIM(CLEAN(SUBSTITUTE(SUBSTITUTE(Table_15[[#This Row],[Sequence]],CHAR(160)," ")," ",""))))</f>
        <v/>
      </c>
      <c r="K148" s="21" t="n"/>
      <c r="L148" s="21">
        <f>IF($B148="","FALSE","TRUE")</f>
        <v/>
      </c>
      <c r="M148">
        <f t="array" ref="M148">IsURL(Table_121215[[#This Row],[Data Source]])</f>
        <v/>
      </c>
      <c r="N148">
        <f t="array" ref="N148">IsURL(Table_121215[[#This Row],[DOI]])</f>
        <v/>
      </c>
      <c r="O148">
        <f t="array" ref="O148">IsURL(Table_121215[[#This Row],[Data Source]])</f>
        <v/>
      </c>
      <c r="P148">
        <f t="array" ref="P148">IsURL(Table_121215[[#This Row],[Data Source]])</f>
        <v/>
      </c>
    </row>
    <row r="149" ht="15.75" customHeight="1">
      <c r="A149">
        <f>IF(Table_15[[#This Row],[Part Name]]=0,"",Table_15[[#This Row],[Part Name]])</f>
        <v/>
      </c>
      <c r="I149">
        <f>LEN(TRIM(CLEAN(SUBSTITUTE(SUBSTITUTE(Table_15[[#This Row],[Sequence]],CHAR(160)," ")," ",""))))</f>
        <v/>
      </c>
      <c r="K149" s="21" t="n"/>
      <c r="L149" s="21">
        <f>IF($B149="","FALSE","TRUE")</f>
        <v/>
      </c>
      <c r="M149">
        <f t="array" ref="M149">IsURL(Table_121215[[#This Row],[Data Source]])</f>
        <v/>
      </c>
      <c r="N149">
        <f t="array" ref="N149">IsURL(Table_121215[[#This Row],[DOI]])</f>
        <v/>
      </c>
      <c r="O149">
        <f t="array" ref="O149">IsURL(Table_121215[[#This Row],[Data Source]])</f>
        <v/>
      </c>
      <c r="P149">
        <f t="array" ref="P149">IsURL(Table_121215[[#This Row],[Data Source]])</f>
        <v/>
      </c>
    </row>
    <row r="150" ht="15.75" customHeight="1">
      <c r="A150">
        <f>IF(Table_15[[#This Row],[Part Name]]=0,"",Table_15[[#This Row],[Part Name]])</f>
        <v/>
      </c>
      <c r="I150">
        <f>LEN(TRIM(CLEAN(SUBSTITUTE(SUBSTITUTE(Table_15[[#This Row],[Sequence]],CHAR(160)," ")," ",""))))</f>
        <v/>
      </c>
      <c r="K150" s="21" t="n"/>
      <c r="L150" s="21">
        <f>IF($B150="","FALSE","TRUE")</f>
        <v/>
      </c>
      <c r="M150">
        <f t="array" ref="M150">IsURL(Table_121215[[#This Row],[Data Source]])</f>
        <v/>
      </c>
      <c r="N150">
        <f t="array" ref="N150">IsURL(Table_121215[[#This Row],[DOI]])</f>
        <v/>
      </c>
      <c r="O150">
        <f t="array" ref="O150">IsURL(Table_121215[[#This Row],[Data Source]])</f>
        <v/>
      </c>
      <c r="P150">
        <f t="array" ref="P150">IsURL(Table_121215[[#This Row],[Data Source]])</f>
        <v/>
      </c>
    </row>
    <row r="151" ht="15.75" customHeight="1">
      <c r="A151">
        <f>IF(Table_15[[#This Row],[Part Name]]=0,"",Table_15[[#This Row],[Part Name]])</f>
        <v/>
      </c>
      <c r="I151">
        <f>LEN(TRIM(CLEAN(SUBSTITUTE(SUBSTITUTE(Table_15[[#This Row],[Sequence]],CHAR(160)," ")," ",""))))</f>
        <v/>
      </c>
      <c r="K151" s="21" t="n"/>
      <c r="L151" s="21">
        <f>IF($B151="","FALSE","TRUE")</f>
        <v/>
      </c>
      <c r="M151">
        <f t="array" ref="M151">IsURL(Table_121215[[#This Row],[Data Source]])</f>
        <v/>
      </c>
      <c r="N151">
        <f t="array" ref="N151">IsURL(Table_121215[[#This Row],[DOI]])</f>
        <v/>
      </c>
      <c r="O151">
        <f t="array" ref="O151">IsURL(Table_121215[[#This Row],[Data Source]])</f>
        <v/>
      </c>
      <c r="P151">
        <f t="array" ref="P151">IsURL(Table_121215[[#This Row],[Data Source]])</f>
        <v/>
      </c>
    </row>
    <row r="152" ht="15.75" customHeight="1">
      <c r="A152">
        <f>IF(Table_15[[#This Row],[Part Name]]=0,"",Table_15[[#This Row],[Part Name]])</f>
        <v/>
      </c>
      <c r="I152">
        <f>LEN(TRIM(CLEAN(SUBSTITUTE(SUBSTITUTE(Table_15[[#This Row],[Sequence]],CHAR(160)," ")," ",""))))</f>
        <v/>
      </c>
      <c r="K152" s="21" t="n"/>
      <c r="L152" s="21">
        <f>IF($B152="","FALSE","TRUE")</f>
        <v/>
      </c>
      <c r="M152">
        <f t="array" ref="M152">IsURL(Table_121215[[#This Row],[Data Source]])</f>
        <v/>
      </c>
      <c r="N152">
        <f t="array" ref="N152">IsURL(Table_121215[[#This Row],[DOI]])</f>
        <v/>
      </c>
      <c r="O152">
        <f t="array" ref="O152">IsURL(Table_121215[[#This Row],[Data Source]])</f>
        <v/>
      </c>
      <c r="P152">
        <f t="array" ref="P152">IsURL(Table_121215[[#This Row],[Data Source]])</f>
        <v/>
      </c>
    </row>
    <row r="153" ht="15.75" customHeight="1">
      <c r="A153">
        <f>IF(Table_15[[#This Row],[Part Name]]=0,"",Table_15[[#This Row],[Part Name]])</f>
        <v/>
      </c>
      <c r="I153">
        <f>LEN(TRIM(CLEAN(SUBSTITUTE(SUBSTITUTE(Table_15[[#This Row],[Sequence]],CHAR(160)," ")," ",""))))</f>
        <v/>
      </c>
      <c r="K153" s="21" t="n"/>
      <c r="L153" s="21">
        <f>IF($B153="","FALSE","TRUE")</f>
        <v/>
      </c>
      <c r="M153">
        <f t="array" ref="M153">IsURL(Table_121215[[#This Row],[Data Source]])</f>
        <v/>
      </c>
      <c r="N153">
        <f t="array" ref="N153">IsURL(Table_121215[[#This Row],[DOI]])</f>
        <v/>
      </c>
      <c r="O153">
        <f t="array" ref="O153">IsURL(Table_121215[[#This Row],[Data Source]])</f>
        <v/>
      </c>
      <c r="P153">
        <f t="array" ref="P153">IsURL(Table_121215[[#This Row],[Data Source]])</f>
        <v/>
      </c>
    </row>
    <row r="154" ht="15.75" customHeight="1">
      <c r="A154">
        <f>IF(Table_15[[#This Row],[Part Name]]=0,"",Table_15[[#This Row],[Part Name]])</f>
        <v/>
      </c>
      <c r="I154">
        <f>LEN(TRIM(CLEAN(SUBSTITUTE(SUBSTITUTE(Table_15[[#This Row],[Sequence]],CHAR(160)," ")," ",""))))</f>
        <v/>
      </c>
      <c r="K154" s="21" t="n"/>
      <c r="L154" s="21">
        <f>IF($B154="","FALSE","TRUE")</f>
        <v/>
      </c>
      <c r="M154">
        <f t="array" ref="M154">IsURL(Table_121215[[#This Row],[Data Source]])</f>
        <v/>
      </c>
      <c r="N154">
        <f t="array" ref="N154">IsURL(Table_121215[[#This Row],[DOI]])</f>
        <v/>
      </c>
      <c r="O154">
        <f t="array" ref="O154">IsURL(Table_121215[[#This Row],[Data Source]])</f>
        <v/>
      </c>
      <c r="P154">
        <f t="array" ref="P154">IsURL(Table_121215[[#This Row],[Data Source]])</f>
        <v/>
      </c>
    </row>
    <row r="155" ht="15.75" customHeight="1">
      <c r="A155">
        <f>IF(Table_15[[#This Row],[Part Name]]=0,"",Table_15[[#This Row],[Part Name]])</f>
        <v/>
      </c>
      <c r="I155">
        <f>LEN(TRIM(CLEAN(SUBSTITUTE(SUBSTITUTE(Table_15[[#This Row],[Sequence]],CHAR(160)," ")," ",""))))</f>
        <v/>
      </c>
      <c r="K155" s="21" t="n"/>
      <c r="L155" s="21">
        <f>IF($B155="","FALSE","TRUE")</f>
        <v/>
      </c>
      <c r="M155">
        <f t="array" ref="M155">IsURL(Table_121215[[#This Row],[Data Source]])</f>
        <v/>
      </c>
      <c r="N155">
        <f t="array" ref="N155">IsURL(Table_121215[[#This Row],[DOI]])</f>
        <v/>
      </c>
      <c r="O155">
        <f t="array" ref="O155">IsURL(Table_121215[[#This Row],[Data Source]])</f>
        <v/>
      </c>
      <c r="P155">
        <f t="array" ref="P155">IsURL(Table_121215[[#This Row],[Data Source]])</f>
        <v/>
      </c>
    </row>
    <row r="156" ht="15.75" customHeight="1">
      <c r="A156">
        <f>IF(Table_15[[#This Row],[Part Name]]=0,"",Table_15[[#This Row],[Part Name]])</f>
        <v/>
      </c>
      <c r="I156">
        <f>LEN(TRIM(CLEAN(SUBSTITUTE(SUBSTITUTE(Table_15[[#This Row],[Sequence]],CHAR(160)," ")," ",""))))</f>
        <v/>
      </c>
      <c r="K156" s="21" t="n"/>
      <c r="L156" s="21">
        <f>IF($B156="","FALSE","TRUE")</f>
        <v/>
      </c>
      <c r="M156">
        <f t="array" ref="M156">IsURL(Table_121215[[#This Row],[Data Source]])</f>
        <v/>
      </c>
      <c r="N156">
        <f t="array" ref="N156">IsURL(Table_121215[[#This Row],[DOI]])</f>
        <v/>
      </c>
      <c r="O156">
        <f t="array" ref="O156">IsURL(Table_121215[[#This Row],[Data Source]])</f>
        <v/>
      </c>
      <c r="P156">
        <f t="array" ref="P156">IsURL(Table_121215[[#This Row],[Data Source]])</f>
        <v/>
      </c>
    </row>
    <row r="157" ht="15.75" customHeight="1">
      <c r="A157">
        <f>IF(Table_15[[#This Row],[Part Name]]=0,"",Table_15[[#This Row],[Part Name]])</f>
        <v/>
      </c>
      <c r="I157">
        <f>LEN(TRIM(CLEAN(SUBSTITUTE(SUBSTITUTE(Table_15[[#This Row],[Sequence]],CHAR(160)," ")," ",""))))</f>
        <v/>
      </c>
      <c r="K157" s="21" t="n"/>
      <c r="L157" s="21">
        <f>IF($B157="","FALSE","TRUE")</f>
        <v/>
      </c>
      <c r="M157">
        <f t="array" ref="M157">IsURL(Table_121215[[#This Row],[Data Source]])</f>
        <v/>
      </c>
      <c r="N157">
        <f t="array" ref="N157">IsURL(Table_121215[[#This Row],[DOI]])</f>
        <v/>
      </c>
      <c r="O157">
        <f t="array" ref="O157">IsURL(Table_121215[[#This Row],[Data Source]])</f>
        <v/>
      </c>
      <c r="P157">
        <f t="array" ref="P157">IsURL(Table_121215[[#This Row],[Data Source]])</f>
        <v/>
      </c>
    </row>
    <row r="158" ht="15.75" customHeight="1">
      <c r="A158">
        <f>IF(Table_15[[#This Row],[Part Name]]=0,"",Table_15[[#This Row],[Part Name]])</f>
        <v/>
      </c>
      <c r="I158">
        <f>LEN(TRIM(CLEAN(SUBSTITUTE(SUBSTITUTE(Table_15[[#This Row],[Sequence]],CHAR(160)," ")," ",""))))</f>
        <v/>
      </c>
      <c r="K158" s="21" t="n"/>
      <c r="L158" s="21">
        <f>IF($B158="","FALSE","TRUE")</f>
        <v/>
      </c>
      <c r="M158">
        <f t="array" ref="M158">IsURL(Table_121215[[#This Row],[Data Source]])</f>
        <v/>
      </c>
      <c r="N158">
        <f t="array" ref="N158">IsURL(Table_121215[[#This Row],[DOI]])</f>
        <v/>
      </c>
      <c r="O158">
        <f t="array" ref="O158">IsURL(Table_121215[[#This Row],[Data Source]])</f>
        <v/>
      </c>
      <c r="P158">
        <f t="array" ref="P158">IsURL(Table_121215[[#This Row],[Data Source]])</f>
        <v/>
      </c>
    </row>
    <row r="159" ht="15.75" customHeight="1">
      <c r="A159">
        <f>IF(Table_15[[#This Row],[Part Name]]=0,"",Table_15[[#This Row],[Part Name]])</f>
        <v/>
      </c>
      <c r="I159">
        <f>LEN(TRIM(CLEAN(SUBSTITUTE(SUBSTITUTE(Table_15[[#This Row],[Sequence]],CHAR(160)," ")," ",""))))</f>
        <v/>
      </c>
      <c r="K159" s="21" t="n"/>
      <c r="L159" s="21">
        <f>IF($B159="","FALSE","TRUE")</f>
        <v/>
      </c>
      <c r="M159">
        <f t="array" ref="M159">IsURL(Table_121215[[#This Row],[Data Source]])</f>
        <v/>
      </c>
      <c r="N159">
        <f t="array" ref="N159">IsURL(Table_121215[[#This Row],[DOI]])</f>
        <v/>
      </c>
      <c r="O159">
        <f t="array" ref="O159">IsURL(Table_121215[[#This Row],[Data Source]])</f>
        <v/>
      </c>
      <c r="P159">
        <f t="array" ref="P159">IsURL(Table_121215[[#This Row],[Data Source]])</f>
        <v/>
      </c>
    </row>
    <row r="160" ht="15.75" customHeight="1">
      <c r="A160">
        <f>IF(Table_15[[#This Row],[Part Name]]=0,"",Table_15[[#This Row],[Part Name]])</f>
        <v/>
      </c>
      <c r="I160">
        <f>LEN(TRIM(CLEAN(SUBSTITUTE(SUBSTITUTE(Table_15[[#This Row],[Sequence]],CHAR(160)," ")," ",""))))</f>
        <v/>
      </c>
      <c r="K160" s="21" t="n"/>
      <c r="L160" s="21">
        <f>IF($B160="","FALSE","TRUE")</f>
        <v/>
      </c>
      <c r="M160">
        <f t="array" ref="M160">IsURL(Table_121215[[#This Row],[Data Source]])</f>
        <v/>
      </c>
      <c r="N160">
        <f t="array" ref="N160">IsURL(Table_121215[[#This Row],[DOI]])</f>
        <v/>
      </c>
      <c r="O160">
        <f t="array" ref="O160">IsURL(Table_121215[[#This Row],[Data Source]])</f>
        <v/>
      </c>
      <c r="P160">
        <f t="array" ref="P160">IsURL(Table_121215[[#This Row],[Data Source]])</f>
        <v/>
      </c>
    </row>
    <row r="161" ht="15.75" customHeight="1">
      <c r="A161">
        <f>IF(Table_15[[#This Row],[Part Name]]=0,"",Table_15[[#This Row],[Part Name]])</f>
        <v/>
      </c>
      <c r="I161">
        <f>LEN(TRIM(CLEAN(SUBSTITUTE(SUBSTITUTE(Table_15[[#This Row],[Sequence]],CHAR(160)," ")," ",""))))</f>
        <v/>
      </c>
      <c r="K161" s="21" t="n"/>
      <c r="L161" s="21">
        <f>IF($B161="","FALSE","TRUE")</f>
        <v/>
      </c>
      <c r="M161">
        <f t="array" ref="M161">IsURL(Table_121215[[#This Row],[Data Source]])</f>
        <v/>
      </c>
      <c r="N161">
        <f t="array" ref="N161">IsURL(Table_121215[[#This Row],[DOI]])</f>
        <v/>
      </c>
      <c r="O161">
        <f t="array" ref="O161">IsURL(Table_121215[[#This Row],[Data Source]])</f>
        <v/>
      </c>
      <c r="P161">
        <f t="array" ref="P161">IsURL(Table_121215[[#This Row],[Data Source]])</f>
        <v/>
      </c>
    </row>
    <row r="162" ht="15.75" customHeight="1">
      <c r="A162">
        <f>IF(Table_15[[#This Row],[Part Name]]=0,"",Table_15[[#This Row],[Part Name]])</f>
        <v/>
      </c>
      <c r="I162">
        <f>LEN(TRIM(CLEAN(SUBSTITUTE(SUBSTITUTE(Table_15[[#This Row],[Sequence]],CHAR(160)," ")," ",""))))</f>
        <v/>
      </c>
      <c r="K162" s="21" t="n"/>
      <c r="L162" s="21">
        <f>IF($B162="","FALSE","TRUE")</f>
        <v/>
      </c>
      <c r="M162">
        <f t="array" ref="M162">IsURL(Table_121215[[#This Row],[Data Source]])</f>
        <v/>
      </c>
      <c r="N162">
        <f t="array" ref="N162">IsURL(Table_121215[[#This Row],[DOI]])</f>
        <v/>
      </c>
      <c r="O162">
        <f t="array" ref="O162">IsURL(Table_121215[[#This Row],[Data Source]])</f>
        <v/>
      </c>
      <c r="P162">
        <f t="array" ref="P162">IsURL(Table_121215[[#This Row],[Data Source]])</f>
        <v/>
      </c>
    </row>
    <row r="163" ht="15.75" customHeight="1">
      <c r="A163">
        <f>IF(Table_15[[#This Row],[Part Name]]=0,"",Table_15[[#This Row],[Part Name]])</f>
        <v/>
      </c>
      <c r="I163">
        <f>LEN(TRIM(CLEAN(SUBSTITUTE(SUBSTITUTE(Table_15[[#This Row],[Sequence]],CHAR(160)," ")," ",""))))</f>
        <v/>
      </c>
      <c r="K163" s="21" t="n"/>
      <c r="L163" s="21">
        <f>IF($B163="","FALSE","TRUE")</f>
        <v/>
      </c>
      <c r="M163">
        <f t="array" ref="M163">IsURL(Table_121215[[#This Row],[Data Source]])</f>
        <v/>
      </c>
      <c r="N163">
        <f t="array" ref="N163">IsURL(Table_121215[[#This Row],[DOI]])</f>
        <v/>
      </c>
      <c r="O163">
        <f t="array" ref="O163">IsURL(Table_121215[[#This Row],[Data Source]])</f>
        <v/>
      </c>
      <c r="P163">
        <f t="array" ref="P163">IsURL(Table_121215[[#This Row],[Data Source]])</f>
        <v/>
      </c>
    </row>
    <row r="164" ht="15.75" customHeight="1">
      <c r="A164">
        <f>IF(Table_15[[#This Row],[Part Name]]=0,"",Table_15[[#This Row],[Part Name]])</f>
        <v/>
      </c>
      <c r="I164">
        <f>LEN(TRIM(CLEAN(SUBSTITUTE(SUBSTITUTE(Table_15[[#This Row],[Sequence]],CHAR(160)," ")," ",""))))</f>
        <v/>
      </c>
      <c r="K164" s="21" t="n"/>
      <c r="L164" s="21">
        <f>IF($B164="","FALSE","TRUE")</f>
        <v/>
      </c>
      <c r="M164">
        <f t="array" ref="M164">IsURL(Table_121215[[#This Row],[Data Source]])</f>
        <v/>
      </c>
      <c r="N164">
        <f t="array" ref="N164">IsURL(Table_121215[[#This Row],[DOI]])</f>
        <v/>
      </c>
      <c r="O164">
        <f t="array" ref="O164">IsURL(Table_121215[[#This Row],[Data Source]])</f>
        <v/>
      </c>
      <c r="P164">
        <f t="array" ref="P164">IsURL(Table_121215[[#This Row],[Data Source]])</f>
        <v/>
      </c>
    </row>
    <row r="165" ht="15.75" customHeight="1">
      <c r="A165">
        <f>IF(Table_15[[#This Row],[Part Name]]=0,"",Table_15[[#This Row],[Part Name]])</f>
        <v/>
      </c>
      <c r="I165">
        <f>LEN(TRIM(CLEAN(SUBSTITUTE(SUBSTITUTE(Table_15[[#This Row],[Sequence]],CHAR(160)," ")," ",""))))</f>
        <v/>
      </c>
      <c r="K165" s="21" t="n"/>
      <c r="L165" s="21">
        <f>IF($B165="","FALSE","TRUE")</f>
        <v/>
      </c>
      <c r="M165">
        <f t="array" ref="M165">IsURL(Table_121215[[#This Row],[Data Source]])</f>
        <v/>
      </c>
      <c r="N165">
        <f t="array" ref="N165">IsURL(Table_121215[[#This Row],[DOI]])</f>
        <v/>
      </c>
      <c r="O165">
        <f t="array" ref="O165">IsURL(Table_121215[[#This Row],[Data Source]])</f>
        <v/>
      </c>
      <c r="P165">
        <f t="array" ref="P165">IsURL(Table_121215[[#This Row],[Data Source]])</f>
        <v/>
      </c>
    </row>
    <row r="166" ht="15.75" customHeight="1">
      <c r="A166">
        <f>IF(Table_15[[#This Row],[Part Name]]=0,"",Table_15[[#This Row],[Part Name]])</f>
        <v/>
      </c>
      <c r="I166">
        <f>LEN(TRIM(CLEAN(SUBSTITUTE(SUBSTITUTE(Table_15[[#This Row],[Sequence]],CHAR(160)," ")," ",""))))</f>
        <v/>
      </c>
      <c r="K166" s="21" t="n"/>
      <c r="L166" s="21">
        <f>IF($B166="","FALSE","TRUE")</f>
        <v/>
      </c>
      <c r="M166">
        <f t="array" ref="M166">IsURL(Table_121215[[#This Row],[Data Source]])</f>
        <v/>
      </c>
      <c r="N166">
        <f t="array" ref="N166">IsURL(Table_121215[[#This Row],[DOI]])</f>
        <v/>
      </c>
      <c r="O166">
        <f t="array" ref="O166">IsURL(Table_121215[[#This Row],[Data Source]])</f>
        <v/>
      </c>
      <c r="P166">
        <f t="array" ref="P166">IsURL(Table_121215[[#This Row],[Data Source]])</f>
        <v/>
      </c>
    </row>
    <row r="167" ht="15.75" customHeight="1">
      <c r="A167">
        <f>IF(Table_15[[#This Row],[Part Name]]=0,"",Table_15[[#This Row],[Part Name]])</f>
        <v/>
      </c>
      <c r="I167">
        <f>LEN(TRIM(CLEAN(SUBSTITUTE(SUBSTITUTE(Table_15[[#This Row],[Sequence]],CHAR(160)," ")," ",""))))</f>
        <v/>
      </c>
      <c r="K167" s="21" t="n"/>
      <c r="L167" s="21">
        <f>IF($B167="","FALSE","TRUE")</f>
        <v/>
      </c>
      <c r="M167">
        <f t="array" ref="M167">IsURL(Table_121215[[#This Row],[Data Source]])</f>
        <v/>
      </c>
      <c r="N167">
        <f t="array" ref="N167">IsURL(Table_121215[[#This Row],[DOI]])</f>
        <v/>
      </c>
      <c r="O167">
        <f t="array" ref="O167">IsURL(Table_121215[[#This Row],[Data Source]])</f>
        <v/>
      </c>
      <c r="P167">
        <f t="array" ref="P167">IsURL(Table_121215[[#This Row],[Data Source]])</f>
        <v/>
      </c>
    </row>
    <row r="168" ht="15.75" customHeight="1">
      <c r="A168">
        <f>IF(Table_15[[#This Row],[Part Name]]=0,"",Table_15[[#This Row],[Part Name]])</f>
        <v/>
      </c>
      <c r="I168">
        <f>LEN(TRIM(CLEAN(SUBSTITUTE(SUBSTITUTE(Table_15[[#This Row],[Sequence]],CHAR(160)," ")," ",""))))</f>
        <v/>
      </c>
      <c r="K168" s="21" t="n"/>
      <c r="L168" s="21">
        <f>IF($B168="","FALSE","TRUE")</f>
        <v/>
      </c>
      <c r="M168">
        <f t="array" ref="M168">IsURL(Table_121215[[#This Row],[Data Source]])</f>
        <v/>
      </c>
      <c r="N168">
        <f t="array" ref="N168">IsURL(Table_121215[[#This Row],[DOI]])</f>
        <v/>
      </c>
      <c r="O168">
        <f t="array" ref="O168">IsURL(Table_121215[[#This Row],[Data Source]])</f>
        <v/>
      </c>
      <c r="P168">
        <f t="array" ref="P168">IsURL(Table_121215[[#This Row],[Data Source]])</f>
        <v/>
      </c>
    </row>
    <row r="169" ht="15.75" customHeight="1">
      <c r="A169">
        <f>IF(Table_15[[#This Row],[Part Name]]=0,"",Table_15[[#This Row],[Part Name]])</f>
        <v/>
      </c>
      <c r="I169">
        <f>LEN(TRIM(CLEAN(SUBSTITUTE(SUBSTITUTE(Table_15[[#This Row],[Sequence]],CHAR(160)," ")," ",""))))</f>
        <v/>
      </c>
      <c r="K169" s="21" t="n"/>
      <c r="L169" s="21">
        <f>IF($B169="","FALSE","TRUE")</f>
        <v/>
      </c>
      <c r="M169">
        <f t="array" ref="M169">IsURL(Table_121215[[#This Row],[Data Source]])</f>
        <v/>
      </c>
      <c r="N169">
        <f t="array" ref="N169">IsURL(Table_121215[[#This Row],[DOI]])</f>
        <v/>
      </c>
      <c r="O169">
        <f t="array" ref="O169">IsURL(Table_121215[[#This Row],[Data Source]])</f>
        <v/>
      </c>
      <c r="P169">
        <f t="array" ref="P169">IsURL(Table_121215[[#This Row],[Data Source]])</f>
        <v/>
      </c>
    </row>
    <row r="170" ht="15.75" customHeight="1">
      <c r="A170">
        <f>IF(Table_15[[#This Row],[Part Name]]=0,"",Table_15[[#This Row],[Part Name]])</f>
        <v/>
      </c>
      <c r="I170">
        <f>LEN(TRIM(CLEAN(SUBSTITUTE(SUBSTITUTE(Table_15[[#This Row],[Sequence]],CHAR(160)," ")," ",""))))</f>
        <v/>
      </c>
      <c r="K170" s="21" t="n"/>
      <c r="L170" s="21">
        <f>IF($B170="","FALSE","TRUE")</f>
        <v/>
      </c>
      <c r="M170">
        <f t="array" ref="M170">IsURL(Table_121215[[#This Row],[Data Source]])</f>
        <v/>
      </c>
      <c r="N170">
        <f t="array" ref="N170">IsURL(Table_121215[[#This Row],[DOI]])</f>
        <v/>
      </c>
      <c r="O170">
        <f t="array" ref="O170">IsURL(Table_121215[[#This Row],[Data Source]])</f>
        <v/>
      </c>
      <c r="P170">
        <f t="array" ref="P170">IsURL(Table_121215[[#This Row],[Data Source]])</f>
        <v/>
      </c>
    </row>
    <row r="171" ht="15.75" customHeight="1">
      <c r="A171">
        <f>IF(Table_15[[#This Row],[Part Name]]=0,"",Table_15[[#This Row],[Part Name]])</f>
        <v/>
      </c>
      <c r="I171">
        <f>LEN(TRIM(CLEAN(SUBSTITUTE(SUBSTITUTE(Table_15[[#This Row],[Sequence]],CHAR(160)," ")," ",""))))</f>
        <v/>
      </c>
      <c r="K171" s="21" t="n"/>
      <c r="L171" s="21">
        <f>IF($B171="","FALSE","TRUE")</f>
        <v/>
      </c>
      <c r="M171">
        <f t="array" ref="M171">IsURL(Table_121215[[#This Row],[Data Source]])</f>
        <v/>
      </c>
      <c r="N171">
        <f t="array" ref="N171">IsURL(Table_121215[[#This Row],[DOI]])</f>
        <v/>
      </c>
      <c r="O171">
        <f t="array" ref="O171">IsURL(Table_121215[[#This Row],[Data Source]])</f>
        <v/>
      </c>
      <c r="P171">
        <f t="array" ref="P171">IsURL(Table_121215[[#This Row],[Data Source]])</f>
        <v/>
      </c>
    </row>
    <row r="172" ht="15.75" customHeight="1">
      <c r="A172">
        <f>IF(Table_15[[#This Row],[Part Name]]=0,"",Table_15[[#This Row],[Part Name]])</f>
        <v/>
      </c>
      <c r="I172">
        <f>LEN(TRIM(CLEAN(SUBSTITUTE(SUBSTITUTE(Table_15[[#This Row],[Sequence]],CHAR(160)," ")," ",""))))</f>
        <v/>
      </c>
      <c r="K172" s="21" t="n"/>
      <c r="L172" s="21">
        <f>IF($B172="","FALSE","TRUE")</f>
        <v/>
      </c>
      <c r="M172">
        <f t="array" ref="M172">IsURL(Table_121215[[#This Row],[Data Source]])</f>
        <v/>
      </c>
      <c r="N172">
        <f t="array" ref="N172">IsURL(Table_121215[[#This Row],[DOI]])</f>
        <v/>
      </c>
      <c r="O172">
        <f t="array" ref="O172">IsURL(Table_121215[[#This Row],[Data Source]])</f>
        <v/>
      </c>
      <c r="P172">
        <f t="array" ref="P172">IsURL(Table_121215[[#This Row],[Data Source]])</f>
        <v/>
      </c>
    </row>
    <row r="173" ht="15.75" customHeight="1">
      <c r="A173">
        <f>IF(Table_15[[#This Row],[Part Name]]=0,"",Table_15[[#This Row],[Part Name]])</f>
        <v/>
      </c>
      <c r="I173">
        <f>LEN(TRIM(CLEAN(SUBSTITUTE(SUBSTITUTE(Table_15[[#This Row],[Sequence]],CHAR(160)," ")," ",""))))</f>
        <v/>
      </c>
      <c r="K173" s="21" t="n"/>
      <c r="L173" s="21">
        <f>IF($B173="","FALSE","TRUE")</f>
        <v/>
      </c>
      <c r="M173">
        <f t="array" ref="M173">IsURL(Table_121215[[#This Row],[Data Source]])</f>
        <v/>
      </c>
      <c r="N173">
        <f t="array" ref="N173">IsURL(Table_121215[[#This Row],[DOI]])</f>
        <v/>
      </c>
      <c r="O173">
        <f t="array" ref="O173">IsURL(Table_121215[[#This Row],[Data Source]])</f>
        <v/>
      </c>
      <c r="P173">
        <f t="array" ref="P173">IsURL(Table_121215[[#This Row],[Data Source]])</f>
        <v/>
      </c>
    </row>
    <row r="174" ht="15.75" customHeight="1">
      <c r="A174">
        <f>IF(Table_15[[#This Row],[Part Name]]=0,"",Table_15[[#This Row],[Part Name]])</f>
        <v/>
      </c>
      <c r="I174">
        <f>LEN(TRIM(CLEAN(SUBSTITUTE(SUBSTITUTE(Table_15[[#This Row],[Sequence]],CHAR(160)," ")," ",""))))</f>
        <v/>
      </c>
      <c r="K174" s="21" t="n"/>
      <c r="L174" s="21">
        <f>IF($B174="","FALSE","TRUE")</f>
        <v/>
      </c>
      <c r="M174">
        <f t="array" ref="M174">IsURL(Table_121215[[#This Row],[Data Source]])</f>
        <v/>
      </c>
      <c r="N174">
        <f t="array" ref="N174">IsURL(Table_121215[[#This Row],[DOI]])</f>
        <v/>
      </c>
      <c r="O174">
        <f t="array" ref="O174">IsURL(Table_121215[[#This Row],[Data Source]])</f>
        <v/>
      </c>
      <c r="P174">
        <f t="array" ref="P174">IsURL(Table_121215[[#This Row],[Data Source]])</f>
        <v/>
      </c>
    </row>
    <row r="175" ht="15.75" customHeight="1">
      <c r="A175">
        <f>IF(Table_15[[#This Row],[Part Name]]=0,"",Table_15[[#This Row],[Part Name]])</f>
        <v/>
      </c>
      <c r="I175">
        <f>LEN(TRIM(CLEAN(SUBSTITUTE(SUBSTITUTE(Table_15[[#This Row],[Sequence]],CHAR(160)," ")," ",""))))</f>
        <v/>
      </c>
      <c r="K175" s="21" t="n"/>
      <c r="L175" s="21">
        <f>IF($B175="","FALSE","TRUE")</f>
        <v/>
      </c>
      <c r="M175">
        <f t="array" ref="M175">IsURL(Table_121215[[#This Row],[Data Source]])</f>
        <v/>
      </c>
      <c r="N175">
        <f t="array" ref="N175">IsURL(Table_121215[[#This Row],[DOI]])</f>
        <v/>
      </c>
      <c r="O175">
        <f t="array" ref="O175">IsURL(Table_121215[[#This Row],[Data Source]])</f>
        <v/>
      </c>
      <c r="P175">
        <f t="array" ref="P175">IsURL(Table_121215[[#This Row],[Data Source]])</f>
        <v/>
      </c>
    </row>
    <row r="176" ht="15.75" customHeight="1">
      <c r="A176">
        <f>IF(Table_15[[#This Row],[Part Name]]=0,"",Table_15[[#This Row],[Part Name]])</f>
        <v/>
      </c>
      <c r="I176">
        <f>LEN(TRIM(CLEAN(SUBSTITUTE(SUBSTITUTE(Table_15[[#This Row],[Sequence]],CHAR(160)," ")," ",""))))</f>
        <v/>
      </c>
      <c r="K176" s="21" t="n"/>
      <c r="L176" s="21">
        <f>IF($B176="","FALSE","TRUE")</f>
        <v/>
      </c>
      <c r="M176">
        <f t="array" ref="M176">IsURL(Table_121215[[#This Row],[Data Source]])</f>
        <v/>
      </c>
      <c r="N176">
        <f t="array" ref="N176">IsURL(Table_121215[[#This Row],[DOI]])</f>
        <v/>
      </c>
      <c r="O176">
        <f t="array" ref="O176">IsURL(Table_121215[[#This Row],[Data Source]])</f>
        <v/>
      </c>
      <c r="P176">
        <f t="array" ref="P176">IsURL(Table_121215[[#This Row],[Data Source]])</f>
        <v/>
      </c>
    </row>
    <row r="177" ht="15.75" customHeight="1">
      <c r="A177">
        <f>IF(Table_15[[#This Row],[Part Name]]=0,"",Table_15[[#This Row],[Part Name]])</f>
        <v/>
      </c>
      <c r="I177">
        <f>LEN(TRIM(CLEAN(SUBSTITUTE(SUBSTITUTE(Table_15[[#This Row],[Sequence]],CHAR(160)," ")," ",""))))</f>
        <v/>
      </c>
      <c r="K177" s="21" t="n"/>
      <c r="L177" s="21">
        <f>IF($B177="","FALSE","TRUE")</f>
        <v/>
      </c>
      <c r="M177">
        <f t="array" ref="M177">IsURL(Table_121215[[#This Row],[Data Source]])</f>
        <v/>
      </c>
      <c r="N177">
        <f t="array" ref="N177">IsURL(Table_121215[[#This Row],[DOI]])</f>
        <v/>
      </c>
      <c r="O177">
        <f t="array" ref="O177">IsURL(Table_121215[[#This Row],[Data Source]])</f>
        <v/>
      </c>
      <c r="P177">
        <f t="array" ref="P177">IsURL(Table_121215[[#This Row],[Data Source]])</f>
        <v/>
      </c>
    </row>
    <row r="178" ht="15.75" customHeight="1">
      <c r="A178">
        <f>IF(Table_15[[#This Row],[Part Name]]=0,"",Table_15[[#This Row],[Part Name]])</f>
        <v/>
      </c>
      <c r="I178">
        <f>LEN(TRIM(CLEAN(SUBSTITUTE(SUBSTITUTE(Table_15[[#This Row],[Sequence]],CHAR(160)," ")," ",""))))</f>
        <v/>
      </c>
      <c r="K178" s="21" t="n"/>
      <c r="L178" s="21">
        <f>IF($B178="","FALSE","TRUE")</f>
        <v/>
      </c>
      <c r="M178">
        <f t="array" ref="M178">IsURL(Table_121215[[#This Row],[Data Source]])</f>
        <v/>
      </c>
      <c r="N178">
        <f t="array" ref="N178">IsURL(Table_121215[[#This Row],[DOI]])</f>
        <v/>
      </c>
      <c r="O178">
        <f t="array" ref="O178">IsURL(Table_121215[[#This Row],[Data Source]])</f>
        <v/>
      </c>
      <c r="P178">
        <f t="array" ref="P178">IsURL(Table_121215[[#This Row],[Data Source]])</f>
        <v/>
      </c>
    </row>
    <row r="179" ht="15.75" customHeight="1">
      <c r="A179">
        <f>IF(Table_15[[#This Row],[Part Name]]=0,"",Table_15[[#This Row],[Part Name]])</f>
        <v/>
      </c>
      <c r="I179">
        <f>LEN(TRIM(CLEAN(SUBSTITUTE(SUBSTITUTE(Table_15[[#This Row],[Sequence]],CHAR(160)," ")," ",""))))</f>
        <v/>
      </c>
      <c r="K179" s="21" t="n"/>
      <c r="L179" s="21">
        <f>IF($B179="","FALSE","TRUE")</f>
        <v/>
      </c>
      <c r="M179">
        <f t="array" ref="M179">IsURL(Table_121215[[#This Row],[Data Source]])</f>
        <v/>
      </c>
      <c r="N179">
        <f t="array" ref="N179">IsURL(Table_121215[[#This Row],[DOI]])</f>
        <v/>
      </c>
      <c r="O179">
        <f t="array" ref="O179">IsURL(Table_121215[[#This Row],[Data Source]])</f>
        <v/>
      </c>
      <c r="P179">
        <f t="array" ref="P179">IsURL(Table_121215[[#This Row],[Data Source]])</f>
        <v/>
      </c>
    </row>
    <row r="180" ht="15.75" customHeight="1">
      <c r="A180">
        <f>IF(Table_15[[#This Row],[Part Name]]=0,"",Table_15[[#This Row],[Part Name]])</f>
        <v/>
      </c>
      <c r="I180">
        <f>LEN(TRIM(CLEAN(SUBSTITUTE(SUBSTITUTE(Table_15[[#This Row],[Sequence]],CHAR(160)," ")," ",""))))</f>
        <v/>
      </c>
      <c r="K180" s="21" t="n"/>
      <c r="L180" s="21">
        <f>IF($B180="","FALSE","TRUE")</f>
        <v/>
      </c>
      <c r="M180">
        <f t="array" ref="M180">IsURL(Table_121215[[#This Row],[Data Source]])</f>
        <v/>
      </c>
      <c r="N180">
        <f t="array" ref="N180">IsURL(Table_121215[[#This Row],[DOI]])</f>
        <v/>
      </c>
      <c r="O180">
        <f t="array" ref="O180">IsURL(Table_121215[[#This Row],[Data Source]])</f>
        <v/>
      </c>
      <c r="P180">
        <f t="array" ref="P180">IsURL(Table_121215[[#This Row],[Data Source]])</f>
        <v/>
      </c>
    </row>
    <row r="181" ht="15.75" customHeight="1">
      <c r="A181">
        <f>IF(Table_15[[#This Row],[Part Name]]=0,"",Table_15[[#This Row],[Part Name]])</f>
        <v/>
      </c>
      <c r="I181">
        <f>LEN(TRIM(CLEAN(SUBSTITUTE(SUBSTITUTE(Table_15[[#This Row],[Sequence]],CHAR(160)," ")," ",""))))</f>
        <v/>
      </c>
      <c r="K181" s="21" t="n"/>
      <c r="L181" s="21">
        <f>IF($B181="","FALSE","TRUE")</f>
        <v/>
      </c>
      <c r="M181">
        <f t="array" ref="M181">IsURL(Table_121215[[#This Row],[Data Source]])</f>
        <v/>
      </c>
      <c r="N181">
        <f t="array" ref="N181">IsURL(Table_121215[[#This Row],[DOI]])</f>
        <v/>
      </c>
      <c r="O181">
        <f t="array" ref="O181">IsURL(Table_121215[[#This Row],[Data Source]])</f>
        <v/>
      </c>
      <c r="P181">
        <f t="array" ref="P181">IsURL(Table_121215[[#This Row],[Data Source]])</f>
        <v/>
      </c>
    </row>
    <row r="182" ht="15.75" customHeight="1">
      <c r="A182">
        <f>IF(Table_15[[#This Row],[Part Name]]=0,"",Table_15[[#This Row],[Part Name]])</f>
        <v/>
      </c>
      <c r="I182">
        <f>LEN(TRIM(CLEAN(SUBSTITUTE(SUBSTITUTE(Table_15[[#This Row],[Sequence]],CHAR(160)," ")," ",""))))</f>
        <v/>
      </c>
      <c r="K182" s="21" t="n"/>
      <c r="L182" s="21">
        <f>IF($B182="","FALSE","TRUE")</f>
        <v/>
      </c>
      <c r="M182">
        <f t="array" ref="M182">IsURL(Table_121215[[#This Row],[Data Source]])</f>
        <v/>
      </c>
      <c r="N182">
        <f t="array" ref="N182">IsURL(Table_121215[[#This Row],[DOI]])</f>
        <v/>
      </c>
      <c r="O182">
        <f t="array" ref="O182">IsURL(Table_121215[[#This Row],[Data Source]])</f>
        <v/>
      </c>
      <c r="P182">
        <f t="array" ref="P182">IsURL(Table_121215[[#This Row],[Data Source]])</f>
        <v/>
      </c>
    </row>
    <row r="183" ht="15.75" customHeight="1">
      <c r="A183">
        <f>IF(Table_15[[#This Row],[Part Name]]=0,"",Table_15[[#This Row],[Part Name]])</f>
        <v/>
      </c>
      <c r="I183">
        <f>LEN(TRIM(CLEAN(SUBSTITUTE(SUBSTITUTE(Table_15[[#This Row],[Sequence]],CHAR(160)," ")," ",""))))</f>
        <v/>
      </c>
      <c r="K183" s="21" t="n"/>
      <c r="L183" s="21">
        <f>IF($B183="","FALSE","TRUE")</f>
        <v/>
      </c>
      <c r="M183">
        <f t="array" ref="M183">IsURL(Table_121215[[#This Row],[Data Source]])</f>
        <v/>
      </c>
      <c r="N183">
        <f t="array" ref="N183">IsURL(Table_121215[[#This Row],[DOI]])</f>
        <v/>
      </c>
      <c r="O183">
        <f t="array" ref="O183">IsURL(Table_121215[[#This Row],[Data Source]])</f>
        <v/>
      </c>
      <c r="P183">
        <f t="array" ref="P183">IsURL(Table_121215[[#This Row],[Data Source]])</f>
        <v/>
      </c>
    </row>
    <row r="184" ht="15.75" customHeight="1">
      <c r="A184">
        <f>IF(Table_15[[#This Row],[Part Name]]=0,"",Table_15[[#This Row],[Part Name]])</f>
        <v/>
      </c>
      <c r="I184">
        <f>LEN(TRIM(CLEAN(SUBSTITUTE(SUBSTITUTE(Table_15[[#This Row],[Sequence]],CHAR(160)," ")," ",""))))</f>
        <v/>
      </c>
      <c r="K184" s="21" t="n"/>
      <c r="L184" s="21">
        <f>IF($B184="","FALSE","TRUE")</f>
        <v/>
      </c>
      <c r="M184">
        <f t="array" ref="M184">IsURL(Table_121215[[#This Row],[Data Source]])</f>
        <v/>
      </c>
      <c r="N184">
        <f t="array" ref="N184">IsURL(Table_121215[[#This Row],[DOI]])</f>
        <v/>
      </c>
      <c r="O184">
        <f t="array" ref="O184">IsURL(Table_121215[[#This Row],[Data Source]])</f>
        <v/>
      </c>
      <c r="P184">
        <f t="array" ref="P184">IsURL(Table_121215[[#This Row],[Data Source]])</f>
        <v/>
      </c>
    </row>
    <row r="185" ht="15.75" customHeight="1">
      <c r="A185">
        <f>IF(Table_15[[#This Row],[Part Name]]=0,"",Table_15[[#This Row],[Part Name]])</f>
        <v/>
      </c>
      <c r="I185">
        <f>LEN(TRIM(CLEAN(SUBSTITUTE(SUBSTITUTE(Table_15[[#This Row],[Sequence]],CHAR(160)," ")," ",""))))</f>
        <v/>
      </c>
      <c r="K185" s="21" t="n"/>
      <c r="L185" s="21">
        <f>IF($B185="","FALSE","TRUE")</f>
        <v/>
      </c>
      <c r="M185">
        <f t="array" ref="M185">IsURL(Table_121215[[#This Row],[Data Source]])</f>
        <v/>
      </c>
      <c r="N185">
        <f t="array" ref="N185">IsURL(Table_121215[[#This Row],[DOI]])</f>
        <v/>
      </c>
      <c r="O185">
        <f t="array" ref="O185">IsURL(Table_121215[[#This Row],[Data Source]])</f>
        <v/>
      </c>
      <c r="P185">
        <f t="array" ref="P185">IsURL(Table_121215[[#This Row],[Data Source]])</f>
        <v/>
      </c>
    </row>
    <row r="186" ht="15.75" customHeight="1">
      <c r="A186">
        <f>IF(Table_15[[#This Row],[Part Name]]=0,"",Table_15[[#This Row],[Part Name]])</f>
        <v/>
      </c>
      <c r="I186">
        <f>LEN(TRIM(CLEAN(SUBSTITUTE(SUBSTITUTE(Table_15[[#This Row],[Sequence]],CHAR(160)," ")," ",""))))</f>
        <v/>
      </c>
      <c r="K186" s="21" t="n"/>
      <c r="L186" s="21">
        <f>IF($B186="","FALSE","TRUE")</f>
        <v/>
      </c>
      <c r="M186">
        <f t="array" ref="M186">IsURL(Table_121215[[#This Row],[Data Source]])</f>
        <v/>
      </c>
      <c r="N186">
        <f t="array" ref="N186">IsURL(Table_121215[[#This Row],[DOI]])</f>
        <v/>
      </c>
      <c r="O186">
        <f t="array" ref="O186">IsURL(Table_121215[[#This Row],[Data Source]])</f>
        <v/>
      </c>
      <c r="P186">
        <f t="array" ref="P186">IsURL(Table_121215[[#This Row],[Data Source]])</f>
        <v/>
      </c>
    </row>
    <row r="187" ht="15.75" customHeight="1">
      <c r="A187">
        <f>IF(Table_15[[#This Row],[Part Name]]=0,"",Table_15[[#This Row],[Part Name]])</f>
        <v/>
      </c>
      <c r="I187">
        <f>LEN(TRIM(CLEAN(SUBSTITUTE(SUBSTITUTE(Table_15[[#This Row],[Sequence]],CHAR(160)," ")," ",""))))</f>
        <v/>
      </c>
      <c r="K187" s="21" t="n"/>
      <c r="L187" s="21">
        <f>IF($B187="","FALSE","TRUE")</f>
        <v/>
      </c>
      <c r="M187">
        <f t="array" ref="M187">IsURL(Table_121215[[#This Row],[Data Source]])</f>
        <v/>
      </c>
      <c r="N187">
        <f t="array" ref="N187">IsURL(Table_121215[[#This Row],[DOI]])</f>
        <v/>
      </c>
      <c r="O187">
        <f t="array" ref="O187">IsURL(Table_121215[[#This Row],[Data Source]])</f>
        <v/>
      </c>
      <c r="P187">
        <f t="array" ref="P187">IsURL(Table_121215[[#This Row],[Data Source]])</f>
        <v/>
      </c>
    </row>
    <row r="188" ht="15.75" customHeight="1">
      <c r="A188">
        <f>IF(Table_15[[#This Row],[Part Name]]=0,"",Table_15[[#This Row],[Part Name]])</f>
        <v/>
      </c>
      <c r="I188">
        <f>LEN(TRIM(CLEAN(SUBSTITUTE(SUBSTITUTE(Table_15[[#This Row],[Sequence]],CHAR(160)," ")," ",""))))</f>
        <v/>
      </c>
      <c r="K188" s="21" t="n"/>
      <c r="L188" s="21">
        <f>IF($B188="","FALSE","TRUE")</f>
        <v/>
      </c>
      <c r="M188">
        <f t="array" ref="M188">IsURL(Table_121215[[#This Row],[Data Source]])</f>
        <v/>
      </c>
      <c r="N188">
        <f t="array" ref="N188">IsURL(Table_121215[[#This Row],[DOI]])</f>
        <v/>
      </c>
      <c r="O188">
        <f t="array" ref="O188">IsURL(Table_121215[[#This Row],[Data Source]])</f>
        <v/>
      </c>
      <c r="P188">
        <f t="array" ref="P188">IsURL(Table_121215[[#This Row],[Data Source]])</f>
        <v/>
      </c>
    </row>
    <row r="189" ht="15.75" customHeight="1">
      <c r="A189">
        <f>IF(Table_15[[#This Row],[Part Name]]=0,"",Table_15[[#This Row],[Part Name]])</f>
        <v/>
      </c>
      <c r="I189">
        <f>LEN(TRIM(CLEAN(SUBSTITUTE(SUBSTITUTE(Table_15[[#This Row],[Sequence]],CHAR(160)," ")," ",""))))</f>
        <v/>
      </c>
      <c r="K189" s="21" t="n"/>
      <c r="L189" s="21">
        <f>IF($B189="","FALSE","TRUE")</f>
        <v/>
      </c>
      <c r="M189">
        <f t="array" ref="M189">IsURL(Table_121215[[#This Row],[Data Source]])</f>
        <v/>
      </c>
      <c r="N189">
        <f t="array" ref="N189">IsURL(Table_121215[[#This Row],[DOI]])</f>
        <v/>
      </c>
      <c r="O189">
        <f t="array" ref="O189">IsURL(Table_121215[[#This Row],[Data Source]])</f>
        <v/>
      </c>
      <c r="P189">
        <f t="array" ref="P189">IsURL(Table_121215[[#This Row],[Data Source]])</f>
        <v/>
      </c>
    </row>
    <row r="190" ht="15.75" customHeight="1">
      <c r="A190">
        <f>IF(Table_15[[#This Row],[Part Name]]=0,"",Table_15[[#This Row],[Part Name]])</f>
        <v/>
      </c>
      <c r="I190">
        <f>LEN(TRIM(CLEAN(SUBSTITUTE(SUBSTITUTE(Table_15[[#This Row],[Sequence]],CHAR(160)," ")," ",""))))</f>
        <v/>
      </c>
      <c r="K190" s="21" t="n"/>
      <c r="L190" s="21">
        <f>IF($B190="","FALSE","TRUE")</f>
        <v/>
      </c>
      <c r="M190">
        <f t="array" ref="M190">IsURL(Table_121215[[#This Row],[Data Source]])</f>
        <v/>
      </c>
      <c r="N190">
        <f t="array" ref="N190">IsURL(Table_121215[[#This Row],[DOI]])</f>
        <v/>
      </c>
      <c r="O190">
        <f t="array" ref="O190">IsURL(Table_121215[[#This Row],[Data Source]])</f>
        <v/>
      </c>
      <c r="P190">
        <f t="array" ref="P190">IsURL(Table_121215[[#This Row],[Data Source]])</f>
        <v/>
      </c>
    </row>
    <row r="191" ht="15.75" customHeight="1">
      <c r="A191">
        <f>IF(Table_15[[#This Row],[Part Name]]=0,"",Table_15[[#This Row],[Part Name]])</f>
        <v/>
      </c>
      <c r="I191">
        <f>LEN(TRIM(CLEAN(SUBSTITUTE(SUBSTITUTE(Table_15[[#This Row],[Sequence]],CHAR(160)," ")," ",""))))</f>
        <v/>
      </c>
      <c r="K191" s="21" t="n"/>
      <c r="L191" s="21">
        <f>IF($B191="","FALSE","TRUE")</f>
        <v/>
      </c>
      <c r="M191">
        <f t="array" ref="M191">IsURL(Table_121215[[#This Row],[Data Source]])</f>
        <v/>
      </c>
      <c r="N191">
        <f t="array" ref="N191">IsURL(Table_121215[[#This Row],[DOI]])</f>
        <v/>
      </c>
      <c r="O191">
        <f t="array" ref="O191">IsURL(Table_121215[[#This Row],[Data Source]])</f>
        <v/>
      </c>
      <c r="P191">
        <f t="array" ref="P191">IsURL(Table_121215[[#This Row],[Data Source]])</f>
        <v/>
      </c>
    </row>
    <row r="192" ht="15.75" customHeight="1">
      <c r="A192">
        <f>IF(Table_15[[#This Row],[Part Name]]=0,"",Table_15[[#This Row],[Part Name]])</f>
        <v/>
      </c>
      <c r="I192">
        <f>LEN(TRIM(CLEAN(SUBSTITUTE(SUBSTITUTE(Table_15[[#This Row],[Sequence]],CHAR(160)," ")," ",""))))</f>
        <v/>
      </c>
      <c r="K192" s="21" t="n"/>
      <c r="L192" s="21">
        <f>IF($B192="","FALSE","TRUE")</f>
        <v/>
      </c>
      <c r="M192">
        <f t="array" ref="M192">IsURL(Table_121215[[#This Row],[Data Source]])</f>
        <v/>
      </c>
      <c r="N192">
        <f t="array" ref="N192">IsURL(Table_121215[[#This Row],[DOI]])</f>
        <v/>
      </c>
      <c r="O192">
        <f t="array" ref="O192">IsURL(Table_121215[[#This Row],[Data Source]])</f>
        <v/>
      </c>
      <c r="P192">
        <f t="array" ref="P192">IsURL(Table_121215[[#This Row],[Data Source]])</f>
        <v/>
      </c>
    </row>
    <row r="193" ht="15.75" customHeight="1">
      <c r="A193">
        <f>IF(Table_15[[#This Row],[Part Name]]=0,"",Table_15[[#This Row],[Part Name]])</f>
        <v/>
      </c>
      <c r="I193">
        <f>LEN(TRIM(CLEAN(SUBSTITUTE(SUBSTITUTE(Table_15[[#This Row],[Sequence]],CHAR(160)," ")," ",""))))</f>
        <v/>
      </c>
      <c r="K193" s="21" t="n"/>
      <c r="L193" s="21">
        <f>IF($B193="","FALSE","TRUE")</f>
        <v/>
      </c>
      <c r="M193">
        <f t="array" ref="M193">IsURL(Table_121215[[#This Row],[Data Source]])</f>
        <v/>
      </c>
      <c r="N193">
        <f t="array" ref="N193">IsURL(Table_121215[[#This Row],[DOI]])</f>
        <v/>
      </c>
      <c r="O193">
        <f t="array" ref="O193">IsURL(Table_121215[[#This Row],[Data Source]])</f>
        <v/>
      </c>
      <c r="P193">
        <f t="array" ref="P193">IsURL(Table_121215[[#This Row],[Data Source]])</f>
        <v/>
      </c>
    </row>
    <row r="194" ht="15.75" customHeight="1">
      <c r="A194">
        <f>IF(Table_15[[#This Row],[Part Name]]=0,"",Table_15[[#This Row],[Part Name]])</f>
        <v/>
      </c>
      <c r="I194">
        <f>LEN(TRIM(CLEAN(SUBSTITUTE(SUBSTITUTE(Table_15[[#This Row],[Sequence]],CHAR(160)," ")," ",""))))</f>
        <v/>
      </c>
      <c r="K194" s="21" t="n"/>
      <c r="L194" s="21">
        <f>IF($B194="","FALSE","TRUE")</f>
        <v/>
      </c>
      <c r="M194">
        <f t="array" ref="M194">IsURL(Table_121215[[#This Row],[Data Source]])</f>
        <v/>
      </c>
      <c r="N194">
        <f t="array" ref="N194">IsURL(Table_121215[[#This Row],[DOI]])</f>
        <v/>
      </c>
      <c r="O194">
        <f t="array" ref="O194">IsURL(Table_121215[[#This Row],[Data Source]])</f>
        <v/>
      </c>
      <c r="P194">
        <f t="array" ref="P194">IsURL(Table_121215[[#This Row],[Data Source]])</f>
        <v/>
      </c>
    </row>
    <row r="195" ht="15.75" customHeight="1">
      <c r="A195">
        <f>IF(Table_15[[#This Row],[Part Name]]=0,"",Table_15[[#This Row],[Part Name]])</f>
        <v/>
      </c>
      <c r="I195">
        <f>LEN(TRIM(CLEAN(SUBSTITUTE(SUBSTITUTE(Table_15[[#This Row],[Sequence]],CHAR(160)," ")," ",""))))</f>
        <v/>
      </c>
      <c r="K195" s="21" t="n"/>
      <c r="L195" s="21">
        <f>IF($B195="","FALSE","TRUE")</f>
        <v/>
      </c>
      <c r="M195">
        <f t="array" ref="M195">IsURL(Table_121215[[#This Row],[Data Source]])</f>
        <v/>
      </c>
      <c r="N195">
        <f t="array" ref="N195">IsURL(Table_121215[[#This Row],[DOI]])</f>
        <v/>
      </c>
      <c r="O195">
        <f t="array" ref="O195">IsURL(Table_121215[[#This Row],[Data Source]])</f>
        <v/>
      </c>
      <c r="P195">
        <f t="array" ref="P195">IsURL(Table_121215[[#This Row],[Data Source]])</f>
        <v/>
      </c>
    </row>
    <row r="196" ht="15.75" customHeight="1">
      <c r="A196">
        <f>IF(Table_15[[#This Row],[Part Name]]=0,"",Table_15[[#This Row],[Part Name]])</f>
        <v/>
      </c>
      <c r="I196">
        <f>LEN(TRIM(CLEAN(SUBSTITUTE(SUBSTITUTE(Table_15[[#This Row],[Sequence]],CHAR(160)," ")," ",""))))</f>
        <v/>
      </c>
      <c r="K196" s="21" t="n"/>
      <c r="L196" s="21">
        <f>IF($B196="","FALSE","TRUE")</f>
        <v/>
      </c>
      <c r="M196">
        <f t="array" ref="M196">IsURL(Table_121215[[#This Row],[Data Source]])</f>
        <v/>
      </c>
      <c r="N196">
        <f t="array" ref="N196">IsURL(Table_121215[[#This Row],[DOI]])</f>
        <v/>
      </c>
      <c r="O196">
        <f t="array" ref="O196">IsURL(Table_121215[[#This Row],[Data Source]])</f>
        <v/>
      </c>
      <c r="P196">
        <f t="array" ref="P196">IsURL(Table_121215[[#This Row],[Data Source]])</f>
        <v/>
      </c>
    </row>
    <row r="197" ht="15.75" customHeight="1">
      <c r="A197">
        <f>IF(Table_15[[#This Row],[Part Name]]=0,"",Table_15[[#This Row],[Part Name]])</f>
        <v/>
      </c>
      <c r="I197">
        <f>LEN(TRIM(CLEAN(SUBSTITUTE(SUBSTITUTE(Table_15[[#This Row],[Sequence]],CHAR(160)," ")," ",""))))</f>
        <v/>
      </c>
      <c r="K197" s="21" t="n"/>
      <c r="L197" s="21">
        <f>IF($B197="","FALSE","TRUE")</f>
        <v/>
      </c>
      <c r="M197">
        <f t="array" ref="M197">IsURL(Table_121215[[#This Row],[Data Source]])</f>
        <v/>
      </c>
      <c r="N197">
        <f t="array" ref="N197">IsURL(Table_121215[[#This Row],[DOI]])</f>
        <v/>
      </c>
      <c r="O197">
        <f t="array" ref="O197">IsURL(Table_121215[[#This Row],[Data Source]])</f>
        <v/>
      </c>
      <c r="P197">
        <f t="array" ref="P197">IsURL(Table_121215[[#This Row],[Data Source]])</f>
        <v/>
      </c>
    </row>
    <row r="198" ht="15.75" customHeight="1">
      <c r="A198">
        <f>IF(Table_15[[#This Row],[Part Name]]=0,"",Table_15[[#This Row],[Part Name]])</f>
        <v/>
      </c>
      <c r="I198">
        <f>LEN(TRIM(CLEAN(SUBSTITUTE(SUBSTITUTE(Table_15[[#This Row],[Sequence]],CHAR(160)," ")," ",""))))</f>
        <v/>
      </c>
      <c r="K198" s="21" t="n"/>
      <c r="L198" s="21">
        <f>IF($B198="","FALSE","TRUE")</f>
        <v/>
      </c>
      <c r="M198">
        <f t="array" ref="M198">IsURL(Table_121215[[#This Row],[Data Source]])</f>
        <v/>
      </c>
      <c r="N198">
        <f t="array" ref="N198">IsURL(Table_121215[[#This Row],[DOI]])</f>
        <v/>
      </c>
      <c r="O198">
        <f t="array" ref="O198">IsURL(Table_121215[[#This Row],[Data Source]])</f>
        <v/>
      </c>
      <c r="P198">
        <f t="array" ref="P198">IsURL(Table_121215[[#This Row],[Data Source]])</f>
        <v/>
      </c>
    </row>
    <row r="199" ht="15.75" customHeight="1">
      <c r="A199">
        <f>IF(Table_15[[#This Row],[Part Name]]=0,"",Table_15[[#This Row],[Part Name]])</f>
        <v/>
      </c>
      <c r="I199">
        <f>LEN(TRIM(CLEAN(SUBSTITUTE(SUBSTITUTE(Table_15[[#This Row],[Sequence]],CHAR(160)," ")," ",""))))</f>
        <v/>
      </c>
      <c r="K199" s="21" t="n"/>
      <c r="L199" s="21">
        <f>IF($B199="","FALSE","TRUE")</f>
        <v/>
      </c>
      <c r="M199">
        <f t="array" ref="M199">IsURL(Table_121215[[#This Row],[Data Source]])</f>
        <v/>
      </c>
      <c r="N199">
        <f t="array" ref="N199">IsURL(Table_121215[[#This Row],[DOI]])</f>
        <v/>
      </c>
      <c r="O199">
        <f t="array" ref="O199">IsURL(Table_121215[[#This Row],[Data Source]])</f>
        <v/>
      </c>
      <c r="P199">
        <f t="array" ref="P199">IsURL(Table_121215[[#This Row],[Data Source]])</f>
        <v/>
      </c>
    </row>
    <row r="200" ht="15.75" customHeight="1">
      <c r="A200">
        <f>IF(Table_15[[#This Row],[Part Name]]=0,"",Table_15[[#This Row],[Part Name]])</f>
        <v/>
      </c>
      <c r="I200">
        <f>LEN(TRIM(CLEAN(SUBSTITUTE(SUBSTITUTE(Table_15[[#This Row],[Sequence]],CHAR(160)," ")," ",""))))</f>
        <v/>
      </c>
      <c r="K200" s="21" t="n"/>
      <c r="L200" s="21">
        <f>IF($B200="","FALSE","TRUE")</f>
        <v/>
      </c>
      <c r="M200">
        <f t="array" ref="M200">IsURL(Table_121215[[#This Row],[Data Source]])</f>
        <v/>
      </c>
      <c r="N200">
        <f t="array" ref="N200">IsURL(Table_121215[[#This Row],[DOI]])</f>
        <v/>
      </c>
      <c r="O200">
        <f t="array" ref="O200">IsURL(Table_121215[[#This Row],[Data Source]])</f>
        <v/>
      </c>
      <c r="P200">
        <f t="array" ref="P200">IsURL(Table_121215[[#This Row],[Data Source]])</f>
        <v/>
      </c>
    </row>
    <row r="201" ht="15.75" customHeight="1">
      <c r="A201">
        <f>IF(Table_15[[#This Row],[Part Name]]=0,"",Table_15[[#This Row],[Part Name]])</f>
        <v/>
      </c>
      <c r="I201">
        <f>LEN(TRIM(CLEAN(SUBSTITUTE(SUBSTITUTE(Table_15[[#This Row],[Sequence]],CHAR(160)," ")," ",""))))</f>
        <v/>
      </c>
      <c r="K201" s="21" t="n"/>
      <c r="L201" s="21">
        <f>IF($B201="","FALSE","TRUE")</f>
        <v/>
      </c>
      <c r="M201">
        <f t="array" ref="M201">IsURL(Table_121215[[#This Row],[Data Source]])</f>
        <v/>
      </c>
      <c r="N201">
        <f t="array" ref="N201">IsURL(Table_121215[[#This Row],[DOI]])</f>
        <v/>
      </c>
      <c r="O201">
        <f t="array" ref="O201">IsURL(Table_121215[[#This Row],[Data Source]])</f>
        <v/>
      </c>
      <c r="P201">
        <f t="array" ref="P201">IsURL(Table_121215[[#This Row],[Data Source]])</f>
        <v/>
      </c>
    </row>
    <row r="202" ht="15.75" customHeight="1">
      <c r="A202">
        <f>IF(Table_15[[#This Row],[Part Name]]=0,"",Table_15[[#This Row],[Part Name]])</f>
        <v/>
      </c>
      <c r="I202">
        <f>LEN(TRIM(CLEAN(SUBSTITUTE(SUBSTITUTE(Table_15[[#This Row],[Sequence]],CHAR(160)," ")," ",""))))</f>
        <v/>
      </c>
      <c r="K202" s="21" t="n"/>
      <c r="L202" s="21">
        <f>IF($B202="","FALSE","TRUE")</f>
        <v/>
      </c>
      <c r="M202">
        <f t="array" ref="M202">IsURL(Table_121215[[#This Row],[Data Source]])</f>
        <v/>
      </c>
      <c r="N202">
        <f t="array" ref="N202">IsURL(Table_121215[[#This Row],[DOI]])</f>
        <v/>
      </c>
      <c r="O202">
        <f t="array" ref="O202">IsURL(Table_121215[[#This Row],[Data Source]])</f>
        <v/>
      </c>
      <c r="P202">
        <f t="array" ref="P202">IsURL(Table_121215[[#This Row],[Data Source]])</f>
        <v/>
      </c>
    </row>
    <row r="203" ht="15.75" customHeight="1">
      <c r="A203">
        <f>IF(Table_15[[#This Row],[Part Name]]=0,"",Table_15[[#This Row],[Part Name]])</f>
        <v/>
      </c>
      <c r="I203">
        <f>LEN(TRIM(CLEAN(SUBSTITUTE(SUBSTITUTE(Table_15[[#This Row],[Sequence]],CHAR(160)," ")," ",""))))</f>
        <v/>
      </c>
      <c r="K203" s="21" t="n"/>
      <c r="L203" s="21">
        <f>IF($B203="","FALSE","TRUE")</f>
        <v/>
      </c>
      <c r="M203">
        <f t="array" ref="M203">IsURL(Table_121215[[#This Row],[Data Source]])</f>
        <v/>
      </c>
      <c r="N203">
        <f t="array" ref="N203">IsURL(Table_121215[[#This Row],[DOI]])</f>
        <v/>
      </c>
      <c r="O203">
        <f t="array" ref="O203">IsURL(Table_121215[[#This Row],[Data Source]])</f>
        <v/>
      </c>
      <c r="P203">
        <f t="array" ref="P203">IsURL(Table_121215[[#This Row],[Data Source]])</f>
        <v/>
      </c>
    </row>
    <row r="204" ht="15.75" customHeight="1">
      <c r="A204">
        <f>IF(Table_15[[#This Row],[Part Name]]=0,"",Table_15[[#This Row],[Part Name]])</f>
        <v/>
      </c>
      <c r="I204">
        <f>LEN(TRIM(CLEAN(SUBSTITUTE(SUBSTITUTE(Table_15[[#This Row],[Sequence]],CHAR(160)," ")," ",""))))</f>
        <v/>
      </c>
      <c r="K204" s="21" t="n"/>
      <c r="L204" s="21">
        <f>IF($B204="","FALSE","TRUE")</f>
        <v/>
      </c>
      <c r="M204">
        <f t="array" ref="M204">IsURL(Table_121215[[#This Row],[Data Source]])</f>
        <v/>
      </c>
      <c r="N204">
        <f t="array" ref="N204">IsURL(Table_121215[[#This Row],[DOI]])</f>
        <v/>
      </c>
      <c r="O204">
        <f t="array" ref="O204">IsURL(Table_121215[[#This Row],[Data Source]])</f>
        <v/>
      </c>
      <c r="P204">
        <f t="array" ref="P204">IsURL(Table_121215[[#This Row],[Data Source]])</f>
        <v/>
      </c>
    </row>
    <row r="205" ht="15.75" customHeight="1">
      <c r="A205">
        <f>IF(Table_15[[#This Row],[Part Name]]=0,"",Table_15[[#This Row],[Part Name]])</f>
        <v/>
      </c>
      <c r="I205">
        <f>LEN(TRIM(CLEAN(SUBSTITUTE(SUBSTITUTE(Table_15[[#This Row],[Sequence]],CHAR(160)," ")," ",""))))</f>
        <v/>
      </c>
      <c r="K205" s="21" t="n"/>
      <c r="L205" s="21">
        <f>IF($B205="","FALSE","TRUE")</f>
        <v/>
      </c>
      <c r="M205">
        <f t="array" ref="M205">IsURL(Table_121215[[#This Row],[Data Source]])</f>
        <v/>
      </c>
      <c r="N205">
        <f t="array" ref="N205">IsURL(Table_121215[[#This Row],[DOI]])</f>
        <v/>
      </c>
      <c r="O205">
        <f t="array" ref="O205">IsURL(Table_121215[[#This Row],[Data Source]])</f>
        <v/>
      </c>
      <c r="P205">
        <f t="array" ref="P205">IsURL(Table_121215[[#This Row],[Data Source]])</f>
        <v/>
      </c>
    </row>
    <row r="206" ht="15.75" customHeight="1">
      <c r="A206">
        <f>IF(Table_15[[#This Row],[Part Name]]=0,"",Table_15[[#This Row],[Part Name]])</f>
        <v/>
      </c>
      <c r="I206">
        <f>LEN(TRIM(CLEAN(SUBSTITUTE(SUBSTITUTE(Table_15[[#This Row],[Sequence]],CHAR(160)," ")," ",""))))</f>
        <v/>
      </c>
      <c r="K206" s="21" t="n"/>
      <c r="L206" s="21">
        <f>IF($B206="","FALSE","TRUE")</f>
        <v/>
      </c>
      <c r="M206">
        <f t="array" ref="M206">IsURL(Table_121215[[#This Row],[Data Source]])</f>
        <v/>
      </c>
      <c r="N206">
        <f t="array" ref="N206">IsURL(Table_121215[[#This Row],[DOI]])</f>
        <v/>
      </c>
      <c r="O206">
        <f t="array" ref="O206">IsURL(Table_121215[[#This Row],[Data Source]])</f>
        <v/>
      </c>
      <c r="P206">
        <f t="array" ref="P206">IsURL(Table_121215[[#This Row],[Data Source]])</f>
        <v/>
      </c>
    </row>
    <row r="207" ht="15.75" customHeight="1">
      <c r="A207">
        <f>IF(Table_15[[#This Row],[Part Name]]=0,"",Table_15[[#This Row],[Part Name]])</f>
        <v/>
      </c>
      <c r="I207">
        <f>LEN(TRIM(CLEAN(SUBSTITUTE(SUBSTITUTE(Table_15[[#This Row],[Sequence]],CHAR(160)," ")," ",""))))</f>
        <v/>
      </c>
      <c r="K207" s="21" t="n"/>
      <c r="L207" s="21">
        <f>IF($B207="","FALSE","TRUE")</f>
        <v/>
      </c>
      <c r="M207">
        <f t="array" ref="M207">IsURL(Table_121215[[#This Row],[Data Source]])</f>
        <v/>
      </c>
      <c r="N207">
        <f t="array" ref="N207">IsURL(Table_121215[[#This Row],[DOI]])</f>
        <v/>
      </c>
      <c r="O207">
        <f t="array" ref="O207">IsURL(Table_121215[[#This Row],[Data Source]])</f>
        <v/>
      </c>
      <c r="P207">
        <f t="array" ref="P207">IsURL(Table_121215[[#This Row],[Data Source]])</f>
        <v/>
      </c>
    </row>
    <row r="208" ht="15.75" customHeight="1">
      <c r="A208">
        <f>IF(Table_15[[#This Row],[Part Name]]=0,"",Table_15[[#This Row],[Part Name]])</f>
        <v/>
      </c>
      <c r="I208">
        <f>LEN(TRIM(CLEAN(SUBSTITUTE(SUBSTITUTE(Table_15[[#This Row],[Sequence]],CHAR(160)," ")," ",""))))</f>
        <v/>
      </c>
      <c r="K208" s="21" t="n"/>
      <c r="L208" s="21">
        <f>IF($B208="","FALSE","TRUE")</f>
        <v/>
      </c>
      <c r="M208">
        <f t="array" ref="M208">IsURL(Table_121215[[#This Row],[Data Source]])</f>
        <v/>
      </c>
      <c r="N208">
        <f t="array" ref="N208">IsURL(Table_121215[[#This Row],[DOI]])</f>
        <v/>
      </c>
      <c r="O208">
        <f t="array" ref="O208">IsURL(Table_121215[[#This Row],[Data Source]])</f>
        <v/>
      </c>
      <c r="P208">
        <f t="array" ref="P208">IsURL(Table_121215[[#This Row],[Data Source]])</f>
        <v/>
      </c>
    </row>
    <row r="209" ht="15.75" customHeight="1">
      <c r="A209">
        <f>IF(Table_15[[#This Row],[Part Name]]=0,"",Table_15[[#This Row],[Part Name]])</f>
        <v/>
      </c>
      <c r="I209">
        <f>LEN(TRIM(CLEAN(SUBSTITUTE(SUBSTITUTE(Table_15[[#This Row],[Sequence]],CHAR(160)," ")," ",""))))</f>
        <v/>
      </c>
      <c r="K209" s="21" t="n"/>
      <c r="L209" s="21">
        <f>IF($B209="","FALSE","TRUE")</f>
        <v/>
      </c>
      <c r="M209">
        <f t="array" ref="M209">IsURL(Table_121215[[#This Row],[Data Source]])</f>
        <v/>
      </c>
      <c r="N209">
        <f t="array" ref="N209">IsURL(Table_121215[[#This Row],[DOI]])</f>
        <v/>
      </c>
      <c r="O209">
        <f t="array" ref="O209">IsURL(Table_121215[[#This Row],[Data Source]])</f>
        <v/>
      </c>
      <c r="P209">
        <f t="array" ref="P209">IsURL(Table_121215[[#This Row],[Data Source]])</f>
        <v/>
      </c>
    </row>
    <row r="210" ht="15.75" customHeight="1">
      <c r="A210">
        <f>IF(Table_15[[#This Row],[Part Name]]=0,"",Table_15[[#This Row],[Part Name]])</f>
        <v/>
      </c>
      <c r="I210">
        <f>LEN(TRIM(CLEAN(SUBSTITUTE(SUBSTITUTE(Table_15[[#This Row],[Sequence]],CHAR(160)," ")," ",""))))</f>
        <v/>
      </c>
      <c r="K210" s="21" t="n"/>
      <c r="L210" s="21">
        <f>IF($B210="","FALSE","TRUE")</f>
        <v/>
      </c>
      <c r="M210">
        <f t="array" ref="M210">IsURL(Table_121215[[#This Row],[Data Source]])</f>
        <v/>
      </c>
      <c r="N210">
        <f t="array" ref="N210">IsURL(Table_121215[[#This Row],[DOI]])</f>
        <v/>
      </c>
      <c r="O210">
        <f t="array" ref="O210">IsURL(Table_121215[[#This Row],[Data Source]])</f>
        <v/>
      </c>
      <c r="P210">
        <f t="array" ref="P210">IsURL(Table_121215[[#This Row],[Data Source]])</f>
        <v/>
      </c>
    </row>
    <row r="211" ht="15.75" customHeight="1">
      <c r="A211">
        <f>IF(Table_15[[#This Row],[Part Name]]=0,"",Table_15[[#This Row],[Part Name]])</f>
        <v/>
      </c>
      <c r="I211">
        <f>LEN(TRIM(CLEAN(SUBSTITUTE(SUBSTITUTE(Table_15[[#This Row],[Sequence]],CHAR(160)," ")," ",""))))</f>
        <v/>
      </c>
      <c r="K211" s="21" t="n"/>
      <c r="L211" s="21">
        <f>IF($B211="","FALSE","TRUE")</f>
        <v/>
      </c>
      <c r="M211">
        <f t="array" ref="M211">IsURL(Table_121215[[#This Row],[Data Source]])</f>
        <v/>
      </c>
      <c r="N211">
        <f t="array" ref="N211">IsURL(Table_121215[[#This Row],[DOI]])</f>
        <v/>
      </c>
      <c r="O211">
        <f t="array" ref="O211">IsURL(Table_121215[[#This Row],[Data Source]])</f>
        <v/>
      </c>
      <c r="P211">
        <f t="array" ref="P211">IsURL(Table_121215[[#This Row],[Data Source]])</f>
        <v/>
      </c>
    </row>
    <row r="212" ht="15.75" customHeight="1">
      <c r="A212">
        <f>IF(Table_15[[#This Row],[Part Name]]=0,"",Table_15[[#This Row],[Part Name]])</f>
        <v/>
      </c>
      <c r="I212">
        <f>LEN(TRIM(CLEAN(SUBSTITUTE(SUBSTITUTE(Table_15[[#This Row],[Sequence]],CHAR(160)," ")," ",""))))</f>
        <v/>
      </c>
      <c r="K212" s="21" t="n"/>
      <c r="L212" s="21">
        <f>IF($B212="","FALSE","TRUE")</f>
        <v/>
      </c>
      <c r="M212">
        <f t="array" ref="M212">IsURL(Table_121215[[#This Row],[Data Source]])</f>
        <v/>
      </c>
      <c r="N212">
        <f t="array" ref="N212">IsURL(Table_121215[[#This Row],[DOI]])</f>
        <v/>
      </c>
      <c r="O212">
        <f t="array" ref="O212">IsURL(Table_121215[[#This Row],[Data Source]])</f>
        <v/>
      </c>
      <c r="P212">
        <f t="array" ref="P212">IsURL(Table_121215[[#This Row],[Data Source]])</f>
        <v/>
      </c>
    </row>
    <row r="213" ht="15.75" customHeight="1">
      <c r="A213">
        <f>IF(Table_15[[#This Row],[Part Name]]=0,"",Table_15[[#This Row],[Part Name]])</f>
        <v/>
      </c>
      <c r="I213">
        <f>LEN(TRIM(CLEAN(SUBSTITUTE(SUBSTITUTE(Table_15[[#This Row],[Sequence]],CHAR(160)," ")," ",""))))</f>
        <v/>
      </c>
      <c r="K213" s="21" t="n"/>
      <c r="L213" s="21">
        <f>IF($B213="","FALSE","TRUE")</f>
        <v/>
      </c>
      <c r="M213">
        <f t="array" ref="M213">IsURL(Table_121215[[#This Row],[Data Source]])</f>
        <v/>
      </c>
      <c r="N213">
        <f t="array" ref="N213">IsURL(Table_121215[[#This Row],[DOI]])</f>
        <v/>
      </c>
      <c r="O213">
        <f t="array" ref="O213">IsURL(Table_121215[[#This Row],[Data Source]])</f>
        <v/>
      </c>
      <c r="P213">
        <f t="array" ref="P213">IsURL(Table_121215[[#This Row],[Data Source]])</f>
        <v/>
      </c>
    </row>
    <row r="214" ht="15.75" customHeight="1">
      <c r="A214">
        <f>IF(Table_15[[#This Row],[Part Name]]=0,"",Table_15[[#This Row],[Part Name]])</f>
        <v/>
      </c>
      <c r="I214">
        <f>LEN(TRIM(CLEAN(SUBSTITUTE(SUBSTITUTE(Table_15[[#This Row],[Sequence]],CHAR(160)," ")," ",""))))</f>
        <v/>
      </c>
      <c r="K214" s="21" t="n"/>
      <c r="L214" s="21">
        <f>IF($B214="","FALSE","TRUE")</f>
        <v/>
      </c>
      <c r="M214">
        <f t="array" ref="M214">IsURL(Table_121215[[#This Row],[Data Source]])</f>
        <v/>
      </c>
      <c r="N214">
        <f t="array" ref="N214">IsURL(Table_121215[[#This Row],[DOI]])</f>
        <v/>
      </c>
      <c r="O214">
        <f t="array" ref="O214">IsURL(Table_121215[[#This Row],[Data Source]])</f>
        <v/>
      </c>
      <c r="P214">
        <f t="array" ref="P214">IsURL(Table_121215[[#This Row],[Data Source]])</f>
        <v/>
      </c>
    </row>
    <row r="215" ht="15.75" customHeight="1">
      <c r="A215">
        <f>IF(Table_15[[#This Row],[Part Name]]=0,"",Table_15[[#This Row],[Part Name]])</f>
        <v/>
      </c>
      <c r="I215">
        <f>LEN(TRIM(CLEAN(SUBSTITUTE(SUBSTITUTE(Table_15[[#This Row],[Sequence]],CHAR(160)," ")," ",""))))</f>
        <v/>
      </c>
      <c r="K215" s="21" t="n"/>
      <c r="L215" s="21">
        <f>IF($B215="","FALSE","TRUE")</f>
        <v/>
      </c>
      <c r="M215">
        <f t="array" ref="M215">IsURL(Table_121215[[#This Row],[Data Source]])</f>
        <v/>
      </c>
      <c r="N215">
        <f t="array" ref="N215">IsURL(Table_121215[[#This Row],[DOI]])</f>
        <v/>
      </c>
      <c r="O215">
        <f t="array" ref="O215">IsURL(Table_121215[[#This Row],[Data Source]])</f>
        <v/>
      </c>
      <c r="P215">
        <f t="array" ref="P215">IsURL(Table_121215[[#This Row],[Data Source]])</f>
        <v/>
      </c>
    </row>
    <row r="216" ht="15.75" customHeight="1">
      <c r="A216">
        <f>IF(Table_15[[#This Row],[Part Name]]=0,"",Table_15[[#This Row],[Part Name]])</f>
        <v/>
      </c>
      <c r="I216">
        <f>LEN(TRIM(CLEAN(SUBSTITUTE(SUBSTITUTE(Table_15[[#This Row],[Sequence]],CHAR(160)," ")," ",""))))</f>
        <v/>
      </c>
      <c r="K216" s="21" t="n"/>
      <c r="L216" s="21">
        <f>IF($B216="","FALSE","TRUE")</f>
        <v/>
      </c>
      <c r="M216">
        <f t="array" ref="M216">IsURL(Table_121215[[#This Row],[Data Source]])</f>
        <v/>
      </c>
      <c r="N216">
        <f t="array" ref="N216">IsURL(Table_121215[[#This Row],[DOI]])</f>
        <v/>
      </c>
      <c r="O216">
        <f t="array" ref="O216">IsURL(Table_121215[[#This Row],[Data Source]])</f>
        <v/>
      </c>
      <c r="P216">
        <f t="array" ref="P216">IsURL(Table_121215[[#This Row],[Data Source]])</f>
        <v/>
      </c>
    </row>
    <row r="217" ht="15.75" customHeight="1">
      <c r="A217">
        <f>IF(Table_15[[#This Row],[Part Name]]=0,"",Table_15[[#This Row],[Part Name]])</f>
        <v/>
      </c>
      <c r="I217">
        <f>LEN(TRIM(CLEAN(SUBSTITUTE(SUBSTITUTE(Table_15[[#This Row],[Sequence]],CHAR(160)," ")," ",""))))</f>
        <v/>
      </c>
      <c r="K217" s="21" t="n"/>
      <c r="L217" s="21">
        <f>IF($B217="","FALSE","TRUE")</f>
        <v/>
      </c>
      <c r="M217">
        <f t="array" ref="M217">IsURL(Table_121215[[#This Row],[Data Source]])</f>
        <v/>
      </c>
      <c r="N217">
        <f t="array" ref="N217">IsURL(Table_121215[[#This Row],[DOI]])</f>
        <v/>
      </c>
      <c r="O217">
        <f t="array" ref="O217">IsURL(Table_121215[[#This Row],[Data Source]])</f>
        <v/>
      </c>
      <c r="P217">
        <f t="array" ref="P217">IsURL(Table_121215[[#This Row],[Data Source]])</f>
        <v/>
      </c>
    </row>
    <row r="218" ht="15.75" customHeight="1">
      <c r="A218">
        <f>IF(Table_15[[#This Row],[Part Name]]=0,"",Table_15[[#This Row],[Part Name]])</f>
        <v/>
      </c>
      <c r="I218">
        <f>LEN(TRIM(CLEAN(SUBSTITUTE(SUBSTITUTE(Table_15[[#This Row],[Sequence]],CHAR(160)," ")," ",""))))</f>
        <v/>
      </c>
      <c r="K218" s="21" t="n"/>
      <c r="L218" s="21">
        <f>IF($B218="","FALSE","TRUE")</f>
        <v/>
      </c>
      <c r="M218">
        <f t="array" ref="M218">IsURL(Table_121215[[#This Row],[Data Source]])</f>
        <v/>
      </c>
      <c r="N218">
        <f t="array" ref="N218">IsURL(Table_121215[[#This Row],[DOI]])</f>
        <v/>
      </c>
      <c r="O218">
        <f t="array" ref="O218">IsURL(Table_121215[[#This Row],[Data Source]])</f>
        <v/>
      </c>
      <c r="P218">
        <f t="array" ref="P218">IsURL(Table_121215[[#This Row],[Data Source]])</f>
        <v/>
      </c>
    </row>
    <row r="219" ht="15.75" customHeight="1">
      <c r="A219">
        <f>IF(Table_15[[#This Row],[Part Name]]=0,"",Table_15[[#This Row],[Part Name]])</f>
        <v/>
      </c>
      <c r="I219">
        <f>LEN(TRIM(CLEAN(SUBSTITUTE(SUBSTITUTE(Table_15[[#This Row],[Sequence]],CHAR(160)," ")," ",""))))</f>
        <v/>
      </c>
      <c r="K219" s="21" t="n"/>
      <c r="L219" s="21">
        <f>IF($B219="","FALSE","TRUE")</f>
        <v/>
      </c>
      <c r="M219">
        <f t="array" ref="M219">IsURL(Table_121215[[#This Row],[Data Source]])</f>
        <v/>
      </c>
      <c r="N219">
        <f t="array" ref="N219">IsURL(Table_121215[[#This Row],[DOI]])</f>
        <v/>
      </c>
      <c r="O219">
        <f t="array" ref="O219">IsURL(Table_121215[[#This Row],[Data Source]])</f>
        <v/>
      </c>
      <c r="P219">
        <f t="array" ref="P219">IsURL(Table_121215[[#This Row],[Data Source]])</f>
        <v/>
      </c>
    </row>
    <row r="220" ht="15.75" customHeight="1">
      <c r="A220">
        <f>IF(Table_15[[#This Row],[Part Name]]=0,"",Table_15[[#This Row],[Part Name]])</f>
        <v/>
      </c>
      <c r="I220">
        <f>LEN(TRIM(CLEAN(SUBSTITUTE(SUBSTITUTE(Table_15[[#This Row],[Sequence]],CHAR(160)," ")," ",""))))</f>
        <v/>
      </c>
      <c r="K220" s="21" t="n"/>
      <c r="L220" s="21">
        <f>IF($B220="","FALSE","TRUE")</f>
        <v/>
      </c>
      <c r="M220">
        <f t="array" ref="M220">IsURL(Table_121215[[#This Row],[Data Source]])</f>
        <v/>
      </c>
      <c r="N220">
        <f t="array" ref="N220">IsURL(Table_121215[[#This Row],[DOI]])</f>
        <v/>
      </c>
      <c r="O220">
        <f t="array" ref="O220">IsURL(Table_121215[[#This Row],[Data Source]])</f>
        <v/>
      </c>
      <c r="P220">
        <f t="array" ref="P220">IsURL(Table_121215[[#This Row],[Data Source]])</f>
        <v/>
      </c>
    </row>
    <row r="221" ht="15.75" customHeight="1">
      <c r="A221">
        <f>IF(Table_15[[#This Row],[Part Name]]=0,"",Table_15[[#This Row],[Part Name]])</f>
        <v/>
      </c>
      <c r="I221">
        <f>LEN(TRIM(CLEAN(SUBSTITUTE(SUBSTITUTE(Table_15[[#This Row],[Sequence]],CHAR(160)," ")," ",""))))</f>
        <v/>
      </c>
      <c r="K221" s="21" t="n"/>
      <c r="L221" s="21">
        <f>IF($B221="","FALSE","TRUE")</f>
        <v/>
      </c>
      <c r="M221">
        <f t="array" ref="M221">IsURL(Table_121215[[#This Row],[Data Source]])</f>
        <v/>
      </c>
      <c r="N221">
        <f t="array" ref="N221">IsURL(Table_121215[[#This Row],[DOI]])</f>
        <v/>
      </c>
      <c r="O221">
        <f t="array" ref="O221">IsURL(Table_121215[[#This Row],[Data Source]])</f>
        <v/>
      </c>
      <c r="P221">
        <f t="array" ref="P221">IsURL(Table_121215[[#This Row],[Data Source]])</f>
        <v/>
      </c>
    </row>
    <row r="222" ht="15.75" customHeight="1">
      <c r="A222">
        <f>IF(Table_15[[#This Row],[Part Name]]=0,"",Table_15[[#This Row],[Part Name]])</f>
        <v/>
      </c>
      <c r="I222">
        <f>LEN(TRIM(CLEAN(SUBSTITUTE(SUBSTITUTE(Table_15[[#This Row],[Sequence]],CHAR(160)," ")," ",""))))</f>
        <v/>
      </c>
      <c r="K222" s="21" t="n"/>
      <c r="L222" s="21">
        <f>IF($B222="","FALSE","TRUE")</f>
        <v/>
      </c>
      <c r="M222">
        <f t="array" ref="M222">IsURL(Table_121215[[#This Row],[Data Source]])</f>
        <v/>
      </c>
      <c r="N222">
        <f t="array" ref="N222">IsURL(Table_121215[[#This Row],[DOI]])</f>
        <v/>
      </c>
      <c r="O222">
        <f t="array" ref="O222">IsURL(Table_121215[[#This Row],[Data Source]])</f>
        <v/>
      </c>
      <c r="P222">
        <f t="array" ref="P222">IsURL(Table_121215[[#This Row],[Data Source]])</f>
        <v/>
      </c>
    </row>
    <row r="223" ht="15.75" customHeight="1">
      <c r="A223">
        <f>IF(Table_15[[#This Row],[Part Name]]=0,"",Table_15[[#This Row],[Part Name]])</f>
        <v/>
      </c>
      <c r="I223">
        <f>LEN(TRIM(CLEAN(SUBSTITUTE(SUBSTITUTE(Table_15[[#This Row],[Sequence]],CHAR(160)," ")," ",""))))</f>
        <v/>
      </c>
      <c r="K223" s="21" t="n"/>
      <c r="L223" s="21">
        <f>IF($B223="","FALSE","TRUE")</f>
        <v/>
      </c>
      <c r="M223">
        <f t="array" ref="M223">IsURL(Table_121215[[#This Row],[Data Source]])</f>
        <v/>
      </c>
      <c r="N223">
        <f t="array" ref="N223">IsURL(Table_121215[[#This Row],[DOI]])</f>
        <v/>
      </c>
      <c r="O223">
        <f t="array" ref="O223">IsURL(Table_121215[[#This Row],[Data Source]])</f>
        <v/>
      </c>
      <c r="P223">
        <f t="array" ref="P223">IsURL(Table_121215[[#This Row],[Data Source]])</f>
        <v/>
      </c>
    </row>
    <row r="224" ht="15.75" customHeight="1">
      <c r="A224">
        <f>IF(Table_15[[#This Row],[Part Name]]=0,"",Table_15[[#This Row],[Part Name]])</f>
        <v/>
      </c>
      <c r="I224">
        <f>LEN(TRIM(CLEAN(SUBSTITUTE(SUBSTITUTE(Table_15[[#This Row],[Sequence]],CHAR(160)," ")," ",""))))</f>
        <v/>
      </c>
      <c r="K224" s="21" t="n"/>
      <c r="L224" s="21">
        <f>IF($B224="","FALSE","TRUE")</f>
        <v/>
      </c>
      <c r="M224">
        <f t="array" ref="M224">IsURL(Table_121215[[#This Row],[Data Source]])</f>
        <v/>
      </c>
      <c r="N224">
        <f t="array" ref="N224">IsURL(Table_121215[[#This Row],[DOI]])</f>
        <v/>
      </c>
      <c r="O224">
        <f t="array" ref="O224">IsURL(Table_121215[[#This Row],[Data Source]])</f>
        <v/>
      </c>
      <c r="P224">
        <f t="array" ref="P224">IsURL(Table_121215[[#This Row],[Data Source]])</f>
        <v/>
      </c>
    </row>
    <row r="225" ht="15.75" customHeight="1">
      <c r="A225">
        <f>IF(Table_15[[#This Row],[Part Name]]=0,"",Table_15[[#This Row],[Part Name]])</f>
        <v/>
      </c>
      <c r="I225">
        <f>LEN(TRIM(CLEAN(SUBSTITUTE(SUBSTITUTE(Table_15[[#This Row],[Sequence]],CHAR(160)," ")," ",""))))</f>
        <v/>
      </c>
      <c r="K225" s="21" t="n"/>
      <c r="L225" s="21">
        <f>IF($B225="","FALSE","TRUE")</f>
        <v/>
      </c>
      <c r="M225">
        <f t="array" ref="M225">IsURL(Table_121215[[#This Row],[Data Source]])</f>
        <v/>
      </c>
      <c r="N225">
        <f t="array" ref="N225">IsURL(Table_121215[[#This Row],[DOI]])</f>
        <v/>
      </c>
      <c r="O225">
        <f t="array" ref="O225">IsURL(Table_121215[[#This Row],[Data Source]])</f>
        <v/>
      </c>
      <c r="P225">
        <f t="array" ref="P225">IsURL(Table_121215[[#This Row],[Data Source]])</f>
        <v/>
      </c>
    </row>
    <row r="226" ht="15.75" customHeight="1">
      <c r="A226">
        <f>IF(Table_15[[#This Row],[Part Name]]=0,"",Table_15[[#This Row],[Part Name]])</f>
        <v/>
      </c>
      <c r="I226">
        <f>LEN(TRIM(CLEAN(SUBSTITUTE(SUBSTITUTE(Table_15[[#This Row],[Sequence]],CHAR(160)," ")," ",""))))</f>
        <v/>
      </c>
      <c r="K226" s="21" t="n"/>
      <c r="L226" s="21">
        <f>IF($B226="","FALSE","TRUE")</f>
        <v/>
      </c>
      <c r="M226">
        <f t="array" ref="M226">IsURL(Table_121215[[#This Row],[Data Source]])</f>
        <v/>
      </c>
      <c r="N226">
        <f t="array" ref="N226">IsURL(Table_121215[[#This Row],[DOI]])</f>
        <v/>
      </c>
      <c r="O226">
        <f t="array" ref="O226">IsURL(Table_121215[[#This Row],[Data Source]])</f>
        <v/>
      </c>
      <c r="P226">
        <f t="array" ref="P226">IsURL(Table_121215[[#This Row],[Data Source]])</f>
        <v/>
      </c>
    </row>
    <row r="227" ht="15.75" customHeight="1">
      <c r="A227">
        <f>IF(Table_15[[#This Row],[Part Name]]=0,"",Table_15[[#This Row],[Part Name]])</f>
        <v/>
      </c>
      <c r="I227">
        <f>LEN(TRIM(CLEAN(SUBSTITUTE(SUBSTITUTE(Table_15[[#This Row],[Sequence]],CHAR(160)," ")," ",""))))</f>
        <v/>
      </c>
      <c r="K227" s="21" t="n"/>
      <c r="L227" s="21">
        <f>IF($B227="","FALSE","TRUE")</f>
        <v/>
      </c>
      <c r="M227">
        <f t="array" ref="M227">IsURL(Table_121215[[#This Row],[Data Source]])</f>
        <v/>
      </c>
      <c r="N227">
        <f t="array" ref="N227">IsURL(Table_121215[[#This Row],[DOI]])</f>
        <v/>
      </c>
      <c r="O227">
        <f t="array" ref="O227">IsURL(Table_121215[[#This Row],[Data Source]])</f>
        <v/>
      </c>
      <c r="P227">
        <f t="array" ref="P227">IsURL(Table_121215[[#This Row],[Data Source]])</f>
        <v/>
      </c>
    </row>
    <row r="228" ht="15.75" customHeight="1">
      <c r="A228">
        <f>IF(Table_15[[#This Row],[Part Name]]=0,"",Table_15[[#This Row],[Part Name]])</f>
        <v/>
      </c>
      <c r="I228">
        <f>LEN(TRIM(CLEAN(SUBSTITUTE(SUBSTITUTE(Table_15[[#This Row],[Sequence]],CHAR(160)," ")," ",""))))</f>
        <v/>
      </c>
      <c r="K228" s="21" t="n"/>
      <c r="L228" s="21">
        <f>IF($B228="","FALSE","TRUE")</f>
        <v/>
      </c>
      <c r="M228">
        <f t="array" ref="M228">IsURL(Table_121215[[#This Row],[Data Source]])</f>
        <v/>
      </c>
      <c r="N228">
        <f t="array" ref="N228">IsURL(Table_121215[[#This Row],[DOI]])</f>
        <v/>
      </c>
      <c r="O228">
        <f t="array" ref="O228">IsURL(Table_121215[[#This Row],[Data Source]])</f>
        <v/>
      </c>
      <c r="P228">
        <f t="array" ref="P228">IsURL(Table_121215[[#This Row],[Data Source]])</f>
        <v/>
      </c>
    </row>
    <row r="229" ht="15.75" customHeight="1">
      <c r="A229">
        <f>IF(Table_15[[#This Row],[Part Name]]=0,"",Table_15[[#This Row],[Part Name]])</f>
        <v/>
      </c>
      <c r="I229">
        <f>LEN(TRIM(CLEAN(SUBSTITUTE(SUBSTITUTE(Table_15[[#This Row],[Sequence]],CHAR(160)," ")," ",""))))</f>
        <v/>
      </c>
      <c r="K229" s="21" t="n"/>
      <c r="L229" s="21">
        <f>IF($B229="","FALSE","TRUE")</f>
        <v/>
      </c>
      <c r="M229">
        <f t="array" ref="M229">IsURL(Table_121215[[#This Row],[Data Source]])</f>
        <v/>
      </c>
      <c r="N229">
        <f t="array" ref="N229">IsURL(Table_121215[[#This Row],[DOI]])</f>
        <v/>
      </c>
      <c r="O229">
        <f t="array" ref="O229">IsURL(Table_121215[[#This Row],[Data Source]])</f>
        <v/>
      </c>
      <c r="P229">
        <f t="array" ref="P229">IsURL(Table_121215[[#This Row],[Data Source]])</f>
        <v/>
      </c>
    </row>
    <row r="230" ht="15.75" customHeight="1">
      <c r="A230">
        <f>IF(Table_15[[#This Row],[Part Name]]=0,"",Table_15[[#This Row],[Part Name]])</f>
        <v/>
      </c>
      <c r="I230">
        <f>LEN(TRIM(CLEAN(SUBSTITUTE(SUBSTITUTE(Table_15[[#This Row],[Sequence]],CHAR(160)," ")," ",""))))</f>
        <v/>
      </c>
      <c r="K230" s="21" t="n"/>
      <c r="L230" s="21">
        <f>IF($B230="","FALSE","TRUE")</f>
        <v/>
      </c>
      <c r="M230">
        <f t="array" ref="M230">IsURL(Table_121215[[#This Row],[Data Source]])</f>
        <v/>
      </c>
      <c r="N230">
        <f t="array" ref="N230">IsURL(Table_121215[[#This Row],[DOI]])</f>
        <v/>
      </c>
      <c r="O230">
        <f t="array" ref="O230">IsURL(Table_121215[[#This Row],[Data Source]])</f>
        <v/>
      </c>
      <c r="P230">
        <f t="array" ref="P230">IsURL(Table_121215[[#This Row],[Data Source]])</f>
        <v/>
      </c>
    </row>
    <row r="231" ht="15.75" customHeight="1">
      <c r="A231">
        <f>IF(Table_15[[#This Row],[Part Name]]=0,"",Table_15[[#This Row],[Part Name]])</f>
        <v/>
      </c>
      <c r="I231">
        <f>LEN(TRIM(CLEAN(SUBSTITUTE(SUBSTITUTE(Table_15[[#This Row],[Sequence]],CHAR(160)," ")," ",""))))</f>
        <v/>
      </c>
      <c r="K231" s="21" t="n"/>
      <c r="L231" s="21">
        <f>IF($B231="","FALSE","TRUE")</f>
        <v/>
      </c>
      <c r="M231">
        <f t="array" ref="M231">IsURL(Table_121215[[#This Row],[Data Source]])</f>
        <v/>
      </c>
      <c r="N231">
        <f t="array" ref="N231">IsURL(Table_121215[[#This Row],[DOI]])</f>
        <v/>
      </c>
      <c r="O231">
        <f t="array" ref="O231">IsURL(Table_121215[[#This Row],[Data Source]])</f>
        <v/>
      </c>
      <c r="P231">
        <f t="array" ref="P231">IsURL(Table_121215[[#This Row],[Data Source]])</f>
        <v/>
      </c>
    </row>
    <row r="232" ht="15.75" customHeight="1">
      <c r="A232">
        <f>IF(Table_15[[#This Row],[Part Name]]=0,"",Table_15[[#This Row],[Part Name]])</f>
        <v/>
      </c>
      <c r="I232">
        <f>LEN(TRIM(CLEAN(SUBSTITUTE(SUBSTITUTE(Table_15[[#This Row],[Sequence]],CHAR(160)," ")," ",""))))</f>
        <v/>
      </c>
      <c r="K232" s="21" t="n"/>
      <c r="L232" s="21">
        <f>IF($B232="","FALSE","TRUE")</f>
        <v/>
      </c>
      <c r="M232">
        <f t="array" ref="M232">IsURL(Table_121215[[#This Row],[Data Source]])</f>
        <v/>
      </c>
      <c r="N232">
        <f t="array" ref="N232">IsURL(Table_121215[[#This Row],[DOI]])</f>
        <v/>
      </c>
      <c r="O232">
        <f t="array" ref="O232">IsURL(Table_121215[[#This Row],[Data Source]])</f>
        <v/>
      </c>
      <c r="P232">
        <f t="array" ref="P232">IsURL(Table_121215[[#This Row],[Data Source]])</f>
        <v/>
      </c>
    </row>
    <row r="233" ht="15.75" customHeight="1">
      <c r="A233">
        <f>IF(Table_15[[#This Row],[Part Name]]=0,"",Table_15[[#This Row],[Part Name]])</f>
        <v/>
      </c>
      <c r="I233">
        <f>LEN(TRIM(CLEAN(SUBSTITUTE(SUBSTITUTE(Table_15[[#This Row],[Sequence]],CHAR(160)," ")," ",""))))</f>
        <v/>
      </c>
      <c r="K233" s="21" t="n"/>
      <c r="L233" s="21">
        <f>IF($B233="","FALSE","TRUE")</f>
        <v/>
      </c>
      <c r="M233">
        <f t="array" ref="M233">IsURL(Table_121215[[#This Row],[Data Source]])</f>
        <v/>
      </c>
      <c r="N233">
        <f t="array" ref="N233">IsURL(Table_121215[[#This Row],[DOI]])</f>
        <v/>
      </c>
      <c r="O233">
        <f t="array" ref="O233">IsURL(Table_121215[[#This Row],[Data Source]])</f>
        <v/>
      </c>
      <c r="P233">
        <f t="array" ref="P233">IsURL(Table_121215[[#This Row],[Data Source]])</f>
        <v/>
      </c>
    </row>
    <row r="234" ht="15.75" customHeight="1">
      <c r="A234">
        <f>IF(Table_15[[#This Row],[Part Name]]=0,"",Table_15[[#This Row],[Part Name]])</f>
        <v/>
      </c>
      <c r="I234">
        <f>LEN(TRIM(CLEAN(SUBSTITUTE(SUBSTITUTE(Table_15[[#This Row],[Sequence]],CHAR(160)," ")," ",""))))</f>
        <v/>
      </c>
      <c r="K234" s="21" t="n"/>
      <c r="L234" s="21">
        <f>IF($B234="","FALSE","TRUE")</f>
        <v/>
      </c>
      <c r="M234">
        <f t="array" ref="M234">IsURL(Table_121215[[#This Row],[Data Source]])</f>
        <v/>
      </c>
      <c r="N234">
        <f t="array" ref="N234">IsURL(Table_121215[[#This Row],[DOI]])</f>
        <v/>
      </c>
      <c r="O234">
        <f t="array" ref="O234">IsURL(Table_121215[[#This Row],[Data Source]])</f>
        <v/>
      </c>
      <c r="P234">
        <f t="array" ref="P234">IsURL(Table_121215[[#This Row],[Data Source]])</f>
        <v/>
      </c>
    </row>
    <row r="235" ht="15.75" customHeight="1">
      <c r="A235">
        <f>IF(Table_15[[#This Row],[Part Name]]=0,"",Table_15[[#This Row],[Part Name]])</f>
        <v/>
      </c>
      <c r="I235">
        <f>LEN(TRIM(CLEAN(SUBSTITUTE(SUBSTITUTE(Table_15[[#This Row],[Sequence]],CHAR(160)," ")," ",""))))</f>
        <v/>
      </c>
      <c r="K235" s="21" t="n"/>
      <c r="L235" s="21">
        <f>IF($B235="","FALSE","TRUE")</f>
        <v/>
      </c>
      <c r="M235">
        <f t="array" ref="M235">IsURL(Table_121215[[#This Row],[Data Source]])</f>
        <v/>
      </c>
      <c r="N235">
        <f t="array" ref="N235">IsURL(Table_121215[[#This Row],[DOI]])</f>
        <v/>
      </c>
      <c r="O235">
        <f t="array" ref="O235">IsURL(Table_121215[[#This Row],[Data Source]])</f>
        <v/>
      </c>
      <c r="P235">
        <f t="array" ref="P235">IsURL(Table_121215[[#This Row],[Data Source]])</f>
        <v/>
      </c>
    </row>
    <row r="236" ht="15.75" customHeight="1">
      <c r="A236">
        <f>IF(Table_15[[#This Row],[Part Name]]=0,"",Table_15[[#This Row],[Part Name]])</f>
        <v/>
      </c>
      <c r="I236">
        <f>LEN(TRIM(CLEAN(SUBSTITUTE(SUBSTITUTE(Table_15[[#This Row],[Sequence]],CHAR(160)," ")," ",""))))</f>
        <v/>
      </c>
      <c r="K236" s="21" t="n"/>
      <c r="L236" s="21">
        <f>IF($B236="","FALSE","TRUE")</f>
        <v/>
      </c>
      <c r="M236">
        <f t="array" ref="M236">IsURL(Table_121215[[#This Row],[Data Source]])</f>
        <v/>
      </c>
      <c r="N236">
        <f t="array" ref="N236">IsURL(Table_121215[[#This Row],[DOI]])</f>
        <v/>
      </c>
      <c r="O236">
        <f t="array" ref="O236">IsURL(Table_121215[[#This Row],[Data Source]])</f>
        <v/>
      </c>
      <c r="P236">
        <f t="array" ref="P236">IsURL(Table_121215[[#This Row],[Data Source]])</f>
        <v/>
      </c>
    </row>
    <row r="237" ht="15.75" customHeight="1">
      <c r="A237">
        <f>IF(Table_15[[#This Row],[Part Name]]=0,"",Table_15[[#This Row],[Part Name]])</f>
        <v/>
      </c>
      <c r="I237">
        <f>LEN(TRIM(CLEAN(SUBSTITUTE(SUBSTITUTE(Table_15[[#This Row],[Sequence]],CHAR(160)," ")," ",""))))</f>
        <v/>
      </c>
      <c r="K237" s="21" t="n"/>
      <c r="L237" s="21">
        <f>IF($B237="","FALSE","TRUE")</f>
        <v/>
      </c>
      <c r="M237">
        <f t="array" ref="M237">IsURL(Table_121215[[#This Row],[Data Source]])</f>
        <v/>
      </c>
      <c r="N237">
        <f t="array" ref="N237">IsURL(Table_121215[[#This Row],[DOI]])</f>
        <v/>
      </c>
      <c r="O237">
        <f t="array" ref="O237">IsURL(Table_121215[[#This Row],[Data Source]])</f>
        <v/>
      </c>
      <c r="P237">
        <f t="array" ref="P237">IsURL(Table_121215[[#This Row],[Data Source]])</f>
        <v/>
      </c>
    </row>
    <row r="238" ht="15.75" customHeight="1">
      <c r="A238">
        <f>IF(Table_15[[#This Row],[Part Name]]=0,"",Table_15[[#This Row],[Part Name]])</f>
        <v/>
      </c>
      <c r="I238">
        <f>LEN(TRIM(CLEAN(SUBSTITUTE(SUBSTITUTE(Table_15[[#This Row],[Sequence]],CHAR(160)," ")," ",""))))</f>
        <v/>
      </c>
      <c r="K238" s="21" t="n"/>
      <c r="L238" s="21">
        <f>IF($B238="","FALSE","TRUE")</f>
        <v/>
      </c>
      <c r="M238">
        <f t="array" ref="M238">IsURL(Table_121215[[#This Row],[Data Source]])</f>
        <v/>
      </c>
      <c r="N238">
        <f t="array" ref="N238">IsURL(Table_121215[[#This Row],[DOI]])</f>
        <v/>
      </c>
      <c r="O238">
        <f t="array" ref="O238">IsURL(Table_121215[[#This Row],[Data Source]])</f>
        <v/>
      </c>
      <c r="P238">
        <f t="array" ref="P238">IsURL(Table_121215[[#This Row],[Data Source]])</f>
        <v/>
      </c>
    </row>
    <row r="239" ht="15.75" customHeight="1">
      <c r="A239">
        <f>IF(Table_15[[#This Row],[Part Name]]=0,"",Table_15[[#This Row],[Part Name]])</f>
        <v/>
      </c>
      <c r="I239">
        <f>LEN(TRIM(CLEAN(SUBSTITUTE(SUBSTITUTE(Table_15[[#This Row],[Sequence]],CHAR(160)," ")," ",""))))</f>
        <v/>
      </c>
      <c r="K239" s="21" t="n"/>
      <c r="L239" s="21">
        <f>IF($B239="","FALSE","TRUE")</f>
        <v/>
      </c>
      <c r="M239">
        <f t="array" ref="M239">IsURL(Table_121215[[#This Row],[Data Source]])</f>
        <v/>
      </c>
      <c r="N239">
        <f t="array" ref="N239">IsURL(Table_121215[[#This Row],[DOI]])</f>
        <v/>
      </c>
      <c r="O239">
        <f t="array" ref="O239">IsURL(Table_121215[[#This Row],[Data Source]])</f>
        <v/>
      </c>
      <c r="P239">
        <f t="array" ref="P239">IsURL(Table_121215[[#This Row],[Data Source]])</f>
        <v/>
      </c>
    </row>
    <row r="240" ht="15.75" customHeight="1">
      <c r="A240">
        <f>IF(Table_15[[#This Row],[Part Name]]=0,"",Table_15[[#This Row],[Part Name]])</f>
        <v/>
      </c>
      <c r="I240">
        <f>LEN(TRIM(CLEAN(SUBSTITUTE(SUBSTITUTE(Table_15[[#This Row],[Sequence]],CHAR(160)," ")," ",""))))</f>
        <v/>
      </c>
      <c r="K240" s="21" t="n"/>
      <c r="L240" s="21">
        <f>IF($B240="","FALSE","TRUE")</f>
        <v/>
      </c>
      <c r="M240">
        <f t="array" ref="M240">IsURL(Table_121215[[#This Row],[Data Source]])</f>
        <v/>
      </c>
      <c r="N240">
        <f t="array" ref="N240">IsURL(Table_121215[[#This Row],[DOI]])</f>
        <v/>
      </c>
      <c r="O240">
        <f t="array" ref="O240">IsURL(Table_121215[[#This Row],[Data Source]])</f>
        <v/>
      </c>
      <c r="P240">
        <f t="array" ref="P240">IsURL(Table_121215[[#This Row],[Data Source]])</f>
        <v/>
      </c>
    </row>
    <row r="241" ht="15.75" customHeight="1">
      <c r="A241">
        <f>IF(Table_15[[#This Row],[Part Name]]=0,"",Table_15[[#This Row],[Part Name]])</f>
        <v/>
      </c>
      <c r="I241">
        <f>LEN(TRIM(CLEAN(SUBSTITUTE(SUBSTITUTE(Table_15[[#This Row],[Sequence]],CHAR(160)," ")," ",""))))</f>
        <v/>
      </c>
      <c r="K241" s="21" t="n"/>
      <c r="L241" s="21">
        <f>IF($B241="","FALSE","TRUE")</f>
        <v/>
      </c>
      <c r="M241">
        <f t="array" ref="M241">IsURL(Table_121215[[#This Row],[Data Source]])</f>
        <v/>
      </c>
      <c r="N241">
        <f t="array" ref="N241">IsURL(Table_121215[[#This Row],[DOI]])</f>
        <v/>
      </c>
      <c r="O241">
        <f t="array" ref="O241">IsURL(Table_121215[[#This Row],[Data Source]])</f>
        <v/>
      </c>
      <c r="P241">
        <f t="array" ref="P241">IsURL(Table_121215[[#This Row],[Data Source]])</f>
        <v/>
      </c>
    </row>
    <row r="242" ht="15.75" customHeight="1">
      <c r="A242">
        <f>IF(Table_15[[#This Row],[Part Name]]=0,"",Table_15[[#This Row],[Part Name]])</f>
        <v/>
      </c>
      <c r="I242">
        <f>LEN(TRIM(CLEAN(SUBSTITUTE(SUBSTITUTE(Table_15[[#This Row],[Sequence]],CHAR(160)," ")," ",""))))</f>
        <v/>
      </c>
      <c r="K242" s="21" t="n"/>
      <c r="L242" s="21">
        <f>IF($B242="","FALSE","TRUE")</f>
        <v/>
      </c>
      <c r="M242">
        <f t="array" ref="M242">IsURL(Table_121215[[#This Row],[Data Source]])</f>
        <v/>
      </c>
      <c r="N242">
        <f t="array" ref="N242">IsURL(Table_121215[[#This Row],[DOI]])</f>
        <v/>
      </c>
      <c r="O242">
        <f t="array" ref="O242">IsURL(Table_121215[[#This Row],[Data Source]])</f>
        <v/>
      </c>
      <c r="P242">
        <f t="array" ref="P242">IsURL(Table_121215[[#This Row],[Data Source]])</f>
        <v/>
      </c>
    </row>
    <row r="243" ht="15.75" customHeight="1">
      <c r="A243">
        <f>IF(Table_15[[#This Row],[Part Name]]=0,"",Table_15[[#This Row],[Part Name]])</f>
        <v/>
      </c>
      <c r="I243">
        <f>LEN(TRIM(CLEAN(SUBSTITUTE(SUBSTITUTE(Table_15[[#This Row],[Sequence]],CHAR(160)," ")," ",""))))</f>
        <v/>
      </c>
      <c r="K243" s="21" t="n"/>
      <c r="L243" s="21">
        <f>IF($B243="","FALSE","TRUE")</f>
        <v/>
      </c>
      <c r="M243">
        <f t="array" ref="M243">IsURL(Table_121215[[#This Row],[Data Source]])</f>
        <v/>
      </c>
      <c r="N243">
        <f t="array" ref="N243">IsURL(Table_121215[[#This Row],[DOI]])</f>
        <v/>
      </c>
      <c r="O243">
        <f t="array" ref="O243">IsURL(Table_121215[[#This Row],[Data Source]])</f>
        <v/>
      </c>
      <c r="P243">
        <f t="array" ref="P243">IsURL(Table_121215[[#This Row],[Data Source]])</f>
        <v/>
      </c>
    </row>
    <row r="244" ht="15.75" customHeight="1">
      <c r="A244">
        <f>IF(Table_15[[#This Row],[Part Name]]=0,"",Table_15[[#This Row],[Part Name]])</f>
        <v/>
      </c>
      <c r="I244">
        <f>LEN(TRIM(CLEAN(SUBSTITUTE(SUBSTITUTE(Table_15[[#This Row],[Sequence]],CHAR(160)," ")," ",""))))</f>
        <v/>
      </c>
      <c r="K244" s="21" t="n"/>
      <c r="L244" s="21">
        <f>IF($B244="","FALSE","TRUE")</f>
        <v/>
      </c>
      <c r="M244">
        <f t="array" ref="M244">IsURL(Table_121215[[#This Row],[Data Source]])</f>
        <v/>
      </c>
      <c r="N244">
        <f t="array" ref="N244">IsURL(Table_121215[[#This Row],[DOI]])</f>
        <v/>
      </c>
      <c r="O244">
        <f t="array" ref="O244">IsURL(Table_121215[[#This Row],[Data Source]])</f>
        <v/>
      </c>
      <c r="P244">
        <f t="array" ref="P244">IsURL(Table_121215[[#This Row],[Data Source]])</f>
        <v/>
      </c>
    </row>
    <row r="245" ht="15.75" customHeight="1">
      <c r="A245">
        <f>IF(Table_15[[#This Row],[Part Name]]=0,"",Table_15[[#This Row],[Part Name]])</f>
        <v/>
      </c>
      <c r="I245">
        <f>LEN(TRIM(CLEAN(SUBSTITUTE(SUBSTITUTE(Table_15[[#This Row],[Sequence]],CHAR(160)," ")," ",""))))</f>
        <v/>
      </c>
      <c r="K245" s="21" t="n"/>
      <c r="L245" s="21">
        <f>IF($B245="","FALSE","TRUE")</f>
        <v/>
      </c>
      <c r="M245">
        <f t="array" ref="M245">IsURL(Table_121215[[#This Row],[Data Source]])</f>
        <v/>
      </c>
      <c r="N245">
        <f t="array" ref="N245">IsURL(Table_121215[[#This Row],[DOI]])</f>
        <v/>
      </c>
      <c r="O245">
        <f t="array" ref="O245">IsURL(Table_121215[[#This Row],[Data Source]])</f>
        <v/>
      </c>
      <c r="P245">
        <f t="array" ref="P245">IsURL(Table_121215[[#This Row],[Data Source]])</f>
        <v/>
      </c>
    </row>
    <row r="246" ht="15.75" customHeight="1">
      <c r="A246">
        <f>IF(Table_15[[#This Row],[Part Name]]=0,"",Table_15[[#This Row],[Part Name]])</f>
        <v/>
      </c>
      <c r="I246">
        <f>LEN(TRIM(CLEAN(SUBSTITUTE(SUBSTITUTE(Table_15[[#This Row],[Sequence]],CHAR(160)," ")," ",""))))</f>
        <v/>
      </c>
      <c r="K246" s="21" t="n"/>
      <c r="L246" s="21">
        <f>IF($B246="","FALSE","TRUE")</f>
        <v/>
      </c>
      <c r="M246">
        <f t="array" ref="M246">IsURL(Table_121215[[#This Row],[Data Source]])</f>
        <v/>
      </c>
      <c r="N246">
        <f t="array" ref="N246">IsURL(Table_121215[[#This Row],[DOI]])</f>
        <v/>
      </c>
      <c r="O246">
        <f t="array" ref="O246">IsURL(Table_121215[[#This Row],[Data Source]])</f>
        <v/>
      </c>
      <c r="P246">
        <f t="array" ref="P246">IsURL(Table_121215[[#This Row],[Data Source]])</f>
        <v/>
      </c>
    </row>
    <row r="247" ht="15.75" customHeight="1">
      <c r="A247">
        <f>IF(Table_15[[#This Row],[Part Name]]=0,"",Table_15[[#This Row],[Part Name]])</f>
        <v/>
      </c>
      <c r="I247">
        <f>LEN(TRIM(CLEAN(SUBSTITUTE(SUBSTITUTE(Table_15[[#This Row],[Sequence]],CHAR(160)," ")," ",""))))</f>
        <v/>
      </c>
      <c r="K247" s="21" t="n"/>
      <c r="L247" s="21">
        <f>IF($B247="","FALSE","TRUE")</f>
        <v/>
      </c>
      <c r="M247">
        <f t="array" ref="M247">IsURL(Table_121215[[#This Row],[Data Source]])</f>
        <v/>
      </c>
      <c r="N247">
        <f t="array" ref="N247">IsURL(Table_121215[[#This Row],[DOI]])</f>
        <v/>
      </c>
      <c r="O247">
        <f t="array" ref="O247">IsURL(Table_121215[[#This Row],[Data Source]])</f>
        <v/>
      </c>
      <c r="P247">
        <f t="array" ref="P247">IsURL(Table_121215[[#This Row],[Data Source]])</f>
        <v/>
      </c>
    </row>
    <row r="248" ht="15.75" customHeight="1">
      <c r="A248">
        <f>IF(Table_15[[#This Row],[Part Name]]=0,"",Table_15[[#This Row],[Part Name]])</f>
        <v/>
      </c>
      <c r="I248">
        <f>LEN(TRIM(CLEAN(SUBSTITUTE(SUBSTITUTE(Table_15[[#This Row],[Sequence]],CHAR(160)," ")," ",""))))</f>
        <v/>
      </c>
      <c r="K248" s="21" t="n"/>
      <c r="L248" s="21">
        <f>IF($B248="","FALSE","TRUE")</f>
        <v/>
      </c>
      <c r="M248">
        <f t="array" ref="M248">IsURL(Table_121215[[#This Row],[Data Source]])</f>
        <v/>
      </c>
      <c r="N248">
        <f t="array" ref="N248">IsURL(Table_121215[[#This Row],[DOI]])</f>
        <v/>
      </c>
      <c r="O248">
        <f t="array" ref="O248">IsURL(Table_121215[[#This Row],[Data Source]])</f>
        <v/>
      </c>
      <c r="P248">
        <f t="array" ref="P248">IsURL(Table_121215[[#This Row],[Data Source]])</f>
        <v/>
      </c>
    </row>
    <row r="249" ht="15.75" customHeight="1">
      <c r="A249">
        <f>IF(Table_15[[#This Row],[Part Name]]=0,"",Table_15[[#This Row],[Part Name]])</f>
        <v/>
      </c>
      <c r="I249">
        <f>LEN(TRIM(CLEAN(SUBSTITUTE(SUBSTITUTE(Table_15[[#This Row],[Sequence]],CHAR(160)," ")," ",""))))</f>
        <v/>
      </c>
      <c r="K249" s="21" t="n"/>
      <c r="L249" s="21">
        <f>IF($B249="","FALSE","TRUE")</f>
        <v/>
      </c>
      <c r="M249">
        <f t="array" ref="M249">IsURL(Table_121215[[#This Row],[Data Source]])</f>
        <v/>
      </c>
      <c r="N249">
        <f t="array" ref="N249">IsURL(Table_121215[[#This Row],[DOI]])</f>
        <v/>
      </c>
      <c r="O249">
        <f t="array" ref="O249">IsURL(Table_121215[[#This Row],[Data Source]])</f>
        <v/>
      </c>
      <c r="P249">
        <f t="array" ref="P249">IsURL(Table_121215[[#This Row],[Data Source]])</f>
        <v/>
      </c>
    </row>
    <row r="250" ht="15.75" customHeight="1">
      <c r="A250">
        <f>IF(Table_15[[#This Row],[Part Name]]=0,"",Table_15[[#This Row],[Part Name]])</f>
        <v/>
      </c>
      <c r="I250">
        <f>LEN(TRIM(CLEAN(SUBSTITUTE(SUBSTITUTE(Table_15[[#This Row],[Sequence]],CHAR(160)," ")," ",""))))</f>
        <v/>
      </c>
      <c r="K250" s="21" t="n"/>
      <c r="L250" s="21">
        <f>IF($B250="","FALSE","TRUE")</f>
        <v/>
      </c>
      <c r="M250">
        <f t="array" ref="M250">IsURL(Table_121215[[#This Row],[Data Source]])</f>
        <v/>
      </c>
      <c r="N250">
        <f t="array" ref="N250">IsURL(Table_121215[[#This Row],[DOI]])</f>
        <v/>
      </c>
      <c r="O250">
        <f t="array" ref="O250">IsURL(Table_121215[[#This Row],[Data Source]])</f>
        <v/>
      </c>
      <c r="P250">
        <f t="array" ref="P250">IsURL(Table_121215[[#This Row],[Data Source]])</f>
        <v/>
      </c>
    </row>
    <row r="251" ht="15.75" customHeight="1">
      <c r="A251">
        <f>IF(Table_15[[#This Row],[Part Name]]=0,"",Table_15[[#This Row],[Part Name]])</f>
        <v/>
      </c>
      <c r="I251">
        <f>LEN(TRIM(CLEAN(SUBSTITUTE(SUBSTITUTE(Table_15[[#This Row],[Sequence]],CHAR(160)," ")," ",""))))</f>
        <v/>
      </c>
      <c r="K251" s="21" t="n"/>
      <c r="L251" s="21">
        <f>IF($B251="","FALSE","TRUE")</f>
        <v/>
      </c>
      <c r="M251">
        <f t="array" ref="M251">IsURL(Table_121215[[#This Row],[Data Source]])</f>
        <v/>
      </c>
      <c r="N251">
        <f t="array" ref="N251">IsURL(Table_121215[[#This Row],[DOI]])</f>
        <v/>
      </c>
      <c r="O251">
        <f t="array" ref="O251">IsURL(Table_121215[[#This Row],[Data Source]])</f>
        <v/>
      </c>
      <c r="P251">
        <f t="array" ref="P251">IsURL(Table_121215[[#This Row],[Data Source]])</f>
        <v/>
      </c>
    </row>
    <row r="252" ht="15.75" customHeight="1">
      <c r="A252">
        <f>IF(Table_15[[#This Row],[Part Name]]=0,"",Table_15[[#This Row],[Part Name]])</f>
        <v/>
      </c>
      <c r="I252">
        <f>LEN(TRIM(CLEAN(SUBSTITUTE(SUBSTITUTE(Table_15[[#This Row],[Sequence]],CHAR(160)," ")," ",""))))</f>
        <v/>
      </c>
      <c r="K252" s="21" t="n"/>
      <c r="L252" s="21">
        <f>IF($B252="","FALSE","TRUE")</f>
        <v/>
      </c>
      <c r="M252">
        <f t="array" ref="M252">IsURL(Table_121215[[#This Row],[Data Source]])</f>
        <v/>
      </c>
      <c r="N252">
        <f t="array" ref="N252">IsURL(Table_121215[[#This Row],[DOI]])</f>
        <v/>
      </c>
      <c r="O252">
        <f t="array" ref="O252">IsURL(Table_121215[[#This Row],[Data Source]])</f>
        <v/>
      </c>
      <c r="P252">
        <f t="array" ref="P252">IsURL(Table_121215[[#This Row],[Data Source]])</f>
        <v/>
      </c>
    </row>
    <row r="253" ht="15.75" customHeight="1">
      <c r="A253">
        <f>IF(Table_15[[#This Row],[Part Name]]=0,"",Table_15[[#This Row],[Part Name]])</f>
        <v/>
      </c>
      <c r="I253">
        <f>LEN(TRIM(CLEAN(SUBSTITUTE(SUBSTITUTE(Table_15[[#This Row],[Sequence]],CHAR(160)," ")," ",""))))</f>
        <v/>
      </c>
      <c r="K253" s="21" t="n"/>
      <c r="L253" s="21">
        <f>IF($B253="","FALSE","TRUE")</f>
        <v/>
      </c>
      <c r="M253">
        <f t="array" ref="M253">IsURL(Table_121215[[#This Row],[Data Source]])</f>
        <v/>
      </c>
      <c r="N253">
        <f t="array" ref="N253">IsURL(Table_121215[[#This Row],[DOI]])</f>
        <v/>
      </c>
      <c r="O253">
        <f t="array" ref="O253">IsURL(Table_121215[[#This Row],[Data Source]])</f>
        <v/>
      </c>
      <c r="P253">
        <f t="array" ref="P253">IsURL(Table_121215[[#This Row],[Data Source]])</f>
        <v/>
      </c>
    </row>
    <row r="254" ht="15.75" customHeight="1">
      <c r="A254">
        <f>IF(Table_15[[#This Row],[Part Name]]=0,"",Table_15[[#This Row],[Part Name]])</f>
        <v/>
      </c>
      <c r="I254">
        <f>LEN(TRIM(CLEAN(SUBSTITUTE(SUBSTITUTE(Table_15[[#This Row],[Sequence]],CHAR(160)," ")," ",""))))</f>
        <v/>
      </c>
      <c r="K254" s="21" t="n"/>
      <c r="L254" s="21">
        <f>IF($B254="","FALSE","TRUE")</f>
        <v/>
      </c>
      <c r="M254">
        <f t="array" ref="M254">IsURL(Table_121215[[#This Row],[Data Source]])</f>
        <v/>
      </c>
      <c r="N254">
        <f t="array" ref="N254">IsURL(Table_121215[[#This Row],[DOI]])</f>
        <v/>
      </c>
      <c r="O254">
        <f t="array" ref="O254">IsURL(Table_121215[[#This Row],[Data Source]])</f>
        <v/>
      </c>
      <c r="P254">
        <f t="array" ref="P254">IsURL(Table_121215[[#This Row],[Data Source]])</f>
        <v/>
      </c>
    </row>
    <row r="255" ht="15.75" customHeight="1">
      <c r="A255">
        <f>IF(Table_15[[#This Row],[Part Name]]=0,"",Table_15[[#This Row],[Part Name]])</f>
        <v/>
      </c>
      <c r="I255">
        <f>LEN(TRIM(CLEAN(SUBSTITUTE(SUBSTITUTE(Table_15[[#This Row],[Sequence]],CHAR(160)," ")," ",""))))</f>
        <v/>
      </c>
      <c r="K255" s="21" t="n"/>
      <c r="L255" s="21">
        <f>IF($B255="","FALSE","TRUE")</f>
        <v/>
      </c>
      <c r="M255">
        <f t="array" ref="M255">IsURL(Table_121215[[#This Row],[Data Source]])</f>
        <v/>
      </c>
      <c r="N255">
        <f t="array" ref="N255">IsURL(Table_121215[[#This Row],[DOI]])</f>
        <v/>
      </c>
      <c r="O255">
        <f t="array" ref="O255">IsURL(Table_121215[[#This Row],[Data Source]])</f>
        <v/>
      </c>
      <c r="P255">
        <f t="array" ref="P255">IsURL(Table_121215[[#This Row],[Data Source]])</f>
        <v/>
      </c>
    </row>
    <row r="256" ht="15.75" customHeight="1">
      <c r="A256">
        <f>IF(Table_15[[#This Row],[Part Name]]=0,"",Table_15[[#This Row],[Part Name]])</f>
        <v/>
      </c>
      <c r="I256">
        <f>LEN(TRIM(CLEAN(SUBSTITUTE(SUBSTITUTE(Table_15[[#This Row],[Sequence]],CHAR(160)," ")," ",""))))</f>
        <v/>
      </c>
      <c r="K256" s="21" t="n"/>
      <c r="L256" s="21">
        <f>IF($B256="","FALSE","TRUE")</f>
        <v/>
      </c>
      <c r="M256">
        <f t="array" ref="M256">IsURL(Table_121215[[#This Row],[Data Source]])</f>
        <v/>
      </c>
      <c r="N256">
        <f t="array" ref="N256">IsURL(Table_121215[[#This Row],[DOI]])</f>
        <v/>
      </c>
      <c r="O256">
        <f t="array" ref="O256">IsURL(Table_121215[[#This Row],[Data Source]])</f>
        <v/>
      </c>
      <c r="P256">
        <f t="array" ref="P256">IsURL(Table_121215[[#This Row],[Data Source]])</f>
        <v/>
      </c>
    </row>
    <row r="257" ht="15.75" customHeight="1">
      <c r="A257">
        <f>IF(Table_15[[#This Row],[Part Name]]=0,"",Table_15[[#This Row],[Part Name]])</f>
        <v/>
      </c>
      <c r="I257">
        <f>LEN(TRIM(CLEAN(SUBSTITUTE(SUBSTITUTE(Table_15[[#This Row],[Sequence]],CHAR(160)," ")," ",""))))</f>
        <v/>
      </c>
      <c r="K257" s="21" t="n"/>
      <c r="L257" s="21">
        <f>IF($B257="","FALSE","TRUE")</f>
        <v/>
      </c>
      <c r="M257">
        <f t="array" ref="M257">IsURL(Table_121215[[#This Row],[Data Source]])</f>
        <v/>
      </c>
      <c r="N257">
        <f t="array" ref="N257">IsURL(Table_121215[[#This Row],[DOI]])</f>
        <v/>
      </c>
      <c r="O257">
        <f t="array" ref="O257">IsURL(Table_121215[[#This Row],[Data Source]])</f>
        <v/>
      </c>
      <c r="P257">
        <f t="array" ref="P257">IsURL(Table_121215[[#This Row],[Data Source]])</f>
        <v/>
      </c>
    </row>
    <row r="258" ht="15.75" customHeight="1">
      <c r="A258">
        <f>IF(Table_15[[#This Row],[Part Name]]=0,"",Table_15[[#This Row],[Part Name]])</f>
        <v/>
      </c>
      <c r="I258">
        <f>LEN(TRIM(CLEAN(SUBSTITUTE(SUBSTITUTE(Table_15[[#This Row],[Sequence]],CHAR(160)," ")," ",""))))</f>
        <v/>
      </c>
      <c r="K258" s="21" t="n"/>
      <c r="L258" s="21">
        <f>IF($B258="","FALSE","TRUE")</f>
        <v/>
      </c>
      <c r="M258">
        <f t="array" ref="M258">IsURL(Table_121215[[#This Row],[Data Source]])</f>
        <v/>
      </c>
      <c r="N258">
        <f t="array" ref="N258">IsURL(Table_121215[[#This Row],[DOI]])</f>
        <v/>
      </c>
      <c r="O258">
        <f t="array" ref="O258">IsURL(Table_121215[[#This Row],[Data Source]])</f>
        <v/>
      </c>
      <c r="P258">
        <f t="array" ref="P258">IsURL(Table_121215[[#This Row],[Data Source]])</f>
        <v/>
      </c>
    </row>
    <row r="259" ht="15.75" customHeight="1">
      <c r="A259">
        <f>IF(Table_15[[#This Row],[Part Name]]=0,"",Table_15[[#This Row],[Part Name]])</f>
        <v/>
      </c>
      <c r="I259">
        <f>LEN(TRIM(CLEAN(SUBSTITUTE(SUBSTITUTE(Table_15[[#This Row],[Sequence]],CHAR(160)," ")," ",""))))</f>
        <v/>
      </c>
      <c r="K259" s="21" t="n"/>
      <c r="L259" s="21">
        <f>IF($B259="","FALSE","TRUE")</f>
        <v/>
      </c>
      <c r="M259">
        <f t="array" ref="M259">IsURL(Table_121215[[#This Row],[Data Source]])</f>
        <v/>
      </c>
      <c r="N259">
        <f t="array" ref="N259">IsURL(Table_121215[[#This Row],[DOI]])</f>
        <v/>
      </c>
      <c r="O259">
        <f t="array" ref="O259">IsURL(Table_121215[[#This Row],[Data Source]])</f>
        <v/>
      </c>
      <c r="P259">
        <f t="array" ref="P259">IsURL(Table_121215[[#This Row],[Data Source]])</f>
        <v/>
      </c>
    </row>
    <row r="260" ht="15.75" customHeight="1">
      <c r="A260">
        <f>IF(Table_15[[#This Row],[Part Name]]=0,"",Table_15[[#This Row],[Part Name]])</f>
        <v/>
      </c>
      <c r="I260">
        <f>LEN(TRIM(CLEAN(SUBSTITUTE(SUBSTITUTE(Table_15[[#This Row],[Sequence]],CHAR(160)," ")," ",""))))</f>
        <v/>
      </c>
      <c r="K260" s="21" t="n"/>
      <c r="L260" s="21">
        <f>IF($B260="","FALSE","TRUE")</f>
        <v/>
      </c>
      <c r="M260">
        <f t="array" ref="M260">IsURL(Table_121215[[#This Row],[Data Source]])</f>
        <v/>
      </c>
      <c r="N260">
        <f t="array" ref="N260">IsURL(Table_121215[[#This Row],[DOI]])</f>
        <v/>
      </c>
      <c r="O260">
        <f t="array" ref="O260">IsURL(Table_121215[[#This Row],[Data Source]])</f>
        <v/>
      </c>
      <c r="P260">
        <f t="array" ref="P260">IsURL(Table_121215[[#This Row],[Data Source]])</f>
        <v/>
      </c>
    </row>
    <row r="261" ht="15.75" customHeight="1">
      <c r="A261">
        <f>IF(Table_15[[#This Row],[Part Name]]=0,"",Table_15[[#This Row],[Part Name]])</f>
        <v/>
      </c>
      <c r="I261">
        <f>LEN(TRIM(CLEAN(SUBSTITUTE(SUBSTITUTE(Table_15[[#This Row],[Sequence]],CHAR(160)," ")," ",""))))</f>
        <v/>
      </c>
      <c r="K261" s="21" t="n"/>
      <c r="L261" s="21">
        <f>IF($B261="","FALSE","TRUE")</f>
        <v/>
      </c>
      <c r="M261">
        <f t="array" ref="M261">IsURL(Table_121215[[#This Row],[Data Source]])</f>
        <v/>
      </c>
      <c r="N261">
        <f t="array" ref="N261">IsURL(Table_121215[[#This Row],[DOI]])</f>
        <v/>
      </c>
      <c r="O261">
        <f t="array" ref="O261">IsURL(Table_121215[[#This Row],[Data Source]])</f>
        <v/>
      </c>
      <c r="P261">
        <f t="array" ref="P261">IsURL(Table_121215[[#This Row],[Data Source]])</f>
        <v/>
      </c>
    </row>
    <row r="262" ht="15.75" customHeight="1">
      <c r="A262">
        <f>IF(Table_15[[#This Row],[Part Name]]=0,"",Table_15[[#This Row],[Part Name]])</f>
        <v/>
      </c>
      <c r="I262">
        <f>LEN(TRIM(CLEAN(SUBSTITUTE(SUBSTITUTE(Table_15[[#This Row],[Sequence]],CHAR(160)," ")," ",""))))</f>
        <v/>
      </c>
      <c r="K262" s="21" t="n"/>
      <c r="L262" s="21">
        <f>IF($B262="","FALSE","TRUE")</f>
        <v/>
      </c>
      <c r="M262">
        <f t="array" ref="M262">IsURL(Table_121215[[#This Row],[Data Source]])</f>
        <v/>
      </c>
      <c r="N262">
        <f t="array" ref="N262">IsURL(Table_121215[[#This Row],[DOI]])</f>
        <v/>
      </c>
      <c r="O262">
        <f t="array" ref="O262">IsURL(Table_121215[[#This Row],[Data Source]])</f>
        <v/>
      </c>
      <c r="P262">
        <f t="array" ref="P262">IsURL(Table_121215[[#This Row],[Data Source]])</f>
        <v/>
      </c>
    </row>
    <row r="263" ht="15.75" customHeight="1">
      <c r="A263">
        <f>IF(Table_15[[#This Row],[Part Name]]=0,"",Table_15[[#This Row],[Part Name]])</f>
        <v/>
      </c>
      <c r="I263">
        <f>LEN(TRIM(CLEAN(SUBSTITUTE(SUBSTITUTE(Table_15[[#This Row],[Sequence]],CHAR(160)," ")," ",""))))</f>
        <v/>
      </c>
      <c r="K263" s="21" t="n"/>
      <c r="L263" s="21">
        <f>IF($B263="","FALSE","TRUE")</f>
        <v/>
      </c>
      <c r="M263">
        <f t="array" ref="M263">IsURL(Table_121215[[#This Row],[Data Source]])</f>
        <v/>
      </c>
      <c r="N263">
        <f t="array" ref="N263">IsURL(Table_121215[[#This Row],[DOI]])</f>
        <v/>
      </c>
      <c r="O263">
        <f t="array" ref="O263">IsURL(Table_121215[[#This Row],[Data Source]])</f>
        <v/>
      </c>
      <c r="P263">
        <f t="array" ref="P263">IsURL(Table_121215[[#This Row],[Data Source]])</f>
        <v/>
      </c>
    </row>
    <row r="264" ht="15.75" customHeight="1">
      <c r="A264">
        <f>IF(Table_15[[#This Row],[Part Name]]=0,"",Table_15[[#This Row],[Part Name]])</f>
        <v/>
      </c>
      <c r="I264">
        <f>LEN(TRIM(CLEAN(SUBSTITUTE(SUBSTITUTE(Table_15[[#This Row],[Sequence]],CHAR(160)," ")," ",""))))</f>
        <v/>
      </c>
      <c r="K264" s="21" t="n"/>
      <c r="L264" s="21">
        <f>IF($B264="","FALSE","TRUE")</f>
        <v/>
      </c>
      <c r="M264">
        <f t="array" ref="M264">IsURL(Table_121215[[#This Row],[Data Source]])</f>
        <v/>
      </c>
      <c r="N264">
        <f t="array" ref="N264">IsURL(Table_121215[[#This Row],[DOI]])</f>
        <v/>
      </c>
      <c r="O264">
        <f t="array" ref="O264">IsURL(Table_121215[[#This Row],[Data Source]])</f>
        <v/>
      </c>
      <c r="P264">
        <f t="array" ref="P264">IsURL(Table_121215[[#This Row],[Data Source]])</f>
        <v/>
      </c>
    </row>
    <row r="265" ht="15.75" customHeight="1">
      <c r="A265">
        <f>IF(Table_15[[#This Row],[Part Name]]=0,"",Table_15[[#This Row],[Part Name]])</f>
        <v/>
      </c>
      <c r="I265">
        <f>LEN(TRIM(CLEAN(SUBSTITUTE(SUBSTITUTE(Table_15[[#This Row],[Sequence]],CHAR(160)," ")," ",""))))</f>
        <v/>
      </c>
      <c r="K265" s="21" t="n"/>
      <c r="L265" s="21">
        <f>IF($B265="","FALSE","TRUE")</f>
        <v/>
      </c>
      <c r="M265">
        <f t="array" ref="M265">IsURL(Table_121215[[#This Row],[Data Source]])</f>
        <v/>
      </c>
      <c r="N265">
        <f t="array" ref="N265">IsURL(Table_121215[[#This Row],[DOI]])</f>
        <v/>
      </c>
      <c r="O265">
        <f t="array" ref="O265">IsURL(Table_121215[[#This Row],[Data Source]])</f>
        <v/>
      </c>
      <c r="P265">
        <f t="array" ref="P265">IsURL(Table_121215[[#This Row],[Data Source]])</f>
        <v/>
      </c>
    </row>
    <row r="266" ht="15.75" customHeight="1">
      <c r="A266">
        <f>IF(Table_15[[#This Row],[Part Name]]=0,"",Table_15[[#This Row],[Part Name]])</f>
        <v/>
      </c>
      <c r="I266">
        <f>LEN(TRIM(CLEAN(SUBSTITUTE(SUBSTITUTE(Table_15[[#This Row],[Sequence]],CHAR(160)," ")," ",""))))</f>
        <v/>
      </c>
      <c r="K266" s="21" t="n"/>
      <c r="L266" s="21">
        <f>IF($B266="","FALSE","TRUE")</f>
        <v/>
      </c>
      <c r="M266">
        <f t="array" ref="M266">IsURL(Table_121215[[#This Row],[Data Source]])</f>
        <v/>
      </c>
      <c r="N266">
        <f t="array" ref="N266">IsURL(Table_121215[[#This Row],[DOI]])</f>
        <v/>
      </c>
      <c r="O266">
        <f t="array" ref="O266">IsURL(Table_121215[[#This Row],[Data Source]])</f>
        <v/>
      </c>
      <c r="P266">
        <f t="array" ref="P266">IsURL(Table_121215[[#This Row],[Data Source]])</f>
        <v/>
      </c>
    </row>
    <row r="267" ht="15.75" customHeight="1">
      <c r="A267">
        <f>IF(Table_15[[#This Row],[Part Name]]=0,"",Table_15[[#This Row],[Part Name]])</f>
        <v/>
      </c>
      <c r="I267">
        <f>LEN(TRIM(CLEAN(SUBSTITUTE(SUBSTITUTE(Table_15[[#This Row],[Sequence]],CHAR(160)," ")," ",""))))</f>
        <v/>
      </c>
      <c r="K267" s="21" t="n"/>
      <c r="L267" s="21">
        <f>IF($B267="","FALSE","TRUE")</f>
        <v/>
      </c>
      <c r="M267">
        <f t="array" ref="M267">IsURL(Table_121215[[#This Row],[Data Source]])</f>
        <v/>
      </c>
      <c r="N267">
        <f t="array" ref="N267">IsURL(Table_121215[[#This Row],[DOI]])</f>
        <v/>
      </c>
      <c r="O267">
        <f t="array" ref="O267">IsURL(Table_121215[[#This Row],[Data Source]])</f>
        <v/>
      </c>
      <c r="P267">
        <f t="array" ref="P267">IsURL(Table_121215[[#This Row],[Data Source]])</f>
        <v/>
      </c>
    </row>
    <row r="268" ht="15.75" customHeight="1">
      <c r="A268">
        <f>IF(Table_15[[#This Row],[Part Name]]=0,"",Table_15[[#This Row],[Part Name]])</f>
        <v/>
      </c>
      <c r="I268">
        <f>LEN(TRIM(CLEAN(SUBSTITUTE(SUBSTITUTE(Table_15[[#This Row],[Sequence]],CHAR(160)," ")," ",""))))</f>
        <v/>
      </c>
      <c r="K268" s="21" t="n"/>
      <c r="L268" s="21">
        <f>IF($B268="","FALSE","TRUE")</f>
        <v/>
      </c>
      <c r="M268">
        <f t="array" ref="M268">IsURL(Table_121215[[#This Row],[Data Source]])</f>
        <v/>
      </c>
      <c r="N268">
        <f t="array" ref="N268">IsURL(Table_121215[[#This Row],[DOI]])</f>
        <v/>
      </c>
      <c r="O268">
        <f t="array" ref="O268">IsURL(Table_121215[[#This Row],[Data Source]])</f>
        <v/>
      </c>
      <c r="P268">
        <f t="array" ref="P268">IsURL(Table_121215[[#This Row],[Data Source]])</f>
        <v/>
      </c>
    </row>
    <row r="269" ht="15.75" customHeight="1">
      <c r="A269">
        <f>IF(Table_15[[#This Row],[Part Name]]=0,"",Table_15[[#This Row],[Part Name]])</f>
        <v/>
      </c>
      <c r="I269">
        <f>LEN(TRIM(CLEAN(SUBSTITUTE(SUBSTITUTE(Table_15[[#This Row],[Sequence]],CHAR(160)," ")," ",""))))</f>
        <v/>
      </c>
      <c r="K269" s="21" t="n"/>
      <c r="L269" s="21">
        <f>IF($B269="","FALSE","TRUE")</f>
        <v/>
      </c>
      <c r="M269">
        <f t="array" ref="M269">IsURL(Table_121215[[#This Row],[Data Source]])</f>
        <v/>
      </c>
      <c r="N269">
        <f t="array" ref="N269">IsURL(Table_121215[[#This Row],[DOI]])</f>
        <v/>
      </c>
      <c r="O269">
        <f t="array" ref="O269">IsURL(Table_121215[[#This Row],[Data Source]])</f>
        <v/>
      </c>
      <c r="P269">
        <f t="array" ref="P269">IsURL(Table_121215[[#This Row],[Data Source]])</f>
        <v/>
      </c>
    </row>
    <row r="270" ht="15.75" customHeight="1">
      <c r="A270">
        <f>IF(Table_15[[#This Row],[Part Name]]=0,"",Table_15[[#This Row],[Part Name]])</f>
        <v/>
      </c>
      <c r="I270">
        <f>LEN(TRIM(CLEAN(SUBSTITUTE(SUBSTITUTE(Table_15[[#This Row],[Sequence]],CHAR(160)," ")," ",""))))</f>
        <v/>
      </c>
      <c r="K270" s="21" t="n"/>
      <c r="L270" s="21">
        <f>IF($B270="","FALSE","TRUE")</f>
        <v/>
      </c>
      <c r="M270">
        <f t="array" ref="M270">IsURL(Table_121215[[#This Row],[Data Source]])</f>
        <v/>
      </c>
      <c r="N270">
        <f t="array" ref="N270">IsURL(Table_121215[[#This Row],[DOI]])</f>
        <v/>
      </c>
      <c r="O270">
        <f t="array" ref="O270">IsURL(Table_121215[[#This Row],[Data Source]])</f>
        <v/>
      </c>
      <c r="P270">
        <f t="array" ref="P270">IsURL(Table_121215[[#This Row],[Data Source]])</f>
        <v/>
      </c>
    </row>
    <row r="271" ht="15.75" customHeight="1">
      <c r="A271">
        <f>IF(Table_15[[#This Row],[Part Name]]=0,"",Table_15[[#This Row],[Part Name]])</f>
        <v/>
      </c>
      <c r="I271">
        <f>LEN(TRIM(CLEAN(SUBSTITUTE(SUBSTITUTE(Table_15[[#This Row],[Sequence]],CHAR(160)," ")," ",""))))</f>
        <v/>
      </c>
      <c r="K271" s="21" t="n"/>
      <c r="L271" s="21">
        <f>IF($B271="","FALSE","TRUE")</f>
        <v/>
      </c>
      <c r="M271">
        <f t="array" ref="M271">IsURL(Table_121215[[#This Row],[Data Source]])</f>
        <v/>
      </c>
      <c r="N271">
        <f t="array" ref="N271">IsURL(Table_121215[[#This Row],[DOI]])</f>
        <v/>
      </c>
      <c r="O271">
        <f t="array" ref="O271">IsURL(Table_121215[[#This Row],[Data Source]])</f>
        <v/>
      </c>
      <c r="P271">
        <f t="array" ref="P271">IsURL(Table_121215[[#This Row],[Data Source]])</f>
        <v/>
      </c>
    </row>
    <row r="272" ht="15.75" customHeight="1">
      <c r="A272">
        <f>IF(Table_15[[#This Row],[Part Name]]=0,"",Table_15[[#This Row],[Part Name]])</f>
        <v/>
      </c>
      <c r="I272">
        <f>LEN(TRIM(CLEAN(SUBSTITUTE(SUBSTITUTE(Table_15[[#This Row],[Sequence]],CHAR(160)," ")," ",""))))</f>
        <v/>
      </c>
      <c r="K272" s="21" t="n"/>
      <c r="L272" s="21">
        <f>IF($B272="","FALSE","TRUE")</f>
        <v/>
      </c>
      <c r="M272">
        <f t="array" ref="M272">IsURL(Table_121215[[#This Row],[Data Source]])</f>
        <v/>
      </c>
      <c r="N272">
        <f t="array" ref="N272">IsURL(Table_121215[[#This Row],[DOI]])</f>
        <v/>
      </c>
      <c r="O272">
        <f t="array" ref="O272">IsURL(Table_121215[[#This Row],[Data Source]])</f>
        <v/>
      </c>
      <c r="P272">
        <f t="array" ref="P272">IsURL(Table_121215[[#This Row],[Data Source]])</f>
        <v/>
      </c>
    </row>
    <row r="273" ht="15.75" customHeight="1">
      <c r="A273">
        <f>IF(Table_15[[#This Row],[Part Name]]=0,"",Table_15[[#This Row],[Part Name]])</f>
        <v/>
      </c>
      <c r="I273">
        <f>LEN(TRIM(CLEAN(SUBSTITUTE(SUBSTITUTE(Table_15[[#This Row],[Sequence]],CHAR(160)," ")," ",""))))</f>
        <v/>
      </c>
      <c r="K273" s="21" t="n"/>
      <c r="L273" s="21">
        <f>IF($B273="","FALSE","TRUE")</f>
        <v/>
      </c>
      <c r="M273">
        <f t="array" ref="M273">IsURL(Table_121215[[#This Row],[Data Source]])</f>
        <v/>
      </c>
      <c r="N273">
        <f t="array" ref="N273">IsURL(Table_121215[[#This Row],[DOI]])</f>
        <v/>
      </c>
      <c r="O273">
        <f t="array" ref="O273">IsURL(Table_121215[[#This Row],[Data Source]])</f>
        <v/>
      </c>
      <c r="P273">
        <f t="array" ref="P273">IsURL(Table_121215[[#This Row],[Data Source]])</f>
        <v/>
      </c>
    </row>
    <row r="274" ht="15.75" customHeight="1">
      <c r="A274">
        <f>IF(Table_15[[#This Row],[Part Name]]=0,"",Table_15[[#This Row],[Part Name]])</f>
        <v/>
      </c>
      <c r="I274">
        <f>LEN(TRIM(CLEAN(SUBSTITUTE(SUBSTITUTE(Table_15[[#This Row],[Sequence]],CHAR(160)," ")," ",""))))</f>
        <v/>
      </c>
      <c r="K274" s="21" t="n"/>
      <c r="L274" s="21">
        <f>IF($B274="","FALSE","TRUE")</f>
        <v/>
      </c>
      <c r="M274">
        <f t="array" ref="M274">IsURL(Table_121215[[#This Row],[Data Source]])</f>
        <v/>
      </c>
      <c r="N274">
        <f t="array" ref="N274">IsURL(Table_121215[[#This Row],[DOI]])</f>
        <v/>
      </c>
      <c r="O274">
        <f t="array" ref="O274">IsURL(Table_121215[[#This Row],[Data Source]])</f>
        <v/>
      </c>
      <c r="P274">
        <f t="array" ref="P274">IsURL(Table_121215[[#This Row],[Data Source]])</f>
        <v/>
      </c>
    </row>
    <row r="275" ht="15.75" customHeight="1">
      <c r="A275">
        <f>IF(Table_15[[#This Row],[Part Name]]=0,"",Table_15[[#This Row],[Part Name]])</f>
        <v/>
      </c>
      <c r="I275">
        <f>LEN(TRIM(CLEAN(SUBSTITUTE(SUBSTITUTE(Table_15[[#This Row],[Sequence]],CHAR(160)," ")," ",""))))</f>
        <v/>
      </c>
      <c r="K275" s="21" t="n"/>
      <c r="L275" s="21">
        <f>IF($B275="","FALSE","TRUE")</f>
        <v/>
      </c>
      <c r="M275">
        <f t="array" ref="M275">IsURL(Table_121215[[#This Row],[Data Source]])</f>
        <v/>
      </c>
      <c r="N275">
        <f t="array" ref="N275">IsURL(Table_121215[[#This Row],[DOI]])</f>
        <v/>
      </c>
      <c r="O275">
        <f t="array" ref="O275">IsURL(Table_121215[[#This Row],[Data Source]])</f>
        <v/>
      </c>
      <c r="P275">
        <f t="array" ref="P275">IsURL(Table_121215[[#This Row],[Data Source]])</f>
        <v/>
      </c>
    </row>
    <row r="276" ht="15.75" customHeight="1">
      <c r="A276">
        <f>IF(Table_15[[#This Row],[Part Name]]=0,"",Table_15[[#This Row],[Part Name]])</f>
        <v/>
      </c>
      <c r="I276">
        <f>LEN(TRIM(CLEAN(SUBSTITUTE(SUBSTITUTE(Table_15[[#This Row],[Sequence]],CHAR(160)," ")," ",""))))</f>
        <v/>
      </c>
      <c r="K276" s="21" t="n"/>
      <c r="L276" s="21">
        <f>IF($B276="","FALSE","TRUE")</f>
        <v/>
      </c>
      <c r="M276">
        <f t="array" ref="M276">IsURL(Table_121215[[#This Row],[Data Source]])</f>
        <v/>
      </c>
      <c r="N276">
        <f t="array" ref="N276">IsURL(Table_121215[[#This Row],[DOI]])</f>
        <v/>
      </c>
      <c r="O276">
        <f t="array" ref="O276">IsURL(Table_121215[[#This Row],[Data Source]])</f>
        <v/>
      </c>
      <c r="P276">
        <f t="array" ref="P276">IsURL(Table_121215[[#This Row],[Data Source]])</f>
        <v/>
      </c>
    </row>
    <row r="277" ht="15.75" customHeight="1">
      <c r="A277">
        <f>IF(Table_15[[#This Row],[Part Name]]=0,"",Table_15[[#This Row],[Part Name]])</f>
        <v/>
      </c>
      <c r="I277">
        <f>LEN(TRIM(CLEAN(SUBSTITUTE(SUBSTITUTE(Table_15[[#This Row],[Sequence]],CHAR(160)," ")," ",""))))</f>
        <v/>
      </c>
      <c r="K277" s="21" t="n"/>
      <c r="L277" s="21">
        <f>IF($B277="","FALSE","TRUE")</f>
        <v/>
      </c>
      <c r="M277">
        <f t="array" ref="M277">IsURL(Table_121215[[#This Row],[Data Source]])</f>
        <v/>
      </c>
      <c r="N277">
        <f t="array" ref="N277">IsURL(Table_121215[[#This Row],[DOI]])</f>
        <v/>
      </c>
      <c r="O277">
        <f t="array" ref="O277">IsURL(Table_121215[[#This Row],[Data Source]])</f>
        <v/>
      </c>
      <c r="P277">
        <f t="array" ref="P277">IsURL(Table_121215[[#This Row],[Data Source]])</f>
        <v/>
      </c>
    </row>
    <row r="278" ht="15.75" customHeight="1">
      <c r="A278">
        <f>IF(Table_15[[#This Row],[Part Name]]=0,"",Table_15[[#This Row],[Part Name]])</f>
        <v/>
      </c>
      <c r="I278">
        <f>LEN(TRIM(CLEAN(SUBSTITUTE(SUBSTITUTE(Table_15[[#This Row],[Sequence]],CHAR(160)," ")," ",""))))</f>
        <v/>
      </c>
      <c r="K278" s="21" t="n"/>
      <c r="L278" s="21">
        <f>IF($B278="","FALSE","TRUE")</f>
        <v/>
      </c>
      <c r="M278">
        <f t="array" ref="M278">IsURL(Table_121215[[#This Row],[Data Source]])</f>
        <v/>
      </c>
      <c r="N278">
        <f t="array" ref="N278">IsURL(Table_121215[[#This Row],[DOI]])</f>
        <v/>
      </c>
      <c r="O278">
        <f t="array" ref="O278">IsURL(Table_121215[[#This Row],[Data Source]])</f>
        <v/>
      </c>
      <c r="P278">
        <f t="array" ref="P278">IsURL(Table_121215[[#This Row],[Data Source]])</f>
        <v/>
      </c>
    </row>
    <row r="279" ht="15.75" customHeight="1">
      <c r="A279">
        <f>IF(Table_15[[#This Row],[Part Name]]=0,"",Table_15[[#This Row],[Part Name]])</f>
        <v/>
      </c>
      <c r="I279">
        <f>LEN(TRIM(CLEAN(SUBSTITUTE(SUBSTITUTE(Table_15[[#This Row],[Sequence]],CHAR(160)," ")," ",""))))</f>
        <v/>
      </c>
      <c r="K279" s="21" t="n"/>
      <c r="L279" s="21">
        <f>IF($B279="","FALSE","TRUE")</f>
        <v/>
      </c>
      <c r="M279">
        <f t="array" ref="M279">IsURL(Table_121215[[#This Row],[Data Source]])</f>
        <v/>
      </c>
      <c r="N279">
        <f t="array" ref="N279">IsURL(Table_121215[[#This Row],[DOI]])</f>
        <v/>
      </c>
      <c r="O279">
        <f t="array" ref="O279">IsURL(Table_121215[[#This Row],[Data Source]])</f>
        <v/>
      </c>
      <c r="P279">
        <f t="array" ref="P279">IsURL(Table_121215[[#This Row],[Data Source]])</f>
        <v/>
      </c>
    </row>
    <row r="280" ht="15.75" customHeight="1">
      <c r="A280">
        <f>IF(Table_15[[#This Row],[Part Name]]=0,"",Table_15[[#This Row],[Part Name]])</f>
        <v/>
      </c>
      <c r="I280">
        <f>LEN(TRIM(CLEAN(SUBSTITUTE(SUBSTITUTE(Table_15[[#This Row],[Sequence]],CHAR(160)," ")," ",""))))</f>
        <v/>
      </c>
      <c r="K280" s="21" t="n"/>
      <c r="L280" s="21">
        <f>IF($B280="","FALSE","TRUE")</f>
        <v/>
      </c>
      <c r="M280">
        <f t="array" ref="M280">IsURL(Table_121215[[#This Row],[Data Source]])</f>
        <v/>
      </c>
      <c r="N280">
        <f t="array" ref="N280">IsURL(Table_121215[[#This Row],[DOI]])</f>
        <v/>
      </c>
      <c r="O280">
        <f t="array" ref="O280">IsURL(Table_121215[[#This Row],[Data Source]])</f>
        <v/>
      </c>
      <c r="P280">
        <f t="array" ref="P280">IsURL(Table_121215[[#This Row],[Data Source]])</f>
        <v/>
      </c>
    </row>
    <row r="281" ht="15.75" customHeight="1">
      <c r="A281">
        <f>IF(Table_15[[#This Row],[Part Name]]=0,"",Table_15[[#This Row],[Part Name]])</f>
        <v/>
      </c>
      <c r="I281">
        <f>LEN(TRIM(CLEAN(SUBSTITUTE(SUBSTITUTE(Table_15[[#This Row],[Sequence]],CHAR(160)," ")," ",""))))</f>
        <v/>
      </c>
      <c r="K281" s="21" t="n"/>
      <c r="L281" s="21">
        <f>IF($B281="","FALSE","TRUE")</f>
        <v/>
      </c>
      <c r="M281">
        <f t="array" ref="M281">IsURL(Table_121215[[#This Row],[Data Source]])</f>
        <v/>
      </c>
      <c r="N281">
        <f t="array" ref="N281">IsURL(Table_121215[[#This Row],[DOI]])</f>
        <v/>
      </c>
      <c r="O281">
        <f t="array" ref="O281">IsURL(Table_121215[[#This Row],[Data Source]])</f>
        <v/>
      </c>
      <c r="P281">
        <f t="array" ref="P281">IsURL(Table_121215[[#This Row],[Data Source]])</f>
        <v/>
      </c>
    </row>
    <row r="282" ht="15.75" customHeight="1">
      <c r="A282">
        <f>IF(Table_15[[#This Row],[Part Name]]=0,"",Table_15[[#This Row],[Part Name]])</f>
        <v/>
      </c>
      <c r="I282">
        <f>LEN(TRIM(CLEAN(SUBSTITUTE(SUBSTITUTE(Table_15[[#This Row],[Sequence]],CHAR(160)," ")," ",""))))</f>
        <v/>
      </c>
      <c r="K282" s="21" t="n"/>
      <c r="L282" s="21">
        <f>IF($B282="","FALSE","TRUE")</f>
        <v/>
      </c>
      <c r="M282">
        <f t="array" ref="M282">IsURL(Table_121215[[#This Row],[Data Source]])</f>
        <v/>
      </c>
      <c r="N282">
        <f t="array" ref="N282">IsURL(Table_121215[[#This Row],[DOI]])</f>
        <v/>
      </c>
      <c r="O282">
        <f t="array" ref="O282">IsURL(Table_121215[[#This Row],[Data Source]])</f>
        <v/>
      </c>
      <c r="P282">
        <f t="array" ref="P282">IsURL(Table_121215[[#This Row],[Data Source]])</f>
        <v/>
      </c>
    </row>
    <row r="283" ht="15.75" customHeight="1">
      <c r="A283">
        <f>IF(Table_15[[#This Row],[Part Name]]=0,"",Table_15[[#This Row],[Part Name]])</f>
        <v/>
      </c>
      <c r="I283">
        <f>LEN(TRIM(CLEAN(SUBSTITUTE(SUBSTITUTE(Table_15[[#This Row],[Sequence]],CHAR(160)," ")," ",""))))</f>
        <v/>
      </c>
      <c r="K283" s="21" t="n"/>
      <c r="L283" s="21">
        <f>IF($B283="","FALSE","TRUE")</f>
        <v/>
      </c>
      <c r="M283">
        <f t="array" ref="M283">IsURL(Table_121215[[#This Row],[Data Source]])</f>
        <v/>
      </c>
      <c r="N283">
        <f t="array" ref="N283">IsURL(Table_121215[[#This Row],[DOI]])</f>
        <v/>
      </c>
      <c r="O283">
        <f t="array" ref="O283">IsURL(Table_121215[[#This Row],[Data Source]])</f>
        <v/>
      </c>
      <c r="P283">
        <f t="array" ref="P283">IsURL(Table_121215[[#This Row],[Data Source]])</f>
        <v/>
      </c>
    </row>
    <row r="284" ht="15.75" customHeight="1">
      <c r="A284">
        <f>IF(Table_15[[#This Row],[Part Name]]=0,"",Table_15[[#This Row],[Part Name]])</f>
        <v/>
      </c>
      <c r="I284">
        <f>LEN(TRIM(CLEAN(SUBSTITUTE(SUBSTITUTE(Table_15[[#This Row],[Sequence]],CHAR(160)," ")," ",""))))</f>
        <v/>
      </c>
      <c r="K284" s="21" t="n"/>
      <c r="L284" s="21">
        <f>IF($B284="","FALSE","TRUE")</f>
        <v/>
      </c>
      <c r="M284">
        <f t="array" ref="M284">IsURL(Table_121215[[#This Row],[Data Source]])</f>
        <v/>
      </c>
      <c r="N284">
        <f t="array" ref="N284">IsURL(Table_121215[[#This Row],[DOI]])</f>
        <v/>
      </c>
      <c r="O284">
        <f t="array" ref="O284">IsURL(Table_121215[[#This Row],[Data Source]])</f>
        <v/>
      </c>
      <c r="P284">
        <f t="array" ref="P284">IsURL(Table_121215[[#This Row],[Data Source]])</f>
        <v/>
      </c>
    </row>
    <row r="285" ht="15.75" customHeight="1">
      <c r="A285">
        <f>IF(Table_15[[#This Row],[Part Name]]=0,"",Table_15[[#This Row],[Part Name]])</f>
        <v/>
      </c>
      <c r="I285">
        <f>LEN(TRIM(CLEAN(SUBSTITUTE(SUBSTITUTE(Table_15[[#This Row],[Sequence]],CHAR(160)," ")," ",""))))</f>
        <v/>
      </c>
      <c r="K285" s="21" t="n"/>
      <c r="L285" s="21">
        <f>IF($B285="","FALSE","TRUE")</f>
        <v/>
      </c>
      <c r="M285">
        <f t="array" ref="M285">IsURL(Table_121215[[#This Row],[Data Source]])</f>
        <v/>
      </c>
      <c r="N285">
        <f t="array" ref="N285">IsURL(Table_121215[[#This Row],[DOI]])</f>
        <v/>
      </c>
      <c r="O285">
        <f t="array" ref="O285">IsURL(Table_121215[[#This Row],[Data Source]])</f>
        <v/>
      </c>
      <c r="P285">
        <f t="array" ref="P285">IsURL(Table_121215[[#This Row],[Data Source]])</f>
        <v/>
      </c>
    </row>
    <row r="286" ht="15.75" customHeight="1">
      <c r="A286">
        <f>IF(Table_15[[#This Row],[Part Name]]=0,"",Table_15[[#This Row],[Part Name]])</f>
        <v/>
      </c>
      <c r="I286">
        <f>LEN(TRIM(CLEAN(SUBSTITUTE(SUBSTITUTE(Table_15[[#This Row],[Sequence]],CHAR(160)," ")," ",""))))</f>
        <v/>
      </c>
      <c r="K286" s="21" t="n"/>
      <c r="L286" s="21">
        <f>IF($B286="","FALSE","TRUE")</f>
        <v/>
      </c>
      <c r="M286">
        <f t="array" ref="M286">IsURL(Table_121215[[#This Row],[Data Source]])</f>
        <v/>
      </c>
      <c r="N286">
        <f t="array" ref="N286">IsURL(Table_121215[[#This Row],[DOI]])</f>
        <v/>
      </c>
      <c r="O286">
        <f t="array" ref="O286">IsURL(Table_121215[[#This Row],[Data Source]])</f>
        <v/>
      </c>
      <c r="P286">
        <f t="array" ref="P286">IsURL(Table_121215[[#This Row],[Data Source]])</f>
        <v/>
      </c>
    </row>
    <row r="287" ht="15.75" customHeight="1">
      <c r="A287">
        <f>IF(Table_15[[#This Row],[Part Name]]=0,"",Table_15[[#This Row],[Part Name]])</f>
        <v/>
      </c>
      <c r="I287">
        <f>LEN(TRIM(CLEAN(SUBSTITUTE(SUBSTITUTE(Table_15[[#This Row],[Sequence]],CHAR(160)," ")," ",""))))</f>
        <v/>
      </c>
      <c r="K287" s="21" t="n"/>
      <c r="L287" s="21">
        <f>IF($B287="","FALSE","TRUE")</f>
        <v/>
      </c>
      <c r="M287">
        <f t="array" ref="M287">IsURL(Table_121215[[#This Row],[Data Source]])</f>
        <v/>
      </c>
      <c r="N287">
        <f t="array" ref="N287">IsURL(Table_121215[[#This Row],[DOI]])</f>
        <v/>
      </c>
      <c r="O287">
        <f t="array" ref="O287">IsURL(Table_121215[[#This Row],[Data Source]])</f>
        <v/>
      </c>
      <c r="P287">
        <f t="array" ref="P287">IsURL(Table_121215[[#This Row],[Data Source]])</f>
        <v/>
      </c>
    </row>
    <row r="288" ht="15.75" customHeight="1">
      <c r="A288">
        <f>IF(Table_15[[#This Row],[Part Name]]=0,"",Table_15[[#This Row],[Part Name]])</f>
        <v/>
      </c>
      <c r="I288">
        <f>LEN(TRIM(CLEAN(SUBSTITUTE(SUBSTITUTE(Table_15[[#This Row],[Sequence]],CHAR(160)," ")," ",""))))</f>
        <v/>
      </c>
      <c r="K288" s="21" t="n"/>
      <c r="L288" s="21">
        <f>IF($B288="","FALSE","TRUE")</f>
        <v/>
      </c>
      <c r="M288">
        <f t="array" ref="M288">IsURL(Table_121215[[#This Row],[Data Source]])</f>
        <v/>
      </c>
      <c r="N288">
        <f t="array" ref="N288">IsURL(Table_121215[[#This Row],[DOI]])</f>
        <v/>
      </c>
      <c r="O288">
        <f t="array" ref="O288">IsURL(Table_121215[[#This Row],[Data Source]])</f>
        <v/>
      </c>
      <c r="P288">
        <f t="array" ref="P288">IsURL(Table_121215[[#This Row],[Data Source]])</f>
        <v/>
      </c>
    </row>
    <row r="289" ht="15.75" customHeight="1">
      <c r="A289">
        <f>IF(Table_15[[#This Row],[Part Name]]=0,"",Table_15[[#This Row],[Part Name]])</f>
        <v/>
      </c>
      <c r="I289">
        <f>LEN(TRIM(CLEAN(SUBSTITUTE(SUBSTITUTE(Table_15[[#This Row],[Sequence]],CHAR(160)," ")," ",""))))</f>
        <v/>
      </c>
      <c r="K289" s="21" t="n"/>
      <c r="L289" s="21">
        <f>IF($B289="","FALSE","TRUE")</f>
        <v/>
      </c>
      <c r="M289">
        <f t="array" ref="M289">IsURL(Table_121215[[#This Row],[Data Source]])</f>
        <v/>
      </c>
      <c r="N289">
        <f t="array" ref="N289">IsURL(Table_121215[[#This Row],[DOI]])</f>
        <v/>
      </c>
      <c r="O289">
        <f t="array" ref="O289">IsURL(Table_121215[[#This Row],[Data Source]])</f>
        <v/>
      </c>
      <c r="P289">
        <f t="array" ref="P289">IsURL(Table_121215[[#This Row],[Data Source]])</f>
        <v/>
      </c>
    </row>
    <row r="290" ht="15.75" customHeight="1">
      <c r="A290">
        <f>IF(Table_15[[#This Row],[Part Name]]=0,"",Table_15[[#This Row],[Part Name]])</f>
        <v/>
      </c>
      <c r="I290">
        <f>LEN(TRIM(CLEAN(SUBSTITUTE(SUBSTITUTE(Table_15[[#This Row],[Sequence]],CHAR(160)," ")," ",""))))</f>
        <v/>
      </c>
      <c r="K290" s="21" t="n"/>
      <c r="L290" s="21">
        <f>IF($B290="","FALSE","TRUE")</f>
        <v/>
      </c>
      <c r="M290">
        <f t="array" ref="M290">IsURL(Table_121215[[#This Row],[Data Source]])</f>
        <v/>
      </c>
      <c r="N290">
        <f t="array" ref="N290">IsURL(Table_121215[[#This Row],[DOI]])</f>
        <v/>
      </c>
      <c r="O290">
        <f t="array" ref="O290">IsURL(Table_121215[[#This Row],[Data Source]])</f>
        <v/>
      </c>
      <c r="P290">
        <f t="array" ref="P290">IsURL(Table_121215[[#This Row],[Data Source]])</f>
        <v/>
      </c>
    </row>
    <row r="291" ht="15.75" customHeight="1">
      <c r="A291">
        <f>IF(Table_15[[#This Row],[Part Name]]=0,"",Table_15[[#This Row],[Part Name]])</f>
        <v/>
      </c>
      <c r="I291">
        <f>LEN(TRIM(CLEAN(SUBSTITUTE(SUBSTITUTE(Table_15[[#This Row],[Sequence]],CHAR(160)," ")," ",""))))</f>
        <v/>
      </c>
      <c r="K291" s="21" t="n"/>
      <c r="L291" s="21">
        <f>IF($B291="","FALSE","TRUE")</f>
        <v/>
      </c>
      <c r="M291">
        <f t="array" ref="M291">IsURL(Table_121215[[#This Row],[Data Source]])</f>
        <v/>
      </c>
      <c r="N291">
        <f t="array" ref="N291">IsURL(Table_121215[[#This Row],[DOI]])</f>
        <v/>
      </c>
      <c r="O291">
        <f t="array" ref="O291">IsURL(Table_121215[[#This Row],[Data Source]])</f>
        <v/>
      </c>
      <c r="P291">
        <f t="array" ref="P291">IsURL(Table_121215[[#This Row],[Data Source]])</f>
        <v/>
      </c>
    </row>
    <row r="292" ht="15.75" customHeight="1">
      <c r="A292">
        <f>IF(Table_15[[#This Row],[Part Name]]=0,"",Table_15[[#This Row],[Part Name]])</f>
        <v/>
      </c>
      <c r="I292">
        <f>LEN(TRIM(CLEAN(SUBSTITUTE(SUBSTITUTE(Table_15[[#This Row],[Sequence]],CHAR(160)," ")," ",""))))</f>
        <v/>
      </c>
      <c r="K292" s="21" t="n"/>
      <c r="L292" s="21">
        <f>IF($B292="","FALSE","TRUE")</f>
        <v/>
      </c>
      <c r="M292">
        <f t="array" ref="M292">IsURL(Table_121215[[#This Row],[Data Source]])</f>
        <v/>
      </c>
      <c r="N292">
        <f t="array" ref="N292">IsURL(Table_121215[[#This Row],[DOI]])</f>
        <v/>
      </c>
      <c r="O292">
        <f t="array" ref="O292">IsURL(Table_121215[[#This Row],[Data Source]])</f>
        <v/>
      </c>
      <c r="P292">
        <f t="array" ref="P292">IsURL(Table_121215[[#This Row],[Data Source]])</f>
        <v/>
      </c>
    </row>
    <row r="293" ht="15.75" customHeight="1">
      <c r="A293">
        <f>IF(Table_15[[#This Row],[Part Name]]=0,"",Table_15[[#This Row],[Part Name]])</f>
        <v/>
      </c>
      <c r="I293">
        <f>LEN(TRIM(CLEAN(SUBSTITUTE(SUBSTITUTE(Table_15[[#This Row],[Sequence]],CHAR(160)," ")," ",""))))</f>
        <v/>
      </c>
      <c r="K293" s="21" t="n"/>
      <c r="L293" s="21">
        <f>IF($B293="","FALSE","TRUE")</f>
        <v/>
      </c>
      <c r="M293">
        <f t="array" ref="M293">IsURL(Table_121215[[#This Row],[Data Source]])</f>
        <v/>
      </c>
      <c r="N293">
        <f t="array" ref="N293">IsURL(Table_121215[[#This Row],[DOI]])</f>
        <v/>
      </c>
      <c r="O293">
        <f t="array" ref="O293">IsURL(Table_121215[[#This Row],[Data Source]])</f>
        <v/>
      </c>
      <c r="P293">
        <f t="array" ref="P293">IsURL(Table_121215[[#This Row],[Data Source]])</f>
        <v/>
      </c>
    </row>
    <row r="294" ht="15.75" customHeight="1">
      <c r="A294">
        <f>IF(Table_15[[#This Row],[Part Name]]=0,"",Table_15[[#This Row],[Part Name]])</f>
        <v/>
      </c>
      <c r="I294">
        <f>LEN(TRIM(CLEAN(SUBSTITUTE(SUBSTITUTE(Table_15[[#This Row],[Sequence]],CHAR(160)," ")," ",""))))</f>
        <v/>
      </c>
      <c r="K294" s="21" t="n"/>
      <c r="L294" s="21">
        <f>IF($B294="","FALSE","TRUE")</f>
        <v/>
      </c>
      <c r="M294">
        <f t="array" ref="M294">IsURL(Table_121215[[#This Row],[Data Source]])</f>
        <v/>
      </c>
      <c r="N294">
        <f t="array" ref="N294">IsURL(Table_121215[[#This Row],[DOI]])</f>
        <v/>
      </c>
      <c r="O294">
        <f t="array" ref="O294">IsURL(Table_121215[[#This Row],[Data Source]])</f>
        <v/>
      </c>
      <c r="P294">
        <f t="array" ref="P294">IsURL(Table_121215[[#This Row],[Data Source]])</f>
        <v/>
      </c>
    </row>
    <row r="295" ht="15.75" customHeight="1">
      <c r="A295">
        <f>IF(Table_15[[#This Row],[Part Name]]=0,"",Table_15[[#This Row],[Part Name]])</f>
        <v/>
      </c>
      <c r="I295">
        <f>LEN(TRIM(CLEAN(SUBSTITUTE(SUBSTITUTE(Table_15[[#This Row],[Sequence]],CHAR(160)," ")," ",""))))</f>
        <v/>
      </c>
      <c r="K295" s="21" t="n"/>
      <c r="L295" s="21">
        <f>IF($B295="","FALSE","TRUE")</f>
        <v/>
      </c>
      <c r="M295">
        <f t="array" ref="M295">IsURL(Table_121215[[#This Row],[Data Source]])</f>
        <v/>
      </c>
      <c r="N295">
        <f t="array" ref="N295">IsURL(Table_121215[[#This Row],[DOI]])</f>
        <v/>
      </c>
      <c r="O295">
        <f t="array" ref="O295">IsURL(Table_121215[[#This Row],[Data Source]])</f>
        <v/>
      </c>
      <c r="P295">
        <f t="array" ref="P295">IsURL(Table_121215[[#This Row],[Data Source]])</f>
        <v/>
      </c>
    </row>
    <row r="296" ht="15.75" customHeight="1">
      <c r="A296">
        <f>IF(Table_15[[#This Row],[Part Name]]=0,"",Table_15[[#This Row],[Part Name]])</f>
        <v/>
      </c>
      <c r="I296">
        <f>LEN(TRIM(CLEAN(SUBSTITUTE(SUBSTITUTE(Table_15[[#This Row],[Sequence]],CHAR(160)," ")," ",""))))</f>
        <v/>
      </c>
      <c r="K296" s="21" t="n"/>
      <c r="L296" s="21">
        <f>IF($B296="","FALSE","TRUE")</f>
        <v/>
      </c>
      <c r="M296">
        <f t="array" ref="M296">IsURL(Table_121215[[#This Row],[Data Source]])</f>
        <v/>
      </c>
      <c r="N296">
        <f t="array" ref="N296">IsURL(Table_121215[[#This Row],[DOI]])</f>
        <v/>
      </c>
      <c r="O296">
        <f t="array" ref="O296">IsURL(Table_121215[[#This Row],[Data Source]])</f>
        <v/>
      </c>
      <c r="P296">
        <f t="array" ref="P296">IsURL(Table_121215[[#This Row],[Data Source]])</f>
        <v/>
      </c>
    </row>
    <row r="297" ht="15.75" customHeight="1">
      <c r="A297">
        <f>IF(Table_15[[#This Row],[Part Name]]=0,"",Table_15[[#This Row],[Part Name]])</f>
        <v/>
      </c>
      <c r="I297">
        <f>LEN(TRIM(CLEAN(SUBSTITUTE(SUBSTITUTE(Table_15[[#This Row],[Sequence]],CHAR(160)," ")," ",""))))</f>
        <v/>
      </c>
      <c r="K297" s="21" t="n"/>
      <c r="L297" s="21">
        <f>IF($B297="","FALSE","TRUE")</f>
        <v/>
      </c>
      <c r="M297">
        <f t="array" ref="M297">IsURL(Table_121215[[#This Row],[Data Source]])</f>
        <v/>
      </c>
      <c r="N297">
        <f t="array" ref="N297">IsURL(Table_121215[[#This Row],[DOI]])</f>
        <v/>
      </c>
      <c r="O297">
        <f t="array" ref="O297">IsURL(Table_121215[[#This Row],[Data Source]])</f>
        <v/>
      </c>
      <c r="P297">
        <f t="array" ref="P297">IsURL(Table_121215[[#This Row],[Data Source]])</f>
        <v/>
      </c>
    </row>
    <row r="298" ht="15.75" customHeight="1">
      <c r="A298">
        <f>IF(Table_15[[#This Row],[Part Name]]=0,"",Table_15[[#This Row],[Part Name]])</f>
        <v/>
      </c>
      <c r="I298">
        <f>LEN(TRIM(CLEAN(SUBSTITUTE(SUBSTITUTE(Table_15[[#This Row],[Sequence]],CHAR(160)," ")," ",""))))</f>
        <v/>
      </c>
      <c r="K298" s="21" t="n"/>
      <c r="L298" s="21">
        <f>IF($B298="","FALSE","TRUE")</f>
        <v/>
      </c>
      <c r="M298">
        <f t="array" ref="M298">IsURL(Table_121215[[#This Row],[Data Source]])</f>
        <v/>
      </c>
      <c r="N298">
        <f t="array" ref="N298">IsURL(Table_121215[[#This Row],[DOI]])</f>
        <v/>
      </c>
      <c r="O298">
        <f t="array" ref="O298">IsURL(Table_121215[[#This Row],[Data Source]])</f>
        <v/>
      </c>
      <c r="P298">
        <f t="array" ref="P298">IsURL(Table_121215[[#This Row],[Data Source]])</f>
        <v/>
      </c>
    </row>
    <row r="299" ht="15.75" customHeight="1">
      <c r="A299">
        <f>IF(Table_15[[#This Row],[Part Name]]=0,"",Table_15[[#This Row],[Part Name]])</f>
        <v/>
      </c>
      <c r="I299">
        <f>LEN(TRIM(CLEAN(SUBSTITUTE(SUBSTITUTE(Table_15[[#This Row],[Sequence]],CHAR(160)," ")," ",""))))</f>
        <v/>
      </c>
      <c r="K299" s="21" t="n"/>
      <c r="L299" s="21">
        <f>IF($B299="","FALSE","TRUE")</f>
        <v/>
      </c>
      <c r="M299">
        <f t="array" ref="M299">IsURL(Table_121215[[#This Row],[Data Source]])</f>
        <v/>
      </c>
      <c r="N299">
        <f t="array" ref="N299">IsURL(Table_121215[[#This Row],[DOI]])</f>
        <v/>
      </c>
      <c r="O299">
        <f t="array" ref="O299">IsURL(Table_121215[[#This Row],[Data Source]])</f>
        <v/>
      </c>
      <c r="P299">
        <f t="array" ref="P299">IsURL(Table_121215[[#This Row],[Data Source]])</f>
        <v/>
      </c>
    </row>
    <row r="300" ht="15.75" customHeight="1">
      <c r="A300">
        <f>IF(Table_15[[#This Row],[Part Name]]=0,"",Table_15[[#This Row],[Part Name]])</f>
        <v/>
      </c>
      <c r="I300">
        <f>LEN(TRIM(CLEAN(SUBSTITUTE(SUBSTITUTE(Table_15[[#This Row],[Sequence]],CHAR(160)," ")," ",""))))</f>
        <v/>
      </c>
      <c r="K300" s="21" t="n"/>
      <c r="L300" s="21">
        <f>IF($B300="","FALSE","TRUE")</f>
        <v/>
      </c>
      <c r="M300">
        <f t="array" ref="M300">IsURL(Table_121215[[#This Row],[Data Source]])</f>
        <v/>
      </c>
      <c r="N300">
        <f t="array" ref="N300">IsURL(Table_121215[[#This Row],[DOI]])</f>
        <v/>
      </c>
      <c r="O300">
        <f t="array" ref="O300">IsURL(Table_121215[[#This Row],[Data Source]])</f>
        <v/>
      </c>
      <c r="P300">
        <f t="array" ref="P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sheetData>
  <conditionalFormatting sqref="B5:B300">
    <cfRule type="expression" priority="4" dxfId="6" stopIfTrue="1">
      <formula>ISBLANK(B5)</formula>
    </cfRule>
  </conditionalFormatting>
  <conditionalFormatting sqref="J5:J300">
    <cfRule type="duplicateValues" priority="1" dxfId="6"/>
  </conditionalFormatting>
  <dataValidations count="3">
    <dataValidation sqref="L5:L300" showErrorMessage="1" showInputMessage="1" allowBlank="0" type="list">
      <formula1>"TRUE, FALSE"</formula1>
    </dataValidation>
    <dataValidation sqref="E5:E191" showErrorMessage="1" showInputMessage="1" allowBlank="0" errorTitle="Invalid URL" error="The URL entered seems to be invalid, please check again." type="custom">
      <formula1>#REF!</formula1>
    </dataValidation>
    <dataValidation sqref="B18:B300" showErrorMessage="1" showInputMessage="1" allowBlank="0" errorTitle="This is not a valid name" error="Please enter a unique name to avoid future errors when referencing a component. Also, ensure that the name does not start with a number." type="custom">
      <formula1>OR(B18="",AND(B18=TRIM(B18),COUNTIF($A$2:$J$301,B18)=1))</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9.xml><?xml version="1.0" encoding="utf-8"?>
<worksheet xmlns="http://schemas.openxmlformats.org/spreadsheetml/2006/main">
  <sheetPr codeName="Sheet6">
    <outlinePr summaryBelow="0"/>
    <pageSetUpPr/>
  </sheetPr>
  <dimension ref="A3:Q300"/>
  <sheetViews>
    <sheetView topLeftCell="B1" zoomScale="116" zoomScaleNormal="150" workbookViewId="0">
      <selection activeCell="N1" sqref="N1:Q1048576"/>
    </sheetView>
  </sheetViews>
  <sheetFormatPr baseColWidth="10" defaultColWidth="8.6640625" defaultRowHeight="15"/>
  <cols>
    <col hidden="1" width="26.5" customWidth="1" min="1" max="1"/>
    <col width="12.6640625" bestFit="1" customWidth="1" min="2" max="2"/>
    <col width="23.6640625" bestFit="1" customWidth="1" min="3" max="3"/>
    <col width="17.83203125" bestFit="1" customWidth="1" min="4" max="4"/>
    <col width="7.6640625" bestFit="1" customWidth="1" min="5" max="5"/>
    <col width="14.33203125" bestFit="1" customWidth="1" min="6" max="6"/>
    <col width="13" bestFit="1" customWidth="1" min="7" max="7"/>
    <col width="7" bestFit="1" customWidth="1" min="8" max="8"/>
    <col width="19.1640625" bestFit="1" customWidth="1" min="9" max="9"/>
    <col width="13.5" bestFit="1" customWidth="1" min="10" max="10"/>
    <col width="12.33203125" bestFit="1" customWidth="1" min="11" max="11"/>
    <col width="6.83203125" bestFit="1" customWidth="1" min="12" max="12"/>
    <col width="10" bestFit="1" customWidth="1" min="13" max="13"/>
    <col hidden="1" width="27.83203125" customWidth="1" min="14" max="14"/>
    <col hidden="1" width="20.33203125" customWidth="1" min="15" max="15"/>
    <col hidden="1" width="27.83203125" customWidth="1" min="16" max="17"/>
    <col width="17.6640625" customWidth="1" min="18" max="18"/>
    <col width="8.5" bestFit="1" customWidth="1" min="19" max="31"/>
    <col width="12.5" bestFit="1" customWidth="1" min="32" max="32"/>
  </cols>
  <sheetData>
    <row r="1" ht="15.75" customHeight="1"/>
    <row r="2" ht="15.75" customHeight="1"/>
    <row r="3" ht="15.75" customHeight="1">
      <c r="A3" t="inlineStr">
        <is>
          <t>This ID is used to reference the other parts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This is the role of the part according to the sequence ontology (see Ontology tab for full list). Select from the drop down menu or type have it validated.</t>
        </is>
      </c>
      <c r="F3" t="inlineStr">
        <is>
          <t>Where is the information about this part coming from? Provide a direct link to the part. This field has priority 1, and is preferred over PubMed Id and DOI, but feel free to add them if you have the information</t>
        </is>
      </c>
      <c r="G3" t="inlineStr">
        <is>
          <t>Provide a PubMed Id for the part. This field has priority 2, and is preferred over DOI, but feel free to add it if you have the information</t>
        </is>
      </c>
      <c r="H3" t="inlineStr">
        <is>
          <t>Provide a DOI for the part. This field has priority 2, and is preferred over DOI, but feel free to add it if you have the information</t>
        </is>
      </c>
      <c r="I3" t="inlineStr">
        <is>
          <t>Where is the genetic information coming from, e.g. gene taken from Aequorea victoria if available add in strain name too. This should match the scientific name for the txid in the next column</t>
        </is>
      </c>
      <c r="J3" t="inlineStr">
        <is>
          <t>Automatically calculated length of the sequence pasted to the right. Use this column for checking there are no paste errors.</t>
        </is>
      </c>
      <c r="K3" t="inlineStr">
        <is>
          <t>The series of ATGCs that make up the part. Spaces can be used within the sequence but no other characters.</t>
        </is>
      </c>
      <c r="N3" s="22" t="inlineStr">
        <is>
          <t>DO NOT CHANGE</t>
        </is>
      </c>
      <c r="O3" s="22" t="inlineStr">
        <is>
          <t>DO NOT CHANGE</t>
        </is>
      </c>
      <c r="P3" s="22" t="inlineStr">
        <is>
          <t>DO NOT CHANGE</t>
        </is>
      </c>
      <c r="Q3" s="22" t="inlineStr">
        <is>
          <t>DO NOT CHANGE</t>
        </is>
      </c>
    </row>
    <row r="4" ht="15.75" customHeight="1">
      <c r="A4" t="inlineStr">
        <is>
          <t>Part ID</t>
        </is>
      </c>
      <c r="B4" t="inlineStr">
        <is>
          <t>Part Name</t>
        </is>
      </c>
      <c r="C4" t="inlineStr">
        <is>
          <t>Previous Version (URI)</t>
        </is>
      </c>
      <c r="D4" t="inlineStr">
        <is>
          <t>Part Description</t>
        </is>
      </c>
      <c r="E4" t="inlineStr">
        <is>
          <t>Role</t>
        </is>
      </c>
      <c r="F4" t="inlineStr">
        <is>
          <t>Data Source</t>
        </is>
      </c>
      <c r="G4" t="inlineStr">
        <is>
          <t>PubMed Id</t>
        </is>
      </c>
      <c r="H4" t="inlineStr">
        <is>
          <t>DOI</t>
        </is>
      </c>
      <c r="I4" t="inlineStr">
        <is>
          <t>Source Organism</t>
        </is>
      </c>
      <c r="J4" t="inlineStr">
        <is>
          <t>length (bp)</t>
        </is>
      </c>
      <c r="K4" t="inlineStr">
        <is>
          <t>Sequence</t>
        </is>
      </c>
      <c r="L4" s="20" t="inlineStr">
        <is>
          <t>URI</t>
        </is>
      </c>
      <c r="M4" s="20" t="inlineStr">
        <is>
          <t>Update</t>
        </is>
      </c>
      <c r="N4" s="23" t="inlineStr">
        <is>
          <t>URL Checker - Data Source</t>
        </is>
      </c>
      <c r="O4" s="24" t="inlineStr">
        <is>
          <t>URL Checker - DOI</t>
        </is>
      </c>
      <c r="P4" s="23" t="inlineStr">
        <is>
          <t>URL Checker - Previous Version</t>
        </is>
      </c>
      <c r="Q4" s="23" t="inlineStr">
        <is>
          <t>URL Checker - URI</t>
        </is>
      </c>
    </row>
    <row r="5" ht="15.75" customHeight="1">
      <c r="A5">
        <f>IF(Table_1[[#This Row],[Part Name]]=0,"",Table_1[[#This Row],[Part Name]])</f>
        <v/>
      </c>
      <c r="J5">
        <f>LEN(TRIM(CLEAN(SUBSTITUTE(SUBSTITUTE(Table_1[[#This Row],[Sequence]],CHAR(160)," ")," ",""))))</f>
        <v/>
      </c>
      <c r="L5" s="21" t="n"/>
      <c r="M5" s="21">
        <f>IF($B5="","FALSE","TRUE")</f>
        <v/>
      </c>
      <c r="N5">
        <f t="array" ref="N5">IsURL(Table_121215[[#This Row],[Data Source]])</f>
        <v/>
      </c>
      <c r="O5">
        <f t="array" ref="O5">IsURL(Table_121215[[#This Row],[DOI]])</f>
        <v/>
      </c>
      <c r="P5">
        <f t="array" ref="P5">IsURL(Table_121215[[#This Row],[Data Source]])</f>
        <v/>
      </c>
      <c r="Q5">
        <f t="array" ref="Q5">IsURL(Table_121215[[#This Row],[Data Source]])</f>
        <v/>
      </c>
    </row>
    <row r="6" ht="15.75" customHeight="1">
      <c r="A6">
        <f>IF(Table_1[[#This Row],[Part Name]]=0,"",Table_1[[#This Row],[Part Name]])</f>
        <v/>
      </c>
      <c r="C6" s="32" t="n"/>
      <c r="J6">
        <f>LEN(TRIM(CLEAN(SUBSTITUTE(SUBSTITUTE(Table_1[[#This Row],[Sequence]],CHAR(160)," ")," ",""))))</f>
        <v/>
      </c>
      <c r="L6" s="21" t="n"/>
      <c r="M6" s="21">
        <f>IF($B6="","FALSE","TRUE")</f>
        <v/>
      </c>
      <c r="N6">
        <f t="array" ref="N6">IsURL(Table_121215[[#This Row],[Data Source]])</f>
        <v/>
      </c>
      <c r="O6">
        <f t="array" ref="O6">IsURL(Table_121215[[#This Row],[DOI]])</f>
        <v/>
      </c>
      <c r="P6">
        <f t="array" ref="P6">IsURL(Table_121215[[#This Row],[Data Source]])</f>
        <v/>
      </c>
      <c r="Q6">
        <f t="array" ref="Q6">IsURL(Table_121215[[#This Row],[Data Source]])</f>
        <v/>
      </c>
    </row>
    <row r="7" ht="15.75" customHeight="1">
      <c r="A7">
        <f>IF(Table_1[[#This Row],[Part Name]]=0,"",Table_1[[#This Row],[Part Name]])</f>
        <v/>
      </c>
      <c r="C7" s="32" t="n"/>
      <c r="J7">
        <f>LEN(TRIM(CLEAN(SUBSTITUTE(SUBSTITUTE(Table_1[[#This Row],[Sequence]],CHAR(160)," ")," ",""))))</f>
        <v/>
      </c>
      <c r="L7" s="21" t="n"/>
      <c r="M7" s="21">
        <f>IF($B7="","FALSE","TRUE")</f>
        <v/>
      </c>
      <c r="N7">
        <f t="array" ref="N7">IsURL(Table_121215[[#This Row],[Data Source]])</f>
        <v/>
      </c>
      <c r="O7">
        <f t="array" ref="O7">IsURL(Table_121215[[#This Row],[DOI]])</f>
        <v/>
      </c>
      <c r="P7">
        <f t="array" ref="P7">IsURL(Table_121215[[#This Row],[Data Source]])</f>
        <v/>
      </c>
      <c r="Q7">
        <f t="array" ref="Q7">IsURL(Table_121215[[#This Row],[Data Source]])</f>
        <v/>
      </c>
    </row>
    <row r="8" ht="15.75" customHeight="1">
      <c r="A8">
        <f>IF(Table_1[[#This Row],[Part Name]]=0,"",Table_1[[#This Row],[Part Name]])</f>
        <v/>
      </c>
      <c r="C8" s="32" t="n"/>
      <c r="J8">
        <f>LEN(TRIM(CLEAN(SUBSTITUTE(SUBSTITUTE(Table_1[[#This Row],[Sequence]],CHAR(160)," ")," ",""))))</f>
        <v/>
      </c>
      <c r="L8" s="21" t="n"/>
      <c r="M8" s="21">
        <f>IF($B8="","FALSE","TRUE")</f>
        <v/>
      </c>
      <c r="N8">
        <f t="array" ref="N8">IsURL(Table_121215[[#This Row],[Data Source]])</f>
        <v/>
      </c>
      <c r="O8">
        <f t="array" ref="O8">IsURL(Table_121215[[#This Row],[DOI]])</f>
        <v/>
      </c>
      <c r="P8">
        <f t="array" ref="P8">IsURL(Table_121215[[#This Row],[Data Source]])</f>
        <v/>
      </c>
      <c r="Q8">
        <f t="array" ref="Q8">IsURL(Table_121215[[#This Row],[Data Source]])</f>
        <v/>
      </c>
    </row>
    <row r="9" ht="15.75" customHeight="1">
      <c r="A9">
        <f>IF(Table_1[[#This Row],[Part Name]]=0,"",Table_1[[#This Row],[Part Name]])</f>
        <v/>
      </c>
      <c r="C9" s="32" t="n"/>
      <c r="J9">
        <f>LEN(TRIM(CLEAN(SUBSTITUTE(SUBSTITUTE(Table_1[[#This Row],[Sequence]],CHAR(160)," ")," ",""))))</f>
        <v/>
      </c>
      <c r="L9" s="21" t="n"/>
      <c r="M9" s="21">
        <f>IF($B9="","FALSE","TRUE")</f>
        <v/>
      </c>
      <c r="N9">
        <f t="array" ref="N9">IsURL(Table_121215[[#This Row],[Data Source]])</f>
        <v/>
      </c>
      <c r="O9">
        <f t="array" ref="O9">IsURL(Table_121215[[#This Row],[DOI]])</f>
        <v/>
      </c>
      <c r="P9">
        <f t="array" ref="P9">IsURL(Table_121215[[#This Row],[Data Source]])</f>
        <v/>
      </c>
      <c r="Q9">
        <f t="array" ref="Q9">IsURL(Table_121215[[#This Row],[Data Source]])</f>
        <v/>
      </c>
    </row>
    <row r="10" ht="15.75" customHeight="1">
      <c r="A10">
        <f>IF(Table_1[[#This Row],[Part Name]]=0,"",Table_1[[#This Row],[Part Name]])</f>
        <v/>
      </c>
      <c r="C10" s="32" t="n"/>
      <c r="J10">
        <f>LEN(TRIM(CLEAN(SUBSTITUTE(SUBSTITUTE(Table_1[[#This Row],[Sequence]],CHAR(160)," ")," ",""))))</f>
        <v/>
      </c>
      <c r="L10" s="21" t="n"/>
      <c r="M10" s="21">
        <f>IF($B10="","FALSE","TRUE")</f>
        <v/>
      </c>
      <c r="N10">
        <f t="array" ref="N10">IsURL(Table_121215[[#This Row],[Data Source]])</f>
        <v/>
      </c>
      <c r="O10">
        <f t="array" ref="O10">IsURL(Table_121215[[#This Row],[DOI]])</f>
        <v/>
      </c>
      <c r="P10">
        <f t="array" ref="P10">IsURL(Table_121215[[#This Row],[Data Source]])</f>
        <v/>
      </c>
      <c r="Q10">
        <f t="array" ref="Q10">IsURL(Table_121215[[#This Row],[Data Source]])</f>
        <v/>
      </c>
    </row>
    <row r="11" ht="15.75" customHeight="1">
      <c r="A11">
        <f>IF(Table_1[[#This Row],[Part Name]]=0,"",Table_1[[#This Row],[Part Name]])</f>
        <v/>
      </c>
      <c r="C11" s="32" t="n"/>
      <c r="J11">
        <f>LEN(TRIM(CLEAN(SUBSTITUTE(SUBSTITUTE(Table_1[[#This Row],[Sequence]],CHAR(160)," ")," ",""))))</f>
        <v/>
      </c>
      <c r="L11" s="21" t="n"/>
      <c r="M11" s="21">
        <f>IF($B11="","FALSE","TRUE")</f>
        <v/>
      </c>
      <c r="N11">
        <f t="array" ref="N11">IsURL(Table_121215[[#This Row],[Data Source]])</f>
        <v/>
      </c>
      <c r="O11">
        <f t="array" ref="O11">IsURL(Table_121215[[#This Row],[DOI]])</f>
        <v/>
      </c>
      <c r="P11">
        <f t="array" ref="P11">IsURL(Table_121215[[#This Row],[Data Source]])</f>
        <v/>
      </c>
      <c r="Q11">
        <f t="array" ref="Q11">IsURL(Table_121215[[#This Row],[Data Source]])</f>
        <v/>
      </c>
    </row>
    <row r="12" ht="15.75" customHeight="1">
      <c r="A12">
        <f>IF(Table_1[[#This Row],[Part Name]]=0,"",Table_1[[#This Row],[Part Name]])</f>
        <v/>
      </c>
      <c r="C12" s="32" t="n"/>
      <c r="J12">
        <f>LEN(TRIM(CLEAN(SUBSTITUTE(SUBSTITUTE(Table_1[[#This Row],[Sequence]],CHAR(160)," ")," ",""))))</f>
        <v/>
      </c>
      <c r="L12" s="21" t="n"/>
      <c r="M12" s="21">
        <f>IF($B12="","FALSE","TRUE")</f>
        <v/>
      </c>
      <c r="N12">
        <f t="array" ref="N12">IsURL(Table_121215[[#This Row],[Data Source]])</f>
        <v/>
      </c>
      <c r="O12">
        <f t="array" ref="O12">IsURL(Table_121215[[#This Row],[DOI]])</f>
        <v/>
      </c>
      <c r="P12">
        <f t="array" ref="P12">IsURL(Table_121215[[#This Row],[Data Source]])</f>
        <v/>
      </c>
      <c r="Q12">
        <f t="array" ref="Q12">IsURL(Table_121215[[#This Row],[Data Source]])</f>
        <v/>
      </c>
    </row>
    <row r="13" ht="15.75" customHeight="1">
      <c r="A13">
        <f>IF(Table_1[[#This Row],[Part Name]]=0,"",Table_1[[#This Row],[Part Name]])</f>
        <v/>
      </c>
      <c r="C13" s="32" t="n"/>
      <c r="J13">
        <f>LEN(TRIM(CLEAN(SUBSTITUTE(SUBSTITUTE(Table_1[[#This Row],[Sequence]],CHAR(160)," ")," ",""))))</f>
        <v/>
      </c>
      <c r="L13" s="21" t="n"/>
      <c r="M13" s="21">
        <f>IF($B13="","FALSE","TRUE")</f>
        <v/>
      </c>
      <c r="N13">
        <f t="array" ref="N13">IsURL(Table_121215[[#This Row],[Data Source]])</f>
        <v/>
      </c>
      <c r="O13">
        <f t="array" ref="O13">IsURL(Table_121215[[#This Row],[DOI]])</f>
        <v/>
      </c>
      <c r="P13">
        <f t="array" ref="P13">IsURL(Table_121215[[#This Row],[Data Source]])</f>
        <v/>
      </c>
      <c r="Q13">
        <f t="array" ref="Q13">IsURL(Table_121215[[#This Row],[Data Source]])</f>
        <v/>
      </c>
    </row>
    <row r="14" ht="15.75" customHeight="1">
      <c r="A14">
        <f>IF(Table_1[[#This Row],[Part Name]]=0,"",Table_1[[#This Row],[Part Name]])</f>
        <v/>
      </c>
      <c r="C14" s="32" t="n"/>
      <c r="J14">
        <f>LEN(TRIM(CLEAN(SUBSTITUTE(SUBSTITUTE(Table_1[[#This Row],[Sequence]],CHAR(160)," ")," ",""))))</f>
        <v/>
      </c>
      <c r="L14" s="21" t="n"/>
      <c r="M14" s="21">
        <f>IF($B14="","FALSE","TRUE")</f>
        <v/>
      </c>
      <c r="N14">
        <f t="array" ref="N14">IsURL(Table_121215[[#This Row],[Data Source]])</f>
        <v/>
      </c>
      <c r="O14">
        <f t="array" ref="O14">IsURL(Table_121215[[#This Row],[DOI]])</f>
        <v/>
      </c>
      <c r="P14">
        <f t="array" ref="P14">IsURL(Table_121215[[#This Row],[Data Source]])</f>
        <v/>
      </c>
      <c r="Q14">
        <f t="array" ref="Q14">IsURL(Table_121215[[#This Row],[Data Source]])</f>
        <v/>
      </c>
    </row>
    <row r="15" ht="15.75" customHeight="1">
      <c r="A15">
        <f>IF(Table_1[[#This Row],[Part Name]]=0,"",Table_1[[#This Row],[Part Name]])</f>
        <v/>
      </c>
      <c r="C15" s="32" t="n"/>
      <c r="J15">
        <f>LEN(TRIM(CLEAN(SUBSTITUTE(SUBSTITUTE(Table_1[[#This Row],[Sequence]],CHAR(160)," ")," ",""))))</f>
        <v/>
      </c>
      <c r="L15" s="21" t="n"/>
      <c r="M15" s="21">
        <f>IF($B15="","FALSE","TRUE")</f>
        <v/>
      </c>
      <c r="N15">
        <f t="array" ref="N15">IsURL(Table_121215[[#This Row],[Data Source]])</f>
        <v/>
      </c>
      <c r="O15">
        <f t="array" ref="O15">IsURL(Table_121215[[#This Row],[DOI]])</f>
        <v/>
      </c>
      <c r="P15">
        <f t="array" ref="P15">IsURL(Table_121215[[#This Row],[Data Source]])</f>
        <v/>
      </c>
      <c r="Q15">
        <f t="array" ref="Q15">IsURL(Table_121215[[#This Row],[Data Source]])</f>
        <v/>
      </c>
    </row>
    <row r="16" ht="15.75" customHeight="1">
      <c r="A16">
        <f>IF(Table_1[[#This Row],[Part Name]]=0,"",Table_1[[#This Row],[Part Name]])</f>
        <v/>
      </c>
      <c r="C16" s="32" t="n"/>
      <c r="J16">
        <f>LEN(TRIM(CLEAN(SUBSTITUTE(SUBSTITUTE(Table_1[[#This Row],[Sequence]],CHAR(160)," ")," ",""))))</f>
        <v/>
      </c>
      <c r="L16" s="21" t="n"/>
      <c r="M16" s="21">
        <f>IF($B16="","FALSE","TRUE")</f>
        <v/>
      </c>
      <c r="N16">
        <f t="array" ref="N16">IsURL(Table_121215[[#This Row],[Data Source]])</f>
        <v/>
      </c>
      <c r="O16">
        <f t="array" ref="O16">IsURL(Table_121215[[#This Row],[DOI]])</f>
        <v/>
      </c>
      <c r="P16">
        <f t="array" ref="P16">IsURL(Table_121215[[#This Row],[Data Source]])</f>
        <v/>
      </c>
      <c r="Q16">
        <f t="array" ref="Q16">IsURL(Table_121215[[#This Row],[Data Source]])</f>
        <v/>
      </c>
    </row>
    <row r="17" ht="15.75" customHeight="1">
      <c r="A17">
        <f>IF(Table_1[[#This Row],[Part Name]]=0,"",Table_1[[#This Row],[Part Name]])</f>
        <v/>
      </c>
      <c r="C17" s="32" t="n"/>
      <c r="J17">
        <f>LEN(TRIM(CLEAN(SUBSTITUTE(SUBSTITUTE(Table_1[[#This Row],[Sequence]],CHAR(160)," ")," ",""))))</f>
        <v/>
      </c>
      <c r="L17" s="21" t="n"/>
      <c r="M17" s="21">
        <f>IF($B17="","FALSE","TRUE")</f>
        <v/>
      </c>
      <c r="N17">
        <f t="array" ref="N17">IsURL(Table_121215[[#This Row],[Data Source]])</f>
        <v/>
      </c>
      <c r="O17">
        <f t="array" ref="O17">IsURL(Table_121215[[#This Row],[DOI]])</f>
        <v/>
      </c>
      <c r="P17">
        <f t="array" ref="P17">IsURL(Table_121215[[#This Row],[Data Source]])</f>
        <v/>
      </c>
      <c r="Q17">
        <f t="array" ref="Q17">IsURL(Table_121215[[#This Row],[Data Source]])</f>
        <v/>
      </c>
    </row>
    <row r="18" ht="15.75" customHeight="1">
      <c r="A18">
        <f>IF(Table_1[[#This Row],[Part Name]]=0,"",Table_1[[#This Row],[Part Name]])</f>
        <v/>
      </c>
      <c r="C18" s="32" t="n"/>
      <c r="J18">
        <f>LEN(TRIM(CLEAN(SUBSTITUTE(SUBSTITUTE(Table_1[[#This Row],[Sequence]],CHAR(160)," ")," ",""))))</f>
        <v/>
      </c>
      <c r="L18" s="21" t="n"/>
      <c r="M18" s="21">
        <f>IF($B18="","FALSE","TRUE")</f>
        <v/>
      </c>
      <c r="N18">
        <f t="array" ref="N18">IsURL(Table_121215[[#This Row],[Data Source]])</f>
        <v/>
      </c>
      <c r="O18">
        <f t="array" ref="O18">IsURL(Table_121215[[#This Row],[DOI]])</f>
        <v/>
      </c>
      <c r="P18">
        <f t="array" ref="P18">IsURL(Table_121215[[#This Row],[Data Source]])</f>
        <v/>
      </c>
      <c r="Q18">
        <f t="array" ref="Q18">IsURL(Table_121215[[#This Row],[Data Source]])</f>
        <v/>
      </c>
    </row>
    <row r="19" ht="15.75" customHeight="1">
      <c r="A19">
        <f>IF(Table_1[[#This Row],[Part Name]]=0,"",Table_1[[#This Row],[Part Name]])</f>
        <v/>
      </c>
      <c r="C19" s="32" t="n"/>
      <c r="J19">
        <f>LEN(TRIM(CLEAN(SUBSTITUTE(SUBSTITUTE(Table_1[[#This Row],[Sequence]],CHAR(160)," ")," ",""))))</f>
        <v/>
      </c>
      <c r="L19" s="21" t="n"/>
      <c r="M19" s="21">
        <f>IF($B19="","FALSE","TRUE")</f>
        <v/>
      </c>
      <c r="N19">
        <f t="array" ref="N19">IsURL(Table_121215[[#This Row],[Data Source]])</f>
        <v/>
      </c>
      <c r="O19">
        <f t="array" ref="O19">IsURL(Table_121215[[#This Row],[DOI]])</f>
        <v/>
      </c>
      <c r="P19">
        <f t="array" ref="P19">IsURL(Table_121215[[#This Row],[Data Source]])</f>
        <v/>
      </c>
      <c r="Q19">
        <f t="array" ref="Q19">IsURL(Table_121215[[#This Row],[Data Source]])</f>
        <v/>
      </c>
    </row>
    <row r="20" ht="15.75" customHeight="1">
      <c r="A20">
        <f>IF(Table_1[[#This Row],[Part Name]]=0,"",Table_1[[#This Row],[Part Name]])</f>
        <v/>
      </c>
      <c r="C20" s="32" t="n"/>
      <c r="J20">
        <f>LEN(TRIM(CLEAN(SUBSTITUTE(SUBSTITUTE(Table_1[[#This Row],[Sequence]],CHAR(160)," ")," ",""))))</f>
        <v/>
      </c>
      <c r="L20" s="21" t="n"/>
      <c r="M20" s="21">
        <f>IF($B20="","FALSE","TRUE")</f>
        <v/>
      </c>
      <c r="N20">
        <f t="array" ref="N20">IsURL(Table_121215[[#This Row],[Data Source]])</f>
        <v/>
      </c>
      <c r="O20">
        <f t="array" ref="O20">IsURL(Table_121215[[#This Row],[DOI]])</f>
        <v/>
      </c>
      <c r="P20">
        <f t="array" ref="P20">IsURL(Table_121215[[#This Row],[Data Source]])</f>
        <v/>
      </c>
      <c r="Q20">
        <f t="array" ref="Q20">IsURL(Table_121215[[#This Row],[Data Source]])</f>
        <v/>
      </c>
    </row>
    <row r="21" ht="15.75" customHeight="1">
      <c r="A21">
        <f>IF(Table_1[[#This Row],[Part Name]]=0,"",Table_1[[#This Row],[Part Name]])</f>
        <v/>
      </c>
      <c r="C21" s="32" t="n"/>
      <c r="J21">
        <f>LEN(TRIM(CLEAN(SUBSTITUTE(SUBSTITUTE(Table_1[[#This Row],[Sequence]],CHAR(160)," ")," ",""))))</f>
        <v/>
      </c>
      <c r="L21" s="21" t="n"/>
      <c r="M21" s="21">
        <f>IF($B21="","FALSE","TRUE")</f>
        <v/>
      </c>
      <c r="N21">
        <f t="array" ref="N21">IsURL(Table_121215[[#This Row],[Data Source]])</f>
        <v/>
      </c>
      <c r="O21">
        <f t="array" ref="O21">IsURL(Table_121215[[#This Row],[DOI]])</f>
        <v/>
      </c>
      <c r="P21">
        <f t="array" ref="P21">IsURL(Table_121215[[#This Row],[Data Source]])</f>
        <v/>
      </c>
      <c r="Q21">
        <f t="array" ref="Q21">IsURL(Table_121215[[#This Row],[Data Source]])</f>
        <v/>
      </c>
    </row>
    <row r="22" ht="15.75" customHeight="1">
      <c r="A22">
        <f>IF(Table_1[[#This Row],[Part Name]]=0,"",Table_1[[#This Row],[Part Name]])</f>
        <v/>
      </c>
      <c r="C22" s="32" t="n"/>
      <c r="J22">
        <f>LEN(TRIM(CLEAN(SUBSTITUTE(SUBSTITUTE(Table_1[[#This Row],[Sequence]],CHAR(160)," ")," ",""))))</f>
        <v/>
      </c>
      <c r="L22" s="21" t="n"/>
      <c r="M22" s="21">
        <f>IF($B22="","FALSE","TRUE")</f>
        <v/>
      </c>
      <c r="N22">
        <f t="array" ref="N22">IsURL(Table_121215[[#This Row],[Data Source]])</f>
        <v/>
      </c>
      <c r="O22">
        <f t="array" ref="O22">IsURL(Table_121215[[#This Row],[DOI]])</f>
        <v/>
      </c>
      <c r="P22">
        <f t="array" ref="P22">IsURL(Table_121215[[#This Row],[Data Source]])</f>
        <v/>
      </c>
      <c r="Q22">
        <f t="array" ref="Q22">IsURL(Table_121215[[#This Row],[Data Source]])</f>
        <v/>
      </c>
    </row>
    <row r="23" ht="15.75" customHeight="1">
      <c r="A23">
        <f>IF(Table_1[[#This Row],[Part Name]]=0,"",Table_1[[#This Row],[Part Name]])</f>
        <v/>
      </c>
      <c r="C23" s="32" t="n"/>
      <c r="J23">
        <f>LEN(TRIM(CLEAN(SUBSTITUTE(SUBSTITUTE(Table_1[[#This Row],[Sequence]],CHAR(160)," ")," ",""))))</f>
        <v/>
      </c>
      <c r="L23" s="21" t="n"/>
      <c r="M23" s="21">
        <f>IF($B23="","FALSE","TRUE")</f>
        <v/>
      </c>
      <c r="N23">
        <f t="array" ref="N23">IsURL(Table_121215[[#This Row],[Data Source]])</f>
        <v/>
      </c>
      <c r="O23">
        <f t="array" ref="O23">IsURL(Table_121215[[#This Row],[DOI]])</f>
        <v/>
      </c>
      <c r="P23">
        <f t="array" ref="P23">IsURL(Table_121215[[#This Row],[Data Source]])</f>
        <v/>
      </c>
      <c r="Q23">
        <f t="array" ref="Q23">IsURL(Table_121215[[#This Row],[Data Source]])</f>
        <v/>
      </c>
    </row>
    <row r="24" ht="15.75" customHeight="1">
      <c r="A24">
        <f>IF(Table_1[[#This Row],[Part Name]]=0,"",Table_1[[#This Row],[Part Name]])</f>
        <v/>
      </c>
      <c r="C24" s="32" t="n"/>
      <c r="J24">
        <f>LEN(TRIM(CLEAN(SUBSTITUTE(SUBSTITUTE(Table_1[[#This Row],[Sequence]],CHAR(160)," ")," ",""))))</f>
        <v/>
      </c>
      <c r="L24" s="21" t="n"/>
      <c r="M24" s="21">
        <f>IF($B24="","FALSE","TRUE")</f>
        <v/>
      </c>
      <c r="N24">
        <f t="array" ref="N24">IsURL(Table_121215[[#This Row],[Data Source]])</f>
        <v/>
      </c>
      <c r="O24">
        <f t="array" ref="O24">IsURL(Table_121215[[#This Row],[DOI]])</f>
        <v/>
      </c>
      <c r="P24">
        <f t="array" ref="P24">IsURL(Table_121215[[#This Row],[Data Source]])</f>
        <v/>
      </c>
      <c r="Q24">
        <f t="array" ref="Q24">IsURL(Table_121215[[#This Row],[Data Source]])</f>
        <v/>
      </c>
    </row>
    <row r="25" ht="15.75" customHeight="1">
      <c r="A25">
        <f>IF(Table_1[[#This Row],[Part Name]]=0,"",Table_1[[#This Row],[Part Name]])</f>
        <v/>
      </c>
      <c r="C25" s="32" t="n"/>
      <c r="J25">
        <f>LEN(TRIM(CLEAN(SUBSTITUTE(SUBSTITUTE(Table_1[[#This Row],[Sequence]],CHAR(160)," ")," ",""))))</f>
        <v/>
      </c>
      <c r="L25" s="21" t="n"/>
      <c r="M25" s="21">
        <f>IF($B25="","FALSE","TRUE")</f>
        <v/>
      </c>
      <c r="N25">
        <f t="array" ref="N25">IsURL(Table_121215[[#This Row],[Data Source]])</f>
        <v/>
      </c>
      <c r="O25">
        <f t="array" ref="O25">IsURL(Table_121215[[#This Row],[DOI]])</f>
        <v/>
      </c>
      <c r="P25">
        <f t="array" ref="P25">IsURL(Table_121215[[#This Row],[Data Source]])</f>
        <v/>
      </c>
      <c r="Q25">
        <f t="array" ref="Q25">IsURL(Table_121215[[#This Row],[Data Source]])</f>
        <v/>
      </c>
    </row>
    <row r="26" ht="15.75" customHeight="1">
      <c r="A26">
        <f>IF(Table_1[[#This Row],[Part Name]]=0,"",Table_1[[#This Row],[Part Name]])</f>
        <v/>
      </c>
      <c r="C26" s="32" t="n"/>
      <c r="J26">
        <f>LEN(TRIM(CLEAN(SUBSTITUTE(SUBSTITUTE(Table_1[[#This Row],[Sequence]],CHAR(160)," ")," ",""))))</f>
        <v/>
      </c>
      <c r="L26" s="21" t="n"/>
      <c r="M26" s="21">
        <f>IF($B26="","FALSE","TRUE")</f>
        <v/>
      </c>
      <c r="N26">
        <f t="array" ref="N26">IsURL(Table_121215[[#This Row],[Data Source]])</f>
        <v/>
      </c>
      <c r="O26">
        <f t="array" ref="O26">IsURL(Table_121215[[#This Row],[DOI]])</f>
        <v/>
      </c>
      <c r="P26">
        <f t="array" ref="P26">IsURL(Table_121215[[#This Row],[Data Source]])</f>
        <v/>
      </c>
      <c r="Q26">
        <f t="array" ref="Q26">IsURL(Table_121215[[#This Row],[Data Source]])</f>
        <v/>
      </c>
    </row>
    <row r="27" ht="15.75" customHeight="1">
      <c r="A27">
        <f>IF(Table_1[[#This Row],[Part Name]]=0,"",Table_1[[#This Row],[Part Name]])</f>
        <v/>
      </c>
      <c r="C27" s="32" t="n"/>
      <c r="J27">
        <f>LEN(TRIM(CLEAN(SUBSTITUTE(SUBSTITUTE(Table_1[[#This Row],[Sequence]],CHAR(160)," ")," ",""))))</f>
        <v/>
      </c>
      <c r="L27" s="21" t="n"/>
      <c r="M27" s="21">
        <f>IF($B27="","FALSE","TRUE")</f>
        <v/>
      </c>
      <c r="N27">
        <f t="array" ref="N27">IsURL(Table_121215[[#This Row],[Data Source]])</f>
        <v/>
      </c>
      <c r="O27">
        <f t="array" ref="O27">IsURL(Table_121215[[#This Row],[DOI]])</f>
        <v/>
      </c>
      <c r="P27">
        <f t="array" ref="P27">IsURL(Table_121215[[#This Row],[Data Source]])</f>
        <v/>
      </c>
      <c r="Q27">
        <f t="array" ref="Q27">IsURL(Table_121215[[#This Row],[Data Source]])</f>
        <v/>
      </c>
    </row>
    <row r="28" ht="15.75" customHeight="1">
      <c r="A28">
        <f>IF(Table_1[[#This Row],[Part Name]]=0,"",Table_1[[#This Row],[Part Name]])</f>
        <v/>
      </c>
      <c r="C28" s="32" t="n"/>
      <c r="J28">
        <f>LEN(TRIM(CLEAN(SUBSTITUTE(SUBSTITUTE(Table_1[[#This Row],[Sequence]],CHAR(160)," ")," ",""))))</f>
        <v/>
      </c>
      <c r="L28" s="21" t="n"/>
      <c r="M28" s="21">
        <f>IF($B28="","FALSE","TRUE")</f>
        <v/>
      </c>
      <c r="N28">
        <f t="array" ref="N28">IsURL(Table_121215[[#This Row],[Data Source]])</f>
        <v/>
      </c>
      <c r="O28">
        <f t="array" ref="O28">IsURL(Table_121215[[#This Row],[DOI]])</f>
        <v/>
      </c>
      <c r="P28">
        <f t="array" ref="P28">IsURL(Table_121215[[#This Row],[Data Source]])</f>
        <v/>
      </c>
      <c r="Q28">
        <f t="array" ref="Q28">IsURL(Table_121215[[#This Row],[Data Source]])</f>
        <v/>
      </c>
    </row>
    <row r="29" ht="15.75" customHeight="1">
      <c r="A29">
        <f>IF(Table_1[[#This Row],[Part Name]]=0,"",Table_1[[#This Row],[Part Name]])</f>
        <v/>
      </c>
      <c r="C29" s="32" t="n"/>
      <c r="J29">
        <f>LEN(TRIM(CLEAN(SUBSTITUTE(SUBSTITUTE(Table_1[[#This Row],[Sequence]],CHAR(160)," ")," ",""))))</f>
        <v/>
      </c>
      <c r="L29" s="21" t="n"/>
      <c r="M29" s="21">
        <f>IF($B29="","FALSE","TRUE")</f>
        <v/>
      </c>
      <c r="N29">
        <f t="array" ref="N29">IsURL(Table_121215[[#This Row],[Data Source]])</f>
        <v/>
      </c>
      <c r="O29">
        <f t="array" ref="O29">IsURL(Table_121215[[#This Row],[DOI]])</f>
        <v/>
      </c>
      <c r="P29">
        <f t="array" ref="P29">IsURL(Table_121215[[#This Row],[Data Source]])</f>
        <v/>
      </c>
      <c r="Q29">
        <f t="array" ref="Q29">IsURL(Table_121215[[#This Row],[Data Source]])</f>
        <v/>
      </c>
    </row>
    <row r="30" ht="15.75" customHeight="1">
      <c r="A30">
        <f>IF(Table_1[[#This Row],[Part Name]]=0,"",Table_1[[#This Row],[Part Name]])</f>
        <v/>
      </c>
      <c r="C30" s="32" t="n"/>
      <c r="J30">
        <f>LEN(TRIM(CLEAN(SUBSTITUTE(SUBSTITUTE(Table_1[[#This Row],[Sequence]],CHAR(160)," ")," ",""))))</f>
        <v/>
      </c>
      <c r="L30" s="21" t="n"/>
      <c r="M30" s="21">
        <f>IF($B30="","FALSE","TRUE")</f>
        <v/>
      </c>
      <c r="N30">
        <f t="array" ref="N30">IsURL(Table_121215[[#This Row],[Data Source]])</f>
        <v/>
      </c>
      <c r="O30">
        <f t="array" ref="O30">IsURL(Table_121215[[#This Row],[DOI]])</f>
        <v/>
      </c>
      <c r="P30">
        <f t="array" ref="P30">IsURL(Table_121215[[#This Row],[Data Source]])</f>
        <v/>
      </c>
      <c r="Q30">
        <f t="array" ref="Q30">IsURL(Table_121215[[#This Row],[Data Source]])</f>
        <v/>
      </c>
    </row>
    <row r="31" ht="15.75" customHeight="1">
      <c r="A31">
        <f>IF(Table_1[[#This Row],[Part Name]]=0,"",Table_1[[#This Row],[Part Name]])</f>
        <v/>
      </c>
      <c r="C31" s="32" t="n"/>
      <c r="J31">
        <f>LEN(TRIM(CLEAN(SUBSTITUTE(SUBSTITUTE(Table_1[[#This Row],[Sequence]],CHAR(160)," ")," ",""))))</f>
        <v/>
      </c>
      <c r="L31" s="21" t="n"/>
      <c r="M31" s="21">
        <f>IF($B31="","FALSE","TRUE")</f>
        <v/>
      </c>
      <c r="N31">
        <f t="array" ref="N31">IsURL(Table_121215[[#This Row],[Data Source]])</f>
        <v/>
      </c>
      <c r="O31">
        <f t="array" ref="O31">IsURL(Table_121215[[#This Row],[DOI]])</f>
        <v/>
      </c>
      <c r="P31">
        <f t="array" ref="P31">IsURL(Table_121215[[#This Row],[Data Source]])</f>
        <v/>
      </c>
      <c r="Q31">
        <f t="array" ref="Q31">IsURL(Table_121215[[#This Row],[Data Source]])</f>
        <v/>
      </c>
    </row>
    <row r="32" ht="15.75" customHeight="1">
      <c r="A32">
        <f>IF(Table_1[[#This Row],[Part Name]]=0,"",Table_1[[#This Row],[Part Name]])</f>
        <v/>
      </c>
      <c r="C32" s="32" t="n"/>
      <c r="J32">
        <f>LEN(TRIM(CLEAN(SUBSTITUTE(SUBSTITUTE(Table_1[[#This Row],[Sequence]],CHAR(160)," ")," ",""))))</f>
        <v/>
      </c>
      <c r="L32" s="21" t="n"/>
      <c r="M32" s="21">
        <f>IF($B32="","FALSE","TRUE")</f>
        <v/>
      </c>
      <c r="N32">
        <f t="array" ref="N32">IsURL(Table_121215[[#This Row],[Data Source]])</f>
        <v/>
      </c>
      <c r="O32">
        <f t="array" ref="O32">IsURL(Table_121215[[#This Row],[DOI]])</f>
        <v/>
      </c>
      <c r="P32">
        <f t="array" ref="P32">IsURL(Table_121215[[#This Row],[Data Source]])</f>
        <v/>
      </c>
      <c r="Q32">
        <f t="array" ref="Q32">IsURL(Table_121215[[#This Row],[Data Source]])</f>
        <v/>
      </c>
    </row>
    <row r="33" ht="15.75" customHeight="1">
      <c r="A33">
        <f>IF(Table_1[[#This Row],[Part Name]]=0,"",Table_1[[#This Row],[Part Name]])</f>
        <v/>
      </c>
      <c r="C33" s="32" t="n"/>
      <c r="J33">
        <f>LEN(TRIM(CLEAN(SUBSTITUTE(SUBSTITUTE(Table_1[[#This Row],[Sequence]],CHAR(160)," ")," ",""))))</f>
        <v/>
      </c>
      <c r="L33" s="21" t="n"/>
      <c r="M33" s="21">
        <f>IF($B33="","FALSE","TRUE")</f>
        <v/>
      </c>
      <c r="N33">
        <f t="array" ref="N33">IsURL(Table_121215[[#This Row],[Data Source]])</f>
        <v/>
      </c>
      <c r="O33">
        <f t="array" ref="O33">IsURL(Table_121215[[#This Row],[DOI]])</f>
        <v/>
      </c>
      <c r="P33">
        <f t="array" ref="P33">IsURL(Table_121215[[#This Row],[Data Source]])</f>
        <v/>
      </c>
      <c r="Q33">
        <f t="array" ref="Q33">IsURL(Table_121215[[#This Row],[Data Source]])</f>
        <v/>
      </c>
    </row>
    <row r="34" ht="15.75" customHeight="1">
      <c r="A34">
        <f>IF(Table_1[[#This Row],[Part Name]]=0,"",Table_1[[#This Row],[Part Name]])</f>
        <v/>
      </c>
      <c r="C34" s="32" t="n"/>
      <c r="J34">
        <f>LEN(TRIM(CLEAN(SUBSTITUTE(SUBSTITUTE(Table_1[[#This Row],[Sequence]],CHAR(160)," ")," ",""))))</f>
        <v/>
      </c>
      <c r="L34" s="21" t="n"/>
      <c r="M34" s="21">
        <f>IF($B34="","FALSE","TRUE")</f>
        <v/>
      </c>
      <c r="N34">
        <f t="array" ref="N34">IsURL(Table_121215[[#This Row],[Data Source]])</f>
        <v/>
      </c>
      <c r="O34">
        <f t="array" ref="O34">IsURL(Table_121215[[#This Row],[DOI]])</f>
        <v/>
      </c>
      <c r="P34">
        <f t="array" ref="P34">IsURL(Table_121215[[#This Row],[Data Source]])</f>
        <v/>
      </c>
      <c r="Q34">
        <f t="array" ref="Q34">IsURL(Table_121215[[#This Row],[Data Source]])</f>
        <v/>
      </c>
    </row>
    <row r="35" ht="15.75" customHeight="1">
      <c r="A35">
        <f>IF(Table_1[[#This Row],[Part Name]]=0,"",Table_1[[#This Row],[Part Name]])</f>
        <v/>
      </c>
      <c r="C35" s="32" t="n"/>
      <c r="J35">
        <f>LEN(TRIM(CLEAN(SUBSTITUTE(SUBSTITUTE(Table_1[[#This Row],[Sequence]],CHAR(160)," ")," ",""))))</f>
        <v/>
      </c>
      <c r="L35" s="21" t="n"/>
      <c r="M35" s="21">
        <f>IF($B35="","FALSE","TRUE")</f>
        <v/>
      </c>
      <c r="N35">
        <f t="array" ref="N35">IsURL(Table_121215[[#This Row],[Data Source]])</f>
        <v/>
      </c>
      <c r="O35">
        <f t="array" ref="O35">IsURL(Table_121215[[#This Row],[DOI]])</f>
        <v/>
      </c>
      <c r="P35">
        <f t="array" ref="P35">IsURL(Table_121215[[#This Row],[Data Source]])</f>
        <v/>
      </c>
      <c r="Q35">
        <f t="array" ref="Q35">IsURL(Table_121215[[#This Row],[Data Source]])</f>
        <v/>
      </c>
    </row>
    <row r="36" ht="15.75" customHeight="1">
      <c r="A36">
        <f>IF(Table_1[[#This Row],[Part Name]]=0,"",Table_1[[#This Row],[Part Name]])</f>
        <v/>
      </c>
      <c r="C36" s="32" t="n"/>
      <c r="J36">
        <f>LEN(TRIM(CLEAN(SUBSTITUTE(SUBSTITUTE(Table_1[[#This Row],[Sequence]],CHAR(160)," ")," ",""))))</f>
        <v/>
      </c>
      <c r="L36" s="21" t="n"/>
      <c r="M36" s="21">
        <f>IF($B36="","FALSE","TRUE")</f>
        <v/>
      </c>
      <c r="N36">
        <f t="array" ref="N36">IsURL(Table_121215[[#This Row],[Data Source]])</f>
        <v/>
      </c>
      <c r="O36">
        <f t="array" ref="O36">IsURL(Table_121215[[#This Row],[DOI]])</f>
        <v/>
      </c>
      <c r="P36">
        <f t="array" ref="P36">IsURL(Table_121215[[#This Row],[Data Source]])</f>
        <v/>
      </c>
      <c r="Q36">
        <f t="array" ref="Q36">IsURL(Table_121215[[#This Row],[Data Source]])</f>
        <v/>
      </c>
    </row>
    <row r="37" ht="15.75" customHeight="1">
      <c r="A37">
        <f>IF(Table_1[[#This Row],[Part Name]]=0,"",Table_1[[#This Row],[Part Name]])</f>
        <v/>
      </c>
      <c r="C37" s="32" t="n"/>
      <c r="J37">
        <f>LEN(TRIM(CLEAN(SUBSTITUTE(SUBSTITUTE(Table_1[[#This Row],[Sequence]],CHAR(160)," ")," ",""))))</f>
        <v/>
      </c>
      <c r="L37" s="21" t="n"/>
      <c r="M37" s="21">
        <f>IF($B37="","FALSE","TRUE")</f>
        <v/>
      </c>
      <c r="N37">
        <f t="array" ref="N37">IsURL(Table_121215[[#This Row],[Data Source]])</f>
        <v/>
      </c>
      <c r="O37">
        <f t="array" ref="O37">IsURL(Table_121215[[#This Row],[DOI]])</f>
        <v/>
      </c>
      <c r="P37">
        <f t="array" ref="P37">IsURL(Table_121215[[#This Row],[Data Source]])</f>
        <v/>
      </c>
      <c r="Q37">
        <f t="array" ref="Q37">IsURL(Table_121215[[#This Row],[Data Source]])</f>
        <v/>
      </c>
    </row>
    <row r="38" ht="15.75" customHeight="1">
      <c r="A38">
        <f>IF(Table_1[[#This Row],[Part Name]]=0,"",Table_1[[#This Row],[Part Name]])</f>
        <v/>
      </c>
      <c r="C38" s="32" t="n"/>
      <c r="J38">
        <f>LEN(TRIM(CLEAN(SUBSTITUTE(SUBSTITUTE(Table_1[[#This Row],[Sequence]],CHAR(160)," ")," ",""))))</f>
        <v/>
      </c>
      <c r="L38" s="21" t="n"/>
      <c r="M38" s="21">
        <f>IF($B38="","FALSE","TRUE")</f>
        <v/>
      </c>
      <c r="N38">
        <f t="array" ref="N38">IsURL(Table_121215[[#This Row],[Data Source]])</f>
        <v/>
      </c>
      <c r="O38">
        <f t="array" ref="O38">IsURL(Table_121215[[#This Row],[DOI]])</f>
        <v/>
      </c>
      <c r="P38">
        <f t="array" ref="P38">IsURL(Table_121215[[#This Row],[Data Source]])</f>
        <v/>
      </c>
      <c r="Q38">
        <f t="array" ref="Q38">IsURL(Table_121215[[#This Row],[Data Source]])</f>
        <v/>
      </c>
    </row>
    <row r="39" ht="15.75" customHeight="1">
      <c r="A39">
        <f>IF(Table_1[[#This Row],[Part Name]]=0,"",Table_1[[#This Row],[Part Name]])</f>
        <v/>
      </c>
      <c r="C39" s="32" t="n"/>
      <c r="J39">
        <f>LEN(TRIM(CLEAN(SUBSTITUTE(SUBSTITUTE(Table_1[[#This Row],[Sequence]],CHAR(160)," ")," ",""))))</f>
        <v/>
      </c>
      <c r="L39" s="21" t="n"/>
      <c r="M39" s="21">
        <f>IF($B39="","FALSE","TRUE")</f>
        <v/>
      </c>
      <c r="N39">
        <f t="array" ref="N39">IsURL(Table_121215[[#This Row],[Data Source]])</f>
        <v/>
      </c>
      <c r="O39">
        <f t="array" ref="O39">IsURL(Table_121215[[#This Row],[DOI]])</f>
        <v/>
      </c>
      <c r="P39">
        <f t="array" ref="P39">IsURL(Table_121215[[#This Row],[Data Source]])</f>
        <v/>
      </c>
      <c r="Q39">
        <f t="array" ref="Q39">IsURL(Table_121215[[#This Row],[Data Source]])</f>
        <v/>
      </c>
    </row>
    <row r="40" ht="15.75" customHeight="1">
      <c r="A40">
        <f>IF(Table_1[[#This Row],[Part Name]]=0,"",Table_1[[#This Row],[Part Name]])</f>
        <v/>
      </c>
      <c r="C40" s="32" t="n"/>
      <c r="J40">
        <f>LEN(TRIM(CLEAN(SUBSTITUTE(SUBSTITUTE(Table_1[[#This Row],[Sequence]],CHAR(160)," ")," ",""))))</f>
        <v/>
      </c>
      <c r="L40" s="21" t="n"/>
      <c r="M40" s="21">
        <f>IF($B40="","FALSE","TRUE")</f>
        <v/>
      </c>
      <c r="N40">
        <f t="array" ref="N40">IsURL(Table_121215[[#This Row],[Data Source]])</f>
        <v/>
      </c>
      <c r="O40">
        <f t="array" ref="O40">IsURL(Table_121215[[#This Row],[DOI]])</f>
        <v/>
      </c>
      <c r="P40">
        <f t="array" ref="P40">IsURL(Table_121215[[#This Row],[Data Source]])</f>
        <v/>
      </c>
      <c r="Q40">
        <f t="array" ref="Q40">IsURL(Table_121215[[#This Row],[Data Source]])</f>
        <v/>
      </c>
    </row>
    <row r="41" ht="15.75" customHeight="1">
      <c r="A41">
        <f>IF(Table_1[[#This Row],[Part Name]]=0,"",Table_1[[#This Row],[Part Name]])</f>
        <v/>
      </c>
      <c r="C41" s="32" t="n"/>
      <c r="J41">
        <f>LEN(TRIM(CLEAN(SUBSTITUTE(SUBSTITUTE(Table_1[[#This Row],[Sequence]],CHAR(160)," ")," ",""))))</f>
        <v/>
      </c>
      <c r="L41" s="21" t="n"/>
      <c r="M41" s="21">
        <f>IF($B41="","FALSE","TRUE")</f>
        <v/>
      </c>
      <c r="N41">
        <f t="array" ref="N41">IsURL(Table_121215[[#This Row],[Data Source]])</f>
        <v/>
      </c>
      <c r="O41">
        <f t="array" ref="O41">IsURL(Table_121215[[#This Row],[DOI]])</f>
        <v/>
      </c>
      <c r="P41">
        <f t="array" ref="P41">IsURL(Table_121215[[#This Row],[Data Source]])</f>
        <v/>
      </c>
      <c r="Q41">
        <f t="array" ref="Q41">IsURL(Table_121215[[#This Row],[Data Source]])</f>
        <v/>
      </c>
    </row>
    <row r="42" ht="15.75" customHeight="1">
      <c r="A42">
        <f>IF(Table_1[[#This Row],[Part Name]]=0,"",Table_1[[#This Row],[Part Name]])</f>
        <v/>
      </c>
      <c r="C42" s="32" t="n"/>
      <c r="J42">
        <f>LEN(TRIM(CLEAN(SUBSTITUTE(SUBSTITUTE(Table_1[[#This Row],[Sequence]],CHAR(160)," ")," ",""))))</f>
        <v/>
      </c>
      <c r="L42" s="21" t="n"/>
      <c r="M42" s="21">
        <f>IF($B42="","FALSE","TRUE")</f>
        <v/>
      </c>
      <c r="N42">
        <f t="array" ref="N42">IsURL(Table_121215[[#This Row],[Data Source]])</f>
        <v/>
      </c>
      <c r="O42">
        <f t="array" ref="O42">IsURL(Table_121215[[#This Row],[DOI]])</f>
        <v/>
      </c>
      <c r="P42">
        <f t="array" ref="P42">IsURL(Table_121215[[#This Row],[Data Source]])</f>
        <v/>
      </c>
      <c r="Q42">
        <f t="array" ref="Q42">IsURL(Table_121215[[#This Row],[Data Source]])</f>
        <v/>
      </c>
    </row>
    <row r="43" ht="15.75" customHeight="1">
      <c r="A43">
        <f>IF(Table_1[[#This Row],[Part Name]]=0,"",Table_1[[#This Row],[Part Name]])</f>
        <v/>
      </c>
      <c r="C43" s="32" t="n"/>
      <c r="J43">
        <f>LEN(TRIM(CLEAN(SUBSTITUTE(SUBSTITUTE(Table_1[[#This Row],[Sequence]],CHAR(160)," ")," ",""))))</f>
        <v/>
      </c>
      <c r="L43" s="21" t="n"/>
      <c r="M43" s="21">
        <f>IF($B43="","FALSE","TRUE")</f>
        <v/>
      </c>
      <c r="N43">
        <f t="array" ref="N43">IsURL(Table_121215[[#This Row],[Data Source]])</f>
        <v/>
      </c>
      <c r="O43">
        <f t="array" ref="O43">IsURL(Table_121215[[#This Row],[DOI]])</f>
        <v/>
      </c>
      <c r="P43">
        <f t="array" ref="P43">IsURL(Table_121215[[#This Row],[Data Source]])</f>
        <v/>
      </c>
      <c r="Q43">
        <f t="array" ref="Q43">IsURL(Table_121215[[#This Row],[Data Source]])</f>
        <v/>
      </c>
    </row>
    <row r="44" ht="15.75" customHeight="1">
      <c r="A44">
        <f>IF(Table_1[[#This Row],[Part Name]]=0,"",Table_1[[#This Row],[Part Name]])</f>
        <v/>
      </c>
      <c r="C44" s="32" t="n"/>
      <c r="J44">
        <f>LEN(TRIM(CLEAN(SUBSTITUTE(SUBSTITUTE(Table_1[[#This Row],[Sequence]],CHAR(160)," ")," ",""))))</f>
        <v/>
      </c>
      <c r="L44" s="21" t="n"/>
      <c r="M44" s="21">
        <f>IF($B44="","FALSE","TRUE")</f>
        <v/>
      </c>
      <c r="N44">
        <f t="array" ref="N44">IsURL(Table_121215[[#This Row],[Data Source]])</f>
        <v/>
      </c>
      <c r="O44">
        <f t="array" ref="O44">IsURL(Table_121215[[#This Row],[DOI]])</f>
        <v/>
      </c>
      <c r="P44">
        <f t="array" ref="P44">IsURL(Table_121215[[#This Row],[Data Source]])</f>
        <v/>
      </c>
      <c r="Q44">
        <f t="array" ref="Q44">IsURL(Table_121215[[#This Row],[Data Source]])</f>
        <v/>
      </c>
    </row>
    <row r="45" ht="15.75" customHeight="1">
      <c r="A45">
        <f>IF(Table_1[[#This Row],[Part Name]]=0,"",Table_1[[#This Row],[Part Name]])</f>
        <v/>
      </c>
      <c r="C45" s="32" t="n"/>
      <c r="J45">
        <f>LEN(TRIM(CLEAN(SUBSTITUTE(SUBSTITUTE(Table_1[[#This Row],[Sequence]],CHAR(160)," ")," ",""))))</f>
        <v/>
      </c>
      <c r="L45" s="21" t="n"/>
      <c r="M45" s="21">
        <f>IF($B45="","FALSE","TRUE")</f>
        <v/>
      </c>
      <c r="N45">
        <f t="array" ref="N45">IsURL(Table_121215[[#This Row],[Data Source]])</f>
        <v/>
      </c>
      <c r="O45">
        <f t="array" ref="O45">IsURL(Table_121215[[#This Row],[DOI]])</f>
        <v/>
      </c>
      <c r="P45">
        <f t="array" ref="P45">IsURL(Table_121215[[#This Row],[Data Source]])</f>
        <v/>
      </c>
      <c r="Q45">
        <f t="array" ref="Q45">IsURL(Table_121215[[#This Row],[Data Source]])</f>
        <v/>
      </c>
    </row>
    <row r="46" ht="15.75" customHeight="1">
      <c r="A46">
        <f>IF(Table_1[[#This Row],[Part Name]]=0,"",Table_1[[#This Row],[Part Name]])</f>
        <v/>
      </c>
      <c r="C46" s="32" t="n"/>
      <c r="J46">
        <f>LEN(TRIM(CLEAN(SUBSTITUTE(SUBSTITUTE(Table_1[[#This Row],[Sequence]],CHAR(160)," ")," ",""))))</f>
        <v/>
      </c>
      <c r="L46" s="21" t="n"/>
      <c r="M46" s="21">
        <f>IF($B46="","FALSE","TRUE")</f>
        <v/>
      </c>
      <c r="N46">
        <f t="array" ref="N46">IsURL(Table_121215[[#This Row],[Data Source]])</f>
        <v/>
      </c>
      <c r="O46">
        <f t="array" ref="O46">IsURL(Table_121215[[#This Row],[DOI]])</f>
        <v/>
      </c>
      <c r="P46">
        <f t="array" ref="P46">IsURL(Table_121215[[#This Row],[Data Source]])</f>
        <v/>
      </c>
      <c r="Q46">
        <f t="array" ref="Q46">IsURL(Table_121215[[#This Row],[Data Source]])</f>
        <v/>
      </c>
    </row>
    <row r="47" ht="15.75" customHeight="1">
      <c r="A47">
        <f>IF(Table_1[[#This Row],[Part Name]]=0,"",Table_1[[#This Row],[Part Name]])</f>
        <v/>
      </c>
      <c r="C47" s="32" t="n"/>
      <c r="J47">
        <f>LEN(TRIM(CLEAN(SUBSTITUTE(SUBSTITUTE(Table_1[[#This Row],[Sequence]],CHAR(160)," ")," ",""))))</f>
        <v/>
      </c>
      <c r="L47" s="21" t="n"/>
      <c r="M47" s="21">
        <f>IF($B47="","FALSE","TRUE")</f>
        <v/>
      </c>
      <c r="N47">
        <f t="array" ref="N47">IsURL(Table_121215[[#This Row],[Data Source]])</f>
        <v/>
      </c>
      <c r="O47">
        <f t="array" ref="O47">IsURL(Table_121215[[#This Row],[DOI]])</f>
        <v/>
      </c>
      <c r="P47">
        <f t="array" ref="P47">IsURL(Table_121215[[#This Row],[Data Source]])</f>
        <v/>
      </c>
      <c r="Q47">
        <f t="array" ref="Q47">IsURL(Table_121215[[#This Row],[Data Source]])</f>
        <v/>
      </c>
    </row>
    <row r="48" ht="15.75" customHeight="1">
      <c r="A48">
        <f>IF(Table_1[[#This Row],[Part Name]]=0,"",Table_1[[#This Row],[Part Name]])</f>
        <v/>
      </c>
      <c r="C48" s="32" t="n"/>
      <c r="J48">
        <f>LEN(TRIM(CLEAN(SUBSTITUTE(SUBSTITUTE(Table_1[[#This Row],[Sequence]],CHAR(160)," ")," ",""))))</f>
        <v/>
      </c>
      <c r="L48" s="21" t="n"/>
      <c r="M48" s="21">
        <f>IF($B48="","FALSE","TRUE")</f>
        <v/>
      </c>
      <c r="N48">
        <f t="array" ref="N48">IsURL(Table_121215[[#This Row],[Data Source]])</f>
        <v/>
      </c>
      <c r="O48">
        <f t="array" ref="O48">IsURL(Table_121215[[#This Row],[DOI]])</f>
        <v/>
      </c>
      <c r="P48">
        <f t="array" ref="P48">IsURL(Table_121215[[#This Row],[Data Source]])</f>
        <v/>
      </c>
      <c r="Q48">
        <f t="array" ref="Q48">IsURL(Table_121215[[#This Row],[Data Source]])</f>
        <v/>
      </c>
    </row>
    <row r="49" ht="15.75" customHeight="1">
      <c r="A49">
        <f>IF(Table_1[[#This Row],[Part Name]]=0,"",Table_1[[#This Row],[Part Name]])</f>
        <v/>
      </c>
      <c r="C49" s="32" t="n"/>
      <c r="J49">
        <f>LEN(TRIM(CLEAN(SUBSTITUTE(SUBSTITUTE(Table_1[[#This Row],[Sequence]],CHAR(160)," ")," ",""))))</f>
        <v/>
      </c>
      <c r="L49" s="21" t="n"/>
      <c r="M49" s="21">
        <f>IF($B49="","FALSE","TRUE")</f>
        <v/>
      </c>
      <c r="N49">
        <f t="array" ref="N49">IsURL(Table_121215[[#This Row],[Data Source]])</f>
        <v/>
      </c>
      <c r="O49">
        <f t="array" ref="O49">IsURL(Table_121215[[#This Row],[DOI]])</f>
        <v/>
      </c>
      <c r="P49">
        <f t="array" ref="P49">IsURL(Table_121215[[#This Row],[Data Source]])</f>
        <v/>
      </c>
      <c r="Q49">
        <f t="array" ref="Q49">IsURL(Table_121215[[#This Row],[Data Source]])</f>
        <v/>
      </c>
    </row>
    <row r="50" ht="15.75" customHeight="1">
      <c r="A50">
        <f>IF(Table_1[[#This Row],[Part Name]]=0,"",Table_1[[#This Row],[Part Name]])</f>
        <v/>
      </c>
      <c r="C50" s="32" t="n"/>
      <c r="J50">
        <f>LEN(TRIM(CLEAN(SUBSTITUTE(SUBSTITUTE(Table_1[[#This Row],[Sequence]],CHAR(160)," ")," ",""))))</f>
        <v/>
      </c>
      <c r="L50" s="21" t="n"/>
      <c r="M50" s="21">
        <f>IF($B50="","FALSE","TRUE")</f>
        <v/>
      </c>
      <c r="N50">
        <f t="array" ref="N50">IsURL(Table_121215[[#This Row],[Data Source]])</f>
        <v/>
      </c>
      <c r="O50">
        <f t="array" ref="O50">IsURL(Table_121215[[#This Row],[DOI]])</f>
        <v/>
      </c>
      <c r="P50">
        <f t="array" ref="P50">IsURL(Table_121215[[#This Row],[Data Source]])</f>
        <v/>
      </c>
      <c r="Q50">
        <f t="array" ref="Q50">IsURL(Table_121215[[#This Row],[Data Source]])</f>
        <v/>
      </c>
    </row>
    <row r="51" ht="15.75" customHeight="1">
      <c r="A51">
        <f>IF(Table_1[[#This Row],[Part Name]]=0,"",Table_1[[#This Row],[Part Name]])</f>
        <v/>
      </c>
      <c r="C51" s="32" t="n"/>
      <c r="J51">
        <f>LEN(TRIM(CLEAN(SUBSTITUTE(SUBSTITUTE(Table_1[[#This Row],[Sequence]],CHAR(160)," ")," ",""))))</f>
        <v/>
      </c>
      <c r="L51" s="21" t="n"/>
      <c r="M51" s="21">
        <f>IF($B51="","FALSE","TRUE")</f>
        <v/>
      </c>
      <c r="N51">
        <f t="array" ref="N51">IsURL(Table_121215[[#This Row],[Data Source]])</f>
        <v/>
      </c>
      <c r="O51">
        <f t="array" ref="O51">IsURL(Table_121215[[#This Row],[DOI]])</f>
        <v/>
      </c>
      <c r="P51">
        <f t="array" ref="P51">IsURL(Table_121215[[#This Row],[Data Source]])</f>
        <v/>
      </c>
      <c r="Q51">
        <f t="array" ref="Q51">IsURL(Table_121215[[#This Row],[Data Source]])</f>
        <v/>
      </c>
    </row>
    <row r="52" ht="15.75" customHeight="1">
      <c r="A52">
        <f>IF(Table_1[[#This Row],[Part Name]]=0,"",Table_1[[#This Row],[Part Name]])</f>
        <v/>
      </c>
      <c r="C52" s="32" t="n"/>
      <c r="J52">
        <f>LEN(TRIM(CLEAN(SUBSTITUTE(SUBSTITUTE(Table_1[[#This Row],[Sequence]],CHAR(160)," ")," ",""))))</f>
        <v/>
      </c>
      <c r="L52" s="21" t="n"/>
      <c r="M52" s="21">
        <f>IF($B52="","FALSE","TRUE")</f>
        <v/>
      </c>
      <c r="N52">
        <f t="array" ref="N52">IsURL(Table_121215[[#This Row],[Data Source]])</f>
        <v/>
      </c>
      <c r="O52">
        <f t="array" ref="O52">IsURL(Table_121215[[#This Row],[DOI]])</f>
        <v/>
      </c>
      <c r="P52">
        <f t="array" ref="P52">IsURL(Table_121215[[#This Row],[Data Source]])</f>
        <v/>
      </c>
      <c r="Q52">
        <f t="array" ref="Q52">IsURL(Table_121215[[#This Row],[Data Source]])</f>
        <v/>
      </c>
    </row>
    <row r="53" ht="15.75" customHeight="1">
      <c r="A53">
        <f>IF(Table_1[[#This Row],[Part Name]]=0,"",Table_1[[#This Row],[Part Name]])</f>
        <v/>
      </c>
      <c r="C53" s="32" t="n"/>
      <c r="J53">
        <f>LEN(TRIM(CLEAN(SUBSTITUTE(SUBSTITUTE(Table_1[[#This Row],[Sequence]],CHAR(160)," ")," ",""))))</f>
        <v/>
      </c>
      <c r="L53" s="21" t="n"/>
      <c r="M53" s="21">
        <f>IF($B53="","FALSE","TRUE")</f>
        <v/>
      </c>
      <c r="N53">
        <f t="array" ref="N53">IsURL(Table_121215[[#This Row],[Data Source]])</f>
        <v/>
      </c>
      <c r="O53">
        <f t="array" ref="O53">IsURL(Table_121215[[#This Row],[DOI]])</f>
        <v/>
      </c>
      <c r="P53">
        <f t="array" ref="P53">IsURL(Table_121215[[#This Row],[Data Source]])</f>
        <v/>
      </c>
      <c r="Q53">
        <f t="array" ref="Q53">IsURL(Table_121215[[#This Row],[Data Source]])</f>
        <v/>
      </c>
    </row>
    <row r="54" ht="15.75" customHeight="1">
      <c r="A54">
        <f>IF(Table_1[[#This Row],[Part Name]]=0,"",Table_1[[#This Row],[Part Name]])</f>
        <v/>
      </c>
      <c r="C54" s="32" t="n"/>
      <c r="J54">
        <f>LEN(TRIM(CLEAN(SUBSTITUTE(SUBSTITUTE(Table_1[[#This Row],[Sequence]],CHAR(160)," ")," ",""))))</f>
        <v/>
      </c>
      <c r="L54" s="21" t="n"/>
      <c r="M54" s="21">
        <f>IF($B54="","FALSE","TRUE")</f>
        <v/>
      </c>
      <c r="N54">
        <f t="array" ref="N54">IsURL(Table_121215[[#This Row],[Data Source]])</f>
        <v/>
      </c>
      <c r="O54">
        <f t="array" ref="O54">IsURL(Table_121215[[#This Row],[DOI]])</f>
        <v/>
      </c>
      <c r="P54">
        <f t="array" ref="P54">IsURL(Table_121215[[#This Row],[Data Source]])</f>
        <v/>
      </c>
      <c r="Q54">
        <f t="array" ref="Q54">IsURL(Table_121215[[#This Row],[Data Source]])</f>
        <v/>
      </c>
    </row>
    <row r="55" ht="15.75" customHeight="1">
      <c r="A55">
        <f>IF(Table_1[[#This Row],[Part Name]]=0,"",Table_1[[#This Row],[Part Name]])</f>
        <v/>
      </c>
      <c r="C55" s="32" t="n"/>
      <c r="J55">
        <f>LEN(TRIM(CLEAN(SUBSTITUTE(SUBSTITUTE(Table_1[[#This Row],[Sequence]],CHAR(160)," ")," ",""))))</f>
        <v/>
      </c>
      <c r="L55" s="21" t="n"/>
      <c r="M55" s="21">
        <f>IF($B55="","FALSE","TRUE")</f>
        <v/>
      </c>
      <c r="N55">
        <f t="array" ref="N55">IsURL(Table_121215[[#This Row],[Data Source]])</f>
        <v/>
      </c>
      <c r="O55">
        <f t="array" ref="O55">IsURL(Table_121215[[#This Row],[DOI]])</f>
        <v/>
      </c>
      <c r="P55">
        <f t="array" ref="P55">IsURL(Table_121215[[#This Row],[Data Source]])</f>
        <v/>
      </c>
      <c r="Q55">
        <f t="array" ref="Q55">IsURL(Table_121215[[#This Row],[Data Source]])</f>
        <v/>
      </c>
    </row>
    <row r="56" ht="15.75" customHeight="1">
      <c r="A56">
        <f>IF(Table_1[[#This Row],[Part Name]]=0,"",Table_1[[#This Row],[Part Name]])</f>
        <v/>
      </c>
      <c r="C56" s="32" t="n"/>
      <c r="J56">
        <f>LEN(TRIM(CLEAN(SUBSTITUTE(SUBSTITUTE(Table_1[[#This Row],[Sequence]],CHAR(160)," ")," ",""))))</f>
        <v/>
      </c>
      <c r="L56" s="21" t="n"/>
      <c r="M56" s="21">
        <f>IF($B56="","FALSE","TRUE")</f>
        <v/>
      </c>
      <c r="N56">
        <f t="array" ref="N56">IsURL(Table_121215[[#This Row],[Data Source]])</f>
        <v/>
      </c>
      <c r="O56">
        <f t="array" ref="O56">IsURL(Table_121215[[#This Row],[DOI]])</f>
        <v/>
      </c>
      <c r="P56">
        <f t="array" ref="P56">IsURL(Table_121215[[#This Row],[Data Source]])</f>
        <v/>
      </c>
      <c r="Q56">
        <f t="array" ref="Q56">IsURL(Table_121215[[#This Row],[Data Source]])</f>
        <v/>
      </c>
    </row>
    <row r="57" ht="15.75" customHeight="1">
      <c r="A57">
        <f>IF(Table_1[[#This Row],[Part Name]]=0,"",Table_1[[#This Row],[Part Name]])</f>
        <v/>
      </c>
      <c r="C57" s="32" t="n"/>
      <c r="J57">
        <f>LEN(TRIM(CLEAN(SUBSTITUTE(SUBSTITUTE(Table_1[[#This Row],[Sequence]],CHAR(160)," ")," ",""))))</f>
        <v/>
      </c>
      <c r="L57" s="21" t="n"/>
      <c r="M57" s="21">
        <f>IF($B57="","FALSE","TRUE")</f>
        <v/>
      </c>
      <c r="N57">
        <f t="array" ref="N57">IsURL(Table_121215[[#This Row],[Data Source]])</f>
        <v/>
      </c>
      <c r="O57">
        <f t="array" ref="O57">IsURL(Table_121215[[#This Row],[DOI]])</f>
        <v/>
      </c>
      <c r="P57">
        <f t="array" ref="P57">IsURL(Table_121215[[#This Row],[Data Source]])</f>
        <v/>
      </c>
      <c r="Q57">
        <f t="array" ref="Q57">IsURL(Table_121215[[#This Row],[Data Source]])</f>
        <v/>
      </c>
    </row>
    <row r="58" ht="15.75" customHeight="1">
      <c r="A58">
        <f>IF(Table_1[[#This Row],[Part Name]]=0,"",Table_1[[#This Row],[Part Name]])</f>
        <v/>
      </c>
      <c r="C58" s="32" t="n"/>
      <c r="J58">
        <f>LEN(TRIM(CLEAN(SUBSTITUTE(SUBSTITUTE(Table_1[[#This Row],[Sequence]],CHAR(160)," ")," ",""))))</f>
        <v/>
      </c>
      <c r="L58" s="21" t="n"/>
      <c r="M58" s="21">
        <f>IF($B58="","FALSE","TRUE")</f>
        <v/>
      </c>
      <c r="N58">
        <f t="array" ref="N58">IsURL(Table_121215[[#This Row],[Data Source]])</f>
        <v/>
      </c>
      <c r="O58">
        <f t="array" ref="O58">IsURL(Table_121215[[#This Row],[DOI]])</f>
        <v/>
      </c>
      <c r="P58">
        <f t="array" ref="P58">IsURL(Table_121215[[#This Row],[Data Source]])</f>
        <v/>
      </c>
      <c r="Q58">
        <f t="array" ref="Q58">IsURL(Table_121215[[#This Row],[Data Source]])</f>
        <v/>
      </c>
    </row>
    <row r="59" ht="15.75" customHeight="1">
      <c r="A59">
        <f>IF(Table_1[[#This Row],[Part Name]]=0,"",Table_1[[#This Row],[Part Name]])</f>
        <v/>
      </c>
      <c r="C59" s="32" t="n"/>
      <c r="J59">
        <f>LEN(TRIM(CLEAN(SUBSTITUTE(SUBSTITUTE(Table_1[[#This Row],[Sequence]],CHAR(160)," ")," ",""))))</f>
        <v/>
      </c>
      <c r="L59" s="21" t="n"/>
      <c r="M59" s="21">
        <f>IF($B59="","FALSE","TRUE")</f>
        <v/>
      </c>
      <c r="N59">
        <f t="array" ref="N59">IsURL(Table_121215[[#This Row],[Data Source]])</f>
        <v/>
      </c>
      <c r="O59">
        <f t="array" ref="O59">IsURL(Table_121215[[#This Row],[DOI]])</f>
        <v/>
      </c>
      <c r="P59">
        <f t="array" ref="P59">IsURL(Table_121215[[#This Row],[Data Source]])</f>
        <v/>
      </c>
      <c r="Q59">
        <f t="array" ref="Q59">IsURL(Table_121215[[#This Row],[Data Source]])</f>
        <v/>
      </c>
    </row>
    <row r="60" ht="15.75" customHeight="1">
      <c r="A60">
        <f>IF(Table_1[[#This Row],[Part Name]]=0,"",Table_1[[#This Row],[Part Name]])</f>
        <v/>
      </c>
      <c r="C60" s="32" t="n"/>
      <c r="J60">
        <f>LEN(TRIM(CLEAN(SUBSTITUTE(SUBSTITUTE(Table_1[[#This Row],[Sequence]],CHAR(160)," ")," ",""))))</f>
        <v/>
      </c>
      <c r="L60" s="21" t="n"/>
      <c r="M60" s="21">
        <f>IF($B60="","FALSE","TRUE")</f>
        <v/>
      </c>
      <c r="N60">
        <f t="array" ref="N60">IsURL(Table_121215[[#This Row],[Data Source]])</f>
        <v/>
      </c>
      <c r="O60">
        <f t="array" ref="O60">IsURL(Table_121215[[#This Row],[DOI]])</f>
        <v/>
      </c>
      <c r="P60">
        <f t="array" ref="P60">IsURL(Table_121215[[#This Row],[Data Source]])</f>
        <v/>
      </c>
      <c r="Q60">
        <f t="array" ref="Q60">IsURL(Table_121215[[#This Row],[Data Source]])</f>
        <v/>
      </c>
    </row>
    <row r="61" ht="15.75" customHeight="1">
      <c r="A61">
        <f>IF(Table_1[[#This Row],[Part Name]]=0,"",Table_1[[#This Row],[Part Name]])</f>
        <v/>
      </c>
      <c r="C61" s="32" t="n"/>
      <c r="J61">
        <f>LEN(TRIM(CLEAN(SUBSTITUTE(SUBSTITUTE(Table_1[[#This Row],[Sequence]],CHAR(160)," ")," ",""))))</f>
        <v/>
      </c>
      <c r="L61" s="21" t="n"/>
      <c r="M61" s="21">
        <f>IF($B61="","FALSE","TRUE")</f>
        <v/>
      </c>
      <c r="N61">
        <f t="array" ref="N61">IsURL(Table_121215[[#This Row],[Data Source]])</f>
        <v/>
      </c>
      <c r="O61">
        <f t="array" ref="O61">IsURL(Table_121215[[#This Row],[DOI]])</f>
        <v/>
      </c>
      <c r="P61">
        <f t="array" ref="P61">IsURL(Table_121215[[#This Row],[Data Source]])</f>
        <v/>
      </c>
      <c r="Q61">
        <f t="array" ref="Q61">IsURL(Table_121215[[#This Row],[Data Source]])</f>
        <v/>
      </c>
    </row>
    <row r="62" ht="15.75" customHeight="1">
      <c r="A62">
        <f>IF(Table_1[[#This Row],[Part Name]]=0,"",Table_1[[#This Row],[Part Name]])</f>
        <v/>
      </c>
      <c r="C62" s="32" t="n"/>
      <c r="J62">
        <f>LEN(TRIM(CLEAN(SUBSTITUTE(SUBSTITUTE(Table_1[[#This Row],[Sequence]],CHAR(160)," ")," ",""))))</f>
        <v/>
      </c>
      <c r="L62" s="21" t="n"/>
      <c r="M62" s="21">
        <f>IF($B62="","FALSE","TRUE")</f>
        <v/>
      </c>
      <c r="N62">
        <f t="array" ref="N62">IsURL(Table_121215[[#This Row],[Data Source]])</f>
        <v/>
      </c>
      <c r="O62">
        <f t="array" ref="O62">IsURL(Table_121215[[#This Row],[DOI]])</f>
        <v/>
      </c>
      <c r="P62">
        <f t="array" ref="P62">IsURL(Table_121215[[#This Row],[Data Source]])</f>
        <v/>
      </c>
      <c r="Q62">
        <f t="array" ref="Q62">IsURL(Table_121215[[#This Row],[Data Source]])</f>
        <v/>
      </c>
    </row>
    <row r="63" ht="15.75" customHeight="1">
      <c r="A63">
        <f>IF(Table_1[[#This Row],[Part Name]]=0,"",Table_1[[#This Row],[Part Name]])</f>
        <v/>
      </c>
      <c r="C63" s="32" t="n"/>
      <c r="J63">
        <f>LEN(TRIM(CLEAN(SUBSTITUTE(SUBSTITUTE(Table_1[[#This Row],[Sequence]],CHAR(160)," ")," ",""))))</f>
        <v/>
      </c>
      <c r="L63" s="21" t="n"/>
      <c r="M63" s="21">
        <f>IF($B63="","FALSE","TRUE")</f>
        <v/>
      </c>
      <c r="N63">
        <f t="array" ref="N63">IsURL(Table_121215[[#This Row],[Data Source]])</f>
        <v/>
      </c>
      <c r="O63">
        <f t="array" ref="O63">IsURL(Table_121215[[#This Row],[DOI]])</f>
        <v/>
      </c>
      <c r="P63">
        <f t="array" ref="P63">IsURL(Table_121215[[#This Row],[Data Source]])</f>
        <v/>
      </c>
      <c r="Q63">
        <f t="array" ref="Q63">IsURL(Table_121215[[#This Row],[Data Source]])</f>
        <v/>
      </c>
    </row>
    <row r="64" ht="15.75" customHeight="1">
      <c r="A64">
        <f>IF(Table_1[[#This Row],[Part Name]]=0,"",Table_1[[#This Row],[Part Name]])</f>
        <v/>
      </c>
      <c r="C64" s="32" t="n"/>
      <c r="J64">
        <f>LEN(TRIM(CLEAN(SUBSTITUTE(SUBSTITUTE(Table_1[[#This Row],[Sequence]],CHAR(160)," ")," ",""))))</f>
        <v/>
      </c>
      <c r="L64" s="21" t="n"/>
      <c r="M64" s="21">
        <f>IF($B64="","FALSE","TRUE")</f>
        <v/>
      </c>
      <c r="N64">
        <f t="array" ref="N64">IsURL(Table_121215[[#This Row],[Data Source]])</f>
        <v/>
      </c>
      <c r="O64">
        <f t="array" ref="O64">IsURL(Table_121215[[#This Row],[DOI]])</f>
        <v/>
      </c>
      <c r="P64">
        <f t="array" ref="P64">IsURL(Table_121215[[#This Row],[Data Source]])</f>
        <v/>
      </c>
      <c r="Q64">
        <f t="array" ref="Q64">IsURL(Table_121215[[#This Row],[Data Source]])</f>
        <v/>
      </c>
    </row>
    <row r="65" ht="15.75" customHeight="1">
      <c r="A65">
        <f>IF(Table_1[[#This Row],[Part Name]]=0,"",Table_1[[#This Row],[Part Name]])</f>
        <v/>
      </c>
      <c r="C65" s="32" t="n"/>
      <c r="J65">
        <f>LEN(TRIM(CLEAN(SUBSTITUTE(SUBSTITUTE(Table_1[[#This Row],[Sequence]],CHAR(160)," ")," ",""))))</f>
        <v/>
      </c>
      <c r="L65" s="21" t="n"/>
      <c r="M65" s="21">
        <f>IF($B65="","FALSE","TRUE")</f>
        <v/>
      </c>
      <c r="N65">
        <f t="array" ref="N65">IsURL(Table_121215[[#This Row],[Data Source]])</f>
        <v/>
      </c>
      <c r="O65">
        <f t="array" ref="O65">IsURL(Table_121215[[#This Row],[DOI]])</f>
        <v/>
      </c>
      <c r="P65">
        <f t="array" ref="P65">IsURL(Table_121215[[#This Row],[Data Source]])</f>
        <v/>
      </c>
      <c r="Q65">
        <f t="array" ref="Q65">IsURL(Table_121215[[#This Row],[Data Source]])</f>
        <v/>
      </c>
    </row>
    <row r="66" ht="15.75" customHeight="1">
      <c r="A66">
        <f>IF(Table_1[[#This Row],[Part Name]]=0,"",Table_1[[#This Row],[Part Name]])</f>
        <v/>
      </c>
      <c r="C66" s="32" t="n"/>
      <c r="J66">
        <f>LEN(TRIM(CLEAN(SUBSTITUTE(SUBSTITUTE(Table_1[[#This Row],[Sequence]],CHAR(160)," ")," ",""))))</f>
        <v/>
      </c>
      <c r="L66" s="21" t="n"/>
      <c r="M66" s="21">
        <f>IF($B66="","FALSE","TRUE")</f>
        <v/>
      </c>
      <c r="N66">
        <f t="array" ref="N66">IsURL(Table_121215[[#This Row],[Data Source]])</f>
        <v/>
      </c>
      <c r="O66">
        <f t="array" ref="O66">IsURL(Table_121215[[#This Row],[DOI]])</f>
        <v/>
      </c>
      <c r="P66">
        <f t="array" ref="P66">IsURL(Table_121215[[#This Row],[Data Source]])</f>
        <v/>
      </c>
      <c r="Q66">
        <f t="array" ref="Q66">IsURL(Table_121215[[#This Row],[Data Source]])</f>
        <v/>
      </c>
    </row>
    <row r="67" ht="15.75" customHeight="1">
      <c r="A67">
        <f>IF(Table_1[[#This Row],[Part Name]]=0,"",Table_1[[#This Row],[Part Name]])</f>
        <v/>
      </c>
      <c r="C67" s="32" t="n"/>
      <c r="J67">
        <f>LEN(TRIM(CLEAN(SUBSTITUTE(SUBSTITUTE(Table_1[[#This Row],[Sequence]],CHAR(160)," ")," ",""))))</f>
        <v/>
      </c>
      <c r="L67" s="21" t="n"/>
      <c r="M67" s="21">
        <f>IF($B67="","FALSE","TRUE")</f>
        <v/>
      </c>
      <c r="N67">
        <f t="array" ref="N67">IsURL(Table_121215[[#This Row],[Data Source]])</f>
        <v/>
      </c>
      <c r="O67">
        <f t="array" ref="O67">IsURL(Table_121215[[#This Row],[DOI]])</f>
        <v/>
      </c>
      <c r="P67">
        <f t="array" ref="P67">IsURL(Table_121215[[#This Row],[Data Source]])</f>
        <v/>
      </c>
      <c r="Q67">
        <f t="array" ref="Q67">IsURL(Table_121215[[#This Row],[Data Source]])</f>
        <v/>
      </c>
    </row>
    <row r="68" ht="15.75" customHeight="1">
      <c r="A68">
        <f>IF(Table_1[[#This Row],[Part Name]]=0,"",Table_1[[#This Row],[Part Name]])</f>
        <v/>
      </c>
      <c r="C68" s="32" t="n"/>
      <c r="J68">
        <f>LEN(TRIM(CLEAN(SUBSTITUTE(SUBSTITUTE(Table_1[[#This Row],[Sequence]],CHAR(160)," ")," ",""))))</f>
        <v/>
      </c>
      <c r="L68" s="21" t="n"/>
      <c r="M68" s="21">
        <f>IF($B68="","FALSE","TRUE")</f>
        <v/>
      </c>
      <c r="N68">
        <f t="array" ref="N68">IsURL(Table_121215[[#This Row],[Data Source]])</f>
        <v/>
      </c>
      <c r="O68">
        <f t="array" ref="O68">IsURL(Table_121215[[#This Row],[DOI]])</f>
        <v/>
      </c>
      <c r="P68">
        <f t="array" ref="P68">IsURL(Table_121215[[#This Row],[Data Source]])</f>
        <v/>
      </c>
      <c r="Q68">
        <f t="array" ref="Q68">IsURL(Table_121215[[#This Row],[Data Source]])</f>
        <v/>
      </c>
    </row>
    <row r="69" ht="15.75" customHeight="1">
      <c r="A69">
        <f>IF(Table_1[[#This Row],[Part Name]]=0,"",Table_1[[#This Row],[Part Name]])</f>
        <v/>
      </c>
      <c r="C69" s="32" t="n"/>
      <c r="J69">
        <f>LEN(TRIM(CLEAN(SUBSTITUTE(SUBSTITUTE(Table_1[[#This Row],[Sequence]],CHAR(160)," ")," ",""))))</f>
        <v/>
      </c>
      <c r="L69" s="21" t="n"/>
      <c r="M69" s="21">
        <f>IF($B69="","FALSE","TRUE")</f>
        <v/>
      </c>
      <c r="N69">
        <f t="array" ref="N69">IsURL(Table_121215[[#This Row],[Data Source]])</f>
        <v/>
      </c>
      <c r="O69">
        <f t="array" ref="O69">IsURL(Table_121215[[#This Row],[DOI]])</f>
        <v/>
      </c>
      <c r="P69">
        <f t="array" ref="P69">IsURL(Table_121215[[#This Row],[Data Source]])</f>
        <v/>
      </c>
      <c r="Q69">
        <f t="array" ref="Q69">IsURL(Table_121215[[#This Row],[Data Source]])</f>
        <v/>
      </c>
    </row>
    <row r="70" ht="15.75" customHeight="1">
      <c r="A70">
        <f>IF(Table_1[[#This Row],[Part Name]]=0,"",Table_1[[#This Row],[Part Name]])</f>
        <v/>
      </c>
      <c r="C70" s="32" t="n"/>
      <c r="J70">
        <f>LEN(TRIM(CLEAN(SUBSTITUTE(SUBSTITUTE(Table_1[[#This Row],[Sequence]],CHAR(160)," ")," ",""))))</f>
        <v/>
      </c>
      <c r="L70" s="21" t="n"/>
      <c r="M70" s="21">
        <f>IF($B70="","FALSE","TRUE")</f>
        <v/>
      </c>
      <c r="N70">
        <f t="array" ref="N70">IsURL(Table_121215[[#This Row],[Data Source]])</f>
        <v/>
      </c>
      <c r="O70">
        <f t="array" ref="O70">IsURL(Table_121215[[#This Row],[DOI]])</f>
        <v/>
      </c>
      <c r="P70">
        <f t="array" ref="P70">IsURL(Table_121215[[#This Row],[Data Source]])</f>
        <v/>
      </c>
      <c r="Q70">
        <f t="array" ref="Q70">IsURL(Table_121215[[#This Row],[Data Source]])</f>
        <v/>
      </c>
    </row>
    <row r="71" ht="15.75" customHeight="1">
      <c r="A71">
        <f>IF(Table_1[[#This Row],[Part Name]]=0,"",Table_1[[#This Row],[Part Name]])</f>
        <v/>
      </c>
      <c r="C71" s="32" t="n"/>
      <c r="J71">
        <f>LEN(TRIM(CLEAN(SUBSTITUTE(SUBSTITUTE(Table_1[[#This Row],[Sequence]],CHAR(160)," ")," ",""))))</f>
        <v/>
      </c>
      <c r="L71" s="21" t="n"/>
      <c r="M71" s="21">
        <f>IF($B71="","FALSE","TRUE")</f>
        <v/>
      </c>
      <c r="N71">
        <f t="array" ref="N71">IsURL(Table_121215[[#This Row],[Data Source]])</f>
        <v/>
      </c>
      <c r="O71">
        <f t="array" ref="O71">IsURL(Table_121215[[#This Row],[DOI]])</f>
        <v/>
      </c>
      <c r="P71">
        <f t="array" ref="P71">IsURL(Table_121215[[#This Row],[Data Source]])</f>
        <v/>
      </c>
      <c r="Q71">
        <f t="array" ref="Q71">IsURL(Table_121215[[#This Row],[Data Source]])</f>
        <v/>
      </c>
    </row>
    <row r="72" ht="15.75" customHeight="1">
      <c r="A72">
        <f>IF(Table_1[[#This Row],[Part Name]]=0,"",Table_1[[#This Row],[Part Name]])</f>
        <v/>
      </c>
      <c r="C72" s="32" t="n"/>
      <c r="J72">
        <f>LEN(TRIM(CLEAN(SUBSTITUTE(SUBSTITUTE(Table_1[[#This Row],[Sequence]],CHAR(160)," ")," ",""))))</f>
        <v/>
      </c>
      <c r="L72" s="21" t="n"/>
      <c r="M72" s="21">
        <f>IF($B72="","FALSE","TRUE")</f>
        <v/>
      </c>
      <c r="N72">
        <f t="array" ref="N72">IsURL(Table_121215[[#This Row],[Data Source]])</f>
        <v/>
      </c>
      <c r="O72">
        <f t="array" ref="O72">IsURL(Table_121215[[#This Row],[DOI]])</f>
        <v/>
      </c>
      <c r="P72">
        <f t="array" ref="P72">IsURL(Table_121215[[#This Row],[Data Source]])</f>
        <v/>
      </c>
      <c r="Q72">
        <f t="array" ref="Q72">IsURL(Table_121215[[#This Row],[Data Source]])</f>
        <v/>
      </c>
    </row>
    <row r="73" ht="15.75" customHeight="1">
      <c r="A73">
        <f>IF(Table_1[[#This Row],[Part Name]]=0,"",Table_1[[#This Row],[Part Name]])</f>
        <v/>
      </c>
      <c r="C73" s="32" t="n"/>
      <c r="J73">
        <f>LEN(TRIM(CLEAN(SUBSTITUTE(SUBSTITUTE(Table_1[[#This Row],[Sequence]],CHAR(160)," ")," ",""))))</f>
        <v/>
      </c>
      <c r="L73" s="21" t="n"/>
      <c r="M73" s="21">
        <f>IF($B73="","FALSE","TRUE")</f>
        <v/>
      </c>
      <c r="N73">
        <f t="array" ref="N73">IsURL(Table_121215[[#This Row],[Data Source]])</f>
        <v/>
      </c>
      <c r="O73">
        <f t="array" ref="O73">IsURL(Table_121215[[#This Row],[DOI]])</f>
        <v/>
      </c>
      <c r="P73">
        <f t="array" ref="P73">IsURL(Table_121215[[#This Row],[Data Source]])</f>
        <v/>
      </c>
      <c r="Q73">
        <f t="array" ref="Q73">IsURL(Table_121215[[#This Row],[Data Source]])</f>
        <v/>
      </c>
    </row>
    <row r="74" ht="15.75" customHeight="1">
      <c r="A74">
        <f>IF(Table_1[[#This Row],[Part Name]]=0,"",Table_1[[#This Row],[Part Name]])</f>
        <v/>
      </c>
      <c r="C74" s="32" t="n"/>
      <c r="J74">
        <f>LEN(TRIM(CLEAN(SUBSTITUTE(SUBSTITUTE(Table_1[[#This Row],[Sequence]],CHAR(160)," ")," ",""))))</f>
        <v/>
      </c>
      <c r="L74" s="21" t="n"/>
      <c r="M74" s="21">
        <f>IF($B74="","FALSE","TRUE")</f>
        <v/>
      </c>
      <c r="N74">
        <f t="array" ref="N74">IsURL(Table_121215[[#This Row],[Data Source]])</f>
        <v/>
      </c>
      <c r="O74">
        <f t="array" ref="O74">IsURL(Table_121215[[#This Row],[DOI]])</f>
        <v/>
      </c>
      <c r="P74">
        <f t="array" ref="P74">IsURL(Table_121215[[#This Row],[Data Source]])</f>
        <v/>
      </c>
      <c r="Q74">
        <f t="array" ref="Q74">IsURL(Table_121215[[#This Row],[Data Source]])</f>
        <v/>
      </c>
    </row>
    <row r="75" ht="15.75" customHeight="1">
      <c r="A75">
        <f>IF(Table_1[[#This Row],[Part Name]]=0,"",Table_1[[#This Row],[Part Name]])</f>
        <v/>
      </c>
      <c r="C75" s="32" t="n"/>
      <c r="J75">
        <f>LEN(TRIM(CLEAN(SUBSTITUTE(SUBSTITUTE(Table_1[[#This Row],[Sequence]],CHAR(160)," ")," ",""))))</f>
        <v/>
      </c>
      <c r="L75" s="21" t="n"/>
      <c r="M75" s="21">
        <f>IF($B75="","FALSE","TRUE")</f>
        <v/>
      </c>
      <c r="N75">
        <f t="array" ref="N75">IsURL(Table_121215[[#This Row],[Data Source]])</f>
        <v/>
      </c>
      <c r="O75">
        <f t="array" ref="O75">IsURL(Table_121215[[#This Row],[DOI]])</f>
        <v/>
      </c>
      <c r="P75">
        <f t="array" ref="P75">IsURL(Table_121215[[#This Row],[Data Source]])</f>
        <v/>
      </c>
      <c r="Q75">
        <f t="array" ref="Q75">IsURL(Table_121215[[#This Row],[Data Source]])</f>
        <v/>
      </c>
    </row>
    <row r="76" ht="15.75" customHeight="1">
      <c r="A76">
        <f>IF(Table_1[[#This Row],[Part Name]]=0,"",Table_1[[#This Row],[Part Name]])</f>
        <v/>
      </c>
      <c r="C76" s="32" t="n"/>
      <c r="J76">
        <f>LEN(TRIM(CLEAN(SUBSTITUTE(SUBSTITUTE(Table_1[[#This Row],[Sequence]],CHAR(160)," ")," ",""))))</f>
        <v/>
      </c>
      <c r="L76" s="21" t="n"/>
      <c r="M76" s="21">
        <f>IF($B76="","FALSE","TRUE")</f>
        <v/>
      </c>
      <c r="N76">
        <f t="array" ref="N76">IsURL(Table_121215[[#This Row],[Data Source]])</f>
        <v/>
      </c>
      <c r="O76">
        <f t="array" ref="O76">IsURL(Table_121215[[#This Row],[DOI]])</f>
        <v/>
      </c>
      <c r="P76">
        <f t="array" ref="P76">IsURL(Table_121215[[#This Row],[Data Source]])</f>
        <v/>
      </c>
      <c r="Q76">
        <f t="array" ref="Q76">IsURL(Table_121215[[#This Row],[Data Source]])</f>
        <v/>
      </c>
    </row>
    <row r="77" ht="15.75" customHeight="1">
      <c r="A77">
        <f>IF(Table_1[[#This Row],[Part Name]]=0,"",Table_1[[#This Row],[Part Name]])</f>
        <v/>
      </c>
      <c r="C77" s="32" t="n"/>
      <c r="J77">
        <f>LEN(TRIM(CLEAN(SUBSTITUTE(SUBSTITUTE(Table_1[[#This Row],[Sequence]],CHAR(160)," ")," ",""))))</f>
        <v/>
      </c>
      <c r="L77" s="21" t="n"/>
      <c r="M77" s="21">
        <f>IF($B77="","FALSE","TRUE")</f>
        <v/>
      </c>
      <c r="N77">
        <f t="array" ref="N77">IsURL(Table_121215[[#This Row],[Data Source]])</f>
        <v/>
      </c>
      <c r="O77">
        <f t="array" ref="O77">IsURL(Table_121215[[#This Row],[DOI]])</f>
        <v/>
      </c>
      <c r="P77">
        <f t="array" ref="P77">IsURL(Table_121215[[#This Row],[Data Source]])</f>
        <v/>
      </c>
      <c r="Q77">
        <f t="array" ref="Q77">IsURL(Table_121215[[#This Row],[Data Source]])</f>
        <v/>
      </c>
    </row>
    <row r="78" ht="15.75" customHeight="1">
      <c r="A78">
        <f>IF(Table_1[[#This Row],[Part Name]]=0,"",Table_1[[#This Row],[Part Name]])</f>
        <v/>
      </c>
      <c r="C78" s="32" t="n"/>
      <c r="J78">
        <f>LEN(TRIM(CLEAN(SUBSTITUTE(SUBSTITUTE(Table_1[[#This Row],[Sequence]],CHAR(160)," ")," ",""))))</f>
        <v/>
      </c>
      <c r="L78" s="21" t="n"/>
      <c r="M78" s="21">
        <f>IF($B78="","FALSE","TRUE")</f>
        <v/>
      </c>
      <c r="N78">
        <f t="array" ref="N78">IsURL(Table_121215[[#This Row],[Data Source]])</f>
        <v/>
      </c>
      <c r="O78">
        <f t="array" ref="O78">IsURL(Table_121215[[#This Row],[DOI]])</f>
        <v/>
      </c>
      <c r="P78">
        <f t="array" ref="P78">IsURL(Table_121215[[#This Row],[Data Source]])</f>
        <v/>
      </c>
      <c r="Q78">
        <f t="array" ref="Q78">IsURL(Table_121215[[#This Row],[Data Source]])</f>
        <v/>
      </c>
    </row>
    <row r="79" ht="15.75" customHeight="1">
      <c r="A79">
        <f>IF(Table_1[[#This Row],[Part Name]]=0,"",Table_1[[#This Row],[Part Name]])</f>
        <v/>
      </c>
      <c r="C79" s="32" t="n"/>
      <c r="J79">
        <f>LEN(TRIM(CLEAN(SUBSTITUTE(SUBSTITUTE(Table_1[[#This Row],[Sequence]],CHAR(160)," ")," ",""))))</f>
        <v/>
      </c>
      <c r="L79" s="21" t="n"/>
      <c r="M79" s="21">
        <f>IF($B79="","FALSE","TRUE")</f>
        <v/>
      </c>
      <c r="N79">
        <f t="array" ref="N79">IsURL(Table_121215[[#This Row],[Data Source]])</f>
        <v/>
      </c>
      <c r="O79">
        <f t="array" ref="O79">IsURL(Table_121215[[#This Row],[DOI]])</f>
        <v/>
      </c>
      <c r="P79">
        <f t="array" ref="P79">IsURL(Table_121215[[#This Row],[Data Source]])</f>
        <v/>
      </c>
      <c r="Q79">
        <f t="array" ref="Q79">IsURL(Table_121215[[#This Row],[Data Source]])</f>
        <v/>
      </c>
    </row>
    <row r="80" ht="15.75" customHeight="1">
      <c r="A80">
        <f>IF(Table_1[[#This Row],[Part Name]]=0,"",Table_1[[#This Row],[Part Name]])</f>
        <v/>
      </c>
      <c r="C80" s="32" t="n"/>
      <c r="J80">
        <f>LEN(TRIM(CLEAN(SUBSTITUTE(SUBSTITUTE(Table_1[[#This Row],[Sequence]],CHAR(160)," ")," ",""))))</f>
        <v/>
      </c>
      <c r="L80" s="21" t="n"/>
      <c r="M80" s="21">
        <f>IF($B80="","FALSE","TRUE")</f>
        <v/>
      </c>
      <c r="N80">
        <f t="array" ref="N80">IsURL(Table_121215[[#This Row],[Data Source]])</f>
        <v/>
      </c>
      <c r="O80">
        <f t="array" ref="O80">IsURL(Table_121215[[#This Row],[DOI]])</f>
        <v/>
      </c>
      <c r="P80">
        <f t="array" ref="P80">IsURL(Table_121215[[#This Row],[Data Source]])</f>
        <v/>
      </c>
      <c r="Q80">
        <f t="array" ref="Q80">IsURL(Table_121215[[#This Row],[Data Source]])</f>
        <v/>
      </c>
    </row>
    <row r="81" ht="15.75" customHeight="1">
      <c r="A81">
        <f>IF(Table_1[[#This Row],[Part Name]]=0,"",Table_1[[#This Row],[Part Name]])</f>
        <v/>
      </c>
      <c r="C81" s="32" t="n"/>
      <c r="J81">
        <f>LEN(TRIM(CLEAN(SUBSTITUTE(SUBSTITUTE(Table_1[[#This Row],[Sequence]],CHAR(160)," ")," ",""))))</f>
        <v/>
      </c>
      <c r="L81" s="21" t="n"/>
      <c r="M81" s="21">
        <f>IF($B81="","FALSE","TRUE")</f>
        <v/>
      </c>
      <c r="N81">
        <f t="array" ref="N81">IsURL(Table_121215[[#This Row],[Data Source]])</f>
        <v/>
      </c>
      <c r="O81">
        <f t="array" ref="O81">IsURL(Table_121215[[#This Row],[DOI]])</f>
        <v/>
      </c>
      <c r="P81">
        <f t="array" ref="P81">IsURL(Table_121215[[#This Row],[Data Source]])</f>
        <v/>
      </c>
      <c r="Q81">
        <f t="array" ref="Q81">IsURL(Table_121215[[#This Row],[Data Source]])</f>
        <v/>
      </c>
    </row>
    <row r="82" ht="15.75" customHeight="1">
      <c r="A82">
        <f>IF(Table_1[[#This Row],[Part Name]]=0,"",Table_1[[#This Row],[Part Name]])</f>
        <v/>
      </c>
      <c r="C82" s="32" t="n"/>
      <c r="J82">
        <f>LEN(TRIM(CLEAN(SUBSTITUTE(SUBSTITUTE(Table_1[[#This Row],[Sequence]],CHAR(160)," ")," ",""))))</f>
        <v/>
      </c>
      <c r="L82" s="21" t="n"/>
      <c r="M82" s="21">
        <f>IF($B82="","FALSE","TRUE")</f>
        <v/>
      </c>
      <c r="N82">
        <f t="array" ref="N82">IsURL(Table_121215[[#This Row],[Data Source]])</f>
        <v/>
      </c>
      <c r="O82">
        <f t="array" ref="O82">IsURL(Table_121215[[#This Row],[DOI]])</f>
        <v/>
      </c>
      <c r="P82">
        <f t="array" ref="P82">IsURL(Table_121215[[#This Row],[Data Source]])</f>
        <v/>
      </c>
      <c r="Q82">
        <f t="array" ref="Q82">IsURL(Table_121215[[#This Row],[Data Source]])</f>
        <v/>
      </c>
    </row>
    <row r="83" ht="15.75" customHeight="1">
      <c r="A83">
        <f>IF(Table_1[[#This Row],[Part Name]]=0,"",Table_1[[#This Row],[Part Name]])</f>
        <v/>
      </c>
      <c r="C83" s="32" t="n"/>
      <c r="J83">
        <f>LEN(TRIM(CLEAN(SUBSTITUTE(SUBSTITUTE(Table_1[[#This Row],[Sequence]],CHAR(160)," ")," ",""))))</f>
        <v/>
      </c>
      <c r="L83" s="21" t="n"/>
      <c r="M83" s="21">
        <f>IF($B83="","FALSE","TRUE")</f>
        <v/>
      </c>
      <c r="N83">
        <f t="array" ref="N83">IsURL(Table_121215[[#This Row],[Data Source]])</f>
        <v/>
      </c>
      <c r="O83">
        <f t="array" ref="O83">IsURL(Table_121215[[#This Row],[DOI]])</f>
        <v/>
      </c>
      <c r="P83">
        <f t="array" ref="P83">IsURL(Table_121215[[#This Row],[Data Source]])</f>
        <v/>
      </c>
      <c r="Q83">
        <f t="array" ref="Q83">IsURL(Table_121215[[#This Row],[Data Source]])</f>
        <v/>
      </c>
    </row>
    <row r="84" ht="15.75" customHeight="1">
      <c r="A84">
        <f>IF(Table_1[[#This Row],[Part Name]]=0,"",Table_1[[#This Row],[Part Name]])</f>
        <v/>
      </c>
      <c r="C84" s="32" t="n"/>
      <c r="J84">
        <f>LEN(TRIM(CLEAN(SUBSTITUTE(SUBSTITUTE(Table_1[[#This Row],[Sequence]],CHAR(160)," ")," ",""))))</f>
        <v/>
      </c>
      <c r="L84" s="21" t="n"/>
      <c r="M84" s="21">
        <f>IF($B84="","FALSE","TRUE")</f>
        <v/>
      </c>
      <c r="N84">
        <f t="array" ref="N84">IsURL(Table_121215[[#This Row],[Data Source]])</f>
        <v/>
      </c>
      <c r="O84">
        <f t="array" ref="O84">IsURL(Table_121215[[#This Row],[DOI]])</f>
        <v/>
      </c>
      <c r="P84">
        <f t="array" ref="P84">IsURL(Table_121215[[#This Row],[Data Source]])</f>
        <v/>
      </c>
      <c r="Q84">
        <f t="array" ref="Q84">IsURL(Table_121215[[#This Row],[Data Source]])</f>
        <v/>
      </c>
    </row>
    <row r="85" ht="15.75" customHeight="1">
      <c r="A85">
        <f>IF(Table_1[[#This Row],[Part Name]]=0,"",Table_1[[#This Row],[Part Name]])</f>
        <v/>
      </c>
      <c r="C85" s="32" t="n"/>
      <c r="J85">
        <f>LEN(TRIM(CLEAN(SUBSTITUTE(SUBSTITUTE(Table_1[[#This Row],[Sequence]],CHAR(160)," ")," ",""))))</f>
        <v/>
      </c>
      <c r="L85" s="21" t="n"/>
      <c r="M85" s="21">
        <f>IF($B85="","FALSE","TRUE")</f>
        <v/>
      </c>
      <c r="N85">
        <f t="array" ref="N85">IsURL(Table_121215[[#This Row],[Data Source]])</f>
        <v/>
      </c>
      <c r="O85">
        <f t="array" ref="O85">IsURL(Table_121215[[#This Row],[DOI]])</f>
        <v/>
      </c>
      <c r="P85">
        <f t="array" ref="P85">IsURL(Table_121215[[#This Row],[Data Source]])</f>
        <v/>
      </c>
      <c r="Q85">
        <f t="array" ref="Q85">IsURL(Table_121215[[#This Row],[Data Source]])</f>
        <v/>
      </c>
    </row>
    <row r="86" ht="15.75" customHeight="1">
      <c r="A86">
        <f>IF(Table_1[[#This Row],[Part Name]]=0,"",Table_1[[#This Row],[Part Name]])</f>
        <v/>
      </c>
      <c r="C86" s="32" t="n"/>
      <c r="J86">
        <f>LEN(TRIM(CLEAN(SUBSTITUTE(SUBSTITUTE(Table_1[[#This Row],[Sequence]],CHAR(160)," ")," ",""))))</f>
        <v/>
      </c>
      <c r="L86" s="21" t="n"/>
      <c r="M86" s="21">
        <f>IF($B86="","FALSE","TRUE")</f>
        <v/>
      </c>
      <c r="N86">
        <f t="array" ref="N86">IsURL(Table_121215[[#This Row],[Data Source]])</f>
        <v/>
      </c>
      <c r="O86">
        <f t="array" ref="O86">IsURL(Table_121215[[#This Row],[DOI]])</f>
        <v/>
      </c>
      <c r="P86">
        <f t="array" ref="P86">IsURL(Table_121215[[#This Row],[Data Source]])</f>
        <v/>
      </c>
      <c r="Q86">
        <f t="array" ref="Q86">IsURL(Table_121215[[#This Row],[Data Source]])</f>
        <v/>
      </c>
    </row>
    <row r="87" ht="15.75" customHeight="1">
      <c r="A87">
        <f>IF(Table_1[[#This Row],[Part Name]]=0,"",Table_1[[#This Row],[Part Name]])</f>
        <v/>
      </c>
      <c r="C87" s="32" t="n"/>
      <c r="J87">
        <f>LEN(TRIM(CLEAN(SUBSTITUTE(SUBSTITUTE(Table_1[[#This Row],[Sequence]],CHAR(160)," ")," ",""))))</f>
        <v/>
      </c>
      <c r="L87" s="21" t="n"/>
      <c r="M87" s="21">
        <f>IF($B87="","FALSE","TRUE")</f>
        <v/>
      </c>
      <c r="N87">
        <f t="array" ref="N87">IsURL(Table_121215[[#This Row],[Data Source]])</f>
        <v/>
      </c>
      <c r="O87">
        <f t="array" ref="O87">IsURL(Table_121215[[#This Row],[DOI]])</f>
        <v/>
      </c>
      <c r="P87">
        <f t="array" ref="P87">IsURL(Table_121215[[#This Row],[Data Source]])</f>
        <v/>
      </c>
      <c r="Q87">
        <f t="array" ref="Q87">IsURL(Table_121215[[#This Row],[Data Source]])</f>
        <v/>
      </c>
    </row>
    <row r="88" ht="15.75" customHeight="1">
      <c r="A88">
        <f>IF(Table_1[[#This Row],[Part Name]]=0,"",Table_1[[#This Row],[Part Name]])</f>
        <v/>
      </c>
      <c r="C88" s="32" t="n"/>
      <c r="J88">
        <f>LEN(TRIM(CLEAN(SUBSTITUTE(SUBSTITUTE(Table_1[[#This Row],[Sequence]],CHAR(160)," ")," ",""))))</f>
        <v/>
      </c>
      <c r="L88" s="21" t="n"/>
      <c r="M88" s="21">
        <f>IF($B88="","FALSE","TRUE")</f>
        <v/>
      </c>
      <c r="N88">
        <f t="array" ref="N88">IsURL(Table_121215[[#This Row],[Data Source]])</f>
        <v/>
      </c>
      <c r="O88">
        <f t="array" ref="O88">IsURL(Table_121215[[#This Row],[DOI]])</f>
        <v/>
      </c>
      <c r="P88">
        <f t="array" ref="P88">IsURL(Table_121215[[#This Row],[Data Source]])</f>
        <v/>
      </c>
      <c r="Q88">
        <f t="array" ref="Q88">IsURL(Table_121215[[#This Row],[Data Source]])</f>
        <v/>
      </c>
    </row>
    <row r="89" ht="15.75" customHeight="1">
      <c r="A89">
        <f>IF(Table_1[[#This Row],[Part Name]]=0,"",Table_1[[#This Row],[Part Name]])</f>
        <v/>
      </c>
      <c r="C89" s="32" t="n"/>
      <c r="J89">
        <f>LEN(TRIM(CLEAN(SUBSTITUTE(SUBSTITUTE(Table_1[[#This Row],[Sequence]],CHAR(160)," ")," ",""))))</f>
        <v/>
      </c>
      <c r="L89" s="21" t="n"/>
      <c r="M89" s="21">
        <f>IF($B89="","FALSE","TRUE")</f>
        <v/>
      </c>
      <c r="N89">
        <f t="array" ref="N89">IsURL(Table_121215[[#This Row],[Data Source]])</f>
        <v/>
      </c>
      <c r="O89">
        <f t="array" ref="O89">IsURL(Table_121215[[#This Row],[DOI]])</f>
        <v/>
      </c>
      <c r="P89">
        <f t="array" ref="P89">IsURL(Table_121215[[#This Row],[Data Source]])</f>
        <v/>
      </c>
      <c r="Q89">
        <f t="array" ref="Q89">IsURL(Table_121215[[#This Row],[Data Source]])</f>
        <v/>
      </c>
    </row>
    <row r="90" ht="15.75" customHeight="1">
      <c r="A90">
        <f>IF(Table_1[[#This Row],[Part Name]]=0,"",Table_1[[#This Row],[Part Name]])</f>
        <v/>
      </c>
      <c r="C90" s="32" t="n"/>
      <c r="J90">
        <f>LEN(TRIM(CLEAN(SUBSTITUTE(SUBSTITUTE(Table_1[[#This Row],[Sequence]],CHAR(160)," ")," ",""))))</f>
        <v/>
      </c>
      <c r="L90" s="21" t="n"/>
      <c r="M90" s="21">
        <f>IF($B90="","FALSE","TRUE")</f>
        <v/>
      </c>
      <c r="N90">
        <f t="array" ref="N90">IsURL(Table_121215[[#This Row],[Data Source]])</f>
        <v/>
      </c>
      <c r="O90">
        <f t="array" ref="O90">IsURL(Table_121215[[#This Row],[DOI]])</f>
        <v/>
      </c>
      <c r="P90">
        <f t="array" ref="P90">IsURL(Table_121215[[#This Row],[Data Source]])</f>
        <v/>
      </c>
      <c r="Q90">
        <f t="array" ref="Q90">IsURL(Table_121215[[#This Row],[Data Source]])</f>
        <v/>
      </c>
    </row>
    <row r="91" ht="15.75" customHeight="1">
      <c r="A91">
        <f>IF(Table_1[[#This Row],[Part Name]]=0,"",Table_1[[#This Row],[Part Name]])</f>
        <v/>
      </c>
      <c r="C91" s="32" t="n"/>
      <c r="J91">
        <f>LEN(TRIM(CLEAN(SUBSTITUTE(SUBSTITUTE(Table_1[[#This Row],[Sequence]],CHAR(160)," ")," ",""))))</f>
        <v/>
      </c>
      <c r="L91" s="21" t="n"/>
      <c r="M91" s="21">
        <f>IF($B91="","FALSE","TRUE")</f>
        <v/>
      </c>
      <c r="N91">
        <f t="array" ref="N91">IsURL(Table_121215[[#This Row],[Data Source]])</f>
        <v/>
      </c>
      <c r="O91">
        <f t="array" ref="O91">IsURL(Table_121215[[#This Row],[DOI]])</f>
        <v/>
      </c>
      <c r="P91">
        <f t="array" ref="P91">IsURL(Table_121215[[#This Row],[Data Source]])</f>
        <v/>
      </c>
      <c r="Q91">
        <f t="array" ref="Q91">IsURL(Table_121215[[#This Row],[Data Source]])</f>
        <v/>
      </c>
    </row>
    <row r="92" ht="15.75" customHeight="1">
      <c r="A92">
        <f>IF(Table_1[[#This Row],[Part Name]]=0,"",Table_1[[#This Row],[Part Name]])</f>
        <v/>
      </c>
      <c r="C92" s="32" t="n"/>
      <c r="J92">
        <f>LEN(TRIM(CLEAN(SUBSTITUTE(SUBSTITUTE(Table_1[[#This Row],[Sequence]],CHAR(160)," ")," ",""))))</f>
        <v/>
      </c>
      <c r="L92" s="21" t="n"/>
      <c r="M92" s="21">
        <f>IF($B92="","FALSE","TRUE")</f>
        <v/>
      </c>
      <c r="N92">
        <f t="array" ref="N92">IsURL(Table_121215[[#This Row],[Data Source]])</f>
        <v/>
      </c>
      <c r="O92">
        <f t="array" ref="O92">IsURL(Table_121215[[#This Row],[DOI]])</f>
        <v/>
      </c>
      <c r="P92">
        <f t="array" ref="P92">IsURL(Table_121215[[#This Row],[Data Source]])</f>
        <v/>
      </c>
      <c r="Q92">
        <f t="array" ref="Q92">IsURL(Table_121215[[#This Row],[Data Source]])</f>
        <v/>
      </c>
    </row>
    <row r="93" ht="15.75" customHeight="1">
      <c r="A93">
        <f>IF(Table_1[[#This Row],[Part Name]]=0,"",Table_1[[#This Row],[Part Name]])</f>
        <v/>
      </c>
      <c r="C93" s="32" t="n"/>
      <c r="J93">
        <f>LEN(TRIM(CLEAN(SUBSTITUTE(SUBSTITUTE(Table_1[[#This Row],[Sequence]],CHAR(160)," ")," ",""))))</f>
        <v/>
      </c>
      <c r="L93" s="21" t="n"/>
      <c r="M93" s="21">
        <f>IF($B93="","FALSE","TRUE")</f>
        <v/>
      </c>
      <c r="N93">
        <f t="array" ref="N93">IsURL(Table_121215[[#This Row],[Data Source]])</f>
        <v/>
      </c>
      <c r="O93">
        <f t="array" ref="O93">IsURL(Table_121215[[#This Row],[DOI]])</f>
        <v/>
      </c>
      <c r="P93">
        <f t="array" ref="P93">IsURL(Table_121215[[#This Row],[Data Source]])</f>
        <v/>
      </c>
      <c r="Q93">
        <f t="array" ref="Q93">IsURL(Table_121215[[#This Row],[Data Source]])</f>
        <v/>
      </c>
    </row>
    <row r="94" ht="15.75" customHeight="1">
      <c r="A94">
        <f>IF(Table_1[[#This Row],[Part Name]]=0,"",Table_1[[#This Row],[Part Name]])</f>
        <v/>
      </c>
      <c r="C94" s="32" t="n"/>
      <c r="J94">
        <f>LEN(TRIM(CLEAN(SUBSTITUTE(SUBSTITUTE(Table_1[[#This Row],[Sequence]],CHAR(160)," ")," ",""))))</f>
        <v/>
      </c>
      <c r="L94" s="21" t="n"/>
      <c r="M94" s="21">
        <f>IF($B94="","FALSE","TRUE")</f>
        <v/>
      </c>
      <c r="N94">
        <f t="array" ref="N94">IsURL(Table_121215[[#This Row],[Data Source]])</f>
        <v/>
      </c>
      <c r="O94">
        <f t="array" ref="O94">IsURL(Table_121215[[#This Row],[DOI]])</f>
        <v/>
      </c>
      <c r="P94">
        <f t="array" ref="P94">IsURL(Table_121215[[#This Row],[Data Source]])</f>
        <v/>
      </c>
      <c r="Q94">
        <f t="array" ref="Q94">IsURL(Table_121215[[#This Row],[Data Source]])</f>
        <v/>
      </c>
    </row>
    <row r="95" ht="15.75" customHeight="1">
      <c r="A95">
        <f>IF(Table_1[[#This Row],[Part Name]]=0,"",Table_1[[#This Row],[Part Name]])</f>
        <v/>
      </c>
      <c r="C95" s="32" t="n"/>
      <c r="J95">
        <f>LEN(TRIM(CLEAN(SUBSTITUTE(SUBSTITUTE(Table_1[[#This Row],[Sequence]],CHAR(160)," ")," ",""))))</f>
        <v/>
      </c>
      <c r="L95" s="21" t="n"/>
      <c r="M95" s="21">
        <f>IF($B95="","FALSE","TRUE")</f>
        <v/>
      </c>
      <c r="N95">
        <f t="array" ref="N95">IsURL(Table_121215[[#This Row],[Data Source]])</f>
        <v/>
      </c>
      <c r="O95">
        <f t="array" ref="O95">IsURL(Table_121215[[#This Row],[DOI]])</f>
        <v/>
      </c>
      <c r="P95">
        <f t="array" ref="P95">IsURL(Table_121215[[#This Row],[Data Source]])</f>
        <v/>
      </c>
      <c r="Q95">
        <f t="array" ref="Q95">IsURL(Table_121215[[#This Row],[Data Source]])</f>
        <v/>
      </c>
    </row>
    <row r="96" ht="15.75" customHeight="1">
      <c r="A96">
        <f>IF(Table_1[[#This Row],[Part Name]]=0,"",Table_1[[#This Row],[Part Name]])</f>
        <v/>
      </c>
      <c r="C96" s="32" t="n"/>
      <c r="J96">
        <f>LEN(TRIM(CLEAN(SUBSTITUTE(SUBSTITUTE(Table_1[[#This Row],[Sequence]],CHAR(160)," ")," ",""))))</f>
        <v/>
      </c>
      <c r="L96" s="21" t="n"/>
      <c r="M96" s="21">
        <f>IF($B96="","FALSE","TRUE")</f>
        <v/>
      </c>
      <c r="N96">
        <f t="array" ref="N96">IsURL(Table_121215[[#This Row],[Data Source]])</f>
        <v/>
      </c>
      <c r="O96">
        <f t="array" ref="O96">IsURL(Table_121215[[#This Row],[DOI]])</f>
        <v/>
      </c>
      <c r="P96">
        <f t="array" ref="P96">IsURL(Table_121215[[#This Row],[Data Source]])</f>
        <v/>
      </c>
      <c r="Q96">
        <f t="array" ref="Q96">IsURL(Table_121215[[#This Row],[Data Source]])</f>
        <v/>
      </c>
    </row>
    <row r="97" ht="15.75" customHeight="1">
      <c r="A97">
        <f>IF(Table_1[[#This Row],[Part Name]]=0,"",Table_1[[#This Row],[Part Name]])</f>
        <v/>
      </c>
      <c r="C97" s="32" t="n"/>
      <c r="J97">
        <f>LEN(TRIM(CLEAN(SUBSTITUTE(SUBSTITUTE(Table_1[[#This Row],[Sequence]],CHAR(160)," ")," ",""))))</f>
        <v/>
      </c>
      <c r="L97" s="21" t="n"/>
      <c r="M97" s="21">
        <f>IF($B97="","FALSE","TRUE")</f>
        <v/>
      </c>
      <c r="N97">
        <f t="array" ref="N97">IsURL(Table_121215[[#This Row],[Data Source]])</f>
        <v/>
      </c>
      <c r="O97">
        <f t="array" ref="O97">IsURL(Table_121215[[#This Row],[DOI]])</f>
        <v/>
      </c>
      <c r="P97">
        <f t="array" ref="P97">IsURL(Table_121215[[#This Row],[Data Source]])</f>
        <v/>
      </c>
      <c r="Q97">
        <f t="array" ref="Q97">IsURL(Table_121215[[#This Row],[Data Source]])</f>
        <v/>
      </c>
    </row>
    <row r="98" ht="15.75" customHeight="1">
      <c r="A98">
        <f>IF(Table_1[[#This Row],[Part Name]]=0,"",Table_1[[#This Row],[Part Name]])</f>
        <v/>
      </c>
      <c r="C98" s="32" t="n"/>
      <c r="J98">
        <f>LEN(TRIM(CLEAN(SUBSTITUTE(SUBSTITUTE(Table_1[[#This Row],[Sequence]],CHAR(160)," ")," ",""))))</f>
        <v/>
      </c>
      <c r="L98" s="21" t="n"/>
      <c r="M98" s="21">
        <f>IF($B98="","FALSE","TRUE")</f>
        <v/>
      </c>
      <c r="N98">
        <f t="array" ref="N98">IsURL(Table_121215[[#This Row],[Data Source]])</f>
        <v/>
      </c>
      <c r="O98">
        <f t="array" ref="O98">IsURL(Table_121215[[#This Row],[DOI]])</f>
        <v/>
      </c>
      <c r="P98">
        <f t="array" ref="P98">IsURL(Table_121215[[#This Row],[Data Source]])</f>
        <v/>
      </c>
      <c r="Q98">
        <f t="array" ref="Q98">IsURL(Table_121215[[#This Row],[Data Source]])</f>
        <v/>
      </c>
    </row>
    <row r="99" ht="15.75" customHeight="1">
      <c r="A99">
        <f>IF(Table_1[[#This Row],[Part Name]]=0,"",Table_1[[#This Row],[Part Name]])</f>
        <v/>
      </c>
      <c r="C99" s="32" t="n"/>
      <c r="J99">
        <f>LEN(TRIM(CLEAN(SUBSTITUTE(SUBSTITUTE(Table_1[[#This Row],[Sequence]],CHAR(160)," ")," ",""))))</f>
        <v/>
      </c>
      <c r="L99" s="21" t="n"/>
      <c r="M99" s="21">
        <f>IF($B99="","FALSE","TRUE")</f>
        <v/>
      </c>
      <c r="N99">
        <f t="array" ref="N99">IsURL(Table_121215[[#This Row],[Data Source]])</f>
        <v/>
      </c>
      <c r="O99">
        <f t="array" ref="O99">IsURL(Table_121215[[#This Row],[DOI]])</f>
        <v/>
      </c>
      <c r="P99">
        <f t="array" ref="P99">IsURL(Table_121215[[#This Row],[Data Source]])</f>
        <v/>
      </c>
      <c r="Q99">
        <f t="array" ref="Q99">IsURL(Table_121215[[#This Row],[Data Source]])</f>
        <v/>
      </c>
    </row>
    <row r="100" ht="15.75" customHeight="1">
      <c r="A100">
        <f>IF(Table_1[[#This Row],[Part Name]]=0,"",Table_1[[#This Row],[Part Name]])</f>
        <v/>
      </c>
      <c r="C100" s="32" t="n"/>
      <c r="J100">
        <f>LEN(TRIM(CLEAN(SUBSTITUTE(SUBSTITUTE(Table_1[[#This Row],[Sequence]],CHAR(160)," ")," ",""))))</f>
        <v/>
      </c>
      <c r="L100" s="21" t="n"/>
      <c r="M100" s="21">
        <f>IF($B100="","FALSE","TRUE")</f>
        <v/>
      </c>
      <c r="N100">
        <f t="array" ref="N100">IsURL(Table_121215[[#This Row],[Data Source]])</f>
        <v/>
      </c>
      <c r="O100">
        <f t="array" ref="O100">IsURL(Table_121215[[#This Row],[DOI]])</f>
        <v/>
      </c>
      <c r="P100">
        <f t="array" ref="P100">IsURL(Table_121215[[#This Row],[Data Source]])</f>
        <v/>
      </c>
      <c r="Q100">
        <f t="array" ref="Q100">IsURL(Table_121215[[#This Row],[Data Source]])</f>
        <v/>
      </c>
    </row>
    <row r="101" ht="15.75" customHeight="1">
      <c r="A101">
        <f>IF(Table_1[[#This Row],[Part Name]]=0,"",Table_1[[#This Row],[Part Name]])</f>
        <v/>
      </c>
      <c r="C101" s="32" t="n"/>
      <c r="J101">
        <f>LEN(TRIM(CLEAN(SUBSTITUTE(SUBSTITUTE(Table_1[[#This Row],[Sequence]],CHAR(160)," ")," ",""))))</f>
        <v/>
      </c>
      <c r="L101" s="21" t="n"/>
      <c r="M101" s="21">
        <f>IF($B101="","FALSE","TRUE")</f>
        <v/>
      </c>
      <c r="N101">
        <f t="array" ref="N101">IsURL(Table_121215[[#This Row],[Data Source]])</f>
        <v/>
      </c>
      <c r="O101">
        <f t="array" ref="O101">IsURL(Table_121215[[#This Row],[DOI]])</f>
        <v/>
      </c>
      <c r="P101">
        <f t="array" ref="P101">IsURL(Table_121215[[#This Row],[Data Source]])</f>
        <v/>
      </c>
      <c r="Q101">
        <f t="array" ref="Q101">IsURL(Table_121215[[#This Row],[Data Source]])</f>
        <v/>
      </c>
    </row>
    <row r="102" ht="15.75" customHeight="1">
      <c r="A102">
        <f>IF(Table_1[[#This Row],[Part Name]]=0,"",Table_1[[#This Row],[Part Name]])</f>
        <v/>
      </c>
      <c r="C102" s="32" t="n"/>
      <c r="J102">
        <f>LEN(TRIM(CLEAN(SUBSTITUTE(SUBSTITUTE(Table_1[[#This Row],[Sequence]],CHAR(160)," ")," ",""))))</f>
        <v/>
      </c>
      <c r="L102" s="21" t="n"/>
      <c r="M102" s="21">
        <f>IF($B102="","FALSE","TRUE")</f>
        <v/>
      </c>
      <c r="N102">
        <f t="array" ref="N102">IsURL(Table_121215[[#This Row],[Data Source]])</f>
        <v/>
      </c>
      <c r="O102">
        <f t="array" ref="O102">IsURL(Table_121215[[#This Row],[DOI]])</f>
        <v/>
      </c>
      <c r="P102">
        <f t="array" ref="P102">IsURL(Table_121215[[#This Row],[Data Source]])</f>
        <v/>
      </c>
      <c r="Q102">
        <f t="array" ref="Q102">IsURL(Table_121215[[#This Row],[Data Source]])</f>
        <v/>
      </c>
    </row>
    <row r="103" ht="15.75" customHeight="1">
      <c r="A103">
        <f>IF(Table_1[[#This Row],[Part Name]]=0,"",Table_1[[#This Row],[Part Name]])</f>
        <v/>
      </c>
      <c r="C103" s="32" t="n"/>
      <c r="J103">
        <f>LEN(TRIM(CLEAN(SUBSTITUTE(SUBSTITUTE(Table_1[[#This Row],[Sequence]],CHAR(160)," ")," ",""))))</f>
        <v/>
      </c>
      <c r="L103" s="21" t="n"/>
      <c r="M103" s="21">
        <f>IF($B103="","FALSE","TRUE")</f>
        <v/>
      </c>
      <c r="N103">
        <f t="array" ref="N103">IsURL(Table_121215[[#This Row],[Data Source]])</f>
        <v/>
      </c>
      <c r="O103">
        <f t="array" ref="O103">IsURL(Table_121215[[#This Row],[DOI]])</f>
        <v/>
      </c>
      <c r="P103">
        <f t="array" ref="P103">IsURL(Table_121215[[#This Row],[Data Source]])</f>
        <v/>
      </c>
      <c r="Q103">
        <f t="array" ref="Q103">IsURL(Table_121215[[#This Row],[Data Source]])</f>
        <v/>
      </c>
    </row>
    <row r="104" ht="15.75" customHeight="1">
      <c r="A104">
        <f>IF(Table_1[[#This Row],[Part Name]]=0,"",Table_1[[#This Row],[Part Name]])</f>
        <v/>
      </c>
      <c r="C104" s="32" t="n"/>
      <c r="J104">
        <f>LEN(TRIM(CLEAN(SUBSTITUTE(SUBSTITUTE(Table_1[[#This Row],[Sequence]],CHAR(160)," ")," ",""))))</f>
        <v/>
      </c>
      <c r="L104" s="21" t="n"/>
      <c r="M104" s="21">
        <f>IF($B104="","FALSE","TRUE")</f>
        <v/>
      </c>
      <c r="N104">
        <f t="array" ref="N104">IsURL(Table_121215[[#This Row],[Data Source]])</f>
        <v/>
      </c>
      <c r="O104">
        <f t="array" ref="O104">IsURL(Table_121215[[#This Row],[DOI]])</f>
        <v/>
      </c>
      <c r="P104">
        <f t="array" ref="P104">IsURL(Table_121215[[#This Row],[Data Source]])</f>
        <v/>
      </c>
      <c r="Q104">
        <f t="array" ref="Q104">IsURL(Table_121215[[#This Row],[Data Source]])</f>
        <v/>
      </c>
    </row>
    <row r="105" ht="15.75" customHeight="1">
      <c r="A105">
        <f>IF(Table_1[[#This Row],[Part Name]]=0,"",Table_1[[#This Row],[Part Name]])</f>
        <v/>
      </c>
      <c r="C105" s="32" t="n"/>
      <c r="J105">
        <f>LEN(TRIM(CLEAN(SUBSTITUTE(SUBSTITUTE(Table_1[[#This Row],[Sequence]],CHAR(160)," ")," ",""))))</f>
        <v/>
      </c>
      <c r="L105" s="21" t="n"/>
      <c r="M105" s="21">
        <f>IF($B105="","FALSE","TRUE")</f>
        <v/>
      </c>
      <c r="N105">
        <f t="array" ref="N105">IsURL(Table_121215[[#This Row],[Data Source]])</f>
        <v/>
      </c>
      <c r="O105">
        <f t="array" ref="O105">IsURL(Table_121215[[#This Row],[DOI]])</f>
        <v/>
      </c>
      <c r="P105">
        <f t="array" ref="P105">IsURL(Table_121215[[#This Row],[Data Source]])</f>
        <v/>
      </c>
      <c r="Q105">
        <f t="array" ref="Q105">IsURL(Table_121215[[#This Row],[Data Source]])</f>
        <v/>
      </c>
    </row>
    <row r="106" ht="15.75" customHeight="1">
      <c r="A106">
        <f>IF(Table_1[[#This Row],[Part Name]]=0,"",Table_1[[#This Row],[Part Name]])</f>
        <v/>
      </c>
      <c r="C106" s="32" t="n"/>
      <c r="J106">
        <f>LEN(TRIM(CLEAN(SUBSTITUTE(SUBSTITUTE(Table_1[[#This Row],[Sequence]],CHAR(160)," ")," ",""))))</f>
        <v/>
      </c>
      <c r="L106" s="21" t="n"/>
      <c r="M106" s="21">
        <f>IF($B106="","FALSE","TRUE")</f>
        <v/>
      </c>
      <c r="N106">
        <f t="array" ref="N106">IsURL(Table_121215[[#This Row],[Data Source]])</f>
        <v/>
      </c>
      <c r="O106">
        <f t="array" ref="O106">IsURL(Table_121215[[#This Row],[DOI]])</f>
        <v/>
      </c>
      <c r="P106">
        <f t="array" ref="P106">IsURL(Table_121215[[#This Row],[Data Source]])</f>
        <v/>
      </c>
      <c r="Q106">
        <f t="array" ref="Q106">IsURL(Table_121215[[#This Row],[Data Source]])</f>
        <v/>
      </c>
    </row>
    <row r="107" ht="15.75" customHeight="1">
      <c r="A107">
        <f>IF(Table_1[[#This Row],[Part Name]]=0,"",Table_1[[#This Row],[Part Name]])</f>
        <v/>
      </c>
      <c r="C107" s="32" t="n"/>
      <c r="J107">
        <f>LEN(TRIM(CLEAN(SUBSTITUTE(SUBSTITUTE(Table_1[[#This Row],[Sequence]],CHAR(160)," ")," ",""))))</f>
        <v/>
      </c>
      <c r="L107" s="21" t="n"/>
      <c r="M107" s="21">
        <f>IF($B107="","FALSE","TRUE")</f>
        <v/>
      </c>
      <c r="N107">
        <f t="array" ref="N107">IsURL(Table_121215[[#This Row],[Data Source]])</f>
        <v/>
      </c>
      <c r="O107">
        <f t="array" ref="O107">IsURL(Table_121215[[#This Row],[DOI]])</f>
        <v/>
      </c>
      <c r="P107">
        <f t="array" ref="P107">IsURL(Table_121215[[#This Row],[Data Source]])</f>
        <v/>
      </c>
      <c r="Q107">
        <f t="array" ref="Q107">IsURL(Table_121215[[#This Row],[Data Source]])</f>
        <v/>
      </c>
    </row>
    <row r="108" ht="15.75" customHeight="1">
      <c r="A108">
        <f>IF(Table_1[[#This Row],[Part Name]]=0,"",Table_1[[#This Row],[Part Name]])</f>
        <v/>
      </c>
      <c r="C108" s="32" t="n"/>
      <c r="J108">
        <f>LEN(TRIM(CLEAN(SUBSTITUTE(SUBSTITUTE(Table_1[[#This Row],[Sequence]],CHAR(160)," ")," ",""))))</f>
        <v/>
      </c>
      <c r="L108" s="21" t="n"/>
      <c r="M108" s="21">
        <f>IF($B108="","FALSE","TRUE")</f>
        <v/>
      </c>
      <c r="N108">
        <f t="array" ref="N108">IsURL(Table_121215[[#This Row],[Data Source]])</f>
        <v/>
      </c>
      <c r="O108">
        <f t="array" ref="O108">IsURL(Table_121215[[#This Row],[DOI]])</f>
        <v/>
      </c>
      <c r="P108">
        <f t="array" ref="P108">IsURL(Table_121215[[#This Row],[Data Source]])</f>
        <v/>
      </c>
      <c r="Q108">
        <f t="array" ref="Q108">IsURL(Table_121215[[#This Row],[Data Source]])</f>
        <v/>
      </c>
    </row>
    <row r="109" ht="15.75" customHeight="1">
      <c r="A109">
        <f>IF(Table_1[[#This Row],[Part Name]]=0,"",Table_1[[#This Row],[Part Name]])</f>
        <v/>
      </c>
      <c r="C109" s="32" t="n"/>
      <c r="J109">
        <f>LEN(TRIM(CLEAN(SUBSTITUTE(SUBSTITUTE(Table_1[[#This Row],[Sequence]],CHAR(160)," ")," ",""))))</f>
        <v/>
      </c>
      <c r="L109" s="21" t="n"/>
      <c r="M109" s="21">
        <f>IF($B109="","FALSE","TRUE")</f>
        <v/>
      </c>
      <c r="N109">
        <f t="array" ref="N109">IsURL(Table_121215[[#This Row],[Data Source]])</f>
        <v/>
      </c>
      <c r="O109">
        <f t="array" ref="O109">IsURL(Table_121215[[#This Row],[DOI]])</f>
        <v/>
      </c>
      <c r="P109">
        <f t="array" ref="P109">IsURL(Table_121215[[#This Row],[Data Source]])</f>
        <v/>
      </c>
      <c r="Q109">
        <f t="array" ref="Q109">IsURL(Table_121215[[#This Row],[Data Source]])</f>
        <v/>
      </c>
    </row>
    <row r="110" ht="15.75" customHeight="1">
      <c r="A110">
        <f>IF(Table_1[[#This Row],[Part Name]]=0,"",Table_1[[#This Row],[Part Name]])</f>
        <v/>
      </c>
      <c r="C110" s="32" t="n"/>
      <c r="J110">
        <f>LEN(TRIM(CLEAN(SUBSTITUTE(SUBSTITUTE(Table_1[[#This Row],[Sequence]],CHAR(160)," ")," ",""))))</f>
        <v/>
      </c>
      <c r="L110" s="21" t="n"/>
      <c r="M110" s="21">
        <f>IF($B110="","FALSE","TRUE")</f>
        <v/>
      </c>
      <c r="N110">
        <f t="array" ref="N110">IsURL(Table_121215[[#This Row],[Data Source]])</f>
        <v/>
      </c>
      <c r="O110">
        <f t="array" ref="O110">IsURL(Table_121215[[#This Row],[DOI]])</f>
        <v/>
      </c>
      <c r="P110">
        <f t="array" ref="P110">IsURL(Table_121215[[#This Row],[Data Source]])</f>
        <v/>
      </c>
      <c r="Q110">
        <f t="array" ref="Q110">IsURL(Table_121215[[#This Row],[Data Source]])</f>
        <v/>
      </c>
    </row>
    <row r="111" ht="15.75" customHeight="1">
      <c r="A111">
        <f>IF(Table_1[[#This Row],[Part Name]]=0,"",Table_1[[#This Row],[Part Name]])</f>
        <v/>
      </c>
      <c r="C111" s="32" t="n"/>
      <c r="J111">
        <f>LEN(TRIM(CLEAN(SUBSTITUTE(SUBSTITUTE(Table_1[[#This Row],[Sequence]],CHAR(160)," ")," ",""))))</f>
        <v/>
      </c>
      <c r="L111" s="21" t="n"/>
      <c r="M111" s="21">
        <f>IF($B111="","FALSE","TRUE")</f>
        <v/>
      </c>
      <c r="N111">
        <f t="array" ref="N111">IsURL(Table_121215[[#This Row],[Data Source]])</f>
        <v/>
      </c>
      <c r="O111">
        <f t="array" ref="O111">IsURL(Table_121215[[#This Row],[DOI]])</f>
        <v/>
      </c>
      <c r="P111">
        <f t="array" ref="P111">IsURL(Table_121215[[#This Row],[Data Source]])</f>
        <v/>
      </c>
      <c r="Q111">
        <f t="array" ref="Q111">IsURL(Table_121215[[#This Row],[Data Source]])</f>
        <v/>
      </c>
    </row>
    <row r="112" ht="15.75" customHeight="1">
      <c r="A112">
        <f>IF(Table_1[[#This Row],[Part Name]]=0,"",Table_1[[#This Row],[Part Name]])</f>
        <v/>
      </c>
      <c r="C112" s="32" t="n"/>
      <c r="J112">
        <f>LEN(TRIM(CLEAN(SUBSTITUTE(SUBSTITUTE(Table_1[[#This Row],[Sequence]],CHAR(160)," ")," ",""))))</f>
        <v/>
      </c>
      <c r="L112" s="21" t="n"/>
      <c r="M112" s="21">
        <f>IF($B112="","FALSE","TRUE")</f>
        <v/>
      </c>
      <c r="N112">
        <f t="array" ref="N112">IsURL(Table_121215[[#This Row],[Data Source]])</f>
        <v/>
      </c>
      <c r="O112">
        <f t="array" ref="O112">IsURL(Table_121215[[#This Row],[DOI]])</f>
        <v/>
      </c>
      <c r="P112">
        <f t="array" ref="P112">IsURL(Table_121215[[#This Row],[Data Source]])</f>
        <v/>
      </c>
      <c r="Q112">
        <f t="array" ref="Q112">IsURL(Table_121215[[#This Row],[Data Source]])</f>
        <v/>
      </c>
    </row>
    <row r="113" ht="15.75" customHeight="1">
      <c r="A113">
        <f>IF(Table_1[[#This Row],[Part Name]]=0,"",Table_1[[#This Row],[Part Name]])</f>
        <v/>
      </c>
      <c r="C113" s="32" t="n"/>
      <c r="J113">
        <f>LEN(TRIM(CLEAN(SUBSTITUTE(SUBSTITUTE(Table_1[[#This Row],[Sequence]],CHAR(160)," ")," ",""))))</f>
        <v/>
      </c>
      <c r="L113" s="21" t="n"/>
      <c r="M113" s="21">
        <f>IF($B113="","FALSE","TRUE")</f>
        <v/>
      </c>
      <c r="N113">
        <f t="array" ref="N113">IsURL(Table_121215[[#This Row],[Data Source]])</f>
        <v/>
      </c>
      <c r="O113">
        <f t="array" ref="O113">IsURL(Table_121215[[#This Row],[DOI]])</f>
        <v/>
      </c>
      <c r="P113">
        <f t="array" ref="P113">IsURL(Table_121215[[#This Row],[Data Source]])</f>
        <v/>
      </c>
      <c r="Q113">
        <f t="array" ref="Q113">IsURL(Table_121215[[#This Row],[Data Source]])</f>
        <v/>
      </c>
    </row>
    <row r="114" ht="15.75" customHeight="1">
      <c r="A114">
        <f>IF(Table_1[[#This Row],[Part Name]]=0,"",Table_1[[#This Row],[Part Name]])</f>
        <v/>
      </c>
      <c r="C114" s="32" t="n"/>
      <c r="J114">
        <f>LEN(TRIM(CLEAN(SUBSTITUTE(SUBSTITUTE(Table_1[[#This Row],[Sequence]],CHAR(160)," ")," ",""))))</f>
        <v/>
      </c>
      <c r="L114" s="21" t="n"/>
      <c r="M114" s="21">
        <f>IF($B114="","FALSE","TRUE")</f>
        <v/>
      </c>
      <c r="N114">
        <f t="array" ref="N114">IsURL(Table_121215[[#This Row],[Data Source]])</f>
        <v/>
      </c>
      <c r="O114">
        <f t="array" ref="O114">IsURL(Table_121215[[#This Row],[DOI]])</f>
        <v/>
      </c>
      <c r="P114">
        <f t="array" ref="P114">IsURL(Table_121215[[#This Row],[Data Source]])</f>
        <v/>
      </c>
      <c r="Q114">
        <f t="array" ref="Q114">IsURL(Table_121215[[#This Row],[Data Source]])</f>
        <v/>
      </c>
    </row>
    <row r="115" ht="15.75" customHeight="1">
      <c r="A115">
        <f>IF(Table_1[[#This Row],[Part Name]]=0,"",Table_1[[#This Row],[Part Name]])</f>
        <v/>
      </c>
      <c r="C115" s="32" t="n"/>
      <c r="J115">
        <f>LEN(TRIM(CLEAN(SUBSTITUTE(SUBSTITUTE(Table_1[[#This Row],[Sequence]],CHAR(160)," ")," ",""))))</f>
        <v/>
      </c>
      <c r="L115" s="21" t="n"/>
      <c r="M115" s="21">
        <f>IF($B115="","FALSE","TRUE")</f>
        <v/>
      </c>
      <c r="N115">
        <f t="array" ref="N115">IsURL(Table_121215[[#This Row],[Data Source]])</f>
        <v/>
      </c>
      <c r="O115">
        <f t="array" ref="O115">IsURL(Table_121215[[#This Row],[DOI]])</f>
        <v/>
      </c>
      <c r="P115">
        <f t="array" ref="P115">IsURL(Table_121215[[#This Row],[Data Source]])</f>
        <v/>
      </c>
      <c r="Q115">
        <f t="array" ref="Q115">IsURL(Table_121215[[#This Row],[Data Source]])</f>
        <v/>
      </c>
    </row>
    <row r="116" ht="15.75" customHeight="1">
      <c r="A116">
        <f>IF(Table_1[[#This Row],[Part Name]]=0,"",Table_1[[#This Row],[Part Name]])</f>
        <v/>
      </c>
      <c r="C116" s="32" t="n"/>
      <c r="J116">
        <f>LEN(TRIM(CLEAN(SUBSTITUTE(SUBSTITUTE(Table_1[[#This Row],[Sequence]],CHAR(160)," ")," ",""))))</f>
        <v/>
      </c>
      <c r="L116" s="21" t="n"/>
      <c r="M116" s="21">
        <f>IF($B116="","FALSE","TRUE")</f>
        <v/>
      </c>
      <c r="N116">
        <f t="array" ref="N116">IsURL(Table_121215[[#This Row],[Data Source]])</f>
        <v/>
      </c>
      <c r="O116">
        <f t="array" ref="O116">IsURL(Table_121215[[#This Row],[DOI]])</f>
        <v/>
      </c>
      <c r="P116">
        <f t="array" ref="P116">IsURL(Table_121215[[#This Row],[Data Source]])</f>
        <v/>
      </c>
      <c r="Q116">
        <f t="array" ref="Q116">IsURL(Table_121215[[#This Row],[Data Source]])</f>
        <v/>
      </c>
    </row>
    <row r="117" ht="15.75" customHeight="1">
      <c r="A117">
        <f>IF(Table_1[[#This Row],[Part Name]]=0,"",Table_1[[#This Row],[Part Name]])</f>
        <v/>
      </c>
      <c r="C117" s="32" t="n"/>
      <c r="J117">
        <f>LEN(TRIM(CLEAN(SUBSTITUTE(SUBSTITUTE(Table_1[[#This Row],[Sequence]],CHAR(160)," ")," ",""))))</f>
        <v/>
      </c>
      <c r="L117" s="21" t="n"/>
      <c r="M117" s="21">
        <f>IF($B117="","FALSE","TRUE")</f>
        <v/>
      </c>
      <c r="N117">
        <f t="array" ref="N117">IsURL(Table_121215[[#This Row],[Data Source]])</f>
        <v/>
      </c>
      <c r="O117">
        <f t="array" ref="O117">IsURL(Table_121215[[#This Row],[DOI]])</f>
        <v/>
      </c>
      <c r="P117">
        <f t="array" ref="P117">IsURL(Table_121215[[#This Row],[Data Source]])</f>
        <v/>
      </c>
      <c r="Q117">
        <f t="array" ref="Q117">IsURL(Table_121215[[#This Row],[Data Source]])</f>
        <v/>
      </c>
    </row>
    <row r="118" ht="15.75" customHeight="1">
      <c r="A118">
        <f>IF(Table_1[[#This Row],[Part Name]]=0,"",Table_1[[#This Row],[Part Name]])</f>
        <v/>
      </c>
      <c r="C118" s="32" t="n"/>
      <c r="J118">
        <f>LEN(TRIM(CLEAN(SUBSTITUTE(SUBSTITUTE(Table_1[[#This Row],[Sequence]],CHAR(160)," ")," ",""))))</f>
        <v/>
      </c>
      <c r="L118" s="21" t="n"/>
      <c r="M118" s="21">
        <f>IF($B118="","FALSE","TRUE")</f>
        <v/>
      </c>
      <c r="N118">
        <f t="array" ref="N118">IsURL(Table_121215[[#This Row],[Data Source]])</f>
        <v/>
      </c>
      <c r="O118">
        <f t="array" ref="O118">IsURL(Table_121215[[#This Row],[DOI]])</f>
        <v/>
      </c>
      <c r="P118">
        <f t="array" ref="P118">IsURL(Table_121215[[#This Row],[Data Source]])</f>
        <v/>
      </c>
      <c r="Q118">
        <f t="array" ref="Q118">IsURL(Table_121215[[#This Row],[Data Source]])</f>
        <v/>
      </c>
    </row>
    <row r="119" ht="15.75" customHeight="1">
      <c r="A119">
        <f>IF(Table_1[[#This Row],[Part Name]]=0,"",Table_1[[#This Row],[Part Name]])</f>
        <v/>
      </c>
      <c r="C119" s="32" t="n"/>
      <c r="J119">
        <f>LEN(TRIM(CLEAN(SUBSTITUTE(SUBSTITUTE(Table_1[[#This Row],[Sequence]],CHAR(160)," ")," ",""))))</f>
        <v/>
      </c>
      <c r="L119" s="21" t="n"/>
      <c r="M119" s="21">
        <f>IF($B119="","FALSE","TRUE")</f>
        <v/>
      </c>
      <c r="N119">
        <f t="array" ref="N119">IsURL(Table_121215[[#This Row],[Data Source]])</f>
        <v/>
      </c>
      <c r="O119">
        <f t="array" ref="O119">IsURL(Table_121215[[#This Row],[DOI]])</f>
        <v/>
      </c>
      <c r="P119">
        <f t="array" ref="P119">IsURL(Table_121215[[#This Row],[Data Source]])</f>
        <v/>
      </c>
      <c r="Q119">
        <f t="array" ref="Q119">IsURL(Table_121215[[#This Row],[Data Source]])</f>
        <v/>
      </c>
    </row>
    <row r="120" ht="15.75" customHeight="1">
      <c r="A120">
        <f>IF(Table_1[[#This Row],[Part Name]]=0,"",Table_1[[#This Row],[Part Name]])</f>
        <v/>
      </c>
      <c r="C120" s="32" t="n"/>
      <c r="J120">
        <f>LEN(TRIM(CLEAN(SUBSTITUTE(SUBSTITUTE(Table_1[[#This Row],[Sequence]],CHAR(160)," ")," ",""))))</f>
        <v/>
      </c>
      <c r="L120" s="21" t="n"/>
      <c r="M120" s="21">
        <f>IF($B120="","FALSE","TRUE")</f>
        <v/>
      </c>
      <c r="N120">
        <f t="array" ref="N120">IsURL(Table_121215[[#This Row],[Data Source]])</f>
        <v/>
      </c>
      <c r="O120">
        <f t="array" ref="O120">IsURL(Table_121215[[#This Row],[DOI]])</f>
        <v/>
      </c>
      <c r="P120">
        <f t="array" ref="P120">IsURL(Table_121215[[#This Row],[Data Source]])</f>
        <v/>
      </c>
      <c r="Q120">
        <f t="array" ref="Q120">IsURL(Table_121215[[#This Row],[Data Source]])</f>
        <v/>
      </c>
    </row>
    <row r="121" ht="15.75" customHeight="1">
      <c r="A121">
        <f>IF(Table_1[[#This Row],[Part Name]]=0,"",Table_1[[#This Row],[Part Name]])</f>
        <v/>
      </c>
      <c r="C121" s="32" t="n"/>
      <c r="J121">
        <f>LEN(TRIM(CLEAN(SUBSTITUTE(SUBSTITUTE(Table_1[[#This Row],[Sequence]],CHAR(160)," ")," ",""))))</f>
        <v/>
      </c>
      <c r="L121" s="21" t="n"/>
      <c r="M121" s="21">
        <f>IF($B121="","FALSE","TRUE")</f>
        <v/>
      </c>
      <c r="N121">
        <f t="array" ref="N121">IsURL(Table_121215[[#This Row],[Data Source]])</f>
        <v/>
      </c>
      <c r="O121">
        <f t="array" ref="O121">IsURL(Table_121215[[#This Row],[DOI]])</f>
        <v/>
      </c>
      <c r="P121">
        <f t="array" ref="P121">IsURL(Table_121215[[#This Row],[Data Source]])</f>
        <v/>
      </c>
      <c r="Q121">
        <f t="array" ref="Q121">IsURL(Table_121215[[#This Row],[Data Source]])</f>
        <v/>
      </c>
    </row>
    <row r="122" ht="15.75" customHeight="1">
      <c r="A122">
        <f>IF(Table_1[[#This Row],[Part Name]]=0,"",Table_1[[#This Row],[Part Name]])</f>
        <v/>
      </c>
      <c r="C122" s="32" t="n"/>
      <c r="J122">
        <f>LEN(TRIM(CLEAN(SUBSTITUTE(SUBSTITUTE(Table_1[[#This Row],[Sequence]],CHAR(160)," ")," ",""))))</f>
        <v/>
      </c>
      <c r="L122" s="21" t="n"/>
      <c r="M122" s="21">
        <f>IF($B122="","FALSE","TRUE")</f>
        <v/>
      </c>
      <c r="N122">
        <f t="array" ref="N122">IsURL(Table_121215[[#This Row],[Data Source]])</f>
        <v/>
      </c>
      <c r="O122">
        <f t="array" ref="O122">IsURL(Table_121215[[#This Row],[DOI]])</f>
        <v/>
      </c>
      <c r="P122">
        <f t="array" ref="P122">IsURL(Table_121215[[#This Row],[Data Source]])</f>
        <v/>
      </c>
      <c r="Q122">
        <f t="array" ref="Q122">IsURL(Table_121215[[#This Row],[Data Source]])</f>
        <v/>
      </c>
    </row>
    <row r="123" ht="15.75" customHeight="1">
      <c r="A123">
        <f>IF(Table_1[[#This Row],[Part Name]]=0,"",Table_1[[#This Row],[Part Name]])</f>
        <v/>
      </c>
      <c r="C123" s="32" t="n"/>
      <c r="J123">
        <f>LEN(TRIM(CLEAN(SUBSTITUTE(SUBSTITUTE(Table_1[[#This Row],[Sequence]],CHAR(160)," ")," ",""))))</f>
        <v/>
      </c>
      <c r="L123" s="21" t="n"/>
      <c r="M123" s="21">
        <f>IF($B123="","FALSE","TRUE")</f>
        <v/>
      </c>
      <c r="N123">
        <f t="array" ref="N123">IsURL(Table_121215[[#This Row],[Data Source]])</f>
        <v/>
      </c>
      <c r="O123">
        <f t="array" ref="O123">IsURL(Table_121215[[#This Row],[DOI]])</f>
        <v/>
      </c>
      <c r="P123">
        <f t="array" ref="P123">IsURL(Table_121215[[#This Row],[Data Source]])</f>
        <v/>
      </c>
      <c r="Q123">
        <f t="array" ref="Q123">IsURL(Table_121215[[#This Row],[Data Source]])</f>
        <v/>
      </c>
    </row>
    <row r="124" ht="15.75" customHeight="1">
      <c r="A124">
        <f>IF(Table_1[[#This Row],[Part Name]]=0,"",Table_1[[#This Row],[Part Name]])</f>
        <v/>
      </c>
      <c r="C124" s="32" t="n"/>
      <c r="J124">
        <f>LEN(TRIM(CLEAN(SUBSTITUTE(SUBSTITUTE(Table_1[[#This Row],[Sequence]],CHAR(160)," ")," ",""))))</f>
        <v/>
      </c>
      <c r="L124" s="21" t="n"/>
      <c r="M124" s="21">
        <f>IF($B124="","FALSE","TRUE")</f>
        <v/>
      </c>
      <c r="N124">
        <f t="array" ref="N124">IsURL(Table_121215[[#This Row],[Data Source]])</f>
        <v/>
      </c>
      <c r="O124">
        <f t="array" ref="O124">IsURL(Table_121215[[#This Row],[DOI]])</f>
        <v/>
      </c>
      <c r="P124">
        <f t="array" ref="P124">IsURL(Table_121215[[#This Row],[Data Source]])</f>
        <v/>
      </c>
      <c r="Q124">
        <f t="array" ref="Q124">IsURL(Table_121215[[#This Row],[Data Source]])</f>
        <v/>
      </c>
    </row>
    <row r="125" ht="15.75" customHeight="1">
      <c r="A125">
        <f>IF(Table_1[[#This Row],[Part Name]]=0,"",Table_1[[#This Row],[Part Name]])</f>
        <v/>
      </c>
      <c r="C125" s="32" t="n"/>
      <c r="J125">
        <f>LEN(TRIM(CLEAN(SUBSTITUTE(SUBSTITUTE(Table_1[[#This Row],[Sequence]],CHAR(160)," ")," ",""))))</f>
        <v/>
      </c>
      <c r="L125" s="21" t="n"/>
      <c r="M125" s="21">
        <f>IF($B125="","FALSE","TRUE")</f>
        <v/>
      </c>
      <c r="N125">
        <f t="array" ref="N125">IsURL(Table_121215[[#This Row],[Data Source]])</f>
        <v/>
      </c>
      <c r="O125">
        <f t="array" ref="O125">IsURL(Table_121215[[#This Row],[DOI]])</f>
        <v/>
      </c>
      <c r="P125">
        <f t="array" ref="P125">IsURL(Table_121215[[#This Row],[Data Source]])</f>
        <v/>
      </c>
      <c r="Q125">
        <f t="array" ref="Q125">IsURL(Table_121215[[#This Row],[Data Source]])</f>
        <v/>
      </c>
    </row>
    <row r="126" ht="15.75" customHeight="1">
      <c r="A126">
        <f>IF(Table_1[[#This Row],[Part Name]]=0,"",Table_1[[#This Row],[Part Name]])</f>
        <v/>
      </c>
      <c r="C126" s="32" t="n"/>
      <c r="J126">
        <f>LEN(TRIM(CLEAN(SUBSTITUTE(SUBSTITUTE(Table_1[[#This Row],[Sequence]],CHAR(160)," ")," ",""))))</f>
        <v/>
      </c>
      <c r="L126" s="21" t="n"/>
      <c r="M126" s="21">
        <f>IF($B126="","FALSE","TRUE")</f>
        <v/>
      </c>
      <c r="N126">
        <f t="array" ref="N126">IsURL(Table_121215[[#This Row],[Data Source]])</f>
        <v/>
      </c>
      <c r="O126">
        <f t="array" ref="O126">IsURL(Table_121215[[#This Row],[DOI]])</f>
        <v/>
      </c>
      <c r="P126">
        <f t="array" ref="P126">IsURL(Table_121215[[#This Row],[Data Source]])</f>
        <v/>
      </c>
      <c r="Q126">
        <f t="array" ref="Q126">IsURL(Table_121215[[#This Row],[Data Source]])</f>
        <v/>
      </c>
    </row>
    <row r="127" ht="15.75" customHeight="1">
      <c r="A127">
        <f>IF(Table_1[[#This Row],[Part Name]]=0,"",Table_1[[#This Row],[Part Name]])</f>
        <v/>
      </c>
      <c r="C127" s="32" t="n"/>
      <c r="J127">
        <f>LEN(TRIM(CLEAN(SUBSTITUTE(SUBSTITUTE(Table_1[[#This Row],[Sequence]],CHAR(160)," ")," ",""))))</f>
        <v/>
      </c>
      <c r="L127" s="21" t="n"/>
      <c r="M127" s="21">
        <f>IF($B127="","FALSE","TRUE")</f>
        <v/>
      </c>
      <c r="N127">
        <f t="array" ref="N127">IsURL(Table_121215[[#This Row],[Data Source]])</f>
        <v/>
      </c>
      <c r="O127">
        <f t="array" ref="O127">IsURL(Table_121215[[#This Row],[DOI]])</f>
        <v/>
      </c>
      <c r="P127">
        <f t="array" ref="P127">IsURL(Table_121215[[#This Row],[Data Source]])</f>
        <v/>
      </c>
      <c r="Q127">
        <f t="array" ref="Q127">IsURL(Table_121215[[#This Row],[Data Source]])</f>
        <v/>
      </c>
    </row>
    <row r="128" ht="15.75" customHeight="1">
      <c r="A128">
        <f>IF(Table_1[[#This Row],[Part Name]]=0,"",Table_1[[#This Row],[Part Name]])</f>
        <v/>
      </c>
      <c r="C128" s="32" t="n"/>
      <c r="J128">
        <f>LEN(TRIM(CLEAN(SUBSTITUTE(SUBSTITUTE(Table_1[[#This Row],[Sequence]],CHAR(160)," ")," ",""))))</f>
        <v/>
      </c>
      <c r="L128" s="21" t="n"/>
      <c r="M128" s="21">
        <f>IF($B128="","FALSE","TRUE")</f>
        <v/>
      </c>
      <c r="N128">
        <f t="array" ref="N128">IsURL(Table_121215[[#This Row],[Data Source]])</f>
        <v/>
      </c>
      <c r="O128">
        <f t="array" ref="O128">IsURL(Table_121215[[#This Row],[DOI]])</f>
        <v/>
      </c>
      <c r="P128">
        <f t="array" ref="P128">IsURL(Table_121215[[#This Row],[Data Source]])</f>
        <v/>
      </c>
      <c r="Q128">
        <f t="array" ref="Q128">IsURL(Table_121215[[#This Row],[Data Source]])</f>
        <v/>
      </c>
    </row>
    <row r="129" ht="15.75" customHeight="1">
      <c r="A129">
        <f>IF(Table_1[[#This Row],[Part Name]]=0,"",Table_1[[#This Row],[Part Name]])</f>
        <v/>
      </c>
      <c r="C129" s="32" t="n"/>
      <c r="J129">
        <f>LEN(TRIM(CLEAN(SUBSTITUTE(SUBSTITUTE(Table_1[[#This Row],[Sequence]],CHAR(160)," ")," ",""))))</f>
        <v/>
      </c>
      <c r="L129" s="21" t="n"/>
      <c r="M129" s="21">
        <f>IF($B129="","FALSE","TRUE")</f>
        <v/>
      </c>
      <c r="N129">
        <f t="array" ref="N129">IsURL(Table_121215[[#This Row],[Data Source]])</f>
        <v/>
      </c>
      <c r="O129">
        <f t="array" ref="O129">IsURL(Table_121215[[#This Row],[DOI]])</f>
        <v/>
      </c>
      <c r="P129">
        <f t="array" ref="P129">IsURL(Table_121215[[#This Row],[Data Source]])</f>
        <v/>
      </c>
      <c r="Q129">
        <f t="array" ref="Q129">IsURL(Table_121215[[#This Row],[Data Source]])</f>
        <v/>
      </c>
    </row>
    <row r="130" ht="15.75" customHeight="1">
      <c r="A130">
        <f>IF(Table_1[[#This Row],[Part Name]]=0,"",Table_1[[#This Row],[Part Name]])</f>
        <v/>
      </c>
      <c r="C130" s="32" t="n"/>
      <c r="J130">
        <f>LEN(TRIM(CLEAN(SUBSTITUTE(SUBSTITUTE(Table_1[[#This Row],[Sequence]],CHAR(160)," ")," ",""))))</f>
        <v/>
      </c>
      <c r="L130" s="21" t="n"/>
      <c r="M130" s="21">
        <f>IF($B130="","FALSE","TRUE")</f>
        <v/>
      </c>
      <c r="N130">
        <f t="array" ref="N130">IsURL(Table_121215[[#This Row],[Data Source]])</f>
        <v/>
      </c>
      <c r="O130">
        <f t="array" ref="O130">IsURL(Table_121215[[#This Row],[DOI]])</f>
        <v/>
      </c>
      <c r="P130">
        <f t="array" ref="P130">IsURL(Table_121215[[#This Row],[Data Source]])</f>
        <v/>
      </c>
      <c r="Q130">
        <f t="array" ref="Q130">IsURL(Table_121215[[#This Row],[Data Source]])</f>
        <v/>
      </c>
    </row>
    <row r="131" ht="15.75" customHeight="1">
      <c r="A131">
        <f>IF(Table_1[[#This Row],[Part Name]]=0,"",Table_1[[#This Row],[Part Name]])</f>
        <v/>
      </c>
      <c r="C131" s="32" t="n"/>
      <c r="J131">
        <f>LEN(TRIM(CLEAN(SUBSTITUTE(SUBSTITUTE(Table_1[[#This Row],[Sequence]],CHAR(160)," ")," ",""))))</f>
        <v/>
      </c>
      <c r="L131" s="21" t="n"/>
      <c r="M131" s="21">
        <f>IF($B131="","FALSE","TRUE")</f>
        <v/>
      </c>
      <c r="N131">
        <f t="array" ref="N131">IsURL(Table_121215[[#This Row],[Data Source]])</f>
        <v/>
      </c>
      <c r="O131">
        <f t="array" ref="O131">IsURL(Table_121215[[#This Row],[DOI]])</f>
        <v/>
      </c>
      <c r="P131">
        <f t="array" ref="P131">IsURL(Table_121215[[#This Row],[Data Source]])</f>
        <v/>
      </c>
      <c r="Q131">
        <f t="array" ref="Q131">IsURL(Table_121215[[#This Row],[Data Source]])</f>
        <v/>
      </c>
    </row>
    <row r="132" ht="15.75" customHeight="1">
      <c r="A132">
        <f>IF(Table_1[[#This Row],[Part Name]]=0,"",Table_1[[#This Row],[Part Name]])</f>
        <v/>
      </c>
      <c r="C132" s="32" t="n"/>
      <c r="J132">
        <f>LEN(TRIM(CLEAN(SUBSTITUTE(SUBSTITUTE(Table_1[[#This Row],[Sequence]],CHAR(160)," ")," ",""))))</f>
        <v/>
      </c>
      <c r="L132" s="21" t="n"/>
      <c r="M132" s="21">
        <f>IF($B132="","FALSE","TRUE")</f>
        <v/>
      </c>
      <c r="N132">
        <f t="array" ref="N132">IsURL(Table_121215[[#This Row],[Data Source]])</f>
        <v/>
      </c>
      <c r="O132">
        <f t="array" ref="O132">IsURL(Table_121215[[#This Row],[DOI]])</f>
        <v/>
      </c>
      <c r="P132">
        <f t="array" ref="P132">IsURL(Table_121215[[#This Row],[Data Source]])</f>
        <v/>
      </c>
      <c r="Q132">
        <f t="array" ref="Q132">IsURL(Table_121215[[#This Row],[Data Source]])</f>
        <v/>
      </c>
    </row>
    <row r="133" ht="15.75" customHeight="1">
      <c r="A133">
        <f>IF(Table_1[[#This Row],[Part Name]]=0,"",Table_1[[#This Row],[Part Name]])</f>
        <v/>
      </c>
      <c r="C133" s="32" t="n"/>
      <c r="J133">
        <f>LEN(TRIM(CLEAN(SUBSTITUTE(SUBSTITUTE(Table_1[[#This Row],[Sequence]],CHAR(160)," ")," ",""))))</f>
        <v/>
      </c>
      <c r="L133" s="21" t="n"/>
      <c r="M133" s="21">
        <f>IF($B133="","FALSE","TRUE")</f>
        <v/>
      </c>
      <c r="N133">
        <f t="array" ref="N133">IsURL(Table_121215[[#This Row],[Data Source]])</f>
        <v/>
      </c>
      <c r="O133">
        <f t="array" ref="O133">IsURL(Table_121215[[#This Row],[DOI]])</f>
        <v/>
      </c>
      <c r="P133">
        <f t="array" ref="P133">IsURL(Table_121215[[#This Row],[Data Source]])</f>
        <v/>
      </c>
      <c r="Q133">
        <f t="array" ref="Q133">IsURL(Table_121215[[#This Row],[Data Source]])</f>
        <v/>
      </c>
    </row>
    <row r="134" ht="15.75" customHeight="1">
      <c r="A134">
        <f>IF(Table_1[[#This Row],[Part Name]]=0,"",Table_1[[#This Row],[Part Name]])</f>
        <v/>
      </c>
      <c r="C134" s="32" t="n"/>
      <c r="J134">
        <f>LEN(TRIM(CLEAN(SUBSTITUTE(SUBSTITUTE(Table_1[[#This Row],[Sequence]],CHAR(160)," ")," ",""))))</f>
        <v/>
      </c>
      <c r="L134" s="21" t="n"/>
      <c r="M134" s="21">
        <f>IF($B134="","FALSE","TRUE")</f>
        <v/>
      </c>
      <c r="N134">
        <f t="array" ref="N134">IsURL(Table_121215[[#This Row],[Data Source]])</f>
        <v/>
      </c>
      <c r="O134">
        <f t="array" ref="O134">IsURL(Table_121215[[#This Row],[DOI]])</f>
        <v/>
      </c>
      <c r="P134">
        <f t="array" ref="P134">IsURL(Table_121215[[#This Row],[Data Source]])</f>
        <v/>
      </c>
      <c r="Q134">
        <f t="array" ref="Q134">IsURL(Table_121215[[#This Row],[Data Source]])</f>
        <v/>
      </c>
    </row>
    <row r="135" ht="15.75" customHeight="1">
      <c r="A135">
        <f>IF(Table_1[[#This Row],[Part Name]]=0,"",Table_1[[#This Row],[Part Name]])</f>
        <v/>
      </c>
      <c r="C135" s="32" t="n"/>
      <c r="J135">
        <f>LEN(TRIM(CLEAN(SUBSTITUTE(SUBSTITUTE(Table_1[[#This Row],[Sequence]],CHAR(160)," ")," ",""))))</f>
        <v/>
      </c>
      <c r="L135" s="21" t="n"/>
      <c r="M135" s="21">
        <f>IF($B135="","FALSE","TRUE")</f>
        <v/>
      </c>
      <c r="N135">
        <f t="array" ref="N135">IsURL(Table_121215[[#This Row],[Data Source]])</f>
        <v/>
      </c>
      <c r="O135">
        <f t="array" ref="O135">IsURL(Table_121215[[#This Row],[DOI]])</f>
        <v/>
      </c>
      <c r="P135">
        <f t="array" ref="P135">IsURL(Table_121215[[#This Row],[Data Source]])</f>
        <v/>
      </c>
      <c r="Q135">
        <f t="array" ref="Q135">IsURL(Table_121215[[#This Row],[Data Source]])</f>
        <v/>
      </c>
    </row>
    <row r="136" ht="15.75" customHeight="1">
      <c r="A136">
        <f>IF(Table_1[[#This Row],[Part Name]]=0,"",Table_1[[#This Row],[Part Name]])</f>
        <v/>
      </c>
      <c r="C136" s="32" t="n"/>
      <c r="J136">
        <f>LEN(TRIM(CLEAN(SUBSTITUTE(SUBSTITUTE(Table_1[[#This Row],[Sequence]],CHAR(160)," ")," ",""))))</f>
        <v/>
      </c>
      <c r="L136" s="21" t="n"/>
      <c r="M136" s="21">
        <f>IF($B136="","FALSE","TRUE")</f>
        <v/>
      </c>
      <c r="N136">
        <f t="array" ref="N136">IsURL(Table_121215[[#This Row],[Data Source]])</f>
        <v/>
      </c>
      <c r="O136">
        <f t="array" ref="O136">IsURL(Table_121215[[#This Row],[DOI]])</f>
        <v/>
      </c>
      <c r="P136">
        <f t="array" ref="P136">IsURL(Table_121215[[#This Row],[Data Source]])</f>
        <v/>
      </c>
      <c r="Q136">
        <f t="array" ref="Q136">IsURL(Table_121215[[#This Row],[Data Source]])</f>
        <v/>
      </c>
    </row>
    <row r="137" ht="15.75" customHeight="1">
      <c r="A137">
        <f>IF(Table_1[[#This Row],[Part Name]]=0,"",Table_1[[#This Row],[Part Name]])</f>
        <v/>
      </c>
      <c r="C137" s="32" t="n"/>
      <c r="J137">
        <f>LEN(TRIM(CLEAN(SUBSTITUTE(SUBSTITUTE(Table_1[[#This Row],[Sequence]],CHAR(160)," ")," ",""))))</f>
        <v/>
      </c>
      <c r="L137" s="21" t="n"/>
      <c r="M137" s="21">
        <f>IF($B137="","FALSE","TRUE")</f>
        <v/>
      </c>
      <c r="N137">
        <f t="array" ref="N137">IsURL(Table_121215[[#This Row],[Data Source]])</f>
        <v/>
      </c>
      <c r="O137">
        <f t="array" ref="O137">IsURL(Table_121215[[#This Row],[DOI]])</f>
        <v/>
      </c>
      <c r="P137">
        <f t="array" ref="P137">IsURL(Table_121215[[#This Row],[Data Source]])</f>
        <v/>
      </c>
      <c r="Q137">
        <f t="array" ref="Q137">IsURL(Table_121215[[#This Row],[Data Source]])</f>
        <v/>
      </c>
    </row>
    <row r="138" ht="15.75" customHeight="1">
      <c r="A138">
        <f>IF(Table_1[[#This Row],[Part Name]]=0,"",Table_1[[#This Row],[Part Name]])</f>
        <v/>
      </c>
      <c r="C138" s="32" t="n"/>
      <c r="J138">
        <f>LEN(TRIM(CLEAN(SUBSTITUTE(SUBSTITUTE(Table_1[[#This Row],[Sequence]],CHAR(160)," ")," ",""))))</f>
        <v/>
      </c>
      <c r="L138" s="21" t="n"/>
      <c r="M138" s="21">
        <f>IF($B138="","FALSE","TRUE")</f>
        <v/>
      </c>
      <c r="N138">
        <f t="array" ref="N138">IsURL(Table_121215[[#This Row],[Data Source]])</f>
        <v/>
      </c>
      <c r="O138">
        <f t="array" ref="O138">IsURL(Table_121215[[#This Row],[DOI]])</f>
        <v/>
      </c>
      <c r="P138">
        <f t="array" ref="P138">IsURL(Table_121215[[#This Row],[Data Source]])</f>
        <v/>
      </c>
      <c r="Q138">
        <f t="array" ref="Q138">IsURL(Table_121215[[#This Row],[Data Source]])</f>
        <v/>
      </c>
    </row>
    <row r="139" ht="15.75" customHeight="1">
      <c r="A139">
        <f>IF(Table_1[[#This Row],[Part Name]]=0,"",Table_1[[#This Row],[Part Name]])</f>
        <v/>
      </c>
      <c r="C139" s="32" t="n"/>
      <c r="J139">
        <f>LEN(TRIM(CLEAN(SUBSTITUTE(SUBSTITUTE(Table_1[[#This Row],[Sequence]],CHAR(160)," ")," ",""))))</f>
        <v/>
      </c>
      <c r="L139" s="21" t="n"/>
      <c r="M139" s="21">
        <f>IF($B139="","FALSE","TRUE")</f>
        <v/>
      </c>
      <c r="N139">
        <f t="array" ref="N139">IsURL(Table_121215[[#This Row],[Data Source]])</f>
        <v/>
      </c>
      <c r="O139">
        <f t="array" ref="O139">IsURL(Table_121215[[#This Row],[DOI]])</f>
        <v/>
      </c>
      <c r="P139">
        <f t="array" ref="P139">IsURL(Table_121215[[#This Row],[Data Source]])</f>
        <v/>
      </c>
      <c r="Q139">
        <f t="array" ref="Q139">IsURL(Table_121215[[#This Row],[Data Source]])</f>
        <v/>
      </c>
    </row>
    <row r="140" ht="15.75" customHeight="1">
      <c r="A140">
        <f>IF(Table_1[[#This Row],[Part Name]]=0,"",Table_1[[#This Row],[Part Name]])</f>
        <v/>
      </c>
      <c r="C140" s="32" t="n"/>
      <c r="J140">
        <f>LEN(TRIM(CLEAN(SUBSTITUTE(SUBSTITUTE(Table_1[[#This Row],[Sequence]],CHAR(160)," ")," ",""))))</f>
        <v/>
      </c>
      <c r="L140" s="21" t="n"/>
      <c r="M140" s="21">
        <f>IF($B140="","FALSE","TRUE")</f>
        <v/>
      </c>
      <c r="N140">
        <f t="array" ref="N140">IsURL(Table_121215[[#This Row],[Data Source]])</f>
        <v/>
      </c>
      <c r="O140">
        <f t="array" ref="O140">IsURL(Table_121215[[#This Row],[DOI]])</f>
        <v/>
      </c>
      <c r="P140">
        <f t="array" ref="P140">IsURL(Table_121215[[#This Row],[Data Source]])</f>
        <v/>
      </c>
      <c r="Q140">
        <f t="array" ref="Q140">IsURL(Table_121215[[#This Row],[Data Source]])</f>
        <v/>
      </c>
    </row>
    <row r="141" ht="15.75" customHeight="1">
      <c r="A141">
        <f>IF(Table_1[[#This Row],[Part Name]]=0,"",Table_1[[#This Row],[Part Name]])</f>
        <v/>
      </c>
      <c r="C141" s="32" t="n"/>
      <c r="J141">
        <f>LEN(TRIM(CLEAN(SUBSTITUTE(SUBSTITUTE(Table_1[[#This Row],[Sequence]],CHAR(160)," ")," ",""))))</f>
        <v/>
      </c>
      <c r="L141" s="21" t="n"/>
      <c r="M141" s="21">
        <f>IF($B141="","FALSE","TRUE")</f>
        <v/>
      </c>
      <c r="N141">
        <f t="array" ref="N141">IsURL(Table_121215[[#This Row],[Data Source]])</f>
        <v/>
      </c>
      <c r="O141">
        <f t="array" ref="O141">IsURL(Table_121215[[#This Row],[DOI]])</f>
        <v/>
      </c>
      <c r="P141">
        <f t="array" ref="P141">IsURL(Table_121215[[#This Row],[Data Source]])</f>
        <v/>
      </c>
      <c r="Q141">
        <f t="array" ref="Q141">IsURL(Table_121215[[#This Row],[Data Source]])</f>
        <v/>
      </c>
    </row>
    <row r="142" ht="15.75" customHeight="1">
      <c r="A142">
        <f>IF(Table_1[[#This Row],[Part Name]]=0,"",Table_1[[#This Row],[Part Name]])</f>
        <v/>
      </c>
      <c r="C142" s="32" t="n"/>
      <c r="J142">
        <f>LEN(TRIM(CLEAN(SUBSTITUTE(SUBSTITUTE(Table_1[[#This Row],[Sequence]],CHAR(160)," ")," ",""))))</f>
        <v/>
      </c>
      <c r="L142" s="21" t="n"/>
      <c r="M142" s="21">
        <f>IF($B142="","FALSE","TRUE")</f>
        <v/>
      </c>
      <c r="N142">
        <f t="array" ref="N142">IsURL(Table_121215[[#This Row],[Data Source]])</f>
        <v/>
      </c>
      <c r="O142">
        <f t="array" ref="O142">IsURL(Table_121215[[#This Row],[DOI]])</f>
        <v/>
      </c>
      <c r="P142">
        <f t="array" ref="P142">IsURL(Table_121215[[#This Row],[Data Source]])</f>
        <v/>
      </c>
      <c r="Q142">
        <f t="array" ref="Q142">IsURL(Table_121215[[#This Row],[Data Source]])</f>
        <v/>
      </c>
    </row>
    <row r="143" ht="15.75" customHeight="1">
      <c r="A143">
        <f>IF(Table_1[[#This Row],[Part Name]]=0,"",Table_1[[#This Row],[Part Name]])</f>
        <v/>
      </c>
      <c r="C143" s="32" t="n"/>
      <c r="J143">
        <f>LEN(TRIM(CLEAN(SUBSTITUTE(SUBSTITUTE(Table_1[[#This Row],[Sequence]],CHAR(160)," ")," ",""))))</f>
        <v/>
      </c>
      <c r="L143" s="21" t="n"/>
      <c r="M143" s="21">
        <f>IF($B143="","FALSE","TRUE")</f>
        <v/>
      </c>
      <c r="N143">
        <f t="array" ref="N143">IsURL(Table_121215[[#This Row],[Data Source]])</f>
        <v/>
      </c>
      <c r="O143">
        <f t="array" ref="O143">IsURL(Table_121215[[#This Row],[DOI]])</f>
        <v/>
      </c>
      <c r="P143">
        <f t="array" ref="P143">IsURL(Table_121215[[#This Row],[Data Source]])</f>
        <v/>
      </c>
      <c r="Q143">
        <f t="array" ref="Q143">IsURL(Table_121215[[#This Row],[Data Source]])</f>
        <v/>
      </c>
    </row>
    <row r="144" ht="15.75" customHeight="1">
      <c r="A144">
        <f>IF(Table_1[[#This Row],[Part Name]]=0,"",Table_1[[#This Row],[Part Name]])</f>
        <v/>
      </c>
      <c r="C144" s="32" t="n"/>
      <c r="J144">
        <f>LEN(TRIM(CLEAN(SUBSTITUTE(SUBSTITUTE(Table_1[[#This Row],[Sequence]],CHAR(160)," ")," ",""))))</f>
        <v/>
      </c>
      <c r="L144" s="21" t="n"/>
      <c r="M144" s="21">
        <f>IF($B144="","FALSE","TRUE")</f>
        <v/>
      </c>
      <c r="N144">
        <f t="array" ref="N144">IsURL(Table_121215[[#This Row],[Data Source]])</f>
        <v/>
      </c>
      <c r="O144">
        <f t="array" ref="O144">IsURL(Table_121215[[#This Row],[DOI]])</f>
        <v/>
      </c>
      <c r="P144">
        <f t="array" ref="P144">IsURL(Table_121215[[#This Row],[Data Source]])</f>
        <v/>
      </c>
      <c r="Q144">
        <f t="array" ref="Q144">IsURL(Table_121215[[#This Row],[Data Source]])</f>
        <v/>
      </c>
    </row>
    <row r="145" ht="15.75" customHeight="1">
      <c r="A145">
        <f>IF(Table_1[[#This Row],[Part Name]]=0,"",Table_1[[#This Row],[Part Name]])</f>
        <v/>
      </c>
      <c r="C145" s="32" t="n"/>
      <c r="J145">
        <f>LEN(TRIM(CLEAN(SUBSTITUTE(SUBSTITUTE(Table_1[[#This Row],[Sequence]],CHAR(160)," ")," ",""))))</f>
        <v/>
      </c>
      <c r="L145" s="21" t="n"/>
      <c r="M145" s="21">
        <f>IF($B145="","FALSE","TRUE")</f>
        <v/>
      </c>
      <c r="N145">
        <f t="array" ref="N145">IsURL(Table_121215[[#This Row],[Data Source]])</f>
        <v/>
      </c>
      <c r="O145">
        <f t="array" ref="O145">IsURL(Table_121215[[#This Row],[DOI]])</f>
        <v/>
      </c>
      <c r="P145">
        <f t="array" ref="P145">IsURL(Table_121215[[#This Row],[Data Source]])</f>
        <v/>
      </c>
      <c r="Q145">
        <f t="array" ref="Q145">IsURL(Table_121215[[#This Row],[Data Source]])</f>
        <v/>
      </c>
    </row>
    <row r="146" ht="15.75" customHeight="1">
      <c r="A146">
        <f>IF(Table_1[[#This Row],[Part Name]]=0,"",Table_1[[#This Row],[Part Name]])</f>
        <v/>
      </c>
      <c r="C146" s="32" t="n"/>
      <c r="J146">
        <f>LEN(TRIM(CLEAN(SUBSTITUTE(SUBSTITUTE(Table_1[[#This Row],[Sequence]],CHAR(160)," ")," ",""))))</f>
        <v/>
      </c>
      <c r="L146" s="21" t="n"/>
      <c r="M146" s="21">
        <f>IF($B146="","FALSE","TRUE")</f>
        <v/>
      </c>
      <c r="N146">
        <f t="array" ref="N146">IsURL(Table_121215[[#This Row],[Data Source]])</f>
        <v/>
      </c>
      <c r="O146">
        <f t="array" ref="O146">IsURL(Table_121215[[#This Row],[DOI]])</f>
        <v/>
      </c>
      <c r="P146">
        <f t="array" ref="P146">IsURL(Table_121215[[#This Row],[Data Source]])</f>
        <v/>
      </c>
      <c r="Q146">
        <f t="array" ref="Q146">IsURL(Table_121215[[#This Row],[Data Source]])</f>
        <v/>
      </c>
    </row>
    <row r="147" ht="15.75" customHeight="1">
      <c r="A147">
        <f>IF(Table_1[[#This Row],[Part Name]]=0,"",Table_1[[#This Row],[Part Name]])</f>
        <v/>
      </c>
      <c r="C147" s="32" t="n"/>
      <c r="J147">
        <f>LEN(TRIM(CLEAN(SUBSTITUTE(SUBSTITUTE(Table_1[[#This Row],[Sequence]],CHAR(160)," ")," ",""))))</f>
        <v/>
      </c>
      <c r="L147" s="21" t="n"/>
      <c r="M147" s="21">
        <f>IF($B147="","FALSE","TRUE")</f>
        <v/>
      </c>
      <c r="N147">
        <f t="array" ref="N147">IsURL(Table_121215[[#This Row],[Data Source]])</f>
        <v/>
      </c>
      <c r="O147">
        <f t="array" ref="O147">IsURL(Table_121215[[#This Row],[DOI]])</f>
        <v/>
      </c>
      <c r="P147">
        <f t="array" ref="P147">IsURL(Table_121215[[#This Row],[Data Source]])</f>
        <v/>
      </c>
      <c r="Q147">
        <f t="array" ref="Q147">IsURL(Table_121215[[#This Row],[Data Source]])</f>
        <v/>
      </c>
    </row>
    <row r="148" ht="15.75" customHeight="1">
      <c r="A148">
        <f>IF(Table_1[[#This Row],[Part Name]]=0,"",Table_1[[#This Row],[Part Name]])</f>
        <v/>
      </c>
      <c r="C148" s="32" t="n"/>
      <c r="J148">
        <f>LEN(TRIM(CLEAN(SUBSTITUTE(SUBSTITUTE(Table_1[[#This Row],[Sequence]],CHAR(160)," ")," ",""))))</f>
        <v/>
      </c>
      <c r="L148" s="21" t="n"/>
      <c r="M148" s="21">
        <f>IF($B148="","FALSE","TRUE")</f>
        <v/>
      </c>
      <c r="N148">
        <f t="array" ref="N148">IsURL(Table_121215[[#This Row],[Data Source]])</f>
        <v/>
      </c>
      <c r="O148">
        <f t="array" ref="O148">IsURL(Table_121215[[#This Row],[DOI]])</f>
        <v/>
      </c>
      <c r="P148">
        <f t="array" ref="P148">IsURL(Table_121215[[#This Row],[Data Source]])</f>
        <v/>
      </c>
      <c r="Q148">
        <f t="array" ref="Q148">IsURL(Table_121215[[#This Row],[Data Source]])</f>
        <v/>
      </c>
    </row>
    <row r="149" ht="15.75" customHeight="1">
      <c r="A149">
        <f>IF(Table_1[[#This Row],[Part Name]]=0,"",Table_1[[#This Row],[Part Name]])</f>
        <v/>
      </c>
      <c r="C149" s="32" t="n"/>
      <c r="J149">
        <f>LEN(TRIM(CLEAN(SUBSTITUTE(SUBSTITUTE(Table_1[[#This Row],[Sequence]],CHAR(160)," ")," ",""))))</f>
        <v/>
      </c>
      <c r="L149" s="21" t="n"/>
      <c r="M149" s="21">
        <f>IF($B149="","FALSE","TRUE")</f>
        <v/>
      </c>
      <c r="N149">
        <f t="array" ref="N149">IsURL(Table_121215[[#This Row],[Data Source]])</f>
        <v/>
      </c>
      <c r="O149">
        <f t="array" ref="O149">IsURL(Table_121215[[#This Row],[DOI]])</f>
        <v/>
      </c>
      <c r="P149">
        <f t="array" ref="P149">IsURL(Table_121215[[#This Row],[Data Source]])</f>
        <v/>
      </c>
      <c r="Q149">
        <f t="array" ref="Q149">IsURL(Table_121215[[#This Row],[Data Source]])</f>
        <v/>
      </c>
    </row>
    <row r="150" ht="15.75" customHeight="1">
      <c r="A150">
        <f>IF(Table_1[[#This Row],[Part Name]]=0,"",Table_1[[#This Row],[Part Name]])</f>
        <v/>
      </c>
      <c r="C150" s="32" t="n"/>
      <c r="J150">
        <f>LEN(TRIM(CLEAN(SUBSTITUTE(SUBSTITUTE(Table_1[[#This Row],[Sequence]],CHAR(160)," ")," ",""))))</f>
        <v/>
      </c>
      <c r="L150" s="21" t="n"/>
      <c r="M150" s="21">
        <f>IF($B150="","FALSE","TRUE")</f>
        <v/>
      </c>
      <c r="N150">
        <f t="array" ref="N150">IsURL(Table_121215[[#This Row],[Data Source]])</f>
        <v/>
      </c>
      <c r="O150">
        <f t="array" ref="O150">IsURL(Table_121215[[#This Row],[DOI]])</f>
        <v/>
      </c>
      <c r="P150">
        <f t="array" ref="P150">IsURL(Table_121215[[#This Row],[Data Source]])</f>
        <v/>
      </c>
      <c r="Q150">
        <f t="array" ref="Q150">IsURL(Table_121215[[#This Row],[Data Source]])</f>
        <v/>
      </c>
    </row>
    <row r="151" ht="15.75" customHeight="1">
      <c r="A151">
        <f>IF(Table_1[[#This Row],[Part Name]]=0,"",Table_1[[#This Row],[Part Name]])</f>
        <v/>
      </c>
      <c r="C151" s="32" t="n"/>
      <c r="J151">
        <f>LEN(TRIM(CLEAN(SUBSTITUTE(SUBSTITUTE(Table_1[[#This Row],[Sequence]],CHAR(160)," ")," ",""))))</f>
        <v/>
      </c>
      <c r="L151" s="21" t="n"/>
      <c r="M151" s="21">
        <f>IF($B151="","FALSE","TRUE")</f>
        <v/>
      </c>
      <c r="N151">
        <f t="array" ref="N151">IsURL(Table_121215[[#This Row],[Data Source]])</f>
        <v/>
      </c>
      <c r="O151">
        <f t="array" ref="O151">IsURL(Table_121215[[#This Row],[DOI]])</f>
        <v/>
      </c>
      <c r="P151">
        <f t="array" ref="P151">IsURL(Table_121215[[#This Row],[Data Source]])</f>
        <v/>
      </c>
      <c r="Q151">
        <f t="array" ref="Q151">IsURL(Table_121215[[#This Row],[Data Source]])</f>
        <v/>
      </c>
    </row>
    <row r="152" ht="15.75" customHeight="1">
      <c r="A152">
        <f>IF(Table_1[[#This Row],[Part Name]]=0,"",Table_1[[#This Row],[Part Name]])</f>
        <v/>
      </c>
      <c r="C152" s="32" t="n"/>
      <c r="J152">
        <f>LEN(TRIM(CLEAN(SUBSTITUTE(SUBSTITUTE(Table_1[[#This Row],[Sequence]],CHAR(160)," ")," ",""))))</f>
        <v/>
      </c>
      <c r="L152" s="21" t="n"/>
      <c r="M152" s="21">
        <f>IF($B152="","FALSE","TRUE")</f>
        <v/>
      </c>
      <c r="N152">
        <f t="array" ref="N152">IsURL(Table_121215[[#This Row],[Data Source]])</f>
        <v/>
      </c>
      <c r="O152">
        <f t="array" ref="O152">IsURL(Table_121215[[#This Row],[DOI]])</f>
        <v/>
      </c>
      <c r="P152">
        <f t="array" ref="P152">IsURL(Table_121215[[#This Row],[Data Source]])</f>
        <v/>
      </c>
      <c r="Q152">
        <f t="array" ref="Q152">IsURL(Table_121215[[#This Row],[Data Source]])</f>
        <v/>
      </c>
    </row>
    <row r="153" ht="15.75" customHeight="1">
      <c r="A153">
        <f>IF(Table_1[[#This Row],[Part Name]]=0,"",Table_1[[#This Row],[Part Name]])</f>
        <v/>
      </c>
      <c r="C153" s="32" t="n"/>
      <c r="J153">
        <f>LEN(TRIM(CLEAN(SUBSTITUTE(SUBSTITUTE(Table_1[[#This Row],[Sequence]],CHAR(160)," ")," ",""))))</f>
        <v/>
      </c>
      <c r="L153" s="21" t="n"/>
      <c r="M153" s="21">
        <f>IF($B153="","FALSE","TRUE")</f>
        <v/>
      </c>
      <c r="N153">
        <f t="array" ref="N153">IsURL(Table_121215[[#This Row],[Data Source]])</f>
        <v/>
      </c>
      <c r="O153">
        <f t="array" ref="O153">IsURL(Table_121215[[#This Row],[DOI]])</f>
        <v/>
      </c>
      <c r="P153">
        <f t="array" ref="P153">IsURL(Table_121215[[#This Row],[Data Source]])</f>
        <v/>
      </c>
      <c r="Q153">
        <f t="array" ref="Q153">IsURL(Table_121215[[#This Row],[Data Source]])</f>
        <v/>
      </c>
    </row>
    <row r="154" ht="15.75" customHeight="1">
      <c r="A154">
        <f>IF(Table_1[[#This Row],[Part Name]]=0,"",Table_1[[#This Row],[Part Name]])</f>
        <v/>
      </c>
      <c r="C154" s="32" t="n"/>
      <c r="J154">
        <f>LEN(TRIM(CLEAN(SUBSTITUTE(SUBSTITUTE(Table_1[[#This Row],[Sequence]],CHAR(160)," ")," ",""))))</f>
        <v/>
      </c>
      <c r="L154" s="21" t="n"/>
      <c r="M154" s="21">
        <f>IF($B154="","FALSE","TRUE")</f>
        <v/>
      </c>
      <c r="N154">
        <f t="array" ref="N154">IsURL(Table_121215[[#This Row],[Data Source]])</f>
        <v/>
      </c>
      <c r="O154">
        <f t="array" ref="O154">IsURL(Table_121215[[#This Row],[DOI]])</f>
        <v/>
      </c>
      <c r="P154">
        <f t="array" ref="P154">IsURL(Table_121215[[#This Row],[Data Source]])</f>
        <v/>
      </c>
      <c r="Q154">
        <f t="array" ref="Q154">IsURL(Table_121215[[#This Row],[Data Source]])</f>
        <v/>
      </c>
    </row>
    <row r="155" ht="15.75" customHeight="1">
      <c r="A155">
        <f>IF(Table_1[[#This Row],[Part Name]]=0,"",Table_1[[#This Row],[Part Name]])</f>
        <v/>
      </c>
      <c r="C155" s="32" t="n"/>
      <c r="J155">
        <f>LEN(TRIM(CLEAN(SUBSTITUTE(SUBSTITUTE(Table_1[[#This Row],[Sequence]],CHAR(160)," ")," ",""))))</f>
        <v/>
      </c>
      <c r="L155" s="21" t="n"/>
      <c r="M155" s="21">
        <f>IF($B155="","FALSE","TRUE")</f>
        <v/>
      </c>
      <c r="N155">
        <f t="array" ref="N155">IsURL(Table_121215[[#This Row],[Data Source]])</f>
        <v/>
      </c>
      <c r="O155">
        <f t="array" ref="O155">IsURL(Table_121215[[#This Row],[DOI]])</f>
        <v/>
      </c>
      <c r="P155">
        <f t="array" ref="P155">IsURL(Table_121215[[#This Row],[Data Source]])</f>
        <v/>
      </c>
      <c r="Q155">
        <f t="array" ref="Q155">IsURL(Table_121215[[#This Row],[Data Source]])</f>
        <v/>
      </c>
    </row>
    <row r="156" ht="15.75" customHeight="1">
      <c r="A156">
        <f>IF(Table_1[[#This Row],[Part Name]]=0,"",Table_1[[#This Row],[Part Name]])</f>
        <v/>
      </c>
      <c r="C156" s="32" t="n"/>
      <c r="J156">
        <f>LEN(TRIM(CLEAN(SUBSTITUTE(SUBSTITUTE(Table_1[[#This Row],[Sequence]],CHAR(160)," ")," ",""))))</f>
        <v/>
      </c>
      <c r="L156" s="21" t="n"/>
      <c r="M156" s="21">
        <f>IF($B156="","FALSE","TRUE")</f>
        <v/>
      </c>
      <c r="N156">
        <f t="array" ref="N156">IsURL(Table_121215[[#This Row],[Data Source]])</f>
        <v/>
      </c>
      <c r="O156">
        <f t="array" ref="O156">IsURL(Table_121215[[#This Row],[DOI]])</f>
        <v/>
      </c>
      <c r="P156">
        <f t="array" ref="P156">IsURL(Table_121215[[#This Row],[Data Source]])</f>
        <v/>
      </c>
      <c r="Q156">
        <f t="array" ref="Q156">IsURL(Table_121215[[#This Row],[Data Source]])</f>
        <v/>
      </c>
    </row>
    <row r="157" ht="15.75" customHeight="1">
      <c r="A157">
        <f>IF(Table_1[[#This Row],[Part Name]]=0,"",Table_1[[#This Row],[Part Name]])</f>
        <v/>
      </c>
      <c r="C157" s="32" t="n"/>
      <c r="J157">
        <f>LEN(TRIM(CLEAN(SUBSTITUTE(SUBSTITUTE(Table_1[[#This Row],[Sequence]],CHAR(160)," ")," ",""))))</f>
        <v/>
      </c>
      <c r="L157" s="21" t="n"/>
      <c r="M157" s="21">
        <f>IF($B157="","FALSE","TRUE")</f>
        <v/>
      </c>
      <c r="N157">
        <f t="array" ref="N157">IsURL(Table_121215[[#This Row],[Data Source]])</f>
        <v/>
      </c>
      <c r="O157">
        <f t="array" ref="O157">IsURL(Table_121215[[#This Row],[DOI]])</f>
        <v/>
      </c>
      <c r="P157">
        <f t="array" ref="P157">IsURL(Table_121215[[#This Row],[Data Source]])</f>
        <v/>
      </c>
      <c r="Q157">
        <f t="array" ref="Q157">IsURL(Table_121215[[#This Row],[Data Source]])</f>
        <v/>
      </c>
    </row>
    <row r="158" ht="15.75" customHeight="1">
      <c r="A158">
        <f>IF(Table_1[[#This Row],[Part Name]]=0,"",Table_1[[#This Row],[Part Name]])</f>
        <v/>
      </c>
      <c r="C158" s="32" t="n"/>
      <c r="J158">
        <f>LEN(TRIM(CLEAN(SUBSTITUTE(SUBSTITUTE(Table_1[[#This Row],[Sequence]],CHAR(160)," ")," ",""))))</f>
        <v/>
      </c>
      <c r="L158" s="21" t="n"/>
      <c r="M158" s="21">
        <f>IF($B158="","FALSE","TRUE")</f>
        <v/>
      </c>
      <c r="N158">
        <f t="array" ref="N158">IsURL(Table_121215[[#This Row],[Data Source]])</f>
        <v/>
      </c>
      <c r="O158">
        <f t="array" ref="O158">IsURL(Table_121215[[#This Row],[DOI]])</f>
        <v/>
      </c>
      <c r="P158">
        <f t="array" ref="P158">IsURL(Table_121215[[#This Row],[Data Source]])</f>
        <v/>
      </c>
      <c r="Q158">
        <f t="array" ref="Q158">IsURL(Table_121215[[#This Row],[Data Source]])</f>
        <v/>
      </c>
    </row>
    <row r="159" ht="15.75" customHeight="1">
      <c r="A159">
        <f>IF(Table_1[[#This Row],[Part Name]]=0,"",Table_1[[#This Row],[Part Name]])</f>
        <v/>
      </c>
      <c r="C159" s="32" t="n"/>
      <c r="J159">
        <f>LEN(TRIM(CLEAN(SUBSTITUTE(SUBSTITUTE(Table_1[[#This Row],[Sequence]],CHAR(160)," ")," ",""))))</f>
        <v/>
      </c>
      <c r="L159" s="21" t="n"/>
      <c r="M159" s="21">
        <f>IF($B159="","FALSE","TRUE")</f>
        <v/>
      </c>
      <c r="N159">
        <f t="array" ref="N159">IsURL(Table_121215[[#This Row],[Data Source]])</f>
        <v/>
      </c>
      <c r="O159">
        <f t="array" ref="O159">IsURL(Table_121215[[#This Row],[DOI]])</f>
        <v/>
      </c>
      <c r="P159">
        <f t="array" ref="P159">IsURL(Table_121215[[#This Row],[Data Source]])</f>
        <v/>
      </c>
      <c r="Q159">
        <f t="array" ref="Q159">IsURL(Table_121215[[#This Row],[Data Source]])</f>
        <v/>
      </c>
    </row>
    <row r="160" ht="15.75" customHeight="1">
      <c r="A160">
        <f>IF(Table_1[[#This Row],[Part Name]]=0,"",Table_1[[#This Row],[Part Name]])</f>
        <v/>
      </c>
      <c r="C160" s="32" t="n"/>
      <c r="J160">
        <f>LEN(TRIM(CLEAN(SUBSTITUTE(SUBSTITUTE(Table_1[[#This Row],[Sequence]],CHAR(160)," ")," ",""))))</f>
        <v/>
      </c>
      <c r="L160" s="21" t="n"/>
      <c r="M160" s="21">
        <f>IF($B160="","FALSE","TRUE")</f>
        <v/>
      </c>
      <c r="N160">
        <f t="array" ref="N160">IsURL(Table_121215[[#This Row],[Data Source]])</f>
        <v/>
      </c>
      <c r="O160">
        <f t="array" ref="O160">IsURL(Table_121215[[#This Row],[DOI]])</f>
        <v/>
      </c>
      <c r="P160">
        <f t="array" ref="P160">IsURL(Table_121215[[#This Row],[Data Source]])</f>
        <v/>
      </c>
      <c r="Q160">
        <f t="array" ref="Q160">IsURL(Table_121215[[#This Row],[Data Source]])</f>
        <v/>
      </c>
    </row>
    <row r="161" ht="15.75" customHeight="1">
      <c r="A161">
        <f>IF(Table_1[[#This Row],[Part Name]]=0,"",Table_1[[#This Row],[Part Name]])</f>
        <v/>
      </c>
      <c r="C161" s="32" t="n"/>
      <c r="J161">
        <f>LEN(TRIM(CLEAN(SUBSTITUTE(SUBSTITUTE(Table_1[[#This Row],[Sequence]],CHAR(160)," ")," ",""))))</f>
        <v/>
      </c>
      <c r="L161" s="21" t="n"/>
      <c r="M161" s="21">
        <f>IF($B161="","FALSE","TRUE")</f>
        <v/>
      </c>
      <c r="N161">
        <f t="array" ref="N161">IsURL(Table_121215[[#This Row],[Data Source]])</f>
        <v/>
      </c>
      <c r="O161">
        <f t="array" ref="O161">IsURL(Table_121215[[#This Row],[DOI]])</f>
        <v/>
      </c>
      <c r="P161">
        <f t="array" ref="P161">IsURL(Table_121215[[#This Row],[Data Source]])</f>
        <v/>
      </c>
      <c r="Q161">
        <f t="array" ref="Q161">IsURL(Table_121215[[#This Row],[Data Source]])</f>
        <v/>
      </c>
    </row>
    <row r="162" ht="15.75" customHeight="1">
      <c r="A162">
        <f>IF(Table_1[[#This Row],[Part Name]]=0,"",Table_1[[#This Row],[Part Name]])</f>
        <v/>
      </c>
      <c r="C162" s="32" t="n"/>
      <c r="J162">
        <f>LEN(TRIM(CLEAN(SUBSTITUTE(SUBSTITUTE(Table_1[[#This Row],[Sequence]],CHAR(160)," ")," ",""))))</f>
        <v/>
      </c>
      <c r="L162" s="21" t="n"/>
      <c r="M162" s="21">
        <f>IF($B162="","FALSE","TRUE")</f>
        <v/>
      </c>
      <c r="N162">
        <f t="array" ref="N162">IsURL(Table_121215[[#This Row],[Data Source]])</f>
        <v/>
      </c>
      <c r="O162">
        <f t="array" ref="O162">IsURL(Table_121215[[#This Row],[DOI]])</f>
        <v/>
      </c>
      <c r="P162">
        <f t="array" ref="P162">IsURL(Table_121215[[#This Row],[Data Source]])</f>
        <v/>
      </c>
      <c r="Q162">
        <f t="array" ref="Q162">IsURL(Table_121215[[#This Row],[Data Source]])</f>
        <v/>
      </c>
    </row>
    <row r="163" ht="15.75" customHeight="1">
      <c r="A163">
        <f>IF(Table_1[[#This Row],[Part Name]]=0,"",Table_1[[#This Row],[Part Name]])</f>
        <v/>
      </c>
      <c r="C163" s="32" t="n"/>
      <c r="J163">
        <f>LEN(TRIM(CLEAN(SUBSTITUTE(SUBSTITUTE(Table_1[[#This Row],[Sequence]],CHAR(160)," ")," ",""))))</f>
        <v/>
      </c>
      <c r="L163" s="21" t="n"/>
      <c r="M163" s="21">
        <f>IF($B163="","FALSE","TRUE")</f>
        <v/>
      </c>
      <c r="N163">
        <f t="array" ref="N163">IsURL(Table_121215[[#This Row],[Data Source]])</f>
        <v/>
      </c>
      <c r="O163">
        <f t="array" ref="O163">IsURL(Table_121215[[#This Row],[DOI]])</f>
        <v/>
      </c>
      <c r="P163">
        <f t="array" ref="P163">IsURL(Table_121215[[#This Row],[Data Source]])</f>
        <v/>
      </c>
      <c r="Q163">
        <f t="array" ref="Q163">IsURL(Table_121215[[#This Row],[Data Source]])</f>
        <v/>
      </c>
    </row>
    <row r="164" ht="15.75" customHeight="1">
      <c r="A164">
        <f>IF(Table_1[[#This Row],[Part Name]]=0,"",Table_1[[#This Row],[Part Name]])</f>
        <v/>
      </c>
      <c r="C164" s="32" t="n"/>
      <c r="J164">
        <f>LEN(TRIM(CLEAN(SUBSTITUTE(SUBSTITUTE(Table_1[[#This Row],[Sequence]],CHAR(160)," ")," ",""))))</f>
        <v/>
      </c>
      <c r="L164" s="21" t="n"/>
      <c r="M164" s="21">
        <f>IF($B164="","FALSE","TRUE")</f>
        <v/>
      </c>
      <c r="N164">
        <f t="array" ref="N164">IsURL(Table_121215[[#This Row],[Data Source]])</f>
        <v/>
      </c>
      <c r="O164">
        <f t="array" ref="O164">IsURL(Table_121215[[#This Row],[DOI]])</f>
        <v/>
      </c>
      <c r="P164">
        <f t="array" ref="P164">IsURL(Table_121215[[#This Row],[Data Source]])</f>
        <v/>
      </c>
      <c r="Q164">
        <f t="array" ref="Q164">IsURL(Table_121215[[#This Row],[Data Source]])</f>
        <v/>
      </c>
    </row>
    <row r="165" ht="15.75" customHeight="1">
      <c r="A165">
        <f>IF(Table_1[[#This Row],[Part Name]]=0,"",Table_1[[#This Row],[Part Name]])</f>
        <v/>
      </c>
      <c r="C165" s="32" t="n"/>
      <c r="J165">
        <f>LEN(TRIM(CLEAN(SUBSTITUTE(SUBSTITUTE(Table_1[[#This Row],[Sequence]],CHAR(160)," ")," ",""))))</f>
        <v/>
      </c>
      <c r="L165" s="21" t="n"/>
      <c r="M165" s="21">
        <f>IF($B165="","FALSE","TRUE")</f>
        <v/>
      </c>
      <c r="N165">
        <f t="array" ref="N165">IsURL(Table_121215[[#This Row],[Data Source]])</f>
        <v/>
      </c>
      <c r="O165">
        <f t="array" ref="O165">IsURL(Table_121215[[#This Row],[DOI]])</f>
        <v/>
      </c>
      <c r="P165">
        <f t="array" ref="P165">IsURL(Table_121215[[#This Row],[Data Source]])</f>
        <v/>
      </c>
      <c r="Q165">
        <f t="array" ref="Q165">IsURL(Table_121215[[#This Row],[Data Source]])</f>
        <v/>
      </c>
    </row>
    <row r="166" ht="15.75" customHeight="1">
      <c r="A166">
        <f>IF(Table_1[[#This Row],[Part Name]]=0,"",Table_1[[#This Row],[Part Name]])</f>
        <v/>
      </c>
      <c r="C166" s="32" t="n"/>
      <c r="J166">
        <f>LEN(TRIM(CLEAN(SUBSTITUTE(SUBSTITUTE(Table_1[[#This Row],[Sequence]],CHAR(160)," ")," ",""))))</f>
        <v/>
      </c>
      <c r="L166" s="21" t="n"/>
      <c r="M166" s="21">
        <f>IF($B166="","FALSE","TRUE")</f>
        <v/>
      </c>
      <c r="N166">
        <f t="array" ref="N166">IsURL(Table_121215[[#This Row],[Data Source]])</f>
        <v/>
      </c>
      <c r="O166">
        <f t="array" ref="O166">IsURL(Table_121215[[#This Row],[DOI]])</f>
        <v/>
      </c>
      <c r="P166">
        <f t="array" ref="P166">IsURL(Table_121215[[#This Row],[Data Source]])</f>
        <v/>
      </c>
      <c r="Q166">
        <f t="array" ref="Q166">IsURL(Table_121215[[#This Row],[Data Source]])</f>
        <v/>
      </c>
    </row>
    <row r="167" ht="15.75" customHeight="1">
      <c r="A167">
        <f>IF(Table_1[[#This Row],[Part Name]]=0,"",Table_1[[#This Row],[Part Name]])</f>
        <v/>
      </c>
      <c r="C167" s="32" t="n"/>
      <c r="J167">
        <f>LEN(TRIM(CLEAN(SUBSTITUTE(SUBSTITUTE(Table_1[[#This Row],[Sequence]],CHAR(160)," ")," ",""))))</f>
        <v/>
      </c>
      <c r="L167" s="21" t="n"/>
      <c r="M167" s="21">
        <f>IF($B167="","FALSE","TRUE")</f>
        <v/>
      </c>
      <c r="N167">
        <f t="array" ref="N167">IsURL(Table_121215[[#This Row],[Data Source]])</f>
        <v/>
      </c>
      <c r="O167">
        <f t="array" ref="O167">IsURL(Table_121215[[#This Row],[DOI]])</f>
        <v/>
      </c>
      <c r="P167">
        <f t="array" ref="P167">IsURL(Table_121215[[#This Row],[Data Source]])</f>
        <v/>
      </c>
      <c r="Q167">
        <f t="array" ref="Q167">IsURL(Table_121215[[#This Row],[Data Source]])</f>
        <v/>
      </c>
    </row>
    <row r="168" ht="15.75" customHeight="1">
      <c r="A168">
        <f>IF(Table_1[[#This Row],[Part Name]]=0,"",Table_1[[#This Row],[Part Name]])</f>
        <v/>
      </c>
      <c r="C168" s="32" t="n"/>
      <c r="J168">
        <f>LEN(TRIM(CLEAN(SUBSTITUTE(SUBSTITUTE(Table_1[[#This Row],[Sequence]],CHAR(160)," ")," ",""))))</f>
        <v/>
      </c>
      <c r="L168" s="21" t="n"/>
      <c r="M168" s="21">
        <f>IF($B168="","FALSE","TRUE")</f>
        <v/>
      </c>
      <c r="N168">
        <f t="array" ref="N168">IsURL(Table_121215[[#This Row],[Data Source]])</f>
        <v/>
      </c>
      <c r="O168">
        <f t="array" ref="O168">IsURL(Table_121215[[#This Row],[DOI]])</f>
        <v/>
      </c>
      <c r="P168">
        <f t="array" ref="P168">IsURL(Table_121215[[#This Row],[Data Source]])</f>
        <v/>
      </c>
      <c r="Q168">
        <f t="array" ref="Q168">IsURL(Table_121215[[#This Row],[Data Source]])</f>
        <v/>
      </c>
    </row>
    <row r="169" ht="15.75" customHeight="1">
      <c r="A169">
        <f>IF(Table_1[[#This Row],[Part Name]]=0,"",Table_1[[#This Row],[Part Name]])</f>
        <v/>
      </c>
      <c r="C169" s="32" t="n"/>
      <c r="J169">
        <f>LEN(TRIM(CLEAN(SUBSTITUTE(SUBSTITUTE(Table_1[[#This Row],[Sequence]],CHAR(160)," ")," ",""))))</f>
        <v/>
      </c>
      <c r="L169" s="21" t="n"/>
      <c r="M169" s="21">
        <f>IF($B169="","FALSE","TRUE")</f>
        <v/>
      </c>
      <c r="N169">
        <f t="array" ref="N169">IsURL(Table_121215[[#This Row],[Data Source]])</f>
        <v/>
      </c>
      <c r="O169">
        <f t="array" ref="O169">IsURL(Table_121215[[#This Row],[DOI]])</f>
        <v/>
      </c>
      <c r="P169">
        <f t="array" ref="P169">IsURL(Table_121215[[#This Row],[Data Source]])</f>
        <v/>
      </c>
      <c r="Q169">
        <f t="array" ref="Q169">IsURL(Table_121215[[#This Row],[Data Source]])</f>
        <v/>
      </c>
    </row>
    <row r="170" ht="15.75" customHeight="1">
      <c r="A170">
        <f>IF(Table_1[[#This Row],[Part Name]]=0,"",Table_1[[#This Row],[Part Name]])</f>
        <v/>
      </c>
      <c r="C170" s="32" t="n"/>
      <c r="J170">
        <f>LEN(TRIM(CLEAN(SUBSTITUTE(SUBSTITUTE(Table_1[[#This Row],[Sequence]],CHAR(160)," ")," ",""))))</f>
        <v/>
      </c>
      <c r="L170" s="21" t="n"/>
      <c r="M170" s="21">
        <f>IF($B170="","FALSE","TRUE")</f>
        <v/>
      </c>
      <c r="N170">
        <f t="array" ref="N170">IsURL(Table_121215[[#This Row],[Data Source]])</f>
        <v/>
      </c>
      <c r="O170">
        <f t="array" ref="O170">IsURL(Table_121215[[#This Row],[DOI]])</f>
        <v/>
      </c>
      <c r="P170">
        <f t="array" ref="P170">IsURL(Table_121215[[#This Row],[Data Source]])</f>
        <v/>
      </c>
      <c r="Q170">
        <f t="array" ref="Q170">IsURL(Table_121215[[#This Row],[Data Source]])</f>
        <v/>
      </c>
    </row>
    <row r="171" ht="15.75" customHeight="1">
      <c r="A171">
        <f>IF(Table_1[[#This Row],[Part Name]]=0,"",Table_1[[#This Row],[Part Name]])</f>
        <v/>
      </c>
      <c r="C171" s="32" t="n"/>
      <c r="J171">
        <f>LEN(TRIM(CLEAN(SUBSTITUTE(SUBSTITUTE(Table_1[[#This Row],[Sequence]],CHAR(160)," ")," ",""))))</f>
        <v/>
      </c>
      <c r="L171" s="21" t="n"/>
      <c r="M171" s="21">
        <f>IF($B171="","FALSE","TRUE")</f>
        <v/>
      </c>
      <c r="N171">
        <f t="array" ref="N171">IsURL(Table_121215[[#This Row],[Data Source]])</f>
        <v/>
      </c>
      <c r="O171">
        <f t="array" ref="O171">IsURL(Table_121215[[#This Row],[DOI]])</f>
        <v/>
      </c>
      <c r="P171">
        <f t="array" ref="P171">IsURL(Table_121215[[#This Row],[Data Source]])</f>
        <v/>
      </c>
      <c r="Q171">
        <f t="array" ref="Q171">IsURL(Table_121215[[#This Row],[Data Source]])</f>
        <v/>
      </c>
    </row>
    <row r="172" ht="15.75" customHeight="1">
      <c r="A172">
        <f>IF(Table_1[[#This Row],[Part Name]]=0,"",Table_1[[#This Row],[Part Name]])</f>
        <v/>
      </c>
      <c r="C172" s="32" t="n"/>
      <c r="J172">
        <f>LEN(TRIM(CLEAN(SUBSTITUTE(SUBSTITUTE(Table_1[[#This Row],[Sequence]],CHAR(160)," ")," ",""))))</f>
        <v/>
      </c>
      <c r="L172" s="21" t="n"/>
      <c r="M172" s="21">
        <f>IF($B172="","FALSE","TRUE")</f>
        <v/>
      </c>
      <c r="N172">
        <f t="array" ref="N172">IsURL(Table_121215[[#This Row],[Data Source]])</f>
        <v/>
      </c>
      <c r="O172">
        <f t="array" ref="O172">IsURL(Table_121215[[#This Row],[DOI]])</f>
        <v/>
      </c>
      <c r="P172">
        <f t="array" ref="P172">IsURL(Table_121215[[#This Row],[Data Source]])</f>
        <v/>
      </c>
      <c r="Q172">
        <f t="array" ref="Q172">IsURL(Table_121215[[#This Row],[Data Source]])</f>
        <v/>
      </c>
    </row>
    <row r="173" ht="15.75" customHeight="1">
      <c r="A173">
        <f>IF(Table_1[[#This Row],[Part Name]]=0,"",Table_1[[#This Row],[Part Name]])</f>
        <v/>
      </c>
      <c r="C173" s="32" t="n"/>
      <c r="J173">
        <f>LEN(TRIM(CLEAN(SUBSTITUTE(SUBSTITUTE(Table_1[[#This Row],[Sequence]],CHAR(160)," ")," ",""))))</f>
        <v/>
      </c>
      <c r="L173" s="21" t="n"/>
      <c r="M173" s="21">
        <f>IF($B173="","FALSE","TRUE")</f>
        <v/>
      </c>
      <c r="N173">
        <f t="array" ref="N173">IsURL(Table_121215[[#This Row],[Data Source]])</f>
        <v/>
      </c>
      <c r="O173">
        <f t="array" ref="O173">IsURL(Table_121215[[#This Row],[DOI]])</f>
        <v/>
      </c>
      <c r="P173">
        <f t="array" ref="P173">IsURL(Table_121215[[#This Row],[Data Source]])</f>
        <v/>
      </c>
      <c r="Q173">
        <f t="array" ref="Q173">IsURL(Table_121215[[#This Row],[Data Source]])</f>
        <v/>
      </c>
    </row>
    <row r="174" ht="15.75" customHeight="1">
      <c r="A174">
        <f>IF(Table_1[[#This Row],[Part Name]]=0,"",Table_1[[#This Row],[Part Name]])</f>
        <v/>
      </c>
      <c r="C174" s="32" t="n"/>
      <c r="J174">
        <f>LEN(TRIM(CLEAN(SUBSTITUTE(SUBSTITUTE(Table_1[[#This Row],[Sequence]],CHAR(160)," ")," ",""))))</f>
        <v/>
      </c>
      <c r="L174" s="21" t="n"/>
      <c r="M174" s="21">
        <f>IF($B174="","FALSE","TRUE")</f>
        <v/>
      </c>
      <c r="N174">
        <f t="array" ref="N174">IsURL(Table_121215[[#This Row],[Data Source]])</f>
        <v/>
      </c>
      <c r="O174">
        <f t="array" ref="O174">IsURL(Table_121215[[#This Row],[DOI]])</f>
        <v/>
      </c>
      <c r="P174">
        <f t="array" ref="P174">IsURL(Table_121215[[#This Row],[Data Source]])</f>
        <v/>
      </c>
      <c r="Q174">
        <f t="array" ref="Q174">IsURL(Table_121215[[#This Row],[Data Source]])</f>
        <v/>
      </c>
    </row>
    <row r="175" ht="15.75" customHeight="1">
      <c r="A175">
        <f>IF(Table_1[[#This Row],[Part Name]]=0,"",Table_1[[#This Row],[Part Name]])</f>
        <v/>
      </c>
      <c r="C175" s="32" t="n"/>
      <c r="J175">
        <f>LEN(TRIM(CLEAN(SUBSTITUTE(SUBSTITUTE(Table_1[[#This Row],[Sequence]],CHAR(160)," ")," ",""))))</f>
        <v/>
      </c>
      <c r="L175" s="21" t="n"/>
      <c r="M175" s="21">
        <f>IF($B175="","FALSE","TRUE")</f>
        <v/>
      </c>
      <c r="N175">
        <f t="array" ref="N175">IsURL(Table_121215[[#This Row],[Data Source]])</f>
        <v/>
      </c>
      <c r="O175">
        <f t="array" ref="O175">IsURL(Table_121215[[#This Row],[DOI]])</f>
        <v/>
      </c>
      <c r="P175">
        <f t="array" ref="P175">IsURL(Table_121215[[#This Row],[Data Source]])</f>
        <v/>
      </c>
      <c r="Q175">
        <f t="array" ref="Q175">IsURL(Table_121215[[#This Row],[Data Source]])</f>
        <v/>
      </c>
    </row>
    <row r="176" ht="15.75" customHeight="1">
      <c r="A176">
        <f>IF(Table_1[[#This Row],[Part Name]]=0,"",Table_1[[#This Row],[Part Name]])</f>
        <v/>
      </c>
      <c r="C176" s="32" t="n"/>
      <c r="J176">
        <f>LEN(TRIM(CLEAN(SUBSTITUTE(SUBSTITUTE(Table_1[[#This Row],[Sequence]],CHAR(160)," ")," ",""))))</f>
        <v/>
      </c>
      <c r="L176" s="21" t="n"/>
      <c r="M176" s="21">
        <f>IF($B176="","FALSE","TRUE")</f>
        <v/>
      </c>
      <c r="N176">
        <f t="array" ref="N176">IsURL(Table_121215[[#This Row],[Data Source]])</f>
        <v/>
      </c>
      <c r="O176">
        <f t="array" ref="O176">IsURL(Table_121215[[#This Row],[DOI]])</f>
        <v/>
      </c>
      <c r="P176">
        <f t="array" ref="P176">IsURL(Table_121215[[#This Row],[Data Source]])</f>
        <v/>
      </c>
      <c r="Q176">
        <f t="array" ref="Q176">IsURL(Table_121215[[#This Row],[Data Source]])</f>
        <v/>
      </c>
    </row>
    <row r="177" ht="15.75" customHeight="1">
      <c r="A177">
        <f>IF(Table_1[[#This Row],[Part Name]]=0,"",Table_1[[#This Row],[Part Name]])</f>
        <v/>
      </c>
      <c r="C177" s="32" t="n"/>
      <c r="J177">
        <f>LEN(TRIM(CLEAN(SUBSTITUTE(SUBSTITUTE(Table_1[[#This Row],[Sequence]],CHAR(160)," ")," ",""))))</f>
        <v/>
      </c>
      <c r="L177" s="21" t="n"/>
      <c r="M177" s="21">
        <f>IF($B177="","FALSE","TRUE")</f>
        <v/>
      </c>
      <c r="N177">
        <f t="array" ref="N177">IsURL(Table_121215[[#This Row],[Data Source]])</f>
        <v/>
      </c>
      <c r="O177">
        <f t="array" ref="O177">IsURL(Table_121215[[#This Row],[DOI]])</f>
        <v/>
      </c>
      <c r="P177">
        <f t="array" ref="P177">IsURL(Table_121215[[#This Row],[Data Source]])</f>
        <v/>
      </c>
      <c r="Q177">
        <f t="array" ref="Q177">IsURL(Table_121215[[#This Row],[Data Source]])</f>
        <v/>
      </c>
    </row>
    <row r="178" ht="15.75" customHeight="1">
      <c r="A178">
        <f>IF(Table_1[[#This Row],[Part Name]]=0,"",Table_1[[#This Row],[Part Name]])</f>
        <v/>
      </c>
      <c r="C178" s="32" t="n"/>
      <c r="J178">
        <f>LEN(TRIM(CLEAN(SUBSTITUTE(SUBSTITUTE(Table_1[[#This Row],[Sequence]],CHAR(160)," ")," ",""))))</f>
        <v/>
      </c>
      <c r="L178" s="21" t="n"/>
      <c r="M178" s="21">
        <f>IF($B178="","FALSE","TRUE")</f>
        <v/>
      </c>
      <c r="N178">
        <f t="array" ref="N178">IsURL(Table_121215[[#This Row],[Data Source]])</f>
        <v/>
      </c>
      <c r="O178">
        <f t="array" ref="O178">IsURL(Table_121215[[#This Row],[DOI]])</f>
        <v/>
      </c>
      <c r="P178">
        <f t="array" ref="P178">IsURL(Table_121215[[#This Row],[Data Source]])</f>
        <v/>
      </c>
      <c r="Q178">
        <f t="array" ref="Q178">IsURL(Table_121215[[#This Row],[Data Source]])</f>
        <v/>
      </c>
    </row>
    <row r="179" ht="15.75" customHeight="1">
      <c r="A179">
        <f>IF(Table_1[[#This Row],[Part Name]]=0,"",Table_1[[#This Row],[Part Name]])</f>
        <v/>
      </c>
      <c r="C179" s="32" t="n"/>
      <c r="J179">
        <f>LEN(TRIM(CLEAN(SUBSTITUTE(SUBSTITUTE(Table_1[[#This Row],[Sequence]],CHAR(160)," ")," ",""))))</f>
        <v/>
      </c>
      <c r="L179" s="21" t="n"/>
      <c r="M179" s="21">
        <f>IF($B179="","FALSE","TRUE")</f>
        <v/>
      </c>
      <c r="N179">
        <f t="array" ref="N179">IsURL(Table_121215[[#This Row],[Data Source]])</f>
        <v/>
      </c>
      <c r="O179">
        <f t="array" ref="O179">IsURL(Table_121215[[#This Row],[DOI]])</f>
        <v/>
      </c>
      <c r="P179">
        <f t="array" ref="P179">IsURL(Table_121215[[#This Row],[Data Source]])</f>
        <v/>
      </c>
      <c r="Q179">
        <f t="array" ref="Q179">IsURL(Table_121215[[#This Row],[Data Source]])</f>
        <v/>
      </c>
    </row>
    <row r="180" ht="15.75" customHeight="1">
      <c r="A180">
        <f>IF(Table_1[[#This Row],[Part Name]]=0,"",Table_1[[#This Row],[Part Name]])</f>
        <v/>
      </c>
      <c r="C180" s="32" t="n"/>
      <c r="J180">
        <f>LEN(TRIM(CLEAN(SUBSTITUTE(SUBSTITUTE(Table_1[[#This Row],[Sequence]],CHAR(160)," ")," ",""))))</f>
        <v/>
      </c>
      <c r="L180" s="21" t="n"/>
      <c r="M180" s="21">
        <f>IF($B180="","FALSE","TRUE")</f>
        <v/>
      </c>
      <c r="N180">
        <f t="array" ref="N180">IsURL(Table_121215[[#This Row],[Data Source]])</f>
        <v/>
      </c>
      <c r="O180">
        <f t="array" ref="O180">IsURL(Table_121215[[#This Row],[DOI]])</f>
        <v/>
      </c>
      <c r="P180">
        <f t="array" ref="P180">IsURL(Table_121215[[#This Row],[Data Source]])</f>
        <v/>
      </c>
      <c r="Q180">
        <f t="array" ref="Q180">IsURL(Table_121215[[#This Row],[Data Source]])</f>
        <v/>
      </c>
    </row>
    <row r="181" ht="15.75" customHeight="1">
      <c r="A181">
        <f>IF(Table_1[[#This Row],[Part Name]]=0,"",Table_1[[#This Row],[Part Name]])</f>
        <v/>
      </c>
      <c r="C181" s="32" t="n"/>
      <c r="J181">
        <f>LEN(TRIM(CLEAN(SUBSTITUTE(SUBSTITUTE(Table_1[[#This Row],[Sequence]],CHAR(160)," ")," ",""))))</f>
        <v/>
      </c>
      <c r="L181" s="21" t="n"/>
      <c r="M181" s="21">
        <f>IF($B181="","FALSE","TRUE")</f>
        <v/>
      </c>
      <c r="N181">
        <f t="array" ref="N181">IsURL(Table_121215[[#This Row],[Data Source]])</f>
        <v/>
      </c>
      <c r="O181">
        <f t="array" ref="O181">IsURL(Table_121215[[#This Row],[DOI]])</f>
        <v/>
      </c>
      <c r="P181">
        <f t="array" ref="P181">IsURL(Table_121215[[#This Row],[Data Source]])</f>
        <v/>
      </c>
      <c r="Q181">
        <f t="array" ref="Q181">IsURL(Table_121215[[#This Row],[Data Source]])</f>
        <v/>
      </c>
    </row>
    <row r="182" ht="15.75" customHeight="1">
      <c r="A182">
        <f>IF(Table_1[[#This Row],[Part Name]]=0,"",Table_1[[#This Row],[Part Name]])</f>
        <v/>
      </c>
      <c r="C182" s="32" t="n"/>
      <c r="J182">
        <f>LEN(TRIM(CLEAN(SUBSTITUTE(SUBSTITUTE(Table_1[[#This Row],[Sequence]],CHAR(160)," ")," ",""))))</f>
        <v/>
      </c>
      <c r="L182" s="21" t="n"/>
      <c r="M182" s="21">
        <f>IF($B182="","FALSE","TRUE")</f>
        <v/>
      </c>
      <c r="N182">
        <f t="array" ref="N182">IsURL(Table_121215[[#This Row],[Data Source]])</f>
        <v/>
      </c>
      <c r="O182">
        <f t="array" ref="O182">IsURL(Table_121215[[#This Row],[DOI]])</f>
        <v/>
      </c>
      <c r="P182">
        <f t="array" ref="P182">IsURL(Table_121215[[#This Row],[Data Source]])</f>
        <v/>
      </c>
      <c r="Q182">
        <f t="array" ref="Q182">IsURL(Table_121215[[#This Row],[Data Source]])</f>
        <v/>
      </c>
    </row>
    <row r="183" ht="15.75" customHeight="1">
      <c r="A183">
        <f>IF(Table_1[[#This Row],[Part Name]]=0,"",Table_1[[#This Row],[Part Name]])</f>
        <v/>
      </c>
      <c r="C183" s="32" t="n"/>
      <c r="J183">
        <f>LEN(TRIM(CLEAN(SUBSTITUTE(SUBSTITUTE(Table_1[[#This Row],[Sequence]],CHAR(160)," ")," ",""))))</f>
        <v/>
      </c>
      <c r="L183" s="21" t="n"/>
      <c r="M183" s="21">
        <f>IF($B183="","FALSE","TRUE")</f>
        <v/>
      </c>
      <c r="N183">
        <f t="array" ref="N183">IsURL(Table_121215[[#This Row],[Data Source]])</f>
        <v/>
      </c>
      <c r="O183">
        <f t="array" ref="O183">IsURL(Table_121215[[#This Row],[DOI]])</f>
        <v/>
      </c>
      <c r="P183">
        <f t="array" ref="P183">IsURL(Table_121215[[#This Row],[Data Source]])</f>
        <v/>
      </c>
      <c r="Q183">
        <f t="array" ref="Q183">IsURL(Table_121215[[#This Row],[Data Source]])</f>
        <v/>
      </c>
    </row>
    <row r="184" ht="15.75" customHeight="1">
      <c r="A184">
        <f>IF(Table_1[[#This Row],[Part Name]]=0,"",Table_1[[#This Row],[Part Name]])</f>
        <v/>
      </c>
      <c r="C184" s="32" t="n"/>
      <c r="J184">
        <f>LEN(TRIM(CLEAN(SUBSTITUTE(SUBSTITUTE(Table_1[[#This Row],[Sequence]],CHAR(160)," ")," ",""))))</f>
        <v/>
      </c>
      <c r="L184" s="21" t="n"/>
      <c r="M184" s="21">
        <f>IF($B184="","FALSE","TRUE")</f>
        <v/>
      </c>
      <c r="N184">
        <f t="array" ref="N184">IsURL(Table_121215[[#This Row],[Data Source]])</f>
        <v/>
      </c>
      <c r="O184">
        <f t="array" ref="O184">IsURL(Table_121215[[#This Row],[DOI]])</f>
        <v/>
      </c>
      <c r="P184">
        <f t="array" ref="P184">IsURL(Table_121215[[#This Row],[Data Source]])</f>
        <v/>
      </c>
      <c r="Q184">
        <f t="array" ref="Q184">IsURL(Table_121215[[#This Row],[Data Source]])</f>
        <v/>
      </c>
    </row>
    <row r="185" ht="15.75" customHeight="1">
      <c r="A185">
        <f>IF(Table_1[[#This Row],[Part Name]]=0,"",Table_1[[#This Row],[Part Name]])</f>
        <v/>
      </c>
      <c r="C185" s="32" t="n"/>
      <c r="J185">
        <f>LEN(TRIM(CLEAN(SUBSTITUTE(SUBSTITUTE(Table_1[[#This Row],[Sequence]],CHAR(160)," ")," ",""))))</f>
        <v/>
      </c>
      <c r="L185" s="21" t="n"/>
      <c r="M185" s="21">
        <f>IF($B185="","FALSE","TRUE")</f>
        <v/>
      </c>
      <c r="N185">
        <f t="array" ref="N185">IsURL(Table_121215[[#This Row],[Data Source]])</f>
        <v/>
      </c>
      <c r="O185">
        <f t="array" ref="O185">IsURL(Table_121215[[#This Row],[DOI]])</f>
        <v/>
      </c>
      <c r="P185">
        <f t="array" ref="P185">IsURL(Table_121215[[#This Row],[Data Source]])</f>
        <v/>
      </c>
      <c r="Q185">
        <f t="array" ref="Q185">IsURL(Table_121215[[#This Row],[Data Source]])</f>
        <v/>
      </c>
    </row>
    <row r="186" ht="15.75" customHeight="1">
      <c r="A186">
        <f>IF(Table_1[[#This Row],[Part Name]]=0,"",Table_1[[#This Row],[Part Name]])</f>
        <v/>
      </c>
      <c r="C186" s="32" t="n"/>
      <c r="J186">
        <f>LEN(TRIM(CLEAN(SUBSTITUTE(SUBSTITUTE(Table_1[[#This Row],[Sequence]],CHAR(160)," ")," ",""))))</f>
        <v/>
      </c>
      <c r="L186" s="21" t="n"/>
      <c r="M186" s="21">
        <f>IF($B186="","FALSE","TRUE")</f>
        <v/>
      </c>
      <c r="N186">
        <f t="array" ref="N186">IsURL(Table_121215[[#This Row],[Data Source]])</f>
        <v/>
      </c>
      <c r="O186">
        <f t="array" ref="O186">IsURL(Table_121215[[#This Row],[DOI]])</f>
        <v/>
      </c>
      <c r="P186">
        <f t="array" ref="P186">IsURL(Table_121215[[#This Row],[Data Source]])</f>
        <v/>
      </c>
      <c r="Q186">
        <f t="array" ref="Q186">IsURL(Table_121215[[#This Row],[Data Source]])</f>
        <v/>
      </c>
    </row>
    <row r="187" ht="15.75" customHeight="1">
      <c r="A187">
        <f>IF(Table_1[[#This Row],[Part Name]]=0,"",Table_1[[#This Row],[Part Name]])</f>
        <v/>
      </c>
      <c r="C187" s="32" t="n"/>
      <c r="J187">
        <f>LEN(TRIM(CLEAN(SUBSTITUTE(SUBSTITUTE(Table_1[[#This Row],[Sequence]],CHAR(160)," ")," ",""))))</f>
        <v/>
      </c>
      <c r="L187" s="21" t="n"/>
      <c r="M187" s="21">
        <f>IF($B187="","FALSE","TRUE")</f>
        <v/>
      </c>
      <c r="N187">
        <f t="array" ref="N187">IsURL(Table_121215[[#This Row],[Data Source]])</f>
        <v/>
      </c>
      <c r="O187">
        <f t="array" ref="O187">IsURL(Table_121215[[#This Row],[DOI]])</f>
        <v/>
      </c>
      <c r="P187">
        <f t="array" ref="P187">IsURL(Table_121215[[#This Row],[Data Source]])</f>
        <v/>
      </c>
      <c r="Q187">
        <f t="array" ref="Q187">IsURL(Table_121215[[#This Row],[Data Source]])</f>
        <v/>
      </c>
    </row>
    <row r="188" ht="15.75" customHeight="1">
      <c r="A188">
        <f>IF(Table_1[[#This Row],[Part Name]]=0,"",Table_1[[#This Row],[Part Name]])</f>
        <v/>
      </c>
      <c r="C188" s="32" t="n"/>
      <c r="J188">
        <f>LEN(TRIM(CLEAN(SUBSTITUTE(SUBSTITUTE(Table_1[[#This Row],[Sequence]],CHAR(160)," ")," ",""))))</f>
        <v/>
      </c>
      <c r="L188" s="21" t="n"/>
      <c r="M188" s="21">
        <f>IF($B188="","FALSE","TRUE")</f>
        <v/>
      </c>
      <c r="N188">
        <f t="array" ref="N188">IsURL(Table_121215[[#This Row],[Data Source]])</f>
        <v/>
      </c>
      <c r="O188">
        <f t="array" ref="O188">IsURL(Table_121215[[#This Row],[DOI]])</f>
        <v/>
      </c>
      <c r="P188">
        <f t="array" ref="P188">IsURL(Table_121215[[#This Row],[Data Source]])</f>
        <v/>
      </c>
      <c r="Q188">
        <f t="array" ref="Q188">IsURL(Table_121215[[#This Row],[Data Source]])</f>
        <v/>
      </c>
    </row>
    <row r="189" ht="15.75" customHeight="1">
      <c r="A189">
        <f>IF(Table_1[[#This Row],[Part Name]]=0,"",Table_1[[#This Row],[Part Name]])</f>
        <v/>
      </c>
      <c r="C189" s="32" t="n"/>
      <c r="J189">
        <f>LEN(TRIM(CLEAN(SUBSTITUTE(SUBSTITUTE(Table_1[[#This Row],[Sequence]],CHAR(160)," ")," ",""))))</f>
        <v/>
      </c>
      <c r="L189" s="21" t="n"/>
      <c r="M189" s="21">
        <f>IF($B189="","FALSE","TRUE")</f>
        <v/>
      </c>
      <c r="N189">
        <f t="array" ref="N189">IsURL(Table_121215[[#This Row],[Data Source]])</f>
        <v/>
      </c>
      <c r="O189">
        <f t="array" ref="O189">IsURL(Table_121215[[#This Row],[DOI]])</f>
        <v/>
      </c>
      <c r="P189">
        <f t="array" ref="P189">IsURL(Table_121215[[#This Row],[Data Source]])</f>
        <v/>
      </c>
      <c r="Q189">
        <f t="array" ref="Q189">IsURL(Table_121215[[#This Row],[Data Source]])</f>
        <v/>
      </c>
    </row>
    <row r="190" ht="15.75" customHeight="1">
      <c r="A190">
        <f>IF(Table_1[[#This Row],[Part Name]]=0,"",Table_1[[#This Row],[Part Name]])</f>
        <v/>
      </c>
      <c r="C190" s="32" t="n"/>
      <c r="J190">
        <f>LEN(TRIM(CLEAN(SUBSTITUTE(SUBSTITUTE(Table_1[[#This Row],[Sequence]],CHAR(160)," ")," ",""))))</f>
        <v/>
      </c>
      <c r="L190" s="21" t="n"/>
      <c r="M190" s="21">
        <f>IF($B190="","FALSE","TRUE")</f>
        <v/>
      </c>
      <c r="N190">
        <f t="array" ref="N190">IsURL(Table_121215[[#This Row],[Data Source]])</f>
        <v/>
      </c>
      <c r="O190">
        <f t="array" ref="O190">IsURL(Table_121215[[#This Row],[DOI]])</f>
        <v/>
      </c>
      <c r="P190">
        <f t="array" ref="P190">IsURL(Table_121215[[#This Row],[Data Source]])</f>
        <v/>
      </c>
      <c r="Q190">
        <f t="array" ref="Q190">IsURL(Table_121215[[#This Row],[Data Source]])</f>
        <v/>
      </c>
    </row>
    <row r="191" ht="15.75" customHeight="1">
      <c r="A191">
        <f>IF(Table_1[[#This Row],[Part Name]]=0,"",Table_1[[#This Row],[Part Name]])</f>
        <v/>
      </c>
      <c r="C191" s="32" t="n"/>
      <c r="J191">
        <f>LEN(TRIM(CLEAN(SUBSTITUTE(SUBSTITUTE(Table_1[[#This Row],[Sequence]],CHAR(160)," ")," ",""))))</f>
        <v/>
      </c>
      <c r="L191" s="21" t="n"/>
      <c r="M191" s="21">
        <f>IF($B191="","FALSE","TRUE")</f>
        <v/>
      </c>
      <c r="N191">
        <f t="array" ref="N191">IsURL(Table_121215[[#This Row],[Data Source]])</f>
        <v/>
      </c>
      <c r="O191">
        <f t="array" ref="O191">IsURL(Table_121215[[#This Row],[DOI]])</f>
        <v/>
      </c>
      <c r="P191">
        <f t="array" ref="P191">IsURL(Table_121215[[#This Row],[Data Source]])</f>
        <v/>
      </c>
      <c r="Q191">
        <f t="array" ref="Q191">IsURL(Table_121215[[#This Row],[Data Source]])</f>
        <v/>
      </c>
    </row>
    <row r="192" ht="15.75" customHeight="1">
      <c r="A192">
        <f>IF(Table_1[[#This Row],[Part Name]]=0,"",Table_1[[#This Row],[Part Name]])</f>
        <v/>
      </c>
      <c r="C192" s="32" t="n"/>
      <c r="J192">
        <f>LEN(TRIM(CLEAN(SUBSTITUTE(SUBSTITUTE(Table_1[[#This Row],[Sequence]],CHAR(160)," ")," ",""))))</f>
        <v/>
      </c>
      <c r="L192" s="21" t="n"/>
      <c r="M192" s="21">
        <f>IF($B192="","FALSE","TRUE")</f>
        <v/>
      </c>
      <c r="N192">
        <f t="array" ref="N192">IsURL(Table_121215[[#This Row],[Data Source]])</f>
        <v/>
      </c>
      <c r="O192">
        <f t="array" ref="O192">IsURL(Table_121215[[#This Row],[DOI]])</f>
        <v/>
      </c>
      <c r="P192">
        <f t="array" ref="P192">IsURL(Table_121215[[#This Row],[Data Source]])</f>
        <v/>
      </c>
      <c r="Q192">
        <f t="array" ref="Q192">IsURL(Table_121215[[#This Row],[Data Source]])</f>
        <v/>
      </c>
    </row>
    <row r="193" ht="15.75" customHeight="1">
      <c r="A193">
        <f>IF(Table_1[[#This Row],[Part Name]]=0,"",Table_1[[#This Row],[Part Name]])</f>
        <v/>
      </c>
      <c r="C193" s="32" t="n"/>
      <c r="J193">
        <f>LEN(TRIM(CLEAN(SUBSTITUTE(SUBSTITUTE(Table_1[[#This Row],[Sequence]],CHAR(160)," ")," ",""))))</f>
        <v/>
      </c>
      <c r="L193" s="21" t="n"/>
      <c r="M193" s="21">
        <f>IF($B193="","FALSE","TRUE")</f>
        <v/>
      </c>
      <c r="N193">
        <f t="array" ref="N193">IsURL(Table_121215[[#This Row],[Data Source]])</f>
        <v/>
      </c>
      <c r="O193">
        <f t="array" ref="O193">IsURL(Table_121215[[#This Row],[DOI]])</f>
        <v/>
      </c>
      <c r="P193">
        <f t="array" ref="P193">IsURL(Table_121215[[#This Row],[Data Source]])</f>
        <v/>
      </c>
      <c r="Q193">
        <f t="array" ref="Q193">IsURL(Table_121215[[#This Row],[Data Source]])</f>
        <v/>
      </c>
    </row>
    <row r="194" ht="15.75" customHeight="1">
      <c r="A194">
        <f>IF(Table_1[[#This Row],[Part Name]]=0,"",Table_1[[#This Row],[Part Name]])</f>
        <v/>
      </c>
      <c r="C194" s="32" t="n"/>
      <c r="J194">
        <f>LEN(TRIM(CLEAN(SUBSTITUTE(SUBSTITUTE(Table_1[[#This Row],[Sequence]],CHAR(160)," ")," ",""))))</f>
        <v/>
      </c>
      <c r="L194" s="21" t="n"/>
      <c r="M194" s="21">
        <f>IF($B194="","FALSE","TRUE")</f>
        <v/>
      </c>
      <c r="N194">
        <f t="array" ref="N194">IsURL(Table_121215[[#This Row],[Data Source]])</f>
        <v/>
      </c>
      <c r="O194">
        <f t="array" ref="O194">IsURL(Table_121215[[#This Row],[DOI]])</f>
        <v/>
      </c>
      <c r="P194">
        <f t="array" ref="P194">IsURL(Table_121215[[#This Row],[Data Source]])</f>
        <v/>
      </c>
      <c r="Q194">
        <f t="array" ref="Q194">IsURL(Table_121215[[#This Row],[Data Source]])</f>
        <v/>
      </c>
    </row>
    <row r="195" ht="15.75" customHeight="1">
      <c r="A195">
        <f>IF(Table_1[[#This Row],[Part Name]]=0,"",Table_1[[#This Row],[Part Name]])</f>
        <v/>
      </c>
      <c r="C195" s="32" t="n"/>
      <c r="J195">
        <f>LEN(TRIM(CLEAN(SUBSTITUTE(SUBSTITUTE(Table_1[[#This Row],[Sequence]],CHAR(160)," ")," ",""))))</f>
        <v/>
      </c>
      <c r="L195" s="21" t="n"/>
      <c r="M195" s="21">
        <f>IF($B195="","FALSE","TRUE")</f>
        <v/>
      </c>
      <c r="N195">
        <f t="array" ref="N195">IsURL(Table_121215[[#This Row],[Data Source]])</f>
        <v/>
      </c>
      <c r="O195">
        <f t="array" ref="O195">IsURL(Table_121215[[#This Row],[DOI]])</f>
        <v/>
      </c>
      <c r="P195">
        <f t="array" ref="P195">IsURL(Table_121215[[#This Row],[Data Source]])</f>
        <v/>
      </c>
      <c r="Q195">
        <f t="array" ref="Q195">IsURL(Table_121215[[#This Row],[Data Source]])</f>
        <v/>
      </c>
    </row>
    <row r="196" ht="15.75" customHeight="1">
      <c r="A196">
        <f>IF(Table_1[[#This Row],[Part Name]]=0,"",Table_1[[#This Row],[Part Name]])</f>
        <v/>
      </c>
      <c r="C196" s="32" t="n"/>
      <c r="J196">
        <f>LEN(TRIM(CLEAN(SUBSTITUTE(SUBSTITUTE(Table_1[[#This Row],[Sequence]],CHAR(160)," ")," ",""))))</f>
        <v/>
      </c>
      <c r="L196" s="21" t="n"/>
      <c r="M196" s="21">
        <f>IF($B196="","FALSE","TRUE")</f>
        <v/>
      </c>
      <c r="N196">
        <f t="array" ref="N196">IsURL(Table_121215[[#This Row],[Data Source]])</f>
        <v/>
      </c>
      <c r="O196">
        <f t="array" ref="O196">IsURL(Table_121215[[#This Row],[DOI]])</f>
        <v/>
      </c>
      <c r="P196">
        <f t="array" ref="P196">IsURL(Table_121215[[#This Row],[Data Source]])</f>
        <v/>
      </c>
      <c r="Q196">
        <f t="array" ref="Q196">IsURL(Table_121215[[#This Row],[Data Source]])</f>
        <v/>
      </c>
    </row>
    <row r="197" ht="15.75" customHeight="1">
      <c r="A197">
        <f>IF(Table_1[[#This Row],[Part Name]]=0,"",Table_1[[#This Row],[Part Name]])</f>
        <v/>
      </c>
      <c r="C197" s="32" t="n"/>
      <c r="J197">
        <f>LEN(TRIM(CLEAN(SUBSTITUTE(SUBSTITUTE(Table_1[[#This Row],[Sequence]],CHAR(160)," ")," ",""))))</f>
        <v/>
      </c>
      <c r="L197" s="21" t="n"/>
      <c r="M197" s="21">
        <f>IF($B197="","FALSE","TRUE")</f>
        <v/>
      </c>
      <c r="N197">
        <f t="array" ref="N197">IsURL(Table_121215[[#This Row],[Data Source]])</f>
        <v/>
      </c>
      <c r="O197">
        <f t="array" ref="O197">IsURL(Table_121215[[#This Row],[DOI]])</f>
        <v/>
      </c>
      <c r="P197">
        <f t="array" ref="P197">IsURL(Table_121215[[#This Row],[Data Source]])</f>
        <v/>
      </c>
      <c r="Q197">
        <f t="array" ref="Q197">IsURL(Table_121215[[#This Row],[Data Source]])</f>
        <v/>
      </c>
    </row>
    <row r="198" ht="15.75" customHeight="1">
      <c r="A198">
        <f>IF(Table_1[[#This Row],[Part Name]]=0,"",Table_1[[#This Row],[Part Name]])</f>
        <v/>
      </c>
      <c r="C198" s="32" t="n"/>
      <c r="J198">
        <f>LEN(TRIM(CLEAN(SUBSTITUTE(SUBSTITUTE(Table_1[[#This Row],[Sequence]],CHAR(160)," ")," ",""))))</f>
        <v/>
      </c>
      <c r="L198" s="21" t="n"/>
      <c r="M198" s="21">
        <f>IF($B198="","FALSE","TRUE")</f>
        <v/>
      </c>
      <c r="N198">
        <f t="array" ref="N198">IsURL(Table_121215[[#This Row],[Data Source]])</f>
        <v/>
      </c>
      <c r="O198">
        <f t="array" ref="O198">IsURL(Table_121215[[#This Row],[DOI]])</f>
        <v/>
      </c>
      <c r="P198">
        <f t="array" ref="P198">IsURL(Table_121215[[#This Row],[Data Source]])</f>
        <v/>
      </c>
      <c r="Q198">
        <f t="array" ref="Q198">IsURL(Table_121215[[#This Row],[Data Source]])</f>
        <v/>
      </c>
    </row>
    <row r="199" ht="15.75" customHeight="1">
      <c r="A199">
        <f>IF(Table_1[[#This Row],[Part Name]]=0,"",Table_1[[#This Row],[Part Name]])</f>
        <v/>
      </c>
      <c r="C199" s="32" t="n"/>
      <c r="J199">
        <f>LEN(TRIM(CLEAN(SUBSTITUTE(SUBSTITUTE(Table_1[[#This Row],[Sequence]],CHAR(160)," ")," ",""))))</f>
        <v/>
      </c>
      <c r="L199" s="21" t="n"/>
      <c r="M199" s="21">
        <f>IF($B199="","FALSE","TRUE")</f>
        <v/>
      </c>
      <c r="N199">
        <f t="array" ref="N199">IsURL(Table_121215[[#This Row],[Data Source]])</f>
        <v/>
      </c>
      <c r="O199">
        <f t="array" ref="O199">IsURL(Table_121215[[#This Row],[DOI]])</f>
        <v/>
      </c>
      <c r="P199">
        <f t="array" ref="P199">IsURL(Table_121215[[#This Row],[Data Source]])</f>
        <v/>
      </c>
      <c r="Q199">
        <f t="array" ref="Q199">IsURL(Table_121215[[#This Row],[Data Source]])</f>
        <v/>
      </c>
    </row>
    <row r="200" ht="15.75" customHeight="1">
      <c r="A200">
        <f>IF(Table_1[[#This Row],[Part Name]]=0,"",Table_1[[#This Row],[Part Name]])</f>
        <v/>
      </c>
      <c r="C200" s="32" t="n"/>
      <c r="J200">
        <f>LEN(TRIM(CLEAN(SUBSTITUTE(SUBSTITUTE(Table_1[[#This Row],[Sequence]],CHAR(160)," ")," ",""))))</f>
        <v/>
      </c>
      <c r="L200" s="21" t="n"/>
      <c r="M200" s="21">
        <f>IF($B200="","FALSE","TRUE")</f>
        <v/>
      </c>
      <c r="N200">
        <f t="array" ref="N200">IsURL(Table_121215[[#This Row],[Data Source]])</f>
        <v/>
      </c>
      <c r="O200">
        <f t="array" ref="O200">IsURL(Table_121215[[#This Row],[DOI]])</f>
        <v/>
      </c>
      <c r="P200">
        <f t="array" ref="P200">IsURL(Table_121215[[#This Row],[Data Source]])</f>
        <v/>
      </c>
      <c r="Q200">
        <f t="array" ref="Q200">IsURL(Table_121215[[#This Row],[Data Source]])</f>
        <v/>
      </c>
    </row>
    <row r="201" ht="15.75" customHeight="1">
      <c r="A201">
        <f>IF(Table_1[[#This Row],[Part Name]]=0,"",Table_1[[#This Row],[Part Name]])</f>
        <v/>
      </c>
      <c r="C201" s="32" t="n"/>
      <c r="J201">
        <f>LEN(TRIM(CLEAN(SUBSTITUTE(SUBSTITUTE(Table_1[[#This Row],[Sequence]],CHAR(160)," ")," ",""))))</f>
        <v/>
      </c>
      <c r="L201" s="21" t="n"/>
      <c r="M201" s="21">
        <f>IF($B201="","FALSE","TRUE")</f>
        <v/>
      </c>
      <c r="N201">
        <f t="array" ref="N201">IsURL(Table_121215[[#This Row],[Data Source]])</f>
        <v/>
      </c>
      <c r="O201">
        <f t="array" ref="O201">IsURL(Table_121215[[#This Row],[DOI]])</f>
        <v/>
      </c>
      <c r="P201">
        <f t="array" ref="P201">IsURL(Table_121215[[#This Row],[Data Source]])</f>
        <v/>
      </c>
      <c r="Q201">
        <f t="array" ref="Q201">IsURL(Table_121215[[#This Row],[Data Source]])</f>
        <v/>
      </c>
    </row>
    <row r="202" ht="15.75" customHeight="1">
      <c r="A202">
        <f>IF(Table_1[[#This Row],[Part Name]]=0,"",Table_1[[#This Row],[Part Name]])</f>
        <v/>
      </c>
      <c r="C202" s="32" t="n"/>
      <c r="J202">
        <f>LEN(TRIM(CLEAN(SUBSTITUTE(SUBSTITUTE(Table_1[[#This Row],[Sequence]],CHAR(160)," ")," ",""))))</f>
        <v/>
      </c>
      <c r="L202" s="21" t="n"/>
      <c r="M202" s="21">
        <f>IF($B202="","FALSE","TRUE")</f>
        <v/>
      </c>
      <c r="N202">
        <f t="array" ref="N202">IsURL(Table_121215[[#This Row],[Data Source]])</f>
        <v/>
      </c>
      <c r="O202">
        <f t="array" ref="O202">IsURL(Table_121215[[#This Row],[DOI]])</f>
        <v/>
      </c>
      <c r="P202">
        <f t="array" ref="P202">IsURL(Table_121215[[#This Row],[Data Source]])</f>
        <v/>
      </c>
      <c r="Q202">
        <f t="array" ref="Q202">IsURL(Table_121215[[#This Row],[Data Source]])</f>
        <v/>
      </c>
    </row>
    <row r="203" ht="15.75" customHeight="1">
      <c r="A203">
        <f>IF(Table_1[[#This Row],[Part Name]]=0,"",Table_1[[#This Row],[Part Name]])</f>
        <v/>
      </c>
      <c r="C203" s="32" t="n"/>
      <c r="J203">
        <f>LEN(TRIM(CLEAN(SUBSTITUTE(SUBSTITUTE(Table_1[[#This Row],[Sequence]],CHAR(160)," ")," ",""))))</f>
        <v/>
      </c>
      <c r="L203" s="21" t="n"/>
      <c r="M203" s="21">
        <f>IF($B203="","FALSE","TRUE")</f>
        <v/>
      </c>
      <c r="N203">
        <f t="array" ref="N203">IsURL(Table_121215[[#This Row],[Data Source]])</f>
        <v/>
      </c>
      <c r="O203">
        <f t="array" ref="O203">IsURL(Table_121215[[#This Row],[DOI]])</f>
        <v/>
      </c>
      <c r="P203">
        <f t="array" ref="P203">IsURL(Table_121215[[#This Row],[Data Source]])</f>
        <v/>
      </c>
      <c r="Q203">
        <f t="array" ref="Q203">IsURL(Table_121215[[#This Row],[Data Source]])</f>
        <v/>
      </c>
    </row>
    <row r="204" ht="15.75" customHeight="1">
      <c r="A204">
        <f>IF(Table_1[[#This Row],[Part Name]]=0,"",Table_1[[#This Row],[Part Name]])</f>
        <v/>
      </c>
      <c r="C204" s="32" t="n"/>
      <c r="J204">
        <f>LEN(TRIM(CLEAN(SUBSTITUTE(SUBSTITUTE(Table_1[[#This Row],[Sequence]],CHAR(160)," ")," ",""))))</f>
        <v/>
      </c>
      <c r="L204" s="21" t="n"/>
      <c r="M204" s="21">
        <f>IF($B204="","FALSE","TRUE")</f>
        <v/>
      </c>
      <c r="N204">
        <f t="array" ref="N204">IsURL(Table_121215[[#This Row],[Data Source]])</f>
        <v/>
      </c>
      <c r="O204">
        <f t="array" ref="O204">IsURL(Table_121215[[#This Row],[DOI]])</f>
        <v/>
      </c>
      <c r="P204">
        <f t="array" ref="P204">IsURL(Table_121215[[#This Row],[Data Source]])</f>
        <v/>
      </c>
      <c r="Q204">
        <f t="array" ref="Q204">IsURL(Table_121215[[#This Row],[Data Source]])</f>
        <v/>
      </c>
    </row>
    <row r="205" ht="15.75" customHeight="1">
      <c r="A205">
        <f>IF(Table_1[[#This Row],[Part Name]]=0,"",Table_1[[#This Row],[Part Name]])</f>
        <v/>
      </c>
      <c r="C205" s="32" t="n"/>
      <c r="J205">
        <f>LEN(TRIM(CLEAN(SUBSTITUTE(SUBSTITUTE(Table_1[[#This Row],[Sequence]],CHAR(160)," ")," ",""))))</f>
        <v/>
      </c>
      <c r="L205" s="21" t="n"/>
      <c r="M205" s="21">
        <f>IF($B205="","FALSE","TRUE")</f>
        <v/>
      </c>
      <c r="N205">
        <f t="array" ref="N205">IsURL(Table_121215[[#This Row],[Data Source]])</f>
        <v/>
      </c>
      <c r="O205">
        <f t="array" ref="O205">IsURL(Table_121215[[#This Row],[DOI]])</f>
        <v/>
      </c>
      <c r="P205">
        <f t="array" ref="P205">IsURL(Table_121215[[#This Row],[Data Source]])</f>
        <v/>
      </c>
      <c r="Q205">
        <f t="array" ref="Q205">IsURL(Table_121215[[#This Row],[Data Source]])</f>
        <v/>
      </c>
    </row>
    <row r="206" ht="15.75" customHeight="1">
      <c r="A206">
        <f>IF(Table_1[[#This Row],[Part Name]]=0,"",Table_1[[#This Row],[Part Name]])</f>
        <v/>
      </c>
      <c r="C206" s="32" t="n"/>
      <c r="J206">
        <f>LEN(TRIM(CLEAN(SUBSTITUTE(SUBSTITUTE(Table_1[[#This Row],[Sequence]],CHAR(160)," ")," ",""))))</f>
        <v/>
      </c>
      <c r="L206" s="21" t="n"/>
      <c r="M206" s="21">
        <f>IF($B206="","FALSE","TRUE")</f>
        <v/>
      </c>
      <c r="N206">
        <f t="array" ref="N206">IsURL(Table_121215[[#This Row],[Data Source]])</f>
        <v/>
      </c>
      <c r="O206">
        <f t="array" ref="O206">IsURL(Table_121215[[#This Row],[DOI]])</f>
        <v/>
      </c>
      <c r="P206">
        <f t="array" ref="P206">IsURL(Table_121215[[#This Row],[Data Source]])</f>
        <v/>
      </c>
      <c r="Q206">
        <f t="array" ref="Q206">IsURL(Table_121215[[#This Row],[Data Source]])</f>
        <v/>
      </c>
    </row>
    <row r="207" ht="15.75" customHeight="1">
      <c r="A207">
        <f>IF(Table_1[[#This Row],[Part Name]]=0,"",Table_1[[#This Row],[Part Name]])</f>
        <v/>
      </c>
      <c r="C207" s="32" t="n"/>
      <c r="J207">
        <f>LEN(TRIM(CLEAN(SUBSTITUTE(SUBSTITUTE(Table_1[[#This Row],[Sequence]],CHAR(160)," ")," ",""))))</f>
        <v/>
      </c>
      <c r="L207" s="21" t="n"/>
      <c r="M207" s="21">
        <f>IF($B207="","FALSE","TRUE")</f>
        <v/>
      </c>
      <c r="N207">
        <f t="array" ref="N207">IsURL(Table_121215[[#This Row],[Data Source]])</f>
        <v/>
      </c>
      <c r="O207">
        <f t="array" ref="O207">IsURL(Table_121215[[#This Row],[DOI]])</f>
        <v/>
      </c>
      <c r="P207">
        <f t="array" ref="P207">IsURL(Table_121215[[#This Row],[Data Source]])</f>
        <v/>
      </c>
      <c r="Q207">
        <f t="array" ref="Q207">IsURL(Table_121215[[#This Row],[Data Source]])</f>
        <v/>
      </c>
    </row>
    <row r="208" ht="15.75" customHeight="1">
      <c r="A208">
        <f>IF(Table_1[[#This Row],[Part Name]]=0,"",Table_1[[#This Row],[Part Name]])</f>
        <v/>
      </c>
      <c r="C208" s="32" t="n"/>
      <c r="J208">
        <f>LEN(TRIM(CLEAN(SUBSTITUTE(SUBSTITUTE(Table_1[[#This Row],[Sequence]],CHAR(160)," ")," ",""))))</f>
        <v/>
      </c>
      <c r="L208" s="21" t="n"/>
      <c r="M208" s="21">
        <f>IF($B208="","FALSE","TRUE")</f>
        <v/>
      </c>
      <c r="N208">
        <f t="array" ref="N208">IsURL(Table_121215[[#This Row],[Data Source]])</f>
        <v/>
      </c>
      <c r="O208">
        <f t="array" ref="O208">IsURL(Table_121215[[#This Row],[DOI]])</f>
        <v/>
      </c>
      <c r="P208">
        <f t="array" ref="P208">IsURL(Table_121215[[#This Row],[Data Source]])</f>
        <v/>
      </c>
      <c r="Q208">
        <f t="array" ref="Q208">IsURL(Table_121215[[#This Row],[Data Source]])</f>
        <v/>
      </c>
    </row>
    <row r="209" ht="15.75" customHeight="1">
      <c r="A209">
        <f>IF(Table_1[[#This Row],[Part Name]]=0,"",Table_1[[#This Row],[Part Name]])</f>
        <v/>
      </c>
      <c r="C209" s="32" t="n"/>
      <c r="J209">
        <f>LEN(TRIM(CLEAN(SUBSTITUTE(SUBSTITUTE(Table_1[[#This Row],[Sequence]],CHAR(160)," ")," ",""))))</f>
        <v/>
      </c>
      <c r="L209" s="21" t="n"/>
      <c r="M209" s="21">
        <f>IF($B209="","FALSE","TRUE")</f>
        <v/>
      </c>
      <c r="N209">
        <f t="array" ref="N209">IsURL(Table_121215[[#This Row],[Data Source]])</f>
        <v/>
      </c>
      <c r="O209">
        <f t="array" ref="O209">IsURL(Table_121215[[#This Row],[DOI]])</f>
        <v/>
      </c>
      <c r="P209">
        <f t="array" ref="P209">IsURL(Table_121215[[#This Row],[Data Source]])</f>
        <v/>
      </c>
      <c r="Q209">
        <f t="array" ref="Q209">IsURL(Table_121215[[#This Row],[Data Source]])</f>
        <v/>
      </c>
    </row>
    <row r="210" ht="15.75" customHeight="1">
      <c r="A210">
        <f>IF(Table_1[[#This Row],[Part Name]]=0,"",Table_1[[#This Row],[Part Name]])</f>
        <v/>
      </c>
      <c r="C210" s="32" t="n"/>
      <c r="J210">
        <f>LEN(TRIM(CLEAN(SUBSTITUTE(SUBSTITUTE(Table_1[[#This Row],[Sequence]],CHAR(160)," ")," ",""))))</f>
        <v/>
      </c>
      <c r="L210" s="21" t="n"/>
      <c r="M210" s="21">
        <f>IF($B210="","FALSE","TRUE")</f>
        <v/>
      </c>
      <c r="N210">
        <f t="array" ref="N210">IsURL(Table_121215[[#This Row],[Data Source]])</f>
        <v/>
      </c>
      <c r="O210">
        <f t="array" ref="O210">IsURL(Table_121215[[#This Row],[DOI]])</f>
        <v/>
      </c>
      <c r="P210">
        <f t="array" ref="P210">IsURL(Table_121215[[#This Row],[Data Source]])</f>
        <v/>
      </c>
      <c r="Q210">
        <f t="array" ref="Q210">IsURL(Table_121215[[#This Row],[Data Source]])</f>
        <v/>
      </c>
    </row>
    <row r="211" ht="15.75" customHeight="1">
      <c r="A211">
        <f>IF(Table_1[[#This Row],[Part Name]]=0,"",Table_1[[#This Row],[Part Name]])</f>
        <v/>
      </c>
      <c r="C211" s="32" t="n"/>
      <c r="J211">
        <f>LEN(TRIM(CLEAN(SUBSTITUTE(SUBSTITUTE(Table_1[[#This Row],[Sequence]],CHAR(160)," ")," ",""))))</f>
        <v/>
      </c>
      <c r="L211" s="21" t="n"/>
      <c r="M211" s="21">
        <f>IF($B211="","FALSE","TRUE")</f>
        <v/>
      </c>
      <c r="N211">
        <f t="array" ref="N211">IsURL(Table_121215[[#This Row],[Data Source]])</f>
        <v/>
      </c>
      <c r="O211">
        <f t="array" ref="O211">IsURL(Table_121215[[#This Row],[DOI]])</f>
        <v/>
      </c>
      <c r="P211">
        <f t="array" ref="P211">IsURL(Table_121215[[#This Row],[Data Source]])</f>
        <v/>
      </c>
      <c r="Q211">
        <f t="array" ref="Q211">IsURL(Table_121215[[#This Row],[Data Source]])</f>
        <v/>
      </c>
    </row>
    <row r="212" ht="15.75" customHeight="1">
      <c r="A212">
        <f>IF(Table_1[[#This Row],[Part Name]]=0,"",Table_1[[#This Row],[Part Name]])</f>
        <v/>
      </c>
      <c r="C212" s="32" t="n"/>
      <c r="J212">
        <f>LEN(TRIM(CLEAN(SUBSTITUTE(SUBSTITUTE(Table_1[[#This Row],[Sequence]],CHAR(160)," ")," ",""))))</f>
        <v/>
      </c>
      <c r="L212" s="21" t="n"/>
      <c r="M212" s="21">
        <f>IF($B212="","FALSE","TRUE")</f>
        <v/>
      </c>
      <c r="N212">
        <f t="array" ref="N212">IsURL(Table_121215[[#This Row],[Data Source]])</f>
        <v/>
      </c>
      <c r="O212">
        <f t="array" ref="O212">IsURL(Table_121215[[#This Row],[DOI]])</f>
        <v/>
      </c>
      <c r="P212">
        <f t="array" ref="P212">IsURL(Table_121215[[#This Row],[Data Source]])</f>
        <v/>
      </c>
      <c r="Q212">
        <f t="array" ref="Q212">IsURL(Table_121215[[#This Row],[Data Source]])</f>
        <v/>
      </c>
    </row>
    <row r="213" ht="15.75" customHeight="1">
      <c r="A213">
        <f>IF(Table_1[[#This Row],[Part Name]]=0,"",Table_1[[#This Row],[Part Name]])</f>
        <v/>
      </c>
      <c r="C213" s="32" t="n"/>
      <c r="J213">
        <f>LEN(TRIM(CLEAN(SUBSTITUTE(SUBSTITUTE(Table_1[[#This Row],[Sequence]],CHAR(160)," ")," ",""))))</f>
        <v/>
      </c>
      <c r="L213" s="21" t="n"/>
      <c r="M213" s="21">
        <f>IF($B213="","FALSE","TRUE")</f>
        <v/>
      </c>
      <c r="N213">
        <f t="array" ref="N213">IsURL(Table_121215[[#This Row],[Data Source]])</f>
        <v/>
      </c>
      <c r="O213">
        <f t="array" ref="O213">IsURL(Table_121215[[#This Row],[DOI]])</f>
        <v/>
      </c>
      <c r="P213">
        <f t="array" ref="P213">IsURL(Table_121215[[#This Row],[Data Source]])</f>
        <v/>
      </c>
      <c r="Q213">
        <f t="array" ref="Q213">IsURL(Table_121215[[#This Row],[Data Source]])</f>
        <v/>
      </c>
    </row>
    <row r="214" ht="15.75" customHeight="1">
      <c r="A214">
        <f>IF(Table_1[[#This Row],[Part Name]]=0,"",Table_1[[#This Row],[Part Name]])</f>
        <v/>
      </c>
      <c r="C214" s="32" t="n"/>
      <c r="J214">
        <f>LEN(TRIM(CLEAN(SUBSTITUTE(SUBSTITUTE(Table_1[[#This Row],[Sequence]],CHAR(160)," ")," ",""))))</f>
        <v/>
      </c>
      <c r="L214" s="21" t="n"/>
      <c r="M214" s="21">
        <f>IF($B214="","FALSE","TRUE")</f>
        <v/>
      </c>
      <c r="N214">
        <f t="array" ref="N214">IsURL(Table_121215[[#This Row],[Data Source]])</f>
        <v/>
      </c>
      <c r="O214">
        <f t="array" ref="O214">IsURL(Table_121215[[#This Row],[DOI]])</f>
        <v/>
      </c>
      <c r="P214">
        <f t="array" ref="P214">IsURL(Table_121215[[#This Row],[Data Source]])</f>
        <v/>
      </c>
      <c r="Q214">
        <f t="array" ref="Q214">IsURL(Table_121215[[#This Row],[Data Source]])</f>
        <v/>
      </c>
    </row>
    <row r="215" ht="15.75" customHeight="1">
      <c r="A215">
        <f>IF(Table_1[[#This Row],[Part Name]]=0,"",Table_1[[#This Row],[Part Name]])</f>
        <v/>
      </c>
      <c r="C215" s="32" t="n"/>
      <c r="J215">
        <f>LEN(TRIM(CLEAN(SUBSTITUTE(SUBSTITUTE(Table_1[[#This Row],[Sequence]],CHAR(160)," ")," ",""))))</f>
        <v/>
      </c>
      <c r="L215" s="21" t="n"/>
      <c r="M215" s="21">
        <f>IF($B215="","FALSE","TRUE")</f>
        <v/>
      </c>
      <c r="N215">
        <f t="array" ref="N215">IsURL(Table_121215[[#This Row],[Data Source]])</f>
        <v/>
      </c>
      <c r="O215">
        <f t="array" ref="O215">IsURL(Table_121215[[#This Row],[DOI]])</f>
        <v/>
      </c>
      <c r="P215">
        <f t="array" ref="P215">IsURL(Table_121215[[#This Row],[Data Source]])</f>
        <v/>
      </c>
      <c r="Q215">
        <f t="array" ref="Q215">IsURL(Table_121215[[#This Row],[Data Source]])</f>
        <v/>
      </c>
    </row>
    <row r="216" ht="15.75" customHeight="1">
      <c r="A216">
        <f>IF(Table_1[[#This Row],[Part Name]]=0,"",Table_1[[#This Row],[Part Name]])</f>
        <v/>
      </c>
      <c r="C216" s="32" t="n"/>
      <c r="J216">
        <f>LEN(TRIM(CLEAN(SUBSTITUTE(SUBSTITUTE(Table_1[[#This Row],[Sequence]],CHAR(160)," ")," ",""))))</f>
        <v/>
      </c>
      <c r="L216" s="21" t="n"/>
      <c r="M216" s="21">
        <f>IF($B216="","FALSE","TRUE")</f>
        <v/>
      </c>
      <c r="N216">
        <f t="array" ref="N216">IsURL(Table_121215[[#This Row],[Data Source]])</f>
        <v/>
      </c>
      <c r="O216">
        <f t="array" ref="O216">IsURL(Table_121215[[#This Row],[DOI]])</f>
        <v/>
      </c>
      <c r="P216">
        <f t="array" ref="P216">IsURL(Table_121215[[#This Row],[Data Source]])</f>
        <v/>
      </c>
      <c r="Q216">
        <f t="array" ref="Q216">IsURL(Table_121215[[#This Row],[Data Source]])</f>
        <v/>
      </c>
    </row>
    <row r="217" ht="15.75" customHeight="1">
      <c r="A217">
        <f>IF(Table_1[[#This Row],[Part Name]]=0,"",Table_1[[#This Row],[Part Name]])</f>
        <v/>
      </c>
      <c r="C217" s="32" t="n"/>
      <c r="J217">
        <f>LEN(TRIM(CLEAN(SUBSTITUTE(SUBSTITUTE(Table_1[[#This Row],[Sequence]],CHAR(160)," ")," ",""))))</f>
        <v/>
      </c>
      <c r="L217" s="21" t="n"/>
      <c r="M217" s="21">
        <f>IF($B217="","FALSE","TRUE")</f>
        <v/>
      </c>
      <c r="N217">
        <f t="array" ref="N217">IsURL(Table_121215[[#This Row],[Data Source]])</f>
        <v/>
      </c>
      <c r="O217">
        <f t="array" ref="O217">IsURL(Table_121215[[#This Row],[DOI]])</f>
        <v/>
      </c>
      <c r="P217">
        <f t="array" ref="P217">IsURL(Table_121215[[#This Row],[Data Source]])</f>
        <v/>
      </c>
      <c r="Q217">
        <f t="array" ref="Q217">IsURL(Table_121215[[#This Row],[Data Source]])</f>
        <v/>
      </c>
    </row>
    <row r="218" ht="15.75" customHeight="1">
      <c r="A218">
        <f>IF(Table_1[[#This Row],[Part Name]]=0,"",Table_1[[#This Row],[Part Name]])</f>
        <v/>
      </c>
      <c r="C218" s="32" t="n"/>
      <c r="J218">
        <f>LEN(TRIM(CLEAN(SUBSTITUTE(SUBSTITUTE(Table_1[[#This Row],[Sequence]],CHAR(160)," ")," ",""))))</f>
        <v/>
      </c>
      <c r="L218" s="21" t="n"/>
      <c r="M218" s="21">
        <f>IF($B218="","FALSE","TRUE")</f>
        <v/>
      </c>
      <c r="N218">
        <f t="array" ref="N218">IsURL(Table_121215[[#This Row],[Data Source]])</f>
        <v/>
      </c>
      <c r="O218">
        <f t="array" ref="O218">IsURL(Table_121215[[#This Row],[DOI]])</f>
        <v/>
      </c>
      <c r="P218">
        <f t="array" ref="P218">IsURL(Table_121215[[#This Row],[Data Source]])</f>
        <v/>
      </c>
      <c r="Q218">
        <f t="array" ref="Q218">IsURL(Table_121215[[#This Row],[Data Source]])</f>
        <v/>
      </c>
    </row>
    <row r="219" ht="15.75" customHeight="1">
      <c r="A219">
        <f>IF(Table_1[[#This Row],[Part Name]]=0,"",Table_1[[#This Row],[Part Name]])</f>
        <v/>
      </c>
      <c r="C219" s="32" t="n"/>
      <c r="J219">
        <f>LEN(TRIM(CLEAN(SUBSTITUTE(SUBSTITUTE(Table_1[[#This Row],[Sequence]],CHAR(160)," ")," ",""))))</f>
        <v/>
      </c>
      <c r="L219" s="21" t="n"/>
      <c r="M219" s="21">
        <f>IF($B219="","FALSE","TRUE")</f>
        <v/>
      </c>
      <c r="N219">
        <f t="array" ref="N219">IsURL(Table_121215[[#This Row],[Data Source]])</f>
        <v/>
      </c>
      <c r="O219">
        <f t="array" ref="O219">IsURL(Table_121215[[#This Row],[DOI]])</f>
        <v/>
      </c>
      <c r="P219">
        <f t="array" ref="P219">IsURL(Table_121215[[#This Row],[Data Source]])</f>
        <v/>
      </c>
      <c r="Q219">
        <f t="array" ref="Q219">IsURL(Table_121215[[#This Row],[Data Source]])</f>
        <v/>
      </c>
    </row>
    <row r="220" ht="15.75" customHeight="1">
      <c r="A220">
        <f>IF(Table_1[[#This Row],[Part Name]]=0,"",Table_1[[#This Row],[Part Name]])</f>
        <v/>
      </c>
      <c r="C220" s="32" t="n"/>
      <c r="J220">
        <f>LEN(TRIM(CLEAN(SUBSTITUTE(SUBSTITUTE(Table_1[[#This Row],[Sequence]],CHAR(160)," ")," ",""))))</f>
        <v/>
      </c>
      <c r="L220" s="21" t="n"/>
      <c r="M220" s="21">
        <f>IF($B220="","FALSE","TRUE")</f>
        <v/>
      </c>
      <c r="N220">
        <f t="array" ref="N220">IsURL(Table_121215[[#This Row],[Data Source]])</f>
        <v/>
      </c>
      <c r="O220">
        <f t="array" ref="O220">IsURL(Table_121215[[#This Row],[DOI]])</f>
        <v/>
      </c>
      <c r="P220">
        <f t="array" ref="P220">IsURL(Table_121215[[#This Row],[Data Source]])</f>
        <v/>
      </c>
      <c r="Q220">
        <f t="array" ref="Q220">IsURL(Table_121215[[#This Row],[Data Source]])</f>
        <v/>
      </c>
    </row>
    <row r="221" ht="15.75" customHeight="1">
      <c r="A221">
        <f>IF(Table_1[[#This Row],[Part Name]]=0,"",Table_1[[#This Row],[Part Name]])</f>
        <v/>
      </c>
      <c r="C221" s="32" t="n"/>
      <c r="J221">
        <f>LEN(TRIM(CLEAN(SUBSTITUTE(SUBSTITUTE(Table_1[[#This Row],[Sequence]],CHAR(160)," ")," ",""))))</f>
        <v/>
      </c>
      <c r="L221" s="21" t="n"/>
      <c r="M221" s="21">
        <f>IF($B221="","FALSE","TRUE")</f>
        <v/>
      </c>
      <c r="N221">
        <f t="array" ref="N221">IsURL(Table_121215[[#This Row],[Data Source]])</f>
        <v/>
      </c>
      <c r="O221">
        <f t="array" ref="O221">IsURL(Table_121215[[#This Row],[DOI]])</f>
        <v/>
      </c>
      <c r="P221">
        <f t="array" ref="P221">IsURL(Table_121215[[#This Row],[Data Source]])</f>
        <v/>
      </c>
      <c r="Q221">
        <f t="array" ref="Q221">IsURL(Table_121215[[#This Row],[Data Source]])</f>
        <v/>
      </c>
    </row>
    <row r="222" ht="15.75" customHeight="1">
      <c r="A222">
        <f>IF(Table_1[[#This Row],[Part Name]]=0,"",Table_1[[#This Row],[Part Name]])</f>
        <v/>
      </c>
      <c r="C222" s="32" t="n"/>
      <c r="J222">
        <f>LEN(TRIM(CLEAN(SUBSTITUTE(SUBSTITUTE(Table_1[[#This Row],[Sequence]],CHAR(160)," ")," ",""))))</f>
        <v/>
      </c>
      <c r="L222" s="21" t="n"/>
      <c r="M222" s="21">
        <f>IF($B222="","FALSE","TRUE")</f>
        <v/>
      </c>
      <c r="N222">
        <f t="array" ref="N222">IsURL(Table_121215[[#This Row],[Data Source]])</f>
        <v/>
      </c>
      <c r="O222">
        <f t="array" ref="O222">IsURL(Table_121215[[#This Row],[DOI]])</f>
        <v/>
      </c>
      <c r="P222">
        <f t="array" ref="P222">IsURL(Table_121215[[#This Row],[Data Source]])</f>
        <v/>
      </c>
      <c r="Q222">
        <f t="array" ref="Q222">IsURL(Table_121215[[#This Row],[Data Source]])</f>
        <v/>
      </c>
    </row>
    <row r="223" ht="15.75" customHeight="1">
      <c r="A223">
        <f>IF(Table_1[[#This Row],[Part Name]]=0,"",Table_1[[#This Row],[Part Name]])</f>
        <v/>
      </c>
      <c r="C223" s="32" t="n"/>
      <c r="J223">
        <f>LEN(TRIM(CLEAN(SUBSTITUTE(SUBSTITUTE(Table_1[[#This Row],[Sequence]],CHAR(160)," ")," ",""))))</f>
        <v/>
      </c>
      <c r="L223" s="21" t="n"/>
      <c r="M223" s="21">
        <f>IF($B223="","FALSE","TRUE")</f>
        <v/>
      </c>
      <c r="N223">
        <f t="array" ref="N223">IsURL(Table_121215[[#This Row],[Data Source]])</f>
        <v/>
      </c>
      <c r="O223">
        <f t="array" ref="O223">IsURL(Table_121215[[#This Row],[DOI]])</f>
        <v/>
      </c>
      <c r="P223">
        <f t="array" ref="P223">IsURL(Table_121215[[#This Row],[Data Source]])</f>
        <v/>
      </c>
      <c r="Q223">
        <f t="array" ref="Q223">IsURL(Table_121215[[#This Row],[Data Source]])</f>
        <v/>
      </c>
    </row>
    <row r="224" ht="15.75" customHeight="1">
      <c r="A224">
        <f>IF(Table_1[[#This Row],[Part Name]]=0,"",Table_1[[#This Row],[Part Name]])</f>
        <v/>
      </c>
      <c r="C224" s="32" t="n"/>
      <c r="J224">
        <f>LEN(TRIM(CLEAN(SUBSTITUTE(SUBSTITUTE(Table_1[[#This Row],[Sequence]],CHAR(160)," ")," ",""))))</f>
        <v/>
      </c>
      <c r="L224" s="21" t="n"/>
      <c r="M224" s="21">
        <f>IF($B224="","FALSE","TRUE")</f>
        <v/>
      </c>
      <c r="N224">
        <f t="array" ref="N224">IsURL(Table_121215[[#This Row],[Data Source]])</f>
        <v/>
      </c>
      <c r="O224">
        <f t="array" ref="O224">IsURL(Table_121215[[#This Row],[DOI]])</f>
        <v/>
      </c>
      <c r="P224">
        <f t="array" ref="P224">IsURL(Table_121215[[#This Row],[Data Source]])</f>
        <v/>
      </c>
      <c r="Q224">
        <f t="array" ref="Q224">IsURL(Table_121215[[#This Row],[Data Source]])</f>
        <v/>
      </c>
    </row>
    <row r="225" ht="15.75" customHeight="1">
      <c r="A225">
        <f>IF(Table_1[[#This Row],[Part Name]]=0,"",Table_1[[#This Row],[Part Name]])</f>
        <v/>
      </c>
      <c r="C225" s="32" t="n"/>
      <c r="J225">
        <f>LEN(TRIM(CLEAN(SUBSTITUTE(SUBSTITUTE(Table_1[[#This Row],[Sequence]],CHAR(160)," ")," ",""))))</f>
        <v/>
      </c>
      <c r="L225" s="21" t="n"/>
      <c r="M225" s="21">
        <f>IF($B225="","FALSE","TRUE")</f>
        <v/>
      </c>
      <c r="N225">
        <f t="array" ref="N225">IsURL(Table_121215[[#This Row],[Data Source]])</f>
        <v/>
      </c>
      <c r="O225">
        <f t="array" ref="O225">IsURL(Table_121215[[#This Row],[DOI]])</f>
        <v/>
      </c>
      <c r="P225">
        <f t="array" ref="P225">IsURL(Table_121215[[#This Row],[Data Source]])</f>
        <v/>
      </c>
      <c r="Q225">
        <f t="array" ref="Q225">IsURL(Table_121215[[#This Row],[Data Source]])</f>
        <v/>
      </c>
    </row>
    <row r="226" ht="15.75" customHeight="1">
      <c r="A226">
        <f>IF(Table_1[[#This Row],[Part Name]]=0,"",Table_1[[#This Row],[Part Name]])</f>
        <v/>
      </c>
      <c r="C226" s="32" t="n"/>
      <c r="J226">
        <f>LEN(TRIM(CLEAN(SUBSTITUTE(SUBSTITUTE(Table_1[[#This Row],[Sequence]],CHAR(160)," ")," ",""))))</f>
        <v/>
      </c>
      <c r="L226" s="21" t="n"/>
      <c r="M226" s="21">
        <f>IF($B226="","FALSE","TRUE")</f>
        <v/>
      </c>
      <c r="N226">
        <f t="array" ref="N226">IsURL(Table_121215[[#This Row],[Data Source]])</f>
        <v/>
      </c>
      <c r="O226">
        <f t="array" ref="O226">IsURL(Table_121215[[#This Row],[DOI]])</f>
        <v/>
      </c>
      <c r="P226">
        <f t="array" ref="P226">IsURL(Table_121215[[#This Row],[Data Source]])</f>
        <v/>
      </c>
      <c r="Q226">
        <f t="array" ref="Q226">IsURL(Table_121215[[#This Row],[Data Source]])</f>
        <v/>
      </c>
    </row>
    <row r="227" ht="15.75" customHeight="1">
      <c r="A227">
        <f>IF(Table_1[[#This Row],[Part Name]]=0,"",Table_1[[#This Row],[Part Name]])</f>
        <v/>
      </c>
      <c r="C227" s="32" t="n"/>
      <c r="J227">
        <f>LEN(TRIM(CLEAN(SUBSTITUTE(SUBSTITUTE(Table_1[[#This Row],[Sequence]],CHAR(160)," ")," ",""))))</f>
        <v/>
      </c>
      <c r="L227" s="21" t="n"/>
      <c r="M227" s="21">
        <f>IF($B227="","FALSE","TRUE")</f>
        <v/>
      </c>
      <c r="N227">
        <f t="array" ref="N227">IsURL(Table_121215[[#This Row],[Data Source]])</f>
        <v/>
      </c>
      <c r="O227">
        <f t="array" ref="O227">IsURL(Table_121215[[#This Row],[DOI]])</f>
        <v/>
      </c>
      <c r="P227">
        <f t="array" ref="P227">IsURL(Table_121215[[#This Row],[Data Source]])</f>
        <v/>
      </c>
      <c r="Q227">
        <f t="array" ref="Q227">IsURL(Table_121215[[#This Row],[Data Source]])</f>
        <v/>
      </c>
    </row>
    <row r="228" ht="15.75" customHeight="1">
      <c r="A228">
        <f>IF(Table_1[[#This Row],[Part Name]]=0,"",Table_1[[#This Row],[Part Name]])</f>
        <v/>
      </c>
      <c r="C228" s="32" t="n"/>
      <c r="J228">
        <f>LEN(TRIM(CLEAN(SUBSTITUTE(SUBSTITUTE(Table_1[[#This Row],[Sequence]],CHAR(160)," ")," ",""))))</f>
        <v/>
      </c>
      <c r="L228" s="21" t="n"/>
      <c r="M228" s="21">
        <f>IF($B228="","FALSE","TRUE")</f>
        <v/>
      </c>
      <c r="N228">
        <f t="array" ref="N228">IsURL(Table_121215[[#This Row],[Data Source]])</f>
        <v/>
      </c>
      <c r="O228">
        <f t="array" ref="O228">IsURL(Table_121215[[#This Row],[DOI]])</f>
        <v/>
      </c>
      <c r="P228">
        <f t="array" ref="P228">IsURL(Table_121215[[#This Row],[Data Source]])</f>
        <v/>
      </c>
      <c r="Q228">
        <f t="array" ref="Q228">IsURL(Table_121215[[#This Row],[Data Source]])</f>
        <v/>
      </c>
    </row>
    <row r="229" ht="15.75" customHeight="1">
      <c r="A229">
        <f>IF(Table_1[[#This Row],[Part Name]]=0,"",Table_1[[#This Row],[Part Name]])</f>
        <v/>
      </c>
      <c r="C229" s="32" t="n"/>
      <c r="J229">
        <f>LEN(TRIM(CLEAN(SUBSTITUTE(SUBSTITUTE(Table_1[[#This Row],[Sequence]],CHAR(160)," ")," ",""))))</f>
        <v/>
      </c>
      <c r="L229" s="21" t="n"/>
      <c r="M229" s="21">
        <f>IF($B229="","FALSE","TRUE")</f>
        <v/>
      </c>
      <c r="N229">
        <f t="array" ref="N229">IsURL(Table_121215[[#This Row],[Data Source]])</f>
        <v/>
      </c>
      <c r="O229">
        <f t="array" ref="O229">IsURL(Table_121215[[#This Row],[DOI]])</f>
        <v/>
      </c>
      <c r="P229">
        <f t="array" ref="P229">IsURL(Table_121215[[#This Row],[Data Source]])</f>
        <v/>
      </c>
      <c r="Q229">
        <f t="array" ref="Q229">IsURL(Table_121215[[#This Row],[Data Source]])</f>
        <v/>
      </c>
    </row>
    <row r="230" ht="15.75" customHeight="1">
      <c r="A230">
        <f>IF(Table_1[[#This Row],[Part Name]]=0,"",Table_1[[#This Row],[Part Name]])</f>
        <v/>
      </c>
      <c r="C230" s="32" t="n"/>
      <c r="J230">
        <f>LEN(TRIM(CLEAN(SUBSTITUTE(SUBSTITUTE(Table_1[[#This Row],[Sequence]],CHAR(160)," ")," ",""))))</f>
        <v/>
      </c>
      <c r="L230" s="21" t="n"/>
      <c r="M230" s="21">
        <f>IF($B230="","FALSE","TRUE")</f>
        <v/>
      </c>
      <c r="N230">
        <f t="array" ref="N230">IsURL(Table_121215[[#This Row],[Data Source]])</f>
        <v/>
      </c>
      <c r="O230">
        <f t="array" ref="O230">IsURL(Table_121215[[#This Row],[DOI]])</f>
        <v/>
      </c>
      <c r="P230">
        <f t="array" ref="P230">IsURL(Table_121215[[#This Row],[Data Source]])</f>
        <v/>
      </c>
      <c r="Q230">
        <f t="array" ref="Q230">IsURL(Table_121215[[#This Row],[Data Source]])</f>
        <v/>
      </c>
    </row>
    <row r="231" ht="15.75" customHeight="1">
      <c r="A231">
        <f>IF(Table_1[[#This Row],[Part Name]]=0,"",Table_1[[#This Row],[Part Name]])</f>
        <v/>
      </c>
      <c r="C231" s="32" t="n"/>
      <c r="J231">
        <f>LEN(TRIM(CLEAN(SUBSTITUTE(SUBSTITUTE(Table_1[[#This Row],[Sequence]],CHAR(160)," ")," ",""))))</f>
        <v/>
      </c>
      <c r="L231" s="21" t="n"/>
      <c r="M231" s="21">
        <f>IF($B231="","FALSE","TRUE")</f>
        <v/>
      </c>
      <c r="N231">
        <f t="array" ref="N231">IsURL(Table_121215[[#This Row],[Data Source]])</f>
        <v/>
      </c>
      <c r="O231">
        <f t="array" ref="O231">IsURL(Table_121215[[#This Row],[DOI]])</f>
        <v/>
      </c>
      <c r="P231">
        <f t="array" ref="P231">IsURL(Table_121215[[#This Row],[Data Source]])</f>
        <v/>
      </c>
      <c r="Q231">
        <f t="array" ref="Q231">IsURL(Table_121215[[#This Row],[Data Source]])</f>
        <v/>
      </c>
    </row>
    <row r="232" ht="15.75" customHeight="1">
      <c r="A232">
        <f>IF(Table_1[[#This Row],[Part Name]]=0,"",Table_1[[#This Row],[Part Name]])</f>
        <v/>
      </c>
      <c r="C232" s="32" t="n"/>
      <c r="J232">
        <f>LEN(TRIM(CLEAN(SUBSTITUTE(SUBSTITUTE(Table_1[[#This Row],[Sequence]],CHAR(160)," ")," ",""))))</f>
        <v/>
      </c>
      <c r="L232" s="21" t="n"/>
      <c r="M232" s="21">
        <f>IF($B232="","FALSE","TRUE")</f>
        <v/>
      </c>
      <c r="N232">
        <f t="array" ref="N232">IsURL(Table_121215[[#This Row],[Data Source]])</f>
        <v/>
      </c>
      <c r="O232">
        <f t="array" ref="O232">IsURL(Table_121215[[#This Row],[DOI]])</f>
        <v/>
      </c>
      <c r="P232">
        <f t="array" ref="P232">IsURL(Table_121215[[#This Row],[Data Source]])</f>
        <v/>
      </c>
      <c r="Q232">
        <f t="array" ref="Q232">IsURL(Table_121215[[#This Row],[Data Source]])</f>
        <v/>
      </c>
    </row>
    <row r="233" ht="15.75" customHeight="1">
      <c r="A233">
        <f>IF(Table_1[[#This Row],[Part Name]]=0,"",Table_1[[#This Row],[Part Name]])</f>
        <v/>
      </c>
      <c r="C233" s="32" t="n"/>
      <c r="J233">
        <f>LEN(TRIM(CLEAN(SUBSTITUTE(SUBSTITUTE(Table_1[[#This Row],[Sequence]],CHAR(160)," ")," ",""))))</f>
        <v/>
      </c>
      <c r="L233" s="21" t="n"/>
      <c r="M233" s="21">
        <f>IF($B233="","FALSE","TRUE")</f>
        <v/>
      </c>
      <c r="N233">
        <f t="array" ref="N233">IsURL(Table_121215[[#This Row],[Data Source]])</f>
        <v/>
      </c>
      <c r="O233">
        <f t="array" ref="O233">IsURL(Table_121215[[#This Row],[DOI]])</f>
        <v/>
      </c>
      <c r="P233">
        <f t="array" ref="P233">IsURL(Table_121215[[#This Row],[Data Source]])</f>
        <v/>
      </c>
      <c r="Q233">
        <f t="array" ref="Q233">IsURL(Table_121215[[#This Row],[Data Source]])</f>
        <v/>
      </c>
    </row>
    <row r="234" ht="15.75" customHeight="1">
      <c r="A234">
        <f>IF(Table_1[[#This Row],[Part Name]]=0,"",Table_1[[#This Row],[Part Name]])</f>
        <v/>
      </c>
      <c r="C234" s="32" t="n"/>
      <c r="J234">
        <f>LEN(TRIM(CLEAN(SUBSTITUTE(SUBSTITUTE(Table_1[[#This Row],[Sequence]],CHAR(160)," ")," ",""))))</f>
        <v/>
      </c>
      <c r="L234" s="21" t="n"/>
      <c r="M234" s="21">
        <f>IF($B234="","FALSE","TRUE")</f>
        <v/>
      </c>
      <c r="N234">
        <f t="array" ref="N234">IsURL(Table_121215[[#This Row],[Data Source]])</f>
        <v/>
      </c>
      <c r="O234">
        <f t="array" ref="O234">IsURL(Table_121215[[#This Row],[DOI]])</f>
        <v/>
      </c>
      <c r="P234">
        <f t="array" ref="P234">IsURL(Table_121215[[#This Row],[Data Source]])</f>
        <v/>
      </c>
      <c r="Q234">
        <f t="array" ref="Q234">IsURL(Table_121215[[#This Row],[Data Source]])</f>
        <v/>
      </c>
    </row>
    <row r="235" ht="15.75" customHeight="1">
      <c r="A235">
        <f>IF(Table_1[[#This Row],[Part Name]]=0,"",Table_1[[#This Row],[Part Name]])</f>
        <v/>
      </c>
      <c r="C235" s="32" t="n"/>
      <c r="J235">
        <f>LEN(TRIM(CLEAN(SUBSTITUTE(SUBSTITUTE(Table_1[[#This Row],[Sequence]],CHAR(160)," ")," ",""))))</f>
        <v/>
      </c>
      <c r="L235" s="21" t="n"/>
      <c r="M235" s="21">
        <f>IF($B235="","FALSE","TRUE")</f>
        <v/>
      </c>
      <c r="N235">
        <f t="array" ref="N235">IsURL(Table_121215[[#This Row],[Data Source]])</f>
        <v/>
      </c>
      <c r="O235">
        <f t="array" ref="O235">IsURL(Table_121215[[#This Row],[DOI]])</f>
        <v/>
      </c>
      <c r="P235">
        <f t="array" ref="P235">IsURL(Table_121215[[#This Row],[Data Source]])</f>
        <v/>
      </c>
      <c r="Q235">
        <f t="array" ref="Q235">IsURL(Table_121215[[#This Row],[Data Source]])</f>
        <v/>
      </c>
    </row>
    <row r="236" ht="15.75" customHeight="1">
      <c r="A236">
        <f>IF(Table_1[[#This Row],[Part Name]]=0,"",Table_1[[#This Row],[Part Name]])</f>
        <v/>
      </c>
      <c r="C236" s="32" t="n"/>
      <c r="J236">
        <f>LEN(TRIM(CLEAN(SUBSTITUTE(SUBSTITUTE(Table_1[[#This Row],[Sequence]],CHAR(160)," ")," ",""))))</f>
        <v/>
      </c>
      <c r="L236" s="21" t="n"/>
      <c r="M236" s="21">
        <f>IF($B236="","FALSE","TRUE")</f>
        <v/>
      </c>
      <c r="N236">
        <f t="array" ref="N236">IsURL(Table_121215[[#This Row],[Data Source]])</f>
        <v/>
      </c>
      <c r="O236">
        <f t="array" ref="O236">IsURL(Table_121215[[#This Row],[DOI]])</f>
        <v/>
      </c>
      <c r="P236">
        <f t="array" ref="P236">IsURL(Table_121215[[#This Row],[Data Source]])</f>
        <v/>
      </c>
      <c r="Q236">
        <f t="array" ref="Q236">IsURL(Table_121215[[#This Row],[Data Source]])</f>
        <v/>
      </c>
    </row>
    <row r="237" ht="15.75" customHeight="1">
      <c r="A237">
        <f>IF(Table_1[[#This Row],[Part Name]]=0,"",Table_1[[#This Row],[Part Name]])</f>
        <v/>
      </c>
      <c r="C237" s="32" t="n"/>
      <c r="J237">
        <f>LEN(TRIM(CLEAN(SUBSTITUTE(SUBSTITUTE(Table_1[[#This Row],[Sequence]],CHAR(160)," ")," ",""))))</f>
        <v/>
      </c>
      <c r="L237" s="21" t="n"/>
      <c r="M237" s="21">
        <f>IF($B237="","FALSE","TRUE")</f>
        <v/>
      </c>
      <c r="N237">
        <f t="array" ref="N237">IsURL(Table_121215[[#This Row],[Data Source]])</f>
        <v/>
      </c>
      <c r="O237">
        <f t="array" ref="O237">IsURL(Table_121215[[#This Row],[DOI]])</f>
        <v/>
      </c>
      <c r="P237">
        <f t="array" ref="P237">IsURL(Table_121215[[#This Row],[Data Source]])</f>
        <v/>
      </c>
      <c r="Q237">
        <f t="array" ref="Q237">IsURL(Table_121215[[#This Row],[Data Source]])</f>
        <v/>
      </c>
    </row>
    <row r="238" ht="15.75" customHeight="1">
      <c r="A238">
        <f>IF(Table_1[[#This Row],[Part Name]]=0,"",Table_1[[#This Row],[Part Name]])</f>
        <v/>
      </c>
      <c r="C238" s="32" t="n"/>
      <c r="J238">
        <f>LEN(TRIM(CLEAN(SUBSTITUTE(SUBSTITUTE(Table_1[[#This Row],[Sequence]],CHAR(160)," ")," ",""))))</f>
        <v/>
      </c>
      <c r="L238" s="21" t="n"/>
      <c r="M238" s="21">
        <f>IF($B238="","FALSE","TRUE")</f>
        <v/>
      </c>
      <c r="N238">
        <f t="array" ref="N238">IsURL(Table_121215[[#This Row],[Data Source]])</f>
        <v/>
      </c>
      <c r="O238">
        <f t="array" ref="O238">IsURL(Table_121215[[#This Row],[DOI]])</f>
        <v/>
      </c>
      <c r="P238">
        <f t="array" ref="P238">IsURL(Table_121215[[#This Row],[Data Source]])</f>
        <v/>
      </c>
      <c r="Q238">
        <f t="array" ref="Q238">IsURL(Table_121215[[#This Row],[Data Source]])</f>
        <v/>
      </c>
    </row>
    <row r="239" ht="15.75" customHeight="1">
      <c r="A239">
        <f>IF(Table_1[[#This Row],[Part Name]]=0,"",Table_1[[#This Row],[Part Name]])</f>
        <v/>
      </c>
      <c r="C239" s="32" t="n"/>
      <c r="J239">
        <f>LEN(TRIM(CLEAN(SUBSTITUTE(SUBSTITUTE(Table_1[[#This Row],[Sequence]],CHAR(160)," ")," ",""))))</f>
        <v/>
      </c>
      <c r="L239" s="21" t="n"/>
      <c r="M239" s="21">
        <f>IF($B239="","FALSE","TRUE")</f>
        <v/>
      </c>
      <c r="N239">
        <f t="array" ref="N239">IsURL(Table_121215[[#This Row],[Data Source]])</f>
        <v/>
      </c>
      <c r="O239">
        <f t="array" ref="O239">IsURL(Table_121215[[#This Row],[DOI]])</f>
        <v/>
      </c>
      <c r="P239">
        <f t="array" ref="P239">IsURL(Table_121215[[#This Row],[Data Source]])</f>
        <v/>
      </c>
      <c r="Q239">
        <f t="array" ref="Q239">IsURL(Table_121215[[#This Row],[Data Source]])</f>
        <v/>
      </c>
    </row>
    <row r="240" ht="15.75" customHeight="1">
      <c r="A240">
        <f>IF(Table_1[[#This Row],[Part Name]]=0,"",Table_1[[#This Row],[Part Name]])</f>
        <v/>
      </c>
      <c r="C240" s="32" t="n"/>
      <c r="J240">
        <f>LEN(TRIM(CLEAN(SUBSTITUTE(SUBSTITUTE(Table_1[[#This Row],[Sequence]],CHAR(160)," ")," ",""))))</f>
        <v/>
      </c>
      <c r="L240" s="21" t="n"/>
      <c r="M240" s="21">
        <f>IF($B240="","FALSE","TRUE")</f>
        <v/>
      </c>
      <c r="N240">
        <f t="array" ref="N240">IsURL(Table_121215[[#This Row],[Data Source]])</f>
        <v/>
      </c>
      <c r="O240">
        <f t="array" ref="O240">IsURL(Table_121215[[#This Row],[DOI]])</f>
        <v/>
      </c>
      <c r="P240">
        <f t="array" ref="P240">IsURL(Table_121215[[#This Row],[Data Source]])</f>
        <v/>
      </c>
      <c r="Q240">
        <f t="array" ref="Q240">IsURL(Table_121215[[#This Row],[Data Source]])</f>
        <v/>
      </c>
    </row>
    <row r="241" ht="15.75" customHeight="1">
      <c r="A241">
        <f>IF(Table_1[[#This Row],[Part Name]]=0,"",Table_1[[#This Row],[Part Name]])</f>
        <v/>
      </c>
      <c r="C241" s="32" t="n"/>
      <c r="J241">
        <f>LEN(TRIM(CLEAN(SUBSTITUTE(SUBSTITUTE(Table_1[[#This Row],[Sequence]],CHAR(160)," ")," ",""))))</f>
        <v/>
      </c>
      <c r="L241" s="21" t="n"/>
      <c r="M241" s="21">
        <f>IF($B241="","FALSE","TRUE")</f>
        <v/>
      </c>
      <c r="N241">
        <f t="array" ref="N241">IsURL(Table_121215[[#This Row],[Data Source]])</f>
        <v/>
      </c>
      <c r="O241">
        <f t="array" ref="O241">IsURL(Table_121215[[#This Row],[DOI]])</f>
        <v/>
      </c>
      <c r="P241">
        <f t="array" ref="P241">IsURL(Table_121215[[#This Row],[Data Source]])</f>
        <v/>
      </c>
      <c r="Q241">
        <f t="array" ref="Q241">IsURL(Table_121215[[#This Row],[Data Source]])</f>
        <v/>
      </c>
    </row>
    <row r="242" ht="15.75" customHeight="1">
      <c r="A242">
        <f>IF(Table_1[[#This Row],[Part Name]]=0,"",Table_1[[#This Row],[Part Name]])</f>
        <v/>
      </c>
      <c r="C242" s="32" t="n"/>
      <c r="J242">
        <f>LEN(TRIM(CLEAN(SUBSTITUTE(SUBSTITUTE(Table_1[[#This Row],[Sequence]],CHAR(160)," ")," ",""))))</f>
        <v/>
      </c>
      <c r="L242" s="21" t="n"/>
      <c r="M242" s="21">
        <f>IF($B242="","FALSE","TRUE")</f>
        <v/>
      </c>
      <c r="N242">
        <f t="array" ref="N242">IsURL(Table_121215[[#This Row],[Data Source]])</f>
        <v/>
      </c>
      <c r="O242">
        <f t="array" ref="O242">IsURL(Table_121215[[#This Row],[DOI]])</f>
        <v/>
      </c>
      <c r="P242">
        <f t="array" ref="P242">IsURL(Table_121215[[#This Row],[Data Source]])</f>
        <v/>
      </c>
      <c r="Q242">
        <f t="array" ref="Q242">IsURL(Table_121215[[#This Row],[Data Source]])</f>
        <v/>
      </c>
    </row>
    <row r="243" ht="15.75" customHeight="1">
      <c r="A243">
        <f>IF(Table_1[[#This Row],[Part Name]]=0,"",Table_1[[#This Row],[Part Name]])</f>
        <v/>
      </c>
      <c r="C243" s="32" t="n"/>
      <c r="J243">
        <f>LEN(TRIM(CLEAN(SUBSTITUTE(SUBSTITUTE(Table_1[[#This Row],[Sequence]],CHAR(160)," ")," ",""))))</f>
        <v/>
      </c>
      <c r="L243" s="21" t="n"/>
      <c r="M243" s="21">
        <f>IF($B243="","FALSE","TRUE")</f>
        <v/>
      </c>
      <c r="N243">
        <f t="array" ref="N243">IsURL(Table_121215[[#This Row],[Data Source]])</f>
        <v/>
      </c>
      <c r="O243">
        <f t="array" ref="O243">IsURL(Table_121215[[#This Row],[DOI]])</f>
        <v/>
      </c>
      <c r="P243">
        <f t="array" ref="P243">IsURL(Table_121215[[#This Row],[Data Source]])</f>
        <v/>
      </c>
      <c r="Q243">
        <f t="array" ref="Q243">IsURL(Table_121215[[#This Row],[Data Source]])</f>
        <v/>
      </c>
    </row>
    <row r="244" ht="15.75" customHeight="1">
      <c r="A244">
        <f>IF(Table_1[[#This Row],[Part Name]]=0,"",Table_1[[#This Row],[Part Name]])</f>
        <v/>
      </c>
      <c r="C244" s="32" t="n"/>
      <c r="J244">
        <f>LEN(TRIM(CLEAN(SUBSTITUTE(SUBSTITUTE(Table_1[[#This Row],[Sequence]],CHAR(160)," ")," ",""))))</f>
        <v/>
      </c>
      <c r="L244" s="21" t="n"/>
      <c r="M244" s="21">
        <f>IF($B244="","FALSE","TRUE")</f>
        <v/>
      </c>
      <c r="N244">
        <f t="array" ref="N244">IsURL(Table_121215[[#This Row],[Data Source]])</f>
        <v/>
      </c>
      <c r="O244">
        <f t="array" ref="O244">IsURL(Table_121215[[#This Row],[DOI]])</f>
        <v/>
      </c>
      <c r="P244">
        <f t="array" ref="P244">IsURL(Table_121215[[#This Row],[Data Source]])</f>
        <v/>
      </c>
      <c r="Q244">
        <f t="array" ref="Q244">IsURL(Table_121215[[#This Row],[Data Source]])</f>
        <v/>
      </c>
    </row>
    <row r="245" ht="15.75" customHeight="1">
      <c r="A245">
        <f>IF(Table_1[[#This Row],[Part Name]]=0,"",Table_1[[#This Row],[Part Name]])</f>
        <v/>
      </c>
      <c r="C245" s="32" t="n"/>
      <c r="J245">
        <f>LEN(TRIM(CLEAN(SUBSTITUTE(SUBSTITUTE(Table_1[[#This Row],[Sequence]],CHAR(160)," ")," ",""))))</f>
        <v/>
      </c>
      <c r="L245" s="21" t="n"/>
      <c r="M245" s="21">
        <f>IF($B245="","FALSE","TRUE")</f>
        <v/>
      </c>
      <c r="N245">
        <f t="array" ref="N245">IsURL(Table_121215[[#This Row],[Data Source]])</f>
        <v/>
      </c>
      <c r="O245">
        <f t="array" ref="O245">IsURL(Table_121215[[#This Row],[DOI]])</f>
        <v/>
      </c>
      <c r="P245">
        <f t="array" ref="P245">IsURL(Table_121215[[#This Row],[Data Source]])</f>
        <v/>
      </c>
      <c r="Q245">
        <f t="array" ref="Q245">IsURL(Table_121215[[#This Row],[Data Source]])</f>
        <v/>
      </c>
    </row>
    <row r="246" ht="15.75" customHeight="1">
      <c r="A246">
        <f>IF(Table_1[[#This Row],[Part Name]]=0,"",Table_1[[#This Row],[Part Name]])</f>
        <v/>
      </c>
      <c r="C246" s="32" t="n"/>
      <c r="J246">
        <f>LEN(TRIM(CLEAN(SUBSTITUTE(SUBSTITUTE(Table_1[[#This Row],[Sequence]],CHAR(160)," ")," ",""))))</f>
        <v/>
      </c>
      <c r="L246" s="21" t="n"/>
      <c r="M246" s="21">
        <f>IF($B246="","FALSE","TRUE")</f>
        <v/>
      </c>
      <c r="N246">
        <f t="array" ref="N246">IsURL(Table_121215[[#This Row],[Data Source]])</f>
        <v/>
      </c>
      <c r="O246">
        <f t="array" ref="O246">IsURL(Table_121215[[#This Row],[DOI]])</f>
        <v/>
      </c>
      <c r="P246">
        <f t="array" ref="P246">IsURL(Table_121215[[#This Row],[Data Source]])</f>
        <v/>
      </c>
      <c r="Q246">
        <f t="array" ref="Q246">IsURL(Table_121215[[#This Row],[Data Source]])</f>
        <v/>
      </c>
    </row>
    <row r="247" ht="15.75" customHeight="1">
      <c r="A247">
        <f>IF(Table_1[[#This Row],[Part Name]]=0,"",Table_1[[#This Row],[Part Name]])</f>
        <v/>
      </c>
      <c r="C247" s="32" t="n"/>
      <c r="J247">
        <f>LEN(TRIM(CLEAN(SUBSTITUTE(SUBSTITUTE(Table_1[[#This Row],[Sequence]],CHAR(160)," ")," ",""))))</f>
        <v/>
      </c>
      <c r="L247" s="21" t="n"/>
      <c r="M247" s="21">
        <f>IF($B247="","FALSE","TRUE")</f>
        <v/>
      </c>
      <c r="N247">
        <f t="array" ref="N247">IsURL(Table_121215[[#This Row],[Data Source]])</f>
        <v/>
      </c>
      <c r="O247">
        <f t="array" ref="O247">IsURL(Table_121215[[#This Row],[DOI]])</f>
        <v/>
      </c>
      <c r="P247">
        <f t="array" ref="P247">IsURL(Table_121215[[#This Row],[Data Source]])</f>
        <v/>
      </c>
      <c r="Q247">
        <f t="array" ref="Q247">IsURL(Table_121215[[#This Row],[Data Source]])</f>
        <v/>
      </c>
    </row>
    <row r="248" ht="15.75" customHeight="1">
      <c r="A248">
        <f>IF(Table_1[[#This Row],[Part Name]]=0,"",Table_1[[#This Row],[Part Name]])</f>
        <v/>
      </c>
      <c r="C248" s="32" t="n"/>
      <c r="J248">
        <f>LEN(TRIM(CLEAN(SUBSTITUTE(SUBSTITUTE(Table_1[[#This Row],[Sequence]],CHAR(160)," ")," ",""))))</f>
        <v/>
      </c>
      <c r="L248" s="21" t="n"/>
      <c r="M248" s="21">
        <f>IF($B248="","FALSE","TRUE")</f>
        <v/>
      </c>
      <c r="N248">
        <f t="array" ref="N248">IsURL(Table_121215[[#This Row],[Data Source]])</f>
        <v/>
      </c>
      <c r="O248">
        <f t="array" ref="O248">IsURL(Table_121215[[#This Row],[DOI]])</f>
        <v/>
      </c>
      <c r="P248">
        <f t="array" ref="P248">IsURL(Table_121215[[#This Row],[Data Source]])</f>
        <v/>
      </c>
      <c r="Q248">
        <f t="array" ref="Q248">IsURL(Table_121215[[#This Row],[Data Source]])</f>
        <v/>
      </c>
    </row>
    <row r="249" ht="15.75" customHeight="1">
      <c r="A249">
        <f>IF(Table_1[[#This Row],[Part Name]]=0,"",Table_1[[#This Row],[Part Name]])</f>
        <v/>
      </c>
      <c r="C249" s="32" t="n"/>
      <c r="J249">
        <f>LEN(TRIM(CLEAN(SUBSTITUTE(SUBSTITUTE(Table_1[[#This Row],[Sequence]],CHAR(160)," ")," ",""))))</f>
        <v/>
      </c>
      <c r="L249" s="21" t="n"/>
      <c r="M249" s="21">
        <f>IF($B249="","FALSE","TRUE")</f>
        <v/>
      </c>
      <c r="N249">
        <f t="array" ref="N249">IsURL(Table_121215[[#This Row],[Data Source]])</f>
        <v/>
      </c>
      <c r="O249">
        <f t="array" ref="O249">IsURL(Table_121215[[#This Row],[DOI]])</f>
        <v/>
      </c>
      <c r="P249">
        <f t="array" ref="P249">IsURL(Table_121215[[#This Row],[Data Source]])</f>
        <v/>
      </c>
      <c r="Q249">
        <f t="array" ref="Q249">IsURL(Table_121215[[#This Row],[Data Source]])</f>
        <v/>
      </c>
    </row>
    <row r="250" ht="15.75" customHeight="1">
      <c r="A250">
        <f>IF(Table_1[[#This Row],[Part Name]]=0,"",Table_1[[#This Row],[Part Name]])</f>
        <v/>
      </c>
      <c r="C250" s="32" t="n"/>
      <c r="J250">
        <f>LEN(TRIM(CLEAN(SUBSTITUTE(SUBSTITUTE(Table_1[[#This Row],[Sequence]],CHAR(160)," ")," ",""))))</f>
        <v/>
      </c>
      <c r="L250" s="21" t="n"/>
      <c r="M250" s="21">
        <f>IF($B250="","FALSE","TRUE")</f>
        <v/>
      </c>
      <c r="N250">
        <f t="array" ref="N250">IsURL(Table_121215[[#This Row],[Data Source]])</f>
        <v/>
      </c>
      <c r="O250">
        <f t="array" ref="O250">IsURL(Table_121215[[#This Row],[DOI]])</f>
        <v/>
      </c>
      <c r="P250">
        <f t="array" ref="P250">IsURL(Table_121215[[#This Row],[Data Source]])</f>
        <v/>
      </c>
      <c r="Q250">
        <f t="array" ref="Q250">IsURL(Table_121215[[#This Row],[Data Source]])</f>
        <v/>
      </c>
    </row>
    <row r="251" ht="15.75" customHeight="1">
      <c r="A251">
        <f>IF(Table_1[[#This Row],[Part Name]]=0,"",Table_1[[#This Row],[Part Name]])</f>
        <v/>
      </c>
      <c r="C251" s="32" t="n"/>
      <c r="J251">
        <f>LEN(TRIM(CLEAN(SUBSTITUTE(SUBSTITUTE(Table_1[[#This Row],[Sequence]],CHAR(160)," ")," ",""))))</f>
        <v/>
      </c>
      <c r="L251" s="21" t="n"/>
      <c r="M251" s="21">
        <f>IF($B251="","FALSE","TRUE")</f>
        <v/>
      </c>
      <c r="N251">
        <f t="array" ref="N251">IsURL(Table_121215[[#This Row],[Data Source]])</f>
        <v/>
      </c>
      <c r="O251">
        <f t="array" ref="O251">IsURL(Table_121215[[#This Row],[DOI]])</f>
        <v/>
      </c>
      <c r="P251">
        <f t="array" ref="P251">IsURL(Table_121215[[#This Row],[Data Source]])</f>
        <v/>
      </c>
      <c r="Q251">
        <f t="array" ref="Q251">IsURL(Table_121215[[#This Row],[Data Source]])</f>
        <v/>
      </c>
    </row>
    <row r="252" ht="15.75" customHeight="1">
      <c r="A252">
        <f>IF(Table_1[[#This Row],[Part Name]]=0,"",Table_1[[#This Row],[Part Name]])</f>
        <v/>
      </c>
      <c r="C252" s="32" t="n"/>
      <c r="J252">
        <f>LEN(TRIM(CLEAN(SUBSTITUTE(SUBSTITUTE(Table_1[[#This Row],[Sequence]],CHAR(160)," ")," ",""))))</f>
        <v/>
      </c>
      <c r="L252" s="21" t="n"/>
      <c r="M252" s="21">
        <f>IF($B252="","FALSE","TRUE")</f>
        <v/>
      </c>
      <c r="N252">
        <f t="array" ref="N252">IsURL(Table_121215[[#This Row],[Data Source]])</f>
        <v/>
      </c>
      <c r="O252">
        <f t="array" ref="O252">IsURL(Table_121215[[#This Row],[DOI]])</f>
        <v/>
      </c>
      <c r="P252">
        <f t="array" ref="P252">IsURL(Table_121215[[#This Row],[Data Source]])</f>
        <v/>
      </c>
      <c r="Q252">
        <f t="array" ref="Q252">IsURL(Table_121215[[#This Row],[Data Source]])</f>
        <v/>
      </c>
    </row>
    <row r="253" ht="15.75" customHeight="1">
      <c r="A253">
        <f>IF(Table_1[[#This Row],[Part Name]]=0,"",Table_1[[#This Row],[Part Name]])</f>
        <v/>
      </c>
      <c r="C253" s="32" t="n"/>
      <c r="J253">
        <f>LEN(TRIM(CLEAN(SUBSTITUTE(SUBSTITUTE(Table_1[[#This Row],[Sequence]],CHAR(160)," ")," ",""))))</f>
        <v/>
      </c>
      <c r="L253" s="21" t="n"/>
      <c r="M253" s="21">
        <f>IF($B253="","FALSE","TRUE")</f>
        <v/>
      </c>
      <c r="N253">
        <f t="array" ref="N253">IsURL(Table_121215[[#This Row],[Data Source]])</f>
        <v/>
      </c>
      <c r="O253">
        <f t="array" ref="O253">IsURL(Table_121215[[#This Row],[DOI]])</f>
        <v/>
      </c>
      <c r="P253">
        <f t="array" ref="P253">IsURL(Table_121215[[#This Row],[Data Source]])</f>
        <v/>
      </c>
      <c r="Q253">
        <f t="array" ref="Q253">IsURL(Table_121215[[#This Row],[Data Source]])</f>
        <v/>
      </c>
    </row>
    <row r="254" ht="15.75" customHeight="1">
      <c r="A254">
        <f>IF(Table_1[[#This Row],[Part Name]]=0,"",Table_1[[#This Row],[Part Name]])</f>
        <v/>
      </c>
      <c r="C254" s="32" t="n"/>
      <c r="J254">
        <f>LEN(TRIM(CLEAN(SUBSTITUTE(SUBSTITUTE(Table_1[[#This Row],[Sequence]],CHAR(160)," ")," ",""))))</f>
        <v/>
      </c>
      <c r="L254" s="21" t="n"/>
      <c r="M254" s="21">
        <f>IF($B254="","FALSE","TRUE")</f>
        <v/>
      </c>
      <c r="N254">
        <f t="array" ref="N254">IsURL(Table_121215[[#This Row],[Data Source]])</f>
        <v/>
      </c>
      <c r="O254">
        <f t="array" ref="O254">IsURL(Table_121215[[#This Row],[DOI]])</f>
        <v/>
      </c>
      <c r="P254">
        <f t="array" ref="P254">IsURL(Table_121215[[#This Row],[Data Source]])</f>
        <v/>
      </c>
      <c r="Q254">
        <f t="array" ref="Q254">IsURL(Table_121215[[#This Row],[Data Source]])</f>
        <v/>
      </c>
    </row>
    <row r="255" ht="15.75" customHeight="1">
      <c r="A255">
        <f>IF(Table_1[[#This Row],[Part Name]]=0,"",Table_1[[#This Row],[Part Name]])</f>
        <v/>
      </c>
      <c r="C255" s="32" t="n"/>
      <c r="J255">
        <f>LEN(TRIM(CLEAN(SUBSTITUTE(SUBSTITUTE(Table_1[[#This Row],[Sequence]],CHAR(160)," ")," ",""))))</f>
        <v/>
      </c>
      <c r="L255" s="21" t="n"/>
      <c r="M255" s="21">
        <f>IF($B255="","FALSE","TRUE")</f>
        <v/>
      </c>
      <c r="N255">
        <f t="array" ref="N255">IsURL(Table_121215[[#This Row],[Data Source]])</f>
        <v/>
      </c>
      <c r="O255">
        <f t="array" ref="O255">IsURL(Table_121215[[#This Row],[DOI]])</f>
        <v/>
      </c>
      <c r="P255">
        <f t="array" ref="P255">IsURL(Table_121215[[#This Row],[Data Source]])</f>
        <v/>
      </c>
      <c r="Q255">
        <f t="array" ref="Q255">IsURL(Table_121215[[#This Row],[Data Source]])</f>
        <v/>
      </c>
    </row>
    <row r="256" ht="15.75" customHeight="1">
      <c r="A256">
        <f>IF(Table_1[[#This Row],[Part Name]]=0,"",Table_1[[#This Row],[Part Name]])</f>
        <v/>
      </c>
      <c r="C256" s="32" t="n"/>
      <c r="J256">
        <f>LEN(TRIM(CLEAN(SUBSTITUTE(SUBSTITUTE(Table_1[[#This Row],[Sequence]],CHAR(160)," ")," ",""))))</f>
        <v/>
      </c>
      <c r="L256" s="21" t="n"/>
      <c r="M256" s="21">
        <f>IF($B256="","FALSE","TRUE")</f>
        <v/>
      </c>
      <c r="N256">
        <f t="array" ref="N256">IsURL(Table_121215[[#This Row],[Data Source]])</f>
        <v/>
      </c>
      <c r="O256">
        <f t="array" ref="O256">IsURL(Table_121215[[#This Row],[DOI]])</f>
        <v/>
      </c>
      <c r="P256">
        <f t="array" ref="P256">IsURL(Table_121215[[#This Row],[Data Source]])</f>
        <v/>
      </c>
      <c r="Q256">
        <f t="array" ref="Q256">IsURL(Table_121215[[#This Row],[Data Source]])</f>
        <v/>
      </c>
    </row>
    <row r="257" ht="15.75" customHeight="1">
      <c r="A257">
        <f>IF(Table_1[[#This Row],[Part Name]]=0,"",Table_1[[#This Row],[Part Name]])</f>
        <v/>
      </c>
      <c r="C257" s="32" t="n"/>
      <c r="J257">
        <f>LEN(TRIM(CLEAN(SUBSTITUTE(SUBSTITUTE(Table_1[[#This Row],[Sequence]],CHAR(160)," ")," ",""))))</f>
        <v/>
      </c>
      <c r="L257" s="21" t="n"/>
      <c r="M257" s="21">
        <f>IF($B257="","FALSE","TRUE")</f>
        <v/>
      </c>
      <c r="N257">
        <f t="array" ref="N257">IsURL(Table_121215[[#This Row],[Data Source]])</f>
        <v/>
      </c>
      <c r="O257">
        <f t="array" ref="O257">IsURL(Table_121215[[#This Row],[DOI]])</f>
        <v/>
      </c>
      <c r="P257">
        <f t="array" ref="P257">IsURL(Table_121215[[#This Row],[Data Source]])</f>
        <v/>
      </c>
      <c r="Q257">
        <f t="array" ref="Q257">IsURL(Table_121215[[#This Row],[Data Source]])</f>
        <v/>
      </c>
    </row>
    <row r="258" ht="15.75" customHeight="1">
      <c r="A258">
        <f>IF(Table_1[[#This Row],[Part Name]]=0,"",Table_1[[#This Row],[Part Name]])</f>
        <v/>
      </c>
      <c r="C258" s="32" t="n"/>
      <c r="J258">
        <f>LEN(TRIM(CLEAN(SUBSTITUTE(SUBSTITUTE(Table_1[[#This Row],[Sequence]],CHAR(160)," ")," ",""))))</f>
        <v/>
      </c>
      <c r="L258" s="21" t="n"/>
      <c r="M258" s="21">
        <f>IF($B258="","FALSE","TRUE")</f>
        <v/>
      </c>
      <c r="N258">
        <f t="array" ref="N258">IsURL(Table_121215[[#This Row],[Data Source]])</f>
        <v/>
      </c>
      <c r="O258">
        <f t="array" ref="O258">IsURL(Table_121215[[#This Row],[DOI]])</f>
        <v/>
      </c>
      <c r="P258">
        <f t="array" ref="P258">IsURL(Table_121215[[#This Row],[Data Source]])</f>
        <v/>
      </c>
      <c r="Q258">
        <f t="array" ref="Q258">IsURL(Table_121215[[#This Row],[Data Source]])</f>
        <v/>
      </c>
    </row>
    <row r="259" ht="15.75" customHeight="1">
      <c r="A259">
        <f>IF(Table_1[[#This Row],[Part Name]]=0,"",Table_1[[#This Row],[Part Name]])</f>
        <v/>
      </c>
      <c r="C259" s="32" t="n"/>
      <c r="J259">
        <f>LEN(TRIM(CLEAN(SUBSTITUTE(SUBSTITUTE(Table_1[[#This Row],[Sequence]],CHAR(160)," ")," ",""))))</f>
        <v/>
      </c>
      <c r="L259" s="21" t="n"/>
      <c r="M259" s="21">
        <f>IF($B259="","FALSE","TRUE")</f>
        <v/>
      </c>
      <c r="N259">
        <f t="array" ref="N259">IsURL(Table_121215[[#This Row],[Data Source]])</f>
        <v/>
      </c>
      <c r="O259">
        <f t="array" ref="O259">IsURL(Table_121215[[#This Row],[DOI]])</f>
        <v/>
      </c>
      <c r="P259">
        <f t="array" ref="P259">IsURL(Table_121215[[#This Row],[Data Source]])</f>
        <v/>
      </c>
      <c r="Q259">
        <f t="array" ref="Q259">IsURL(Table_121215[[#This Row],[Data Source]])</f>
        <v/>
      </c>
    </row>
    <row r="260" ht="15.75" customHeight="1">
      <c r="A260">
        <f>IF(Table_1[[#This Row],[Part Name]]=0,"",Table_1[[#This Row],[Part Name]])</f>
        <v/>
      </c>
      <c r="C260" s="32" t="n"/>
      <c r="J260">
        <f>LEN(TRIM(CLEAN(SUBSTITUTE(SUBSTITUTE(Table_1[[#This Row],[Sequence]],CHAR(160)," ")," ",""))))</f>
        <v/>
      </c>
      <c r="L260" s="21" t="n"/>
      <c r="M260" s="21">
        <f>IF($B260="","FALSE","TRUE")</f>
        <v/>
      </c>
      <c r="N260">
        <f t="array" ref="N260">IsURL(Table_121215[[#This Row],[Data Source]])</f>
        <v/>
      </c>
      <c r="O260">
        <f t="array" ref="O260">IsURL(Table_121215[[#This Row],[DOI]])</f>
        <v/>
      </c>
      <c r="P260">
        <f t="array" ref="P260">IsURL(Table_121215[[#This Row],[Data Source]])</f>
        <v/>
      </c>
      <c r="Q260">
        <f t="array" ref="Q260">IsURL(Table_121215[[#This Row],[Data Source]])</f>
        <v/>
      </c>
    </row>
    <row r="261" ht="15.75" customHeight="1">
      <c r="A261">
        <f>IF(Table_1[[#This Row],[Part Name]]=0,"",Table_1[[#This Row],[Part Name]])</f>
        <v/>
      </c>
      <c r="C261" s="32" t="n"/>
      <c r="J261">
        <f>LEN(TRIM(CLEAN(SUBSTITUTE(SUBSTITUTE(Table_1[[#This Row],[Sequence]],CHAR(160)," ")," ",""))))</f>
        <v/>
      </c>
      <c r="L261" s="21" t="n"/>
      <c r="M261" s="21">
        <f>IF($B261="","FALSE","TRUE")</f>
        <v/>
      </c>
      <c r="N261">
        <f t="array" ref="N261">IsURL(Table_121215[[#This Row],[Data Source]])</f>
        <v/>
      </c>
      <c r="O261">
        <f t="array" ref="O261">IsURL(Table_121215[[#This Row],[DOI]])</f>
        <v/>
      </c>
      <c r="P261">
        <f t="array" ref="P261">IsURL(Table_121215[[#This Row],[Data Source]])</f>
        <v/>
      </c>
      <c r="Q261">
        <f t="array" ref="Q261">IsURL(Table_121215[[#This Row],[Data Source]])</f>
        <v/>
      </c>
    </row>
    <row r="262" ht="15.75" customHeight="1">
      <c r="A262">
        <f>IF(Table_1[[#This Row],[Part Name]]=0,"",Table_1[[#This Row],[Part Name]])</f>
        <v/>
      </c>
      <c r="C262" s="32" t="n"/>
      <c r="J262">
        <f>LEN(TRIM(CLEAN(SUBSTITUTE(SUBSTITUTE(Table_1[[#This Row],[Sequence]],CHAR(160)," ")," ",""))))</f>
        <v/>
      </c>
      <c r="L262" s="21" t="n"/>
      <c r="M262" s="21">
        <f>IF($B262="","FALSE","TRUE")</f>
        <v/>
      </c>
      <c r="N262">
        <f t="array" ref="N262">IsURL(Table_121215[[#This Row],[Data Source]])</f>
        <v/>
      </c>
      <c r="O262">
        <f t="array" ref="O262">IsURL(Table_121215[[#This Row],[DOI]])</f>
        <v/>
      </c>
      <c r="P262">
        <f t="array" ref="P262">IsURL(Table_121215[[#This Row],[Data Source]])</f>
        <v/>
      </c>
      <c r="Q262">
        <f t="array" ref="Q262">IsURL(Table_121215[[#This Row],[Data Source]])</f>
        <v/>
      </c>
    </row>
    <row r="263" ht="15.75" customHeight="1">
      <c r="A263">
        <f>IF(Table_1[[#This Row],[Part Name]]=0,"",Table_1[[#This Row],[Part Name]])</f>
        <v/>
      </c>
      <c r="C263" s="32" t="n"/>
      <c r="J263">
        <f>LEN(TRIM(CLEAN(SUBSTITUTE(SUBSTITUTE(Table_1[[#This Row],[Sequence]],CHAR(160)," ")," ",""))))</f>
        <v/>
      </c>
      <c r="L263" s="21" t="n"/>
      <c r="M263" s="21">
        <f>IF($B263="","FALSE","TRUE")</f>
        <v/>
      </c>
      <c r="N263">
        <f t="array" ref="N263">IsURL(Table_121215[[#This Row],[Data Source]])</f>
        <v/>
      </c>
      <c r="O263">
        <f t="array" ref="O263">IsURL(Table_121215[[#This Row],[DOI]])</f>
        <v/>
      </c>
      <c r="P263">
        <f t="array" ref="P263">IsURL(Table_121215[[#This Row],[Data Source]])</f>
        <v/>
      </c>
      <c r="Q263">
        <f t="array" ref="Q263">IsURL(Table_121215[[#This Row],[Data Source]])</f>
        <v/>
      </c>
    </row>
    <row r="264" ht="15.75" customHeight="1">
      <c r="A264">
        <f>IF(Table_1[[#This Row],[Part Name]]=0,"",Table_1[[#This Row],[Part Name]])</f>
        <v/>
      </c>
      <c r="C264" s="32" t="n"/>
      <c r="J264">
        <f>LEN(TRIM(CLEAN(SUBSTITUTE(SUBSTITUTE(Table_1[[#This Row],[Sequence]],CHAR(160)," ")," ",""))))</f>
        <v/>
      </c>
      <c r="L264" s="21" t="n"/>
      <c r="M264" s="21">
        <f>IF($B264="","FALSE","TRUE")</f>
        <v/>
      </c>
      <c r="N264">
        <f t="array" ref="N264">IsURL(Table_121215[[#This Row],[Data Source]])</f>
        <v/>
      </c>
      <c r="O264">
        <f t="array" ref="O264">IsURL(Table_121215[[#This Row],[DOI]])</f>
        <v/>
      </c>
      <c r="P264">
        <f t="array" ref="P264">IsURL(Table_121215[[#This Row],[Data Source]])</f>
        <v/>
      </c>
      <c r="Q264">
        <f t="array" ref="Q264">IsURL(Table_121215[[#This Row],[Data Source]])</f>
        <v/>
      </c>
    </row>
    <row r="265" ht="15.75" customHeight="1">
      <c r="A265">
        <f>IF(Table_1[[#This Row],[Part Name]]=0,"",Table_1[[#This Row],[Part Name]])</f>
        <v/>
      </c>
      <c r="C265" s="32" t="n"/>
      <c r="J265">
        <f>LEN(TRIM(CLEAN(SUBSTITUTE(SUBSTITUTE(Table_1[[#This Row],[Sequence]],CHAR(160)," ")," ",""))))</f>
        <v/>
      </c>
      <c r="L265" s="21" t="n"/>
      <c r="M265" s="21">
        <f>IF($B265="","FALSE","TRUE")</f>
        <v/>
      </c>
      <c r="N265">
        <f t="array" ref="N265">IsURL(Table_121215[[#This Row],[Data Source]])</f>
        <v/>
      </c>
      <c r="O265">
        <f t="array" ref="O265">IsURL(Table_121215[[#This Row],[DOI]])</f>
        <v/>
      </c>
      <c r="P265">
        <f t="array" ref="P265">IsURL(Table_121215[[#This Row],[Data Source]])</f>
        <v/>
      </c>
      <c r="Q265">
        <f t="array" ref="Q265">IsURL(Table_121215[[#This Row],[Data Source]])</f>
        <v/>
      </c>
    </row>
    <row r="266" ht="15.75" customHeight="1">
      <c r="A266">
        <f>IF(Table_1[[#This Row],[Part Name]]=0,"",Table_1[[#This Row],[Part Name]])</f>
        <v/>
      </c>
      <c r="C266" s="32" t="n"/>
      <c r="J266">
        <f>LEN(TRIM(CLEAN(SUBSTITUTE(SUBSTITUTE(Table_1[[#This Row],[Sequence]],CHAR(160)," ")," ",""))))</f>
        <v/>
      </c>
      <c r="L266" s="21" t="n"/>
      <c r="M266" s="21">
        <f>IF($B266="","FALSE","TRUE")</f>
        <v/>
      </c>
      <c r="N266">
        <f t="array" ref="N266">IsURL(Table_121215[[#This Row],[Data Source]])</f>
        <v/>
      </c>
      <c r="O266">
        <f t="array" ref="O266">IsURL(Table_121215[[#This Row],[DOI]])</f>
        <v/>
      </c>
      <c r="P266">
        <f t="array" ref="P266">IsURL(Table_121215[[#This Row],[Data Source]])</f>
        <v/>
      </c>
      <c r="Q266">
        <f t="array" ref="Q266">IsURL(Table_121215[[#This Row],[Data Source]])</f>
        <v/>
      </c>
    </row>
    <row r="267" ht="15.75" customHeight="1">
      <c r="A267">
        <f>IF(Table_1[[#This Row],[Part Name]]=0,"",Table_1[[#This Row],[Part Name]])</f>
        <v/>
      </c>
      <c r="C267" s="32" t="n"/>
      <c r="J267">
        <f>LEN(TRIM(CLEAN(SUBSTITUTE(SUBSTITUTE(Table_1[[#This Row],[Sequence]],CHAR(160)," ")," ",""))))</f>
        <v/>
      </c>
      <c r="L267" s="21" t="n"/>
      <c r="M267" s="21">
        <f>IF($B267="","FALSE","TRUE")</f>
        <v/>
      </c>
      <c r="N267">
        <f t="array" ref="N267">IsURL(Table_121215[[#This Row],[Data Source]])</f>
        <v/>
      </c>
      <c r="O267">
        <f t="array" ref="O267">IsURL(Table_121215[[#This Row],[DOI]])</f>
        <v/>
      </c>
      <c r="P267">
        <f t="array" ref="P267">IsURL(Table_121215[[#This Row],[Data Source]])</f>
        <v/>
      </c>
      <c r="Q267">
        <f t="array" ref="Q267">IsURL(Table_121215[[#This Row],[Data Source]])</f>
        <v/>
      </c>
    </row>
    <row r="268" ht="15.75" customHeight="1">
      <c r="A268">
        <f>IF(Table_1[[#This Row],[Part Name]]=0,"",Table_1[[#This Row],[Part Name]])</f>
        <v/>
      </c>
      <c r="C268" s="32" t="n"/>
      <c r="J268">
        <f>LEN(TRIM(CLEAN(SUBSTITUTE(SUBSTITUTE(Table_1[[#This Row],[Sequence]],CHAR(160)," ")," ",""))))</f>
        <v/>
      </c>
      <c r="L268" s="21" t="n"/>
      <c r="M268" s="21">
        <f>IF($B268="","FALSE","TRUE")</f>
        <v/>
      </c>
      <c r="N268">
        <f t="array" ref="N268">IsURL(Table_121215[[#This Row],[Data Source]])</f>
        <v/>
      </c>
      <c r="O268">
        <f t="array" ref="O268">IsURL(Table_121215[[#This Row],[DOI]])</f>
        <v/>
      </c>
      <c r="P268">
        <f t="array" ref="P268">IsURL(Table_121215[[#This Row],[Data Source]])</f>
        <v/>
      </c>
      <c r="Q268">
        <f t="array" ref="Q268">IsURL(Table_121215[[#This Row],[Data Source]])</f>
        <v/>
      </c>
    </row>
    <row r="269" ht="15.75" customHeight="1">
      <c r="A269">
        <f>IF(Table_1[[#This Row],[Part Name]]=0,"",Table_1[[#This Row],[Part Name]])</f>
        <v/>
      </c>
      <c r="C269" s="32" t="n"/>
      <c r="J269">
        <f>LEN(TRIM(CLEAN(SUBSTITUTE(SUBSTITUTE(Table_1[[#This Row],[Sequence]],CHAR(160)," ")," ",""))))</f>
        <v/>
      </c>
      <c r="L269" s="21" t="n"/>
      <c r="M269" s="21">
        <f>IF($B269="","FALSE","TRUE")</f>
        <v/>
      </c>
      <c r="N269">
        <f t="array" ref="N269">IsURL(Table_121215[[#This Row],[Data Source]])</f>
        <v/>
      </c>
      <c r="O269">
        <f t="array" ref="O269">IsURL(Table_121215[[#This Row],[DOI]])</f>
        <v/>
      </c>
      <c r="P269">
        <f t="array" ref="P269">IsURL(Table_121215[[#This Row],[Data Source]])</f>
        <v/>
      </c>
      <c r="Q269">
        <f t="array" ref="Q269">IsURL(Table_121215[[#This Row],[Data Source]])</f>
        <v/>
      </c>
    </row>
    <row r="270" ht="15.75" customHeight="1">
      <c r="A270">
        <f>IF(Table_1[[#This Row],[Part Name]]=0,"",Table_1[[#This Row],[Part Name]])</f>
        <v/>
      </c>
      <c r="C270" s="32" t="n"/>
      <c r="J270">
        <f>LEN(TRIM(CLEAN(SUBSTITUTE(SUBSTITUTE(Table_1[[#This Row],[Sequence]],CHAR(160)," ")," ",""))))</f>
        <v/>
      </c>
      <c r="L270" s="21" t="n"/>
      <c r="M270" s="21">
        <f>IF($B270="","FALSE","TRUE")</f>
        <v/>
      </c>
      <c r="N270">
        <f t="array" ref="N270">IsURL(Table_121215[[#This Row],[Data Source]])</f>
        <v/>
      </c>
      <c r="O270">
        <f t="array" ref="O270">IsURL(Table_121215[[#This Row],[DOI]])</f>
        <v/>
      </c>
      <c r="P270">
        <f t="array" ref="P270">IsURL(Table_121215[[#This Row],[Data Source]])</f>
        <v/>
      </c>
      <c r="Q270">
        <f t="array" ref="Q270">IsURL(Table_121215[[#This Row],[Data Source]])</f>
        <v/>
      </c>
    </row>
    <row r="271" ht="15.75" customHeight="1">
      <c r="A271">
        <f>IF(Table_1[[#This Row],[Part Name]]=0,"",Table_1[[#This Row],[Part Name]])</f>
        <v/>
      </c>
      <c r="C271" s="32" t="n"/>
      <c r="J271">
        <f>LEN(TRIM(CLEAN(SUBSTITUTE(SUBSTITUTE(Table_1[[#This Row],[Sequence]],CHAR(160)," ")," ",""))))</f>
        <v/>
      </c>
      <c r="L271" s="21" t="n"/>
      <c r="M271" s="21">
        <f>IF($B271="","FALSE","TRUE")</f>
        <v/>
      </c>
      <c r="N271">
        <f t="array" ref="N271">IsURL(Table_121215[[#This Row],[Data Source]])</f>
        <v/>
      </c>
      <c r="O271">
        <f t="array" ref="O271">IsURL(Table_121215[[#This Row],[DOI]])</f>
        <v/>
      </c>
      <c r="P271">
        <f t="array" ref="P271">IsURL(Table_121215[[#This Row],[Data Source]])</f>
        <v/>
      </c>
      <c r="Q271">
        <f t="array" ref="Q271">IsURL(Table_121215[[#This Row],[Data Source]])</f>
        <v/>
      </c>
    </row>
    <row r="272" ht="15.75" customHeight="1">
      <c r="A272">
        <f>IF(Table_1[[#This Row],[Part Name]]=0,"",Table_1[[#This Row],[Part Name]])</f>
        <v/>
      </c>
      <c r="C272" s="32" t="n"/>
      <c r="J272">
        <f>LEN(TRIM(CLEAN(SUBSTITUTE(SUBSTITUTE(Table_1[[#This Row],[Sequence]],CHAR(160)," ")," ",""))))</f>
        <v/>
      </c>
      <c r="L272" s="21" t="n"/>
      <c r="M272" s="21">
        <f>IF($B272="","FALSE","TRUE")</f>
        <v/>
      </c>
      <c r="N272">
        <f t="array" ref="N272">IsURL(Table_121215[[#This Row],[Data Source]])</f>
        <v/>
      </c>
      <c r="O272">
        <f t="array" ref="O272">IsURL(Table_121215[[#This Row],[DOI]])</f>
        <v/>
      </c>
      <c r="P272">
        <f t="array" ref="P272">IsURL(Table_121215[[#This Row],[Data Source]])</f>
        <v/>
      </c>
      <c r="Q272">
        <f t="array" ref="Q272">IsURL(Table_121215[[#This Row],[Data Source]])</f>
        <v/>
      </c>
    </row>
    <row r="273" ht="15.75" customHeight="1">
      <c r="A273">
        <f>IF(Table_1[[#This Row],[Part Name]]=0,"",Table_1[[#This Row],[Part Name]])</f>
        <v/>
      </c>
      <c r="C273" s="32" t="n"/>
      <c r="J273">
        <f>LEN(TRIM(CLEAN(SUBSTITUTE(SUBSTITUTE(Table_1[[#This Row],[Sequence]],CHAR(160)," ")," ",""))))</f>
        <v/>
      </c>
      <c r="L273" s="21" t="n"/>
      <c r="M273" s="21">
        <f>IF($B273="","FALSE","TRUE")</f>
        <v/>
      </c>
      <c r="N273">
        <f t="array" ref="N273">IsURL(Table_121215[[#This Row],[Data Source]])</f>
        <v/>
      </c>
      <c r="O273">
        <f t="array" ref="O273">IsURL(Table_121215[[#This Row],[DOI]])</f>
        <v/>
      </c>
      <c r="P273">
        <f t="array" ref="P273">IsURL(Table_121215[[#This Row],[Data Source]])</f>
        <v/>
      </c>
      <c r="Q273">
        <f t="array" ref="Q273">IsURL(Table_121215[[#This Row],[Data Source]])</f>
        <v/>
      </c>
    </row>
    <row r="274" ht="15.75" customHeight="1">
      <c r="A274">
        <f>IF(Table_1[[#This Row],[Part Name]]=0,"",Table_1[[#This Row],[Part Name]])</f>
        <v/>
      </c>
      <c r="C274" s="32" t="n"/>
      <c r="J274">
        <f>LEN(TRIM(CLEAN(SUBSTITUTE(SUBSTITUTE(Table_1[[#This Row],[Sequence]],CHAR(160)," ")," ",""))))</f>
        <v/>
      </c>
      <c r="L274" s="21" t="n"/>
      <c r="M274" s="21">
        <f>IF($B274="","FALSE","TRUE")</f>
        <v/>
      </c>
      <c r="N274">
        <f t="array" ref="N274">IsURL(Table_121215[[#This Row],[Data Source]])</f>
        <v/>
      </c>
      <c r="O274">
        <f t="array" ref="O274">IsURL(Table_121215[[#This Row],[DOI]])</f>
        <v/>
      </c>
      <c r="P274">
        <f t="array" ref="P274">IsURL(Table_121215[[#This Row],[Data Source]])</f>
        <v/>
      </c>
      <c r="Q274">
        <f t="array" ref="Q274">IsURL(Table_121215[[#This Row],[Data Source]])</f>
        <v/>
      </c>
    </row>
    <row r="275" ht="15.75" customHeight="1">
      <c r="A275">
        <f>IF(Table_1[[#This Row],[Part Name]]=0,"",Table_1[[#This Row],[Part Name]])</f>
        <v/>
      </c>
      <c r="C275" s="32" t="n"/>
      <c r="J275">
        <f>LEN(TRIM(CLEAN(SUBSTITUTE(SUBSTITUTE(Table_1[[#This Row],[Sequence]],CHAR(160)," ")," ",""))))</f>
        <v/>
      </c>
      <c r="L275" s="21" t="n"/>
      <c r="M275" s="21">
        <f>IF($B275="","FALSE","TRUE")</f>
        <v/>
      </c>
      <c r="N275">
        <f t="array" ref="N275">IsURL(Table_121215[[#This Row],[Data Source]])</f>
        <v/>
      </c>
      <c r="O275">
        <f t="array" ref="O275">IsURL(Table_121215[[#This Row],[DOI]])</f>
        <v/>
      </c>
      <c r="P275">
        <f t="array" ref="P275">IsURL(Table_121215[[#This Row],[Data Source]])</f>
        <v/>
      </c>
      <c r="Q275">
        <f t="array" ref="Q275">IsURL(Table_121215[[#This Row],[Data Source]])</f>
        <v/>
      </c>
    </row>
    <row r="276" ht="15.75" customHeight="1">
      <c r="A276">
        <f>IF(Table_1[[#This Row],[Part Name]]=0,"",Table_1[[#This Row],[Part Name]])</f>
        <v/>
      </c>
      <c r="C276" s="32" t="n"/>
      <c r="J276">
        <f>LEN(TRIM(CLEAN(SUBSTITUTE(SUBSTITUTE(Table_1[[#This Row],[Sequence]],CHAR(160)," ")," ",""))))</f>
        <v/>
      </c>
      <c r="L276" s="21" t="n"/>
      <c r="M276" s="21">
        <f>IF($B276="","FALSE","TRUE")</f>
        <v/>
      </c>
      <c r="N276">
        <f t="array" ref="N276">IsURL(Table_121215[[#This Row],[Data Source]])</f>
        <v/>
      </c>
      <c r="O276">
        <f t="array" ref="O276">IsURL(Table_121215[[#This Row],[DOI]])</f>
        <v/>
      </c>
      <c r="P276">
        <f t="array" ref="P276">IsURL(Table_121215[[#This Row],[Data Source]])</f>
        <v/>
      </c>
      <c r="Q276">
        <f t="array" ref="Q276">IsURL(Table_121215[[#This Row],[Data Source]])</f>
        <v/>
      </c>
    </row>
    <row r="277" ht="15.75" customHeight="1">
      <c r="A277">
        <f>IF(Table_1[[#This Row],[Part Name]]=0,"",Table_1[[#This Row],[Part Name]])</f>
        <v/>
      </c>
      <c r="C277" s="32" t="n"/>
      <c r="J277">
        <f>LEN(TRIM(CLEAN(SUBSTITUTE(SUBSTITUTE(Table_1[[#This Row],[Sequence]],CHAR(160)," ")," ",""))))</f>
        <v/>
      </c>
      <c r="L277" s="21" t="n"/>
      <c r="M277" s="21">
        <f>IF($B277="","FALSE","TRUE")</f>
        <v/>
      </c>
      <c r="N277">
        <f t="array" ref="N277">IsURL(Table_121215[[#This Row],[Data Source]])</f>
        <v/>
      </c>
      <c r="O277">
        <f t="array" ref="O277">IsURL(Table_121215[[#This Row],[DOI]])</f>
        <v/>
      </c>
      <c r="P277">
        <f t="array" ref="P277">IsURL(Table_121215[[#This Row],[Data Source]])</f>
        <v/>
      </c>
      <c r="Q277">
        <f t="array" ref="Q277">IsURL(Table_121215[[#This Row],[Data Source]])</f>
        <v/>
      </c>
    </row>
    <row r="278" ht="15.75" customHeight="1">
      <c r="A278">
        <f>IF(Table_1[[#This Row],[Part Name]]=0,"",Table_1[[#This Row],[Part Name]])</f>
        <v/>
      </c>
      <c r="C278" s="32" t="n"/>
      <c r="J278">
        <f>LEN(TRIM(CLEAN(SUBSTITUTE(SUBSTITUTE(Table_1[[#This Row],[Sequence]],CHAR(160)," ")," ",""))))</f>
        <v/>
      </c>
      <c r="L278" s="21" t="n"/>
      <c r="M278" s="21">
        <f>IF($B278="","FALSE","TRUE")</f>
        <v/>
      </c>
      <c r="N278">
        <f t="array" ref="N278">IsURL(Table_121215[[#This Row],[Data Source]])</f>
        <v/>
      </c>
      <c r="O278">
        <f t="array" ref="O278">IsURL(Table_121215[[#This Row],[DOI]])</f>
        <v/>
      </c>
      <c r="P278">
        <f t="array" ref="P278">IsURL(Table_121215[[#This Row],[Data Source]])</f>
        <v/>
      </c>
      <c r="Q278">
        <f t="array" ref="Q278">IsURL(Table_121215[[#This Row],[Data Source]])</f>
        <v/>
      </c>
    </row>
    <row r="279" ht="15.75" customHeight="1">
      <c r="A279">
        <f>IF(Table_1[[#This Row],[Part Name]]=0,"",Table_1[[#This Row],[Part Name]])</f>
        <v/>
      </c>
      <c r="C279" s="32" t="n"/>
      <c r="J279">
        <f>LEN(TRIM(CLEAN(SUBSTITUTE(SUBSTITUTE(Table_1[[#This Row],[Sequence]],CHAR(160)," ")," ",""))))</f>
        <v/>
      </c>
      <c r="L279" s="21" t="n"/>
      <c r="M279" s="21">
        <f>IF($B279="","FALSE","TRUE")</f>
        <v/>
      </c>
      <c r="N279">
        <f t="array" ref="N279">IsURL(Table_121215[[#This Row],[Data Source]])</f>
        <v/>
      </c>
      <c r="O279">
        <f t="array" ref="O279">IsURL(Table_121215[[#This Row],[DOI]])</f>
        <v/>
      </c>
      <c r="P279">
        <f t="array" ref="P279">IsURL(Table_121215[[#This Row],[Data Source]])</f>
        <v/>
      </c>
      <c r="Q279">
        <f t="array" ref="Q279">IsURL(Table_121215[[#This Row],[Data Source]])</f>
        <v/>
      </c>
    </row>
    <row r="280" ht="15.75" customHeight="1">
      <c r="A280">
        <f>IF(Table_1[[#This Row],[Part Name]]=0,"",Table_1[[#This Row],[Part Name]])</f>
        <v/>
      </c>
      <c r="C280" s="32" t="n"/>
      <c r="J280">
        <f>LEN(TRIM(CLEAN(SUBSTITUTE(SUBSTITUTE(Table_1[[#This Row],[Sequence]],CHAR(160)," ")," ",""))))</f>
        <v/>
      </c>
      <c r="L280" s="21" t="n"/>
      <c r="M280" s="21">
        <f>IF($B280="","FALSE","TRUE")</f>
        <v/>
      </c>
      <c r="N280">
        <f t="array" ref="N280">IsURL(Table_121215[[#This Row],[Data Source]])</f>
        <v/>
      </c>
      <c r="O280">
        <f t="array" ref="O280">IsURL(Table_121215[[#This Row],[DOI]])</f>
        <v/>
      </c>
      <c r="P280">
        <f t="array" ref="P280">IsURL(Table_121215[[#This Row],[Data Source]])</f>
        <v/>
      </c>
      <c r="Q280">
        <f t="array" ref="Q280">IsURL(Table_121215[[#This Row],[Data Source]])</f>
        <v/>
      </c>
    </row>
    <row r="281" ht="15.75" customHeight="1">
      <c r="A281">
        <f>IF(Table_1[[#This Row],[Part Name]]=0,"",Table_1[[#This Row],[Part Name]])</f>
        <v/>
      </c>
      <c r="C281" s="32" t="n"/>
      <c r="J281">
        <f>LEN(TRIM(CLEAN(SUBSTITUTE(SUBSTITUTE(Table_1[[#This Row],[Sequence]],CHAR(160)," ")," ",""))))</f>
        <v/>
      </c>
      <c r="L281" s="21" t="n"/>
      <c r="M281" s="21">
        <f>IF($B281="","FALSE","TRUE")</f>
        <v/>
      </c>
      <c r="N281">
        <f t="array" ref="N281">IsURL(Table_121215[[#This Row],[Data Source]])</f>
        <v/>
      </c>
      <c r="O281">
        <f t="array" ref="O281">IsURL(Table_121215[[#This Row],[DOI]])</f>
        <v/>
      </c>
      <c r="P281">
        <f t="array" ref="P281">IsURL(Table_121215[[#This Row],[Data Source]])</f>
        <v/>
      </c>
      <c r="Q281">
        <f t="array" ref="Q281">IsURL(Table_121215[[#This Row],[Data Source]])</f>
        <v/>
      </c>
    </row>
    <row r="282" ht="15.75" customHeight="1">
      <c r="A282">
        <f>IF(Table_1[[#This Row],[Part Name]]=0,"",Table_1[[#This Row],[Part Name]])</f>
        <v/>
      </c>
      <c r="C282" s="32" t="n"/>
      <c r="J282">
        <f>LEN(TRIM(CLEAN(SUBSTITUTE(SUBSTITUTE(Table_1[[#This Row],[Sequence]],CHAR(160)," ")," ",""))))</f>
        <v/>
      </c>
      <c r="L282" s="21" t="n"/>
      <c r="M282" s="21">
        <f>IF($B282="","FALSE","TRUE")</f>
        <v/>
      </c>
      <c r="N282">
        <f t="array" ref="N282">IsURL(Table_121215[[#This Row],[Data Source]])</f>
        <v/>
      </c>
      <c r="O282">
        <f t="array" ref="O282">IsURL(Table_121215[[#This Row],[DOI]])</f>
        <v/>
      </c>
      <c r="P282">
        <f t="array" ref="P282">IsURL(Table_121215[[#This Row],[Data Source]])</f>
        <v/>
      </c>
      <c r="Q282">
        <f t="array" ref="Q282">IsURL(Table_121215[[#This Row],[Data Source]])</f>
        <v/>
      </c>
    </row>
    <row r="283" ht="15.75" customHeight="1">
      <c r="A283">
        <f>IF(Table_1[[#This Row],[Part Name]]=0,"",Table_1[[#This Row],[Part Name]])</f>
        <v/>
      </c>
      <c r="C283" s="32" t="n"/>
      <c r="J283">
        <f>LEN(TRIM(CLEAN(SUBSTITUTE(SUBSTITUTE(Table_1[[#This Row],[Sequence]],CHAR(160)," ")," ",""))))</f>
        <v/>
      </c>
      <c r="L283" s="21" t="n"/>
      <c r="M283" s="21">
        <f>IF($B283="","FALSE","TRUE")</f>
        <v/>
      </c>
      <c r="N283">
        <f t="array" ref="N283">IsURL(Table_121215[[#This Row],[Data Source]])</f>
        <v/>
      </c>
      <c r="O283">
        <f t="array" ref="O283">IsURL(Table_121215[[#This Row],[DOI]])</f>
        <v/>
      </c>
      <c r="P283">
        <f t="array" ref="P283">IsURL(Table_121215[[#This Row],[Data Source]])</f>
        <v/>
      </c>
      <c r="Q283">
        <f t="array" ref="Q283">IsURL(Table_121215[[#This Row],[Data Source]])</f>
        <v/>
      </c>
    </row>
    <row r="284" ht="15.75" customHeight="1">
      <c r="A284">
        <f>IF(Table_1[[#This Row],[Part Name]]=0,"",Table_1[[#This Row],[Part Name]])</f>
        <v/>
      </c>
      <c r="C284" s="32" t="n"/>
      <c r="J284">
        <f>LEN(TRIM(CLEAN(SUBSTITUTE(SUBSTITUTE(Table_1[[#This Row],[Sequence]],CHAR(160)," ")," ",""))))</f>
        <v/>
      </c>
      <c r="L284" s="21" t="n"/>
      <c r="M284" s="21">
        <f>IF($B284="","FALSE","TRUE")</f>
        <v/>
      </c>
      <c r="N284">
        <f t="array" ref="N284">IsURL(Table_121215[[#This Row],[Data Source]])</f>
        <v/>
      </c>
      <c r="O284">
        <f t="array" ref="O284">IsURL(Table_121215[[#This Row],[DOI]])</f>
        <v/>
      </c>
      <c r="P284">
        <f t="array" ref="P284">IsURL(Table_121215[[#This Row],[Data Source]])</f>
        <v/>
      </c>
      <c r="Q284">
        <f t="array" ref="Q284">IsURL(Table_121215[[#This Row],[Data Source]])</f>
        <v/>
      </c>
    </row>
    <row r="285" ht="15.75" customHeight="1">
      <c r="A285">
        <f>IF(Table_1[[#This Row],[Part Name]]=0,"",Table_1[[#This Row],[Part Name]])</f>
        <v/>
      </c>
      <c r="C285" s="32" t="n"/>
      <c r="J285">
        <f>LEN(TRIM(CLEAN(SUBSTITUTE(SUBSTITUTE(Table_1[[#This Row],[Sequence]],CHAR(160)," ")," ",""))))</f>
        <v/>
      </c>
      <c r="L285" s="21" t="n"/>
      <c r="M285" s="21">
        <f>IF($B285="","FALSE","TRUE")</f>
        <v/>
      </c>
      <c r="N285">
        <f t="array" ref="N285">IsURL(Table_121215[[#This Row],[Data Source]])</f>
        <v/>
      </c>
      <c r="O285">
        <f t="array" ref="O285">IsURL(Table_121215[[#This Row],[DOI]])</f>
        <v/>
      </c>
      <c r="P285">
        <f t="array" ref="P285">IsURL(Table_121215[[#This Row],[Data Source]])</f>
        <v/>
      </c>
      <c r="Q285">
        <f t="array" ref="Q285">IsURL(Table_121215[[#This Row],[Data Source]])</f>
        <v/>
      </c>
    </row>
    <row r="286" ht="15.75" customHeight="1">
      <c r="A286">
        <f>IF(Table_1[[#This Row],[Part Name]]=0,"",Table_1[[#This Row],[Part Name]])</f>
        <v/>
      </c>
      <c r="C286" s="32" t="n"/>
      <c r="J286">
        <f>LEN(TRIM(CLEAN(SUBSTITUTE(SUBSTITUTE(Table_1[[#This Row],[Sequence]],CHAR(160)," ")," ",""))))</f>
        <v/>
      </c>
      <c r="L286" s="21" t="n"/>
      <c r="M286" s="21">
        <f>IF($B286="","FALSE","TRUE")</f>
        <v/>
      </c>
      <c r="N286">
        <f t="array" ref="N286">IsURL(Table_121215[[#This Row],[Data Source]])</f>
        <v/>
      </c>
      <c r="O286">
        <f t="array" ref="O286">IsURL(Table_121215[[#This Row],[DOI]])</f>
        <v/>
      </c>
      <c r="P286">
        <f t="array" ref="P286">IsURL(Table_121215[[#This Row],[Data Source]])</f>
        <v/>
      </c>
      <c r="Q286">
        <f t="array" ref="Q286">IsURL(Table_121215[[#This Row],[Data Source]])</f>
        <v/>
      </c>
    </row>
    <row r="287" ht="15.75" customHeight="1">
      <c r="A287">
        <f>IF(Table_1[[#This Row],[Part Name]]=0,"",Table_1[[#This Row],[Part Name]])</f>
        <v/>
      </c>
      <c r="C287" s="32" t="n"/>
      <c r="J287">
        <f>LEN(TRIM(CLEAN(SUBSTITUTE(SUBSTITUTE(Table_1[[#This Row],[Sequence]],CHAR(160)," ")," ",""))))</f>
        <v/>
      </c>
      <c r="L287" s="21" t="n"/>
      <c r="M287" s="21">
        <f>IF($B287="","FALSE","TRUE")</f>
        <v/>
      </c>
      <c r="N287">
        <f t="array" ref="N287">IsURL(Table_121215[[#This Row],[Data Source]])</f>
        <v/>
      </c>
      <c r="O287">
        <f t="array" ref="O287">IsURL(Table_121215[[#This Row],[DOI]])</f>
        <v/>
      </c>
      <c r="P287">
        <f t="array" ref="P287">IsURL(Table_121215[[#This Row],[Data Source]])</f>
        <v/>
      </c>
      <c r="Q287">
        <f t="array" ref="Q287">IsURL(Table_121215[[#This Row],[Data Source]])</f>
        <v/>
      </c>
    </row>
    <row r="288" ht="15.75" customHeight="1">
      <c r="A288">
        <f>IF(Table_1[[#This Row],[Part Name]]=0,"",Table_1[[#This Row],[Part Name]])</f>
        <v/>
      </c>
      <c r="C288" s="32" t="n"/>
      <c r="J288">
        <f>LEN(TRIM(CLEAN(SUBSTITUTE(SUBSTITUTE(Table_1[[#This Row],[Sequence]],CHAR(160)," ")," ",""))))</f>
        <v/>
      </c>
      <c r="L288" s="21" t="n"/>
      <c r="M288" s="21">
        <f>IF($B288="","FALSE","TRUE")</f>
        <v/>
      </c>
      <c r="N288">
        <f t="array" ref="N288">IsURL(Table_121215[[#This Row],[Data Source]])</f>
        <v/>
      </c>
      <c r="O288">
        <f t="array" ref="O288">IsURL(Table_121215[[#This Row],[DOI]])</f>
        <v/>
      </c>
      <c r="P288">
        <f t="array" ref="P288">IsURL(Table_121215[[#This Row],[Data Source]])</f>
        <v/>
      </c>
      <c r="Q288">
        <f t="array" ref="Q288">IsURL(Table_121215[[#This Row],[Data Source]])</f>
        <v/>
      </c>
    </row>
    <row r="289" ht="15.75" customHeight="1">
      <c r="A289">
        <f>IF(Table_1[[#This Row],[Part Name]]=0,"",Table_1[[#This Row],[Part Name]])</f>
        <v/>
      </c>
      <c r="C289" s="32" t="n"/>
      <c r="J289">
        <f>LEN(TRIM(CLEAN(SUBSTITUTE(SUBSTITUTE(Table_1[[#This Row],[Sequence]],CHAR(160)," ")," ",""))))</f>
        <v/>
      </c>
      <c r="L289" s="21" t="n"/>
      <c r="M289" s="21">
        <f>IF($B289="","FALSE","TRUE")</f>
        <v/>
      </c>
      <c r="N289">
        <f t="array" ref="N289">IsURL(Table_121215[[#This Row],[Data Source]])</f>
        <v/>
      </c>
      <c r="O289">
        <f t="array" ref="O289">IsURL(Table_121215[[#This Row],[DOI]])</f>
        <v/>
      </c>
      <c r="P289">
        <f t="array" ref="P289">IsURL(Table_121215[[#This Row],[Data Source]])</f>
        <v/>
      </c>
      <c r="Q289">
        <f t="array" ref="Q289">IsURL(Table_121215[[#This Row],[Data Source]])</f>
        <v/>
      </c>
    </row>
    <row r="290" ht="15.75" customHeight="1">
      <c r="A290">
        <f>IF(Table_1[[#This Row],[Part Name]]=0,"",Table_1[[#This Row],[Part Name]])</f>
        <v/>
      </c>
      <c r="C290" s="32" t="n"/>
      <c r="J290">
        <f>LEN(TRIM(CLEAN(SUBSTITUTE(SUBSTITUTE(Table_1[[#This Row],[Sequence]],CHAR(160)," ")," ",""))))</f>
        <v/>
      </c>
      <c r="L290" s="21" t="n"/>
      <c r="M290" s="21">
        <f>IF($B290="","FALSE","TRUE")</f>
        <v/>
      </c>
      <c r="N290">
        <f t="array" ref="N290">IsURL(Table_121215[[#This Row],[Data Source]])</f>
        <v/>
      </c>
      <c r="O290">
        <f t="array" ref="O290">IsURL(Table_121215[[#This Row],[DOI]])</f>
        <v/>
      </c>
      <c r="P290">
        <f t="array" ref="P290">IsURL(Table_121215[[#This Row],[Data Source]])</f>
        <v/>
      </c>
      <c r="Q290">
        <f t="array" ref="Q290">IsURL(Table_121215[[#This Row],[Data Source]])</f>
        <v/>
      </c>
    </row>
    <row r="291" ht="15.75" customHeight="1">
      <c r="A291">
        <f>IF(Table_1[[#This Row],[Part Name]]=0,"",Table_1[[#This Row],[Part Name]])</f>
        <v/>
      </c>
      <c r="C291" s="32" t="n"/>
      <c r="J291">
        <f>LEN(TRIM(CLEAN(SUBSTITUTE(SUBSTITUTE(Table_1[[#This Row],[Sequence]],CHAR(160)," ")," ",""))))</f>
        <v/>
      </c>
      <c r="L291" s="21" t="n"/>
      <c r="M291" s="21">
        <f>IF($B291="","FALSE","TRUE")</f>
        <v/>
      </c>
      <c r="N291">
        <f t="array" ref="N291">IsURL(Table_121215[[#This Row],[Data Source]])</f>
        <v/>
      </c>
      <c r="O291">
        <f t="array" ref="O291">IsURL(Table_121215[[#This Row],[DOI]])</f>
        <v/>
      </c>
      <c r="P291">
        <f t="array" ref="P291">IsURL(Table_121215[[#This Row],[Data Source]])</f>
        <v/>
      </c>
      <c r="Q291">
        <f t="array" ref="Q291">IsURL(Table_121215[[#This Row],[Data Source]])</f>
        <v/>
      </c>
    </row>
    <row r="292" ht="15.75" customHeight="1">
      <c r="A292">
        <f>IF(Table_1[[#This Row],[Part Name]]=0,"",Table_1[[#This Row],[Part Name]])</f>
        <v/>
      </c>
      <c r="C292" s="32" t="n"/>
      <c r="J292">
        <f>LEN(TRIM(CLEAN(SUBSTITUTE(SUBSTITUTE(Table_1[[#This Row],[Sequence]],CHAR(160)," ")," ",""))))</f>
        <v/>
      </c>
      <c r="L292" s="21" t="n"/>
      <c r="M292" s="21">
        <f>IF($B292="","FALSE","TRUE")</f>
        <v/>
      </c>
      <c r="N292">
        <f t="array" ref="N292">IsURL(Table_121215[[#This Row],[Data Source]])</f>
        <v/>
      </c>
      <c r="O292">
        <f t="array" ref="O292">IsURL(Table_121215[[#This Row],[DOI]])</f>
        <v/>
      </c>
      <c r="P292">
        <f t="array" ref="P292">IsURL(Table_121215[[#This Row],[Data Source]])</f>
        <v/>
      </c>
      <c r="Q292">
        <f t="array" ref="Q292">IsURL(Table_121215[[#This Row],[Data Source]])</f>
        <v/>
      </c>
    </row>
    <row r="293" ht="15.75" customHeight="1">
      <c r="A293">
        <f>IF(Table_1[[#This Row],[Part Name]]=0,"",Table_1[[#This Row],[Part Name]])</f>
        <v/>
      </c>
      <c r="C293" s="32" t="n"/>
      <c r="J293">
        <f>LEN(TRIM(CLEAN(SUBSTITUTE(SUBSTITUTE(Table_1[[#This Row],[Sequence]],CHAR(160)," ")," ",""))))</f>
        <v/>
      </c>
      <c r="L293" s="21" t="n"/>
      <c r="M293" s="21">
        <f>IF($B293="","FALSE","TRUE")</f>
        <v/>
      </c>
      <c r="N293">
        <f t="array" ref="N293">IsURL(Table_121215[[#This Row],[Data Source]])</f>
        <v/>
      </c>
      <c r="O293">
        <f t="array" ref="O293">IsURL(Table_121215[[#This Row],[DOI]])</f>
        <v/>
      </c>
      <c r="P293">
        <f t="array" ref="P293">IsURL(Table_121215[[#This Row],[Data Source]])</f>
        <v/>
      </c>
      <c r="Q293">
        <f t="array" ref="Q293">IsURL(Table_121215[[#This Row],[Data Source]])</f>
        <v/>
      </c>
    </row>
    <row r="294" ht="15.75" customHeight="1">
      <c r="A294">
        <f>IF(Table_1[[#This Row],[Part Name]]=0,"",Table_1[[#This Row],[Part Name]])</f>
        <v/>
      </c>
      <c r="C294" s="32" t="n"/>
      <c r="J294">
        <f>LEN(TRIM(CLEAN(SUBSTITUTE(SUBSTITUTE(Table_1[[#This Row],[Sequence]],CHAR(160)," ")," ",""))))</f>
        <v/>
      </c>
      <c r="L294" s="21" t="n"/>
      <c r="M294" s="21">
        <f>IF($B294="","FALSE","TRUE")</f>
        <v/>
      </c>
      <c r="N294">
        <f t="array" ref="N294">IsURL(Table_121215[[#This Row],[Data Source]])</f>
        <v/>
      </c>
      <c r="O294">
        <f t="array" ref="O294">IsURL(Table_121215[[#This Row],[DOI]])</f>
        <v/>
      </c>
      <c r="P294">
        <f t="array" ref="P294">IsURL(Table_121215[[#This Row],[Data Source]])</f>
        <v/>
      </c>
      <c r="Q294">
        <f t="array" ref="Q294">IsURL(Table_121215[[#This Row],[Data Source]])</f>
        <v/>
      </c>
    </row>
    <row r="295" ht="15.75" customHeight="1">
      <c r="A295">
        <f>IF(Table_1[[#This Row],[Part Name]]=0,"",Table_1[[#This Row],[Part Name]])</f>
        <v/>
      </c>
      <c r="C295" s="32" t="n"/>
      <c r="J295">
        <f>LEN(TRIM(CLEAN(SUBSTITUTE(SUBSTITUTE(Table_1[[#This Row],[Sequence]],CHAR(160)," ")," ",""))))</f>
        <v/>
      </c>
      <c r="L295" s="21" t="n"/>
      <c r="M295" s="21">
        <f>IF($B295="","FALSE","TRUE")</f>
        <v/>
      </c>
      <c r="N295">
        <f t="array" ref="N295">IsURL(Table_121215[[#This Row],[Data Source]])</f>
        <v/>
      </c>
      <c r="O295">
        <f t="array" ref="O295">IsURL(Table_121215[[#This Row],[DOI]])</f>
        <v/>
      </c>
      <c r="P295">
        <f t="array" ref="P295">IsURL(Table_121215[[#This Row],[Data Source]])</f>
        <v/>
      </c>
      <c r="Q295">
        <f t="array" ref="Q295">IsURL(Table_121215[[#This Row],[Data Source]])</f>
        <v/>
      </c>
    </row>
    <row r="296" ht="15.75" customHeight="1">
      <c r="A296">
        <f>IF(Table_1[[#This Row],[Part Name]]=0,"",Table_1[[#This Row],[Part Name]])</f>
        <v/>
      </c>
      <c r="C296" s="32" t="n"/>
      <c r="J296">
        <f>LEN(TRIM(CLEAN(SUBSTITUTE(SUBSTITUTE(Table_1[[#This Row],[Sequence]],CHAR(160)," ")," ",""))))</f>
        <v/>
      </c>
      <c r="L296" s="21" t="n"/>
      <c r="M296" s="21">
        <f>IF($B296="","FALSE","TRUE")</f>
        <v/>
      </c>
      <c r="N296">
        <f t="array" ref="N296">IsURL(Table_121215[[#This Row],[Data Source]])</f>
        <v/>
      </c>
      <c r="O296">
        <f t="array" ref="O296">IsURL(Table_121215[[#This Row],[DOI]])</f>
        <v/>
      </c>
      <c r="P296">
        <f t="array" ref="P296">IsURL(Table_121215[[#This Row],[Data Source]])</f>
        <v/>
      </c>
      <c r="Q296">
        <f t="array" ref="Q296">IsURL(Table_121215[[#This Row],[Data Source]])</f>
        <v/>
      </c>
    </row>
    <row r="297" ht="15.75" customHeight="1">
      <c r="A297">
        <f>IF(Table_1[[#This Row],[Part Name]]=0,"",Table_1[[#This Row],[Part Name]])</f>
        <v/>
      </c>
      <c r="C297" s="32" t="n"/>
      <c r="J297">
        <f>LEN(TRIM(CLEAN(SUBSTITUTE(SUBSTITUTE(Table_1[[#This Row],[Sequence]],CHAR(160)," ")," ",""))))</f>
        <v/>
      </c>
      <c r="L297" s="21" t="n"/>
      <c r="M297" s="21">
        <f>IF($B297="","FALSE","TRUE")</f>
        <v/>
      </c>
      <c r="N297">
        <f t="array" ref="N297">IsURL(Table_121215[[#This Row],[Data Source]])</f>
        <v/>
      </c>
      <c r="O297">
        <f t="array" ref="O297">IsURL(Table_121215[[#This Row],[DOI]])</f>
        <v/>
      </c>
      <c r="P297">
        <f t="array" ref="P297">IsURL(Table_121215[[#This Row],[Data Source]])</f>
        <v/>
      </c>
      <c r="Q297">
        <f t="array" ref="Q297">IsURL(Table_121215[[#This Row],[Data Source]])</f>
        <v/>
      </c>
    </row>
    <row r="298" ht="15.75" customHeight="1">
      <c r="A298">
        <f>IF(Table_1[[#This Row],[Part Name]]=0,"",Table_1[[#This Row],[Part Name]])</f>
        <v/>
      </c>
      <c r="C298" s="32" t="n"/>
      <c r="J298">
        <f>LEN(TRIM(CLEAN(SUBSTITUTE(SUBSTITUTE(Table_1[[#This Row],[Sequence]],CHAR(160)," ")," ",""))))</f>
        <v/>
      </c>
      <c r="L298" s="21" t="n"/>
      <c r="M298" s="21">
        <f>IF($B298="","FALSE","TRUE")</f>
        <v/>
      </c>
      <c r="N298">
        <f t="array" ref="N298">IsURL(Table_121215[[#This Row],[Data Source]])</f>
        <v/>
      </c>
      <c r="O298">
        <f t="array" ref="O298">IsURL(Table_121215[[#This Row],[DOI]])</f>
        <v/>
      </c>
      <c r="P298">
        <f t="array" ref="P298">IsURL(Table_121215[[#This Row],[Data Source]])</f>
        <v/>
      </c>
      <c r="Q298">
        <f t="array" ref="Q298">IsURL(Table_121215[[#This Row],[Data Source]])</f>
        <v/>
      </c>
    </row>
    <row r="299" ht="15.75" customHeight="1">
      <c r="A299">
        <f>IF(Table_1[[#This Row],[Part Name]]=0,"",Table_1[[#This Row],[Part Name]])</f>
        <v/>
      </c>
      <c r="C299" s="32" t="n"/>
      <c r="J299">
        <f>LEN(TRIM(CLEAN(SUBSTITUTE(SUBSTITUTE(Table_1[[#This Row],[Sequence]],CHAR(160)," ")," ",""))))</f>
        <v/>
      </c>
      <c r="L299" s="21" t="n"/>
      <c r="M299" s="21">
        <f>IF($B299="","FALSE","TRUE")</f>
        <v/>
      </c>
      <c r="N299">
        <f t="array" ref="N299">IsURL(Table_121215[[#This Row],[Data Source]])</f>
        <v/>
      </c>
      <c r="O299">
        <f t="array" ref="O299">IsURL(Table_121215[[#This Row],[DOI]])</f>
        <v/>
      </c>
      <c r="P299">
        <f t="array" ref="P299">IsURL(Table_121215[[#This Row],[Data Source]])</f>
        <v/>
      </c>
      <c r="Q299">
        <f t="array" ref="Q299">IsURL(Table_121215[[#This Row],[Data Source]])</f>
        <v/>
      </c>
    </row>
    <row r="300" ht="15.75" customHeight="1">
      <c r="A300">
        <f>IF(Table_1[[#This Row],[Part Name]]=0,"",Table_1[[#This Row],[Part Name]])</f>
        <v/>
      </c>
      <c r="C300" s="32" t="n"/>
      <c r="J300">
        <f>LEN(TRIM(CLEAN(SUBSTITUTE(SUBSTITUTE(Table_1[[#This Row],[Sequence]],CHAR(160)," ")," ",""))))</f>
        <v/>
      </c>
      <c r="L300" s="21" t="n"/>
      <c r="M300" s="21">
        <f>IF($B300="","FALSE","TRUE")</f>
        <v/>
      </c>
      <c r="N300">
        <f t="array" ref="N300">IsURL(Table_121215[[#This Row],[Data Source]])</f>
        <v/>
      </c>
      <c r="O300">
        <f t="array" ref="O300">IsURL(Table_121215[[#This Row],[DOI]])</f>
        <v/>
      </c>
      <c r="P300">
        <f t="array" ref="P300">IsURL(Table_121215[[#This Row],[Data Source]])</f>
        <v/>
      </c>
      <c r="Q300">
        <f t="array" ref="Q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sheetData>
  <conditionalFormatting sqref="B5:B300">
    <cfRule type="expression" priority="4" dxfId="6" stopIfTrue="1">
      <formula>ISBLANK(B5)</formula>
    </cfRule>
  </conditionalFormatting>
  <conditionalFormatting sqref="K5:K300">
    <cfRule type="duplicateValues" priority="1" dxfId="6"/>
  </conditionalFormatting>
  <dataValidations count="2">
    <dataValidation sqref="M5:M300" showErrorMessage="1" showInputMessage="1" allowBlank="0" type="list">
      <formula1>"TRUE, FALSE"</formula1>
    </dataValidation>
    <dataValidation sqref="F5:F300" showErrorMessage="1" showInputMessage="1" allowBlank="0" errorTitle="Invalid URL" error="The URL entered seems to be invalid, please check again." type="custom">
      <formula1>#REF!</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10.xml><?xml version="1.0" encoding="utf-8"?>
<worksheet xmlns="http://schemas.openxmlformats.org/spreadsheetml/2006/main">
  <sheetPr codeName="Sheet7">
    <outlinePr summaryBelow="0"/>
    <pageSetUpPr/>
  </sheetPr>
  <dimension ref="A3:O301"/>
  <sheetViews>
    <sheetView topLeftCell="B1" zoomScale="125" workbookViewId="0">
      <selection activeCell="B1" sqref="B1"/>
    </sheetView>
  </sheetViews>
  <sheetFormatPr baseColWidth="10" defaultColWidth="8.6640625" defaultRowHeight="15"/>
  <cols>
    <col hidden="1" width="26.5" customWidth="1" min="1" max="1"/>
    <col width="18" bestFit="1" customWidth="1" min="2" max="2"/>
    <col width="26.83203125" bestFit="1" customWidth="1" min="3" max="3"/>
    <col width="23.5" bestFit="1" customWidth="1" min="4" max="4"/>
    <col width="16.83203125" bestFit="1" customWidth="1" min="5" max="5"/>
    <col width="15.1640625" bestFit="1" customWidth="1" min="6" max="6"/>
    <col width="8.83203125" bestFit="1" customWidth="1" min="7" max="7"/>
    <col width="14.83203125" bestFit="1" customWidth="1" min="8" max="8"/>
    <col width="14.6640625" bestFit="1" customWidth="1" min="9" max="9"/>
    <col width="8.83203125" bestFit="1" customWidth="1" min="10" max="10"/>
    <col width="11.83203125" bestFit="1" customWidth="1" min="11" max="11"/>
    <col hidden="1" width="27.83203125" customWidth="1" min="12" max="12"/>
    <col hidden="1" width="20.33203125" customWidth="1" min="13" max="13"/>
    <col hidden="1" width="27.83203125" customWidth="1" min="14" max="15"/>
    <col width="8.5" bestFit="1" customWidth="1" min="16" max="28"/>
    <col width="12.5" bestFit="1" customWidth="1" min="29" max="29"/>
  </cols>
  <sheetData>
    <row r="1" ht="15.75" customHeight="1"/>
    <row r="2" ht="15.75" customHeight="1"/>
    <row r="3" ht="15.75" customHeight="1">
      <c r="A3" t="inlineStr">
        <is>
          <t>This ID is used to reference the proteins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Automatically calculated length of the sequence pasted to the right. Use this column for checking there are no paste errors.</t>
        </is>
      </c>
      <c r="I3" t="inlineStr">
        <is>
          <t>The series of ATGCs that make up the part. Spaces can be used within the sequence but no other characters.</t>
        </is>
      </c>
      <c r="L3" s="22" t="inlineStr">
        <is>
          <t>DO NOT CHANGE</t>
        </is>
      </c>
      <c r="M3" s="22" t="inlineStr">
        <is>
          <t>DO NOT CHANGE</t>
        </is>
      </c>
      <c r="N3" s="22" t="inlineStr">
        <is>
          <t>DO NOT CHANGE</t>
        </is>
      </c>
      <c r="O3" s="22" t="inlineStr">
        <is>
          <t>DO NOT CHANGE</t>
        </is>
      </c>
    </row>
    <row r="4" ht="15.75" customHeight="1">
      <c r="A4" t="inlineStr">
        <is>
          <t>Protein ID</t>
        </is>
      </c>
      <c r="B4" t="inlineStr">
        <is>
          <t>Protein Name</t>
        </is>
      </c>
      <c r="C4" t="inlineStr">
        <is>
          <t>Previous Version (URI)</t>
        </is>
      </c>
      <c r="D4" t="inlineStr">
        <is>
          <t>Protein Description</t>
        </is>
      </c>
      <c r="E4" t="inlineStr">
        <is>
          <t>Data Source</t>
        </is>
      </c>
      <c r="F4" t="inlineStr">
        <is>
          <t>PubMed Id</t>
        </is>
      </c>
      <c r="G4" t="inlineStr">
        <is>
          <t>DOI</t>
        </is>
      </c>
      <c r="H4" t="inlineStr">
        <is>
          <t>length (aa)</t>
        </is>
      </c>
      <c r="I4" t="inlineStr">
        <is>
          <t>Sequence</t>
        </is>
      </c>
      <c r="J4" s="20" t="inlineStr">
        <is>
          <t>URI</t>
        </is>
      </c>
      <c r="K4" s="20" t="inlineStr">
        <is>
          <t>Update</t>
        </is>
      </c>
      <c r="L4" s="23" t="inlineStr">
        <is>
          <t>URL Checker - Data Source</t>
        </is>
      </c>
      <c r="M4" s="24" t="inlineStr">
        <is>
          <t>URL Checker - DOI</t>
        </is>
      </c>
      <c r="N4" s="23" t="inlineStr">
        <is>
          <t>URL Checker - Previous Version</t>
        </is>
      </c>
      <c r="O4" s="23" t="inlineStr">
        <is>
          <t>URL Checker - URI</t>
        </is>
      </c>
    </row>
    <row r="5" ht="15.75" customHeight="1">
      <c r="A5">
        <f>IF(Table_12[[#This Row],[Protein Name]]=0,"",Table_12[[#This Row],[Protein Name]])</f>
        <v/>
      </c>
      <c r="H5">
        <f>LEN(TRIM(CLEAN(SUBSTITUTE(SUBSTITUTE(Table_12[[#This Row],[Sequence]],CHAR(160)," ")," ",""))))</f>
        <v/>
      </c>
      <c r="J5" s="21" t="n"/>
      <c r="K5" s="21">
        <f>IF($B5="","FALSE","TRUE")</f>
        <v/>
      </c>
      <c r="L5">
        <f t="array" ref="L5">IsURL(Table_121215[[#This Row],[Data Source]])</f>
        <v/>
      </c>
      <c r="M5">
        <f t="array" ref="M5">IsURL(Table_121215[[#This Row],[DOI]])</f>
        <v/>
      </c>
      <c r="N5">
        <f t="array" ref="N5">IsURL(Table_121215[[#This Row],[Data Source]])</f>
        <v/>
      </c>
      <c r="O5">
        <f t="array" ref="O5">IsURL(Table_121215[[#This Row],[Data Source]])</f>
        <v/>
      </c>
    </row>
    <row r="6" ht="15.75" customHeight="1">
      <c r="A6">
        <f>IF(Table_12[[#This Row],[Protein Name]]=0,"",Table_12[[#This Row],[Protein Name]])</f>
        <v/>
      </c>
      <c r="H6">
        <f>LEN(TRIM(CLEAN(SUBSTITUTE(SUBSTITUTE(Table_12[[#This Row],[Sequence]],CHAR(160)," ")," ",""))))</f>
        <v/>
      </c>
      <c r="J6" s="21" t="n"/>
      <c r="K6" s="21">
        <f>IF($B6="","FALSE","TRUE")</f>
        <v/>
      </c>
      <c r="L6">
        <f t="array" ref="L6">IsURL(Table_121215[[#This Row],[Data Source]])</f>
        <v/>
      </c>
      <c r="M6">
        <f t="array" ref="M6">IsURL(Table_121215[[#This Row],[DOI]])</f>
        <v/>
      </c>
      <c r="N6">
        <f t="array" ref="N6">IsURL(Table_121215[[#This Row],[Data Source]])</f>
        <v/>
      </c>
      <c r="O6">
        <f t="array" ref="O6">IsURL(Table_121215[[#This Row],[Data Source]])</f>
        <v/>
      </c>
    </row>
    <row r="7" ht="15.75" customHeight="1">
      <c r="A7">
        <f>IF(Table_12[[#This Row],[Protein Name]]=0,"",Table_12[[#This Row],[Protein Name]])</f>
        <v/>
      </c>
      <c r="H7">
        <f>LEN(TRIM(CLEAN(SUBSTITUTE(SUBSTITUTE(Table_12[[#This Row],[Sequence]],CHAR(160)," ")," ",""))))</f>
        <v/>
      </c>
      <c r="J7" s="21" t="n"/>
      <c r="K7" s="21">
        <f>IF($B7="","FALSE","TRUE")</f>
        <v/>
      </c>
      <c r="L7">
        <f t="array" ref="L7">IsURL(Table_121215[[#This Row],[Data Source]])</f>
        <v/>
      </c>
      <c r="M7">
        <f t="array" ref="M7">IsURL(Table_121215[[#This Row],[DOI]])</f>
        <v/>
      </c>
      <c r="N7">
        <f t="array" ref="N7">IsURL(Table_121215[[#This Row],[Data Source]])</f>
        <v/>
      </c>
      <c r="O7">
        <f t="array" ref="O7">IsURL(Table_121215[[#This Row],[Data Source]])</f>
        <v/>
      </c>
    </row>
    <row r="8" ht="15.75" customHeight="1">
      <c r="A8">
        <f>IF(Table_12[[#This Row],[Protein Name]]=0,"",Table_12[[#This Row],[Protein Name]])</f>
        <v/>
      </c>
      <c r="H8">
        <f>LEN(TRIM(CLEAN(SUBSTITUTE(SUBSTITUTE(Table_12[[#This Row],[Sequence]],CHAR(160)," ")," ",""))))</f>
        <v/>
      </c>
      <c r="J8" s="21" t="n"/>
      <c r="K8" s="21">
        <f>IF($B8="","FALSE","TRUE")</f>
        <v/>
      </c>
      <c r="L8">
        <f t="array" ref="L8">IsURL(Table_121215[[#This Row],[Data Source]])</f>
        <v/>
      </c>
      <c r="M8">
        <f t="array" ref="M8">IsURL(Table_121215[[#This Row],[DOI]])</f>
        <v/>
      </c>
      <c r="N8">
        <f t="array" ref="N8">IsURL(Table_121215[[#This Row],[Data Source]])</f>
        <v/>
      </c>
      <c r="O8">
        <f t="array" ref="O8">IsURL(Table_121215[[#This Row],[Data Source]])</f>
        <v/>
      </c>
    </row>
    <row r="9" ht="15.75" customHeight="1">
      <c r="A9">
        <f>IF(Table_12[[#This Row],[Protein Name]]=0,"",Table_12[[#This Row],[Protein Name]])</f>
        <v/>
      </c>
      <c r="H9">
        <f>LEN(TRIM(CLEAN(SUBSTITUTE(SUBSTITUTE(Table_12[[#This Row],[Sequence]],CHAR(160)," ")," ",""))))</f>
        <v/>
      </c>
      <c r="J9" s="21" t="n"/>
      <c r="K9" s="21">
        <f>IF($B9="","FALSE","TRUE")</f>
        <v/>
      </c>
      <c r="L9">
        <f t="array" ref="L9">IsURL(Table_121215[[#This Row],[Data Source]])</f>
        <v/>
      </c>
      <c r="M9">
        <f t="array" ref="M9">IsURL(Table_121215[[#This Row],[DOI]])</f>
        <v/>
      </c>
      <c r="N9">
        <f t="array" ref="N9">IsURL(Table_121215[[#This Row],[Data Source]])</f>
        <v/>
      </c>
      <c r="O9">
        <f t="array" ref="O9">IsURL(Table_121215[[#This Row],[Data Source]])</f>
        <v/>
      </c>
    </row>
    <row r="10" ht="15.75" customHeight="1">
      <c r="A10">
        <f>IF(Table_12[[#This Row],[Protein Name]]=0,"",Table_12[[#This Row],[Protein Name]])</f>
        <v/>
      </c>
      <c r="H10">
        <f>LEN(TRIM(CLEAN(SUBSTITUTE(SUBSTITUTE(Table_12[[#This Row],[Sequence]],CHAR(160)," ")," ",""))))</f>
        <v/>
      </c>
      <c r="J10" s="21" t="n"/>
      <c r="K10" s="21">
        <f>IF($B10="","FALSE","TRUE")</f>
        <v/>
      </c>
      <c r="L10">
        <f t="array" ref="L10">IsURL(Table_121215[[#This Row],[Data Source]])</f>
        <v/>
      </c>
      <c r="M10">
        <f t="array" ref="M10">IsURL(Table_121215[[#This Row],[DOI]])</f>
        <v/>
      </c>
      <c r="N10">
        <f t="array" ref="N10">IsURL(Table_121215[[#This Row],[Data Source]])</f>
        <v/>
      </c>
      <c r="O10">
        <f t="array" ref="O10">IsURL(Table_121215[[#This Row],[Data Source]])</f>
        <v/>
      </c>
    </row>
    <row r="11" ht="15.75" customHeight="1">
      <c r="A11">
        <f>IF(Table_12[[#This Row],[Protein Name]]=0,"",Table_12[[#This Row],[Protein Name]])</f>
        <v/>
      </c>
      <c r="H11">
        <f>LEN(TRIM(CLEAN(SUBSTITUTE(SUBSTITUTE(Table_12[[#This Row],[Sequence]],CHAR(160)," ")," ",""))))</f>
        <v/>
      </c>
      <c r="J11" s="21" t="n"/>
      <c r="K11" s="21">
        <f>IF($B11="","FALSE","TRUE")</f>
        <v/>
      </c>
      <c r="L11">
        <f t="array" ref="L11">IsURL(Table_121215[[#This Row],[Data Source]])</f>
        <v/>
      </c>
      <c r="M11">
        <f t="array" ref="M11">IsURL(Table_121215[[#This Row],[DOI]])</f>
        <v/>
      </c>
      <c r="N11">
        <f t="array" ref="N11">IsURL(Table_121215[[#This Row],[Data Source]])</f>
        <v/>
      </c>
      <c r="O11">
        <f t="array" ref="O11">IsURL(Table_121215[[#This Row],[Data Source]])</f>
        <v/>
      </c>
    </row>
    <row r="12" ht="15.75" customHeight="1">
      <c r="A12">
        <f>IF(Table_12[[#This Row],[Protein Name]]=0,"",Table_12[[#This Row],[Protein Name]])</f>
        <v/>
      </c>
      <c r="H12">
        <f>LEN(TRIM(CLEAN(SUBSTITUTE(SUBSTITUTE(Table_12[[#This Row],[Sequence]],CHAR(160)," ")," ",""))))</f>
        <v/>
      </c>
      <c r="J12" s="21" t="n"/>
      <c r="K12" s="21">
        <f>IF($B12="","FALSE","TRUE")</f>
        <v/>
      </c>
      <c r="L12">
        <f t="array" ref="L12">IsURL(Table_121215[[#This Row],[Data Source]])</f>
        <v/>
      </c>
      <c r="M12">
        <f t="array" ref="M12">IsURL(Table_121215[[#This Row],[DOI]])</f>
        <v/>
      </c>
      <c r="N12">
        <f t="array" ref="N12">IsURL(Table_121215[[#This Row],[Data Source]])</f>
        <v/>
      </c>
      <c r="O12">
        <f t="array" ref="O12">IsURL(Table_121215[[#This Row],[Data Source]])</f>
        <v/>
      </c>
    </row>
    <row r="13" ht="15.75" customHeight="1">
      <c r="A13">
        <f>IF(Table_12[[#This Row],[Protein Name]]=0,"",Table_12[[#This Row],[Protein Name]])</f>
        <v/>
      </c>
      <c r="H13">
        <f>LEN(TRIM(CLEAN(SUBSTITUTE(SUBSTITUTE(Table_12[[#This Row],[Sequence]],CHAR(160)," ")," ",""))))</f>
        <v/>
      </c>
      <c r="J13" s="21" t="n"/>
      <c r="K13" s="21">
        <f>IF($B13="","FALSE","TRUE")</f>
        <v/>
      </c>
      <c r="L13">
        <f t="array" ref="L13">IsURL(Table_121215[[#This Row],[Data Source]])</f>
        <v/>
      </c>
      <c r="M13">
        <f t="array" ref="M13">IsURL(Table_121215[[#This Row],[DOI]])</f>
        <v/>
      </c>
      <c r="N13">
        <f t="array" ref="N13">IsURL(Table_121215[[#This Row],[Data Source]])</f>
        <v/>
      </c>
      <c r="O13">
        <f t="array" ref="O13">IsURL(Table_121215[[#This Row],[Data Source]])</f>
        <v/>
      </c>
    </row>
    <row r="14" ht="15.75" customHeight="1">
      <c r="A14">
        <f>IF(Table_12[[#This Row],[Protein Name]]=0,"",Table_12[[#This Row],[Protein Name]])</f>
        <v/>
      </c>
      <c r="H14">
        <f>LEN(TRIM(CLEAN(SUBSTITUTE(SUBSTITUTE(Table_12[[#This Row],[Sequence]],CHAR(160)," ")," ",""))))</f>
        <v/>
      </c>
      <c r="J14" s="21" t="n"/>
      <c r="K14" s="21">
        <f>IF($B14="","FALSE","TRUE")</f>
        <v/>
      </c>
      <c r="L14">
        <f t="array" ref="L14">IsURL(Table_121215[[#This Row],[Data Source]])</f>
        <v/>
      </c>
      <c r="M14">
        <f t="array" ref="M14">IsURL(Table_121215[[#This Row],[DOI]])</f>
        <v/>
      </c>
      <c r="N14">
        <f t="array" ref="N14">IsURL(Table_121215[[#This Row],[Data Source]])</f>
        <v/>
      </c>
      <c r="O14">
        <f t="array" ref="O14">IsURL(Table_121215[[#This Row],[Data Source]])</f>
        <v/>
      </c>
    </row>
    <row r="15" ht="15.75" customHeight="1">
      <c r="A15">
        <f>IF(Table_12[[#This Row],[Protein Name]]=0,"",Table_12[[#This Row],[Protein Name]])</f>
        <v/>
      </c>
      <c r="H15">
        <f>LEN(TRIM(CLEAN(SUBSTITUTE(SUBSTITUTE(Table_12[[#This Row],[Sequence]],CHAR(160)," ")," ",""))))</f>
        <v/>
      </c>
      <c r="J15" s="21" t="n"/>
      <c r="K15" s="21">
        <f>IF($B15="","FALSE","TRUE")</f>
        <v/>
      </c>
      <c r="L15">
        <f t="array" ref="L15">IsURL(Table_121215[[#This Row],[Data Source]])</f>
        <v/>
      </c>
      <c r="M15">
        <f t="array" ref="M15">IsURL(Table_121215[[#This Row],[DOI]])</f>
        <v/>
      </c>
      <c r="N15">
        <f t="array" ref="N15">IsURL(Table_121215[[#This Row],[Data Source]])</f>
        <v/>
      </c>
      <c r="O15">
        <f t="array" ref="O15">IsURL(Table_121215[[#This Row],[Data Source]])</f>
        <v/>
      </c>
    </row>
    <row r="16" ht="15.75" customHeight="1">
      <c r="A16">
        <f>IF(Table_12[[#This Row],[Protein Name]]=0,"",Table_12[[#This Row],[Protein Name]])</f>
        <v/>
      </c>
      <c r="H16">
        <f>LEN(TRIM(CLEAN(SUBSTITUTE(SUBSTITUTE(Table_12[[#This Row],[Sequence]],CHAR(160)," ")," ",""))))</f>
        <v/>
      </c>
      <c r="J16" s="21" t="n"/>
      <c r="K16" s="21">
        <f>IF($B16="","FALSE","TRUE")</f>
        <v/>
      </c>
      <c r="L16">
        <f t="array" ref="L16">IsURL(Table_121215[[#This Row],[Data Source]])</f>
        <v/>
      </c>
      <c r="M16">
        <f t="array" ref="M16">IsURL(Table_121215[[#This Row],[DOI]])</f>
        <v/>
      </c>
      <c r="N16">
        <f t="array" ref="N16">IsURL(Table_121215[[#This Row],[Data Source]])</f>
        <v/>
      </c>
      <c r="O16">
        <f t="array" ref="O16">IsURL(Table_121215[[#This Row],[Data Source]])</f>
        <v/>
      </c>
    </row>
    <row r="17" ht="15.75" customHeight="1">
      <c r="A17">
        <f>IF(Table_12[[#This Row],[Protein Name]]=0,"",Table_12[[#This Row],[Protein Name]])</f>
        <v/>
      </c>
      <c r="H17">
        <f>LEN(TRIM(CLEAN(SUBSTITUTE(SUBSTITUTE(Table_12[[#This Row],[Sequence]],CHAR(160)," ")," ",""))))</f>
        <v/>
      </c>
      <c r="J17" s="21" t="n"/>
      <c r="K17" s="21">
        <f>IF($B17="","FALSE","TRUE")</f>
        <v/>
      </c>
      <c r="L17">
        <f t="array" ref="L17">IsURL(Table_121215[[#This Row],[Data Source]])</f>
        <v/>
      </c>
      <c r="M17">
        <f t="array" ref="M17">IsURL(Table_121215[[#This Row],[DOI]])</f>
        <v/>
      </c>
      <c r="N17">
        <f t="array" ref="N17">IsURL(Table_121215[[#This Row],[Data Source]])</f>
        <v/>
      </c>
      <c r="O17">
        <f t="array" ref="O17">IsURL(Table_121215[[#This Row],[Data Source]])</f>
        <v/>
      </c>
    </row>
    <row r="18" ht="15.75" customHeight="1">
      <c r="A18">
        <f>IF(Table_12[[#This Row],[Protein Name]]=0,"",Table_12[[#This Row],[Protein Name]])</f>
        <v/>
      </c>
      <c r="H18">
        <f>LEN(TRIM(CLEAN(SUBSTITUTE(SUBSTITUTE(Table_12[[#This Row],[Sequence]],CHAR(160)," ")," ",""))))</f>
        <v/>
      </c>
      <c r="J18" s="21" t="n"/>
      <c r="K18" s="21">
        <f>IF($B18="","FALSE","TRUE")</f>
        <v/>
      </c>
      <c r="L18">
        <f t="array" ref="L18">IsURL(Table_121215[[#This Row],[Data Source]])</f>
        <v/>
      </c>
      <c r="M18">
        <f t="array" ref="M18">IsURL(Table_121215[[#This Row],[DOI]])</f>
        <v/>
      </c>
      <c r="N18">
        <f t="array" ref="N18">IsURL(Table_121215[[#This Row],[Data Source]])</f>
        <v/>
      </c>
      <c r="O18">
        <f t="array" ref="O18">IsURL(Table_121215[[#This Row],[Data Source]])</f>
        <v/>
      </c>
    </row>
    <row r="19" ht="15.75" customHeight="1">
      <c r="A19">
        <f>IF(Table_12[[#This Row],[Protein Name]]=0,"",Table_12[[#This Row],[Protein Name]])</f>
        <v/>
      </c>
      <c r="H19">
        <f>LEN(TRIM(CLEAN(SUBSTITUTE(SUBSTITUTE(Table_12[[#This Row],[Sequence]],CHAR(160)," ")," ",""))))</f>
        <v/>
      </c>
      <c r="J19" s="21" t="n"/>
      <c r="K19" s="21">
        <f>IF($B19="","FALSE","TRUE")</f>
        <v/>
      </c>
      <c r="L19">
        <f t="array" ref="L19">IsURL(Table_121215[[#This Row],[Data Source]])</f>
        <v/>
      </c>
      <c r="M19">
        <f t="array" ref="M19">IsURL(Table_121215[[#This Row],[DOI]])</f>
        <v/>
      </c>
      <c r="N19">
        <f t="array" ref="N19">IsURL(Table_121215[[#This Row],[Data Source]])</f>
        <v/>
      </c>
      <c r="O19">
        <f t="array" ref="O19">IsURL(Table_121215[[#This Row],[Data Source]])</f>
        <v/>
      </c>
    </row>
    <row r="20" ht="15.75" customHeight="1">
      <c r="A20">
        <f>IF(Table_12[[#This Row],[Protein Name]]=0,"",Table_12[[#This Row],[Protein Name]])</f>
        <v/>
      </c>
      <c r="H20">
        <f>LEN(TRIM(CLEAN(SUBSTITUTE(SUBSTITUTE(Table_12[[#This Row],[Sequence]],CHAR(160)," ")," ",""))))</f>
        <v/>
      </c>
      <c r="J20" s="21" t="n"/>
      <c r="K20" s="21">
        <f>IF($B20="","FALSE","TRUE")</f>
        <v/>
      </c>
      <c r="L20">
        <f t="array" ref="L20">IsURL(Table_121215[[#This Row],[Data Source]])</f>
        <v/>
      </c>
      <c r="M20">
        <f t="array" ref="M20">IsURL(Table_121215[[#This Row],[DOI]])</f>
        <v/>
      </c>
      <c r="N20">
        <f t="array" ref="N20">IsURL(Table_121215[[#This Row],[Data Source]])</f>
        <v/>
      </c>
      <c r="O20">
        <f t="array" ref="O20">IsURL(Table_121215[[#This Row],[Data Source]])</f>
        <v/>
      </c>
    </row>
    <row r="21" ht="15.75" customHeight="1">
      <c r="A21">
        <f>IF(Table_12[[#This Row],[Protein Name]]=0,"",Table_12[[#This Row],[Protein Name]])</f>
        <v/>
      </c>
      <c r="H21">
        <f>LEN(TRIM(CLEAN(SUBSTITUTE(SUBSTITUTE(Table_12[[#This Row],[Sequence]],CHAR(160)," ")," ",""))))</f>
        <v/>
      </c>
      <c r="J21" s="21" t="n"/>
      <c r="K21" s="21">
        <f>IF($B21="","FALSE","TRUE")</f>
        <v/>
      </c>
      <c r="L21">
        <f t="array" ref="L21">IsURL(Table_121215[[#This Row],[Data Source]])</f>
        <v/>
      </c>
      <c r="M21">
        <f t="array" ref="M21">IsURL(Table_121215[[#This Row],[DOI]])</f>
        <v/>
      </c>
      <c r="N21">
        <f t="array" ref="N21">IsURL(Table_121215[[#This Row],[Data Source]])</f>
        <v/>
      </c>
      <c r="O21">
        <f t="array" ref="O21">IsURL(Table_121215[[#This Row],[Data Source]])</f>
        <v/>
      </c>
    </row>
    <row r="22" ht="15.75" customHeight="1">
      <c r="A22">
        <f>IF(Table_12[[#This Row],[Protein Name]]=0,"",Table_12[[#This Row],[Protein Name]])</f>
        <v/>
      </c>
      <c r="H22">
        <f>LEN(TRIM(CLEAN(SUBSTITUTE(SUBSTITUTE(Table_12[[#This Row],[Sequence]],CHAR(160)," ")," ",""))))</f>
        <v/>
      </c>
      <c r="J22" s="21" t="n"/>
      <c r="K22" s="21">
        <f>IF($B22="","FALSE","TRUE")</f>
        <v/>
      </c>
      <c r="L22">
        <f t="array" ref="L22">IsURL(Table_121215[[#This Row],[Data Source]])</f>
        <v/>
      </c>
      <c r="M22">
        <f t="array" ref="M22">IsURL(Table_121215[[#This Row],[DOI]])</f>
        <v/>
      </c>
      <c r="N22">
        <f t="array" ref="N22">IsURL(Table_121215[[#This Row],[Data Source]])</f>
        <v/>
      </c>
      <c r="O22">
        <f t="array" ref="O22">IsURL(Table_121215[[#This Row],[Data Source]])</f>
        <v/>
      </c>
    </row>
    <row r="23" ht="15.75" customHeight="1">
      <c r="A23">
        <f>IF(Table_12[[#This Row],[Protein Name]]=0,"",Table_12[[#This Row],[Protein Name]])</f>
        <v/>
      </c>
      <c r="H23">
        <f>LEN(TRIM(CLEAN(SUBSTITUTE(SUBSTITUTE(Table_12[[#This Row],[Sequence]],CHAR(160)," ")," ",""))))</f>
        <v/>
      </c>
      <c r="J23" s="21" t="n"/>
      <c r="K23" s="21">
        <f>IF($B23="","FALSE","TRUE")</f>
        <v/>
      </c>
      <c r="L23">
        <f t="array" ref="L23">IsURL(Table_121215[[#This Row],[Data Source]])</f>
        <v/>
      </c>
      <c r="M23">
        <f t="array" ref="M23">IsURL(Table_121215[[#This Row],[DOI]])</f>
        <v/>
      </c>
      <c r="N23">
        <f t="array" ref="N23">IsURL(Table_121215[[#This Row],[Data Source]])</f>
        <v/>
      </c>
      <c r="O23">
        <f t="array" ref="O23">IsURL(Table_121215[[#This Row],[Data Source]])</f>
        <v/>
      </c>
    </row>
    <row r="24" ht="15.75" customHeight="1">
      <c r="A24">
        <f>IF(Table_12[[#This Row],[Protein Name]]=0,"",Table_12[[#This Row],[Protein Name]])</f>
        <v/>
      </c>
      <c r="H24">
        <f>LEN(TRIM(CLEAN(SUBSTITUTE(SUBSTITUTE(Table_12[[#This Row],[Sequence]],CHAR(160)," ")," ",""))))</f>
        <v/>
      </c>
      <c r="J24" s="21" t="n"/>
      <c r="K24" s="21">
        <f>IF($B24="","FALSE","TRUE")</f>
        <v/>
      </c>
      <c r="L24">
        <f t="array" ref="L24">IsURL(Table_121215[[#This Row],[Data Source]])</f>
        <v/>
      </c>
      <c r="M24">
        <f t="array" ref="M24">IsURL(Table_121215[[#This Row],[DOI]])</f>
        <v/>
      </c>
      <c r="N24">
        <f t="array" ref="N24">IsURL(Table_121215[[#This Row],[Data Source]])</f>
        <v/>
      </c>
      <c r="O24">
        <f t="array" ref="O24">IsURL(Table_121215[[#This Row],[Data Source]])</f>
        <v/>
      </c>
    </row>
    <row r="25" ht="15.75" customHeight="1">
      <c r="A25">
        <f>IF(Table_12[[#This Row],[Protein Name]]=0,"",Table_12[[#This Row],[Protein Name]])</f>
        <v/>
      </c>
      <c r="H25">
        <f>LEN(TRIM(CLEAN(SUBSTITUTE(SUBSTITUTE(Table_12[[#This Row],[Sequence]],CHAR(160)," ")," ",""))))</f>
        <v/>
      </c>
      <c r="J25" s="21" t="n"/>
      <c r="K25" s="21">
        <f>IF($B25="","FALSE","TRUE")</f>
        <v/>
      </c>
      <c r="L25">
        <f t="array" ref="L25">IsURL(Table_121215[[#This Row],[Data Source]])</f>
        <v/>
      </c>
      <c r="M25">
        <f t="array" ref="M25">IsURL(Table_121215[[#This Row],[DOI]])</f>
        <v/>
      </c>
      <c r="N25">
        <f t="array" ref="N25">IsURL(Table_121215[[#This Row],[Data Source]])</f>
        <v/>
      </c>
      <c r="O25">
        <f t="array" ref="O25">IsURL(Table_121215[[#This Row],[Data Source]])</f>
        <v/>
      </c>
    </row>
    <row r="26" ht="15.75" customHeight="1">
      <c r="A26">
        <f>IF(Table_12[[#This Row],[Protein Name]]=0,"",Table_12[[#This Row],[Protein Name]])</f>
        <v/>
      </c>
      <c r="H26">
        <f>LEN(TRIM(CLEAN(SUBSTITUTE(SUBSTITUTE(Table_12[[#This Row],[Sequence]],CHAR(160)," ")," ",""))))</f>
        <v/>
      </c>
      <c r="J26" s="21" t="n"/>
      <c r="K26" s="21">
        <f>IF($B26="","FALSE","TRUE")</f>
        <v/>
      </c>
      <c r="L26">
        <f t="array" ref="L26">IsURL(Table_121215[[#This Row],[Data Source]])</f>
        <v/>
      </c>
      <c r="M26">
        <f t="array" ref="M26">IsURL(Table_121215[[#This Row],[DOI]])</f>
        <v/>
      </c>
      <c r="N26">
        <f t="array" ref="N26">IsURL(Table_121215[[#This Row],[Data Source]])</f>
        <v/>
      </c>
      <c r="O26">
        <f t="array" ref="O26">IsURL(Table_121215[[#This Row],[Data Source]])</f>
        <v/>
      </c>
    </row>
    <row r="27" ht="15.75" customHeight="1">
      <c r="A27">
        <f>IF(Table_12[[#This Row],[Protein Name]]=0,"",Table_12[[#This Row],[Protein Name]])</f>
        <v/>
      </c>
      <c r="H27">
        <f>LEN(TRIM(CLEAN(SUBSTITUTE(SUBSTITUTE(Table_12[[#This Row],[Sequence]],CHAR(160)," ")," ",""))))</f>
        <v/>
      </c>
      <c r="J27" s="21" t="n"/>
      <c r="K27" s="21">
        <f>IF($B27="","FALSE","TRUE")</f>
        <v/>
      </c>
      <c r="L27">
        <f t="array" ref="L27">IsURL(Table_121215[[#This Row],[Data Source]])</f>
        <v/>
      </c>
      <c r="M27">
        <f t="array" ref="M27">IsURL(Table_121215[[#This Row],[DOI]])</f>
        <v/>
      </c>
      <c r="N27">
        <f t="array" ref="N27">IsURL(Table_121215[[#This Row],[Data Source]])</f>
        <v/>
      </c>
      <c r="O27">
        <f t="array" ref="O27">IsURL(Table_121215[[#This Row],[Data Source]])</f>
        <v/>
      </c>
    </row>
    <row r="28" ht="15.75" customHeight="1">
      <c r="A28">
        <f>IF(Table_12[[#This Row],[Protein Name]]=0,"",Table_12[[#This Row],[Protein Name]])</f>
        <v/>
      </c>
      <c r="H28">
        <f>LEN(TRIM(CLEAN(SUBSTITUTE(SUBSTITUTE(Table_12[[#This Row],[Sequence]],CHAR(160)," ")," ",""))))</f>
        <v/>
      </c>
      <c r="J28" s="21" t="n"/>
      <c r="K28" s="21">
        <f>IF($B28="","FALSE","TRUE")</f>
        <v/>
      </c>
      <c r="L28">
        <f t="array" ref="L28">IsURL(Table_121215[[#This Row],[Data Source]])</f>
        <v/>
      </c>
      <c r="M28">
        <f t="array" ref="M28">IsURL(Table_121215[[#This Row],[DOI]])</f>
        <v/>
      </c>
      <c r="N28">
        <f t="array" ref="N28">IsURL(Table_121215[[#This Row],[Data Source]])</f>
        <v/>
      </c>
      <c r="O28">
        <f t="array" ref="O28">IsURL(Table_121215[[#This Row],[Data Source]])</f>
        <v/>
      </c>
    </row>
    <row r="29" ht="15.75" customHeight="1">
      <c r="A29">
        <f>IF(Table_12[[#This Row],[Protein Name]]=0,"",Table_12[[#This Row],[Protein Name]])</f>
        <v/>
      </c>
      <c r="H29">
        <f>LEN(TRIM(CLEAN(SUBSTITUTE(SUBSTITUTE(Table_12[[#This Row],[Sequence]],CHAR(160)," ")," ",""))))</f>
        <v/>
      </c>
      <c r="J29" s="21" t="n"/>
      <c r="K29" s="21">
        <f>IF($B29="","FALSE","TRUE")</f>
        <v/>
      </c>
      <c r="L29">
        <f t="array" ref="L29">IsURL(Table_121215[[#This Row],[Data Source]])</f>
        <v/>
      </c>
      <c r="M29">
        <f t="array" ref="M29">IsURL(Table_121215[[#This Row],[DOI]])</f>
        <v/>
      </c>
      <c r="N29">
        <f t="array" ref="N29">IsURL(Table_121215[[#This Row],[Data Source]])</f>
        <v/>
      </c>
      <c r="O29">
        <f t="array" ref="O29">IsURL(Table_121215[[#This Row],[Data Source]])</f>
        <v/>
      </c>
    </row>
    <row r="30" ht="15.75" customHeight="1">
      <c r="A30">
        <f>IF(Table_12[[#This Row],[Protein Name]]=0,"",Table_12[[#This Row],[Protein Name]])</f>
        <v/>
      </c>
      <c r="H30">
        <f>LEN(TRIM(CLEAN(SUBSTITUTE(SUBSTITUTE(Table_12[[#This Row],[Sequence]],CHAR(160)," ")," ",""))))</f>
        <v/>
      </c>
      <c r="J30" s="21" t="n"/>
      <c r="K30" s="21">
        <f>IF($B30="","FALSE","TRUE")</f>
        <v/>
      </c>
      <c r="L30">
        <f t="array" ref="L30">IsURL(Table_121215[[#This Row],[Data Source]])</f>
        <v/>
      </c>
      <c r="M30">
        <f t="array" ref="M30">IsURL(Table_121215[[#This Row],[DOI]])</f>
        <v/>
      </c>
      <c r="N30">
        <f t="array" ref="N30">IsURL(Table_121215[[#This Row],[Data Source]])</f>
        <v/>
      </c>
      <c r="O30">
        <f t="array" ref="O30">IsURL(Table_121215[[#This Row],[Data Source]])</f>
        <v/>
      </c>
    </row>
    <row r="31" ht="15.75" customHeight="1">
      <c r="A31">
        <f>IF(Table_12[[#This Row],[Protein Name]]=0,"",Table_12[[#This Row],[Protein Name]])</f>
        <v/>
      </c>
      <c r="H31">
        <f>LEN(TRIM(CLEAN(SUBSTITUTE(SUBSTITUTE(Table_12[[#This Row],[Sequence]],CHAR(160)," ")," ",""))))</f>
        <v/>
      </c>
      <c r="J31" s="21" t="n"/>
      <c r="K31" s="21">
        <f>IF($B31="","FALSE","TRUE")</f>
        <v/>
      </c>
      <c r="L31">
        <f t="array" ref="L31">IsURL(Table_121215[[#This Row],[Data Source]])</f>
        <v/>
      </c>
      <c r="M31">
        <f t="array" ref="M31">IsURL(Table_121215[[#This Row],[DOI]])</f>
        <v/>
      </c>
      <c r="N31">
        <f t="array" ref="N31">IsURL(Table_121215[[#This Row],[Data Source]])</f>
        <v/>
      </c>
      <c r="O31">
        <f t="array" ref="O31">IsURL(Table_121215[[#This Row],[Data Source]])</f>
        <v/>
      </c>
    </row>
    <row r="32" ht="15.75" customHeight="1">
      <c r="A32">
        <f>IF(Table_12[[#This Row],[Protein Name]]=0,"",Table_12[[#This Row],[Protein Name]])</f>
        <v/>
      </c>
      <c r="H32">
        <f>LEN(TRIM(CLEAN(SUBSTITUTE(SUBSTITUTE(Table_12[[#This Row],[Sequence]],CHAR(160)," ")," ",""))))</f>
        <v/>
      </c>
      <c r="J32" s="21" t="n"/>
      <c r="K32" s="21">
        <f>IF($B32="","FALSE","TRUE")</f>
        <v/>
      </c>
      <c r="L32">
        <f t="array" ref="L32">IsURL(Table_121215[[#This Row],[Data Source]])</f>
        <v/>
      </c>
      <c r="M32">
        <f t="array" ref="M32">IsURL(Table_121215[[#This Row],[DOI]])</f>
        <v/>
      </c>
      <c r="N32">
        <f t="array" ref="N32">IsURL(Table_121215[[#This Row],[Data Source]])</f>
        <v/>
      </c>
      <c r="O32">
        <f t="array" ref="O32">IsURL(Table_121215[[#This Row],[Data Source]])</f>
        <v/>
      </c>
    </row>
    <row r="33" ht="15.75" customHeight="1">
      <c r="A33">
        <f>IF(Table_12[[#This Row],[Protein Name]]=0,"",Table_12[[#This Row],[Protein Name]])</f>
        <v/>
      </c>
      <c r="H33">
        <f>LEN(TRIM(CLEAN(SUBSTITUTE(SUBSTITUTE(Table_12[[#This Row],[Sequence]],CHAR(160)," ")," ",""))))</f>
        <v/>
      </c>
      <c r="J33" s="21" t="n"/>
      <c r="K33" s="21">
        <f>IF($B33="","FALSE","TRUE")</f>
        <v/>
      </c>
      <c r="L33">
        <f t="array" ref="L33">IsURL(Table_121215[[#This Row],[Data Source]])</f>
        <v/>
      </c>
      <c r="M33">
        <f t="array" ref="M33">IsURL(Table_121215[[#This Row],[DOI]])</f>
        <v/>
      </c>
      <c r="N33">
        <f t="array" ref="N33">IsURL(Table_121215[[#This Row],[Data Source]])</f>
        <v/>
      </c>
      <c r="O33">
        <f t="array" ref="O33">IsURL(Table_121215[[#This Row],[Data Source]])</f>
        <v/>
      </c>
    </row>
    <row r="34" ht="15.75" customHeight="1">
      <c r="A34">
        <f>IF(Table_12[[#This Row],[Protein Name]]=0,"",Table_12[[#This Row],[Protein Name]])</f>
        <v/>
      </c>
      <c r="H34">
        <f>LEN(TRIM(CLEAN(SUBSTITUTE(SUBSTITUTE(Table_12[[#This Row],[Sequence]],CHAR(160)," ")," ",""))))</f>
        <v/>
      </c>
      <c r="J34" s="21" t="n"/>
      <c r="K34" s="21">
        <f>IF($B34="","FALSE","TRUE")</f>
        <v/>
      </c>
      <c r="L34">
        <f t="array" ref="L34">IsURL(Table_121215[[#This Row],[Data Source]])</f>
        <v/>
      </c>
      <c r="M34">
        <f t="array" ref="M34">IsURL(Table_121215[[#This Row],[DOI]])</f>
        <v/>
      </c>
      <c r="N34">
        <f t="array" ref="N34">IsURL(Table_121215[[#This Row],[Data Source]])</f>
        <v/>
      </c>
      <c r="O34">
        <f t="array" ref="O34">IsURL(Table_121215[[#This Row],[Data Source]])</f>
        <v/>
      </c>
    </row>
    <row r="35" ht="15.75" customHeight="1">
      <c r="A35">
        <f>IF(Table_12[[#This Row],[Protein Name]]=0,"",Table_12[[#This Row],[Protein Name]])</f>
        <v/>
      </c>
      <c r="H35">
        <f>LEN(TRIM(CLEAN(SUBSTITUTE(SUBSTITUTE(Table_12[[#This Row],[Sequence]],CHAR(160)," ")," ",""))))</f>
        <v/>
      </c>
      <c r="J35" s="21" t="n"/>
      <c r="K35" s="21">
        <f>IF($B35="","FALSE","TRUE")</f>
        <v/>
      </c>
      <c r="L35">
        <f t="array" ref="L35">IsURL(Table_121215[[#This Row],[Data Source]])</f>
        <v/>
      </c>
      <c r="M35">
        <f t="array" ref="M35">IsURL(Table_121215[[#This Row],[DOI]])</f>
        <v/>
      </c>
      <c r="N35">
        <f t="array" ref="N35">IsURL(Table_121215[[#This Row],[Data Source]])</f>
        <v/>
      </c>
      <c r="O35">
        <f t="array" ref="O35">IsURL(Table_121215[[#This Row],[Data Source]])</f>
        <v/>
      </c>
    </row>
    <row r="36" ht="15.75" customHeight="1">
      <c r="A36">
        <f>IF(Table_12[[#This Row],[Protein Name]]=0,"",Table_12[[#This Row],[Protein Name]])</f>
        <v/>
      </c>
      <c r="H36">
        <f>LEN(TRIM(CLEAN(SUBSTITUTE(SUBSTITUTE(Table_12[[#This Row],[Sequence]],CHAR(160)," ")," ",""))))</f>
        <v/>
      </c>
      <c r="J36" s="21" t="n"/>
      <c r="K36" s="21">
        <f>IF($B36="","FALSE","TRUE")</f>
        <v/>
      </c>
      <c r="L36">
        <f t="array" ref="L36">IsURL(Table_121215[[#This Row],[Data Source]])</f>
        <v/>
      </c>
      <c r="M36">
        <f t="array" ref="M36">IsURL(Table_121215[[#This Row],[DOI]])</f>
        <v/>
      </c>
      <c r="N36">
        <f t="array" ref="N36">IsURL(Table_121215[[#This Row],[Data Source]])</f>
        <v/>
      </c>
      <c r="O36">
        <f t="array" ref="O36">IsURL(Table_121215[[#This Row],[Data Source]])</f>
        <v/>
      </c>
    </row>
    <row r="37" ht="15.75" customHeight="1">
      <c r="A37">
        <f>IF(Table_12[[#This Row],[Protein Name]]=0,"",Table_12[[#This Row],[Protein Name]])</f>
        <v/>
      </c>
      <c r="H37">
        <f>LEN(TRIM(CLEAN(SUBSTITUTE(SUBSTITUTE(Table_12[[#This Row],[Sequence]],CHAR(160)," ")," ",""))))</f>
        <v/>
      </c>
      <c r="J37" s="21" t="n"/>
      <c r="K37" s="21">
        <f>IF($B37="","FALSE","TRUE")</f>
        <v/>
      </c>
      <c r="L37">
        <f t="array" ref="L37">IsURL(Table_121215[[#This Row],[Data Source]])</f>
        <v/>
      </c>
      <c r="M37">
        <f t="array" ref="M37">IsURL(Table_121215[[#This Row],[DOI]])</f>
        <v/>
      </c>
      <c r="N37">
        <f t="array" ref="N37">IsURL(Table_121215[[#This Row],[Data Source]])</f>
        <v/>
      </c>
      <c r="O37">
        <f t="array" ref="O37">IsURL(Table_121215[[#This Row],[Data Source]])</f>
        <v/>
      </c>
    </row>
    <row r="38" ht="15.75" customHeight="1">
      <c r="A38">
        <f>IF(Table_12[[#This Row],[Protein Name]]=0,"",Table_12[[#This Row],[Protein Name]])</f>
        <v/>
      </c>
      <c r="H38">
        <f>LEN(TRIM(CLEAN(SUBSTITUTE(SUBSTITUTE(Table_12[[#This Row],[Sequence]],CHAR(160)," ")," ",""))))</f>
        <v/>
      </c>
      <c r="J38" s="21" t="n"/>
      <c r="K38" s="21">
        <f>IF($B38="","FALSE","TRUE")</f>
        <v/>
      </c>
      <c r="L38">
        <f t="array" ref="L38">IsURL(Table_121215[[#This Row],[Data Source]])</f>
        <v/>
      </c>
      <c r="M38">
        <f t="array" ref="M38">IsURL(Table_121215[[#This Row],[DOI]])</f>
        <v/>
      </c>
      <c r="N38">
        <f t="array" ref="N38">IsURL(Table_121215[[#This Row],[Data Source]])</f>
        <v/>
      </c>
      <c r="O38">
        <f t="array" ref="O38">IsURL(Table_121215[[#This Row],[Data Source]])</f>
        <v/>
      </c>
    </row>
    <row r="39" ht="15.75" customHeight="1">
      <c r="A39">
        <f>IF(Table_12[[#This Row],[Protein Name]]=0,"",Table_12[[#This Row],[Protein Name]])</f>
        <v/>
      </c>
      <c r="H39">
        <f>LEN(TRIM(CLEAN(SUBSTITUTE(SUBSTITUTE(Table_12[[#This Row],[Sequence]],CHAR(160)," ")," ",""))))</f>
        <v/>
      </c>
      <c r="J39" s="21" t="n"/>
      <c r="K39" s="21">
        <f>IF($B39="","FALSE","TRUE")</f>
        <v/>
      </c>
      <c r="L39">
        <f t="array" ref="L39">IsURL(Table_121215[[#This Row],[Data Source]])</f>
        <v/>
      </c>
      <c r="M39">
        <f t="array" ref="M39">IsURL(Table_121215[[#This Row],[DOI]])</f>
        <v/>
      </c>
      <c r="N39">
        <f t="array" ref="N39">IsURL(Table_121215[[#This Row],[Data Source]])</f>
        <v/>
      </c>
      <c r="O39">
        <f t="array" ref="O39">IsURL(Table_121215[[#This Row],[Data Source]])</f>
        <v/>
      </c>
    </row>
    <row r="40" ht="15.75" customHeight="1">
      <c r="A40">
        <f>IF(Table_12[[#This Row],[Protein Name]]=0,"",Table_12[[#This Row],[Protein Name]])</f>
        <v/>
      </c>
      <c r="H40">
        <f>LEN(TRIM(CLEAN(SUBSTITUTE(SUBSTITUTE(Table_12[[#This Row],[Sequence]],CHAR(160)," ")," ",""))))</f>
        <v/>
      </c>
      <c r="J40" s="21" t="n"/>
      <c r="K40" s="21">
        <f>IF($B40="","FALSE","TRUE")</f>
        <v/>
      </c>
      <c r="L40">
        <f t="array" ref="L40">IsURL(Table_121215[[#This Row],[Data Source]])</f>
        <v/>
      </c>
      <c r="M40">
        <f t="array" ref="M40">IsURL(Table_121215[[#This Row],[DOI]])</f>
        <v/>
      </c>
      <c r="N40">
        <f t="array" ref="N40">IsURL(Table_121215[[#This Row],[Data Source]])</f>
        <v/>
      </c>
      <c r="O40">
        <f t="array" ref="O40">IsURL(Table_121215[[#This Row],[Data Source]])</f>
        <v/>
      </c>
    </row>
    <row r="41" ht="15.75" customHeight="1">
      <c r="A41">
        <f>IF(Table_12[[#This Row],[Protein Name]]=0,"",Table_12[[#This Row],[Protein Name]])</f>
        <v/>
      </c>
      <c r="H41">
        <f>LEN(TRIM(CLEAN(SUBSTITUTE(SUBSTITUTE(Table_12[[#This Row],[Sequence]],CHAR(160)," ")," ",""))))</f>
        <v/>
      </c>
      <c r="J41" s="21" t="n"/>
      <c r="K41" s="21">
        <f>IF($B41="","FALSE","TRUE")</f>
        <v/>
      </c>
      <c r="L41">
        <f t="array" ref="L41">IsURL(Table_121215[[#This Row],[Data Source]])</f>
        <v/>
      </c>
      <c r="M41">
        <f t="array" ref="M41">IsURL(Table_121215[[#This Row],[DOI]])</f>
        <v/>
      </c>
      <c r="N41">
        <f t="array" ref="N41">IsURL(Table_121215[[#This Row],[Data Source]])</f>
        <v/>
      </c>
      <c r="O41">
        <f t="array" ref="O41">IsURL(Table_121215[[#This Row],[Data Source]])</f>
        <v/>
      </c>
    </row>
    <row r="42" ht="15.75" customHeight="1">
      <c r="A42">
        <f>IF(Table_12[[#This Row],[Protein Name]]=0,"",Table_12[[#This Row],[Protein Name]])</f>
        <v/>
      </c>
      <c r="H42">
        <f>LEN(TRIM(CLEAN(SUBSTITUTE(SUBSTITUTE(Table_12[[#This Row],[Sequence]],CHAR(160)," ")," ",""))))</f>
        <v/>
      </c>
      <c r="J42" s="21" t="n"/>
      <c r="K42" s="21">
        <f>IF($B42="","FALSE","TRUE")</f>
        <v/>
      </c>
      <c r="L42">
        <f t="array" ref="L42">IsURL(Table_121215[[#This Row],[Data Source]])</f>
        <v/>
      </c>
      <c r="M42">
        <f t="array" ref="M42">IsURL(Table_121215[[#This Row],[DOI]])</f>
        <v/>
      </c>
      <c r="N42">
        <f t="array" ref="N42">IsURL(Table_121215[[#This Row],[Data Source]])</f>
        <v/>
      </c>
      <c r="O42">
        <f t="array" ref="O42">IsURL(Table_121215[[#This Row],[Data Source]])</f>
        <v/>
      </c>
    </row>
    <row r="43" ht="15.75" customHeight="1">
      <c r="A43">
        <f>IF(Table_12[[#This Row],[Protein Name]]=0,"",Table_12[[#This Row],[Protein Name]])</f>
        <v/>
      </c>
      <c r="H43">
        <f>LEN(TRIM(CLEAN(SUBSTITUTE(SUBSTITUTE(Table_12[[#This Row],[Sequence]],CHAR(160)," ")," ",""))))</f>
        <v/>
      </c>
      <c r="J43" s="21" t="n"/>
      <c r="K43" s="21">
        <f>IF($B43="","FALSE","TRUE")</f>
        <v/>
      </c>
      <c r="L43">
        <f t="array" ref="L43">IsURL(Table_121215[[#This Row],[Data Source]])</f>
        <v/>
      </c>
      <c r="M43">
        <f t="array" ref="M43">IsURL(Table_121215[[#This Row],[DOI]])</f>
        <v/>
      </c>
      <c r="N43">
        <f t="array" ref="N43">IsURL(Table_121215[[#This Row],[Data Source]])</f>
        <v/>
      </c>
      <c r="O43">
        <f t="array" ref="O43">IsURL(Table_121215[[#This Row],[Data Source]])</f>
        <v/>
      </c>
    </row>
    <row r="44" ht="15.75" customHeight="1">
      <c r="A44">
        <f>IF(Table_12[[#This Row],[Protein Name]]=0,"",Table_12[[#This Row],[Protein Name]])</f>
        <v/>
      </c>
      <c r="H44">
        <f>LEN(TRIM(CLEAN(SUBSTITUTE(SUBSTITUTE(Table_12[[#This Row],[Sequence]],CHAR(160)," ")," ",""))))</f>
        <v/>
      </c>
      <c r="J44" s="21" t="n"/>
      <c r="K44" s="21">
        <f>IF($B44="","FALSE","TRUE")</f>
        <v/>
      </c>
      <c r="L44">
        <f t="array" ref="L44">IsURL(Table_121215[[#This Row],[Data Source]])</f>
        <v/>
      </c>
      <c r="M44">
        <f t="array" ref="M44">IsURL(Table_121215[[#This Row],[DOI]])</f>
        <v/>
      </c>
      <c r="N44">
        <f t="array" ref="N44">IsURL(Table_121215[[#This Row],[Data Source]])</f>
        <v/>
      </c>
      <c r="O44">
        <f t="array" ref="O44">IsURL(Table_121215[[#This Row],[Data Source]])</f>
        <v/>
      </c>
    </row>
    <row r="45" ht="15.75" customHeight="1">
      <c r="A45">
        <f>IF(Table_12[[#This Row],[Protein Name]]=0,"",Table_12[[#This Row],[Protein Name]])</f>
        <v/>
      </c>
      <c r="H45">
        <f>LEN(TRIM(CLEAN(SUBSTITUTE(SUBSTITUTE(Table_12[[#This Row],[Sequence]],CHAR(160)," ")," ",""))))</f>
        <v/>
      </c>
      <c r="J45" s="21" t="n"/>
      <c r="K45" s="21">
        <f>IF($B45="","FALSE","TRUE")</f>
        <v/>
      </c>
      <c r="L45">
        <f t="array" ref="L45">IsURL(Table_121215[[#This Row],[Data Source]])</f>
        <v/>
      </c>
      <c r="M45">
        <f t="array" ref="M45">IsURL(Table_121215[[#This Row],[DOI]])</f>
        <v/>
      </c>
      <c r="N45">
        <f t="array" ref="N45">IsURL(Table_121215[[#This Row],[Data Source]])</f>
        <v/>
      </c>
      <c r="O45">
        <f t="array" ref="O45">IsURL(Table_121215[[#This Row],[Data Source]])</f>
        <v/>
      </c>
    </row>
    <row r="46" ht="15.75" customHeight="1">
      <c r="A46">
        <f>IF(Table_12[[#This Row],[Protein Name]]=0,"",Table_12[[#This Row],[Protein Name]])</f>
        <v/>
      </c>
      <c r="H46">
        <f>LEN(TRIM(CLEAN(SUBSTITUTE(SUBSTITUTE(Table_12[[#This Row],[Sequence]],CHAR(160)," ")," ",""))))</f>
        <v/>
      </c>
      <c r="J46" s="21" t="n"/>
      <c r="K46" s="21">
        <f>IF($B46="","FALSE","TRUE")</f>
        <v/>
      </c>
      <c r="L46">
        <f t="array" ref="L46">IsURL(Table_121215[[#This Row],[Data Source]])</f>
        <v/>
      </c>
      <c r="M46">
        <f t="array" ref="M46">IsURL(Table_121215[[#This Row],[DOI]])</f>
        <v/>
      </c>
      <c r="N46">
        <f t="array" ref="N46">IsURL(Table_121215[[#This Row],[Data Source]])</f>
        <v/>
      </c>
      <c r="O46">
        <f t="array" ref="O46">IsURL(Table_121215[[#This Row],[Data Source]])</f>
        <v/>
      </c>
    </row>
    <row r="47" ht="15.75" customHeight="1">
      <c r="A47">
        <f>IF(Table_12[[#This Row],[Protein Name]]=0,"",Table_12[[#This Row],[Protein Name]])</f>
        <v/>
      </c>
      <c r="H47">
        <f>LEN(TRIM(CLEAN(SUBSTITUTE(SUBSTITUTE(Table_12[[#This Row],[Sequence]],CHAR(160)," ")," ",""))))</f>
        <v/>
      </c>
      <c r="J47" s="21" t="n"/>
      <c r="K47" s="21">
        <f>IF($B47="","FALSE","TRUE")</f>
        <v/>
      </c>
      <c r="L47">
        <f t="array" ref="L47">IsURL(Table_121215[[#This Row],[Data Source]])</f>
        <v/>
      </c>
      <c r="M47">
        <f t="array" ref="M47">IsURL(Table_121215[[#This Row],[DOI]])</f>
        <v/>
      </c>
      <c r="N47">
        <f t="array" ref="N47">IsURL(Table_121215[[#This Row],[Data Source]])</f>
        <v/>
      </c>
      <c r="O47">
        <f t="array" ref="O47">IsURL(Table_121215[[#This Row],[Data Source]])</f>
        <v/>
      </c>
    </row>
    <row r="48" ht="15.75" customHeight="1">
      <c r="A48">
        <f>IF(Table_12[[#This Row],[Protein Name]]=0,"",Table_12[[#This Row],[Protein Name]])</f>
        <v/>
      </c>
      <c r="H48">
        <f>LEN(TRIM(CLEAN(SUBSTITUTE(SUBSTITUTE(Table_12[[#This Row],[Sequence]],CHAR(160)," ")," ",""))))</f>
        <v/>
      </c>
      <c r="J48" s="21" t="n"/>
      <c r="K48" s="21">
        <f>IF($B48="","FALSE","TRUE")</f>
        <v/>
      </c>
      <c r="L48">
        <f t="array" ref="L48">IsURL(Table_121215[[#This Row],[Data Source]])</f>
        <v/>
      </c>
      <c r="M48">
        <f t="array" ref="M48">IsURL(Table_121215[[#This Row],[DOI]])</f>
        <v/>
      </c>
      <c r="N48">
        <f t="array" ref="N48">IsURL(Table_121215[[#This Row],[Data Source]])</f>
        <v/>
      </c>
      <c r="O48">
        <f t="array" ref="O48">IsURL(Table_121215[[#This Row],[Data Source]])</f>
        <v/>
      </c>
    </row>
    <row r="49" ht="15.75" customHeight="1">
      <c r="A49">
        <f>IF(Table_12[[#This Row],[Protein Name]]=0,"",Table_12[[#This Row],[Protein Name]])</f>
        <v/>
      </c>
      <c r="H49">
        <f>LEN(TRIM(CLEAN(SUBSTITUTE(SUBSTITUTE(Table_12[[#This Row],[Sequence]],CHAR(160)," ")," ",""))))</f>
        <v/>
      </c>
      <c r="J49" s="21" t="n"/>
      <c r="K49" s="21">
        <f>IF($B49="","FALSE","TRUE")</f>
        <v/>
      </c>
      <c r="L49">
        <f t="array" ref="L49">IsURL(Table_121215[[#This Row],[Data Source]])</f>
        <v/>
      </c>
      <c r="M49">
        <f t="array" ref="M49">IsURL(Table_121215[[#This Row],[DOI]])</f>
        <v/>
      </c>
      <c r="N49">
        <f t="array" ref="N49">IsURL(Table_121215[[#This Row],[Data Source]])</f>
        <v/>
      </c>
      <c r="O49">
        <f t="array" ref="O49">IsURL(Table_121215[[#This Row],[Data Source]])</f>
        <v/>
      </c>
    </row>
    <row r="50" ht="15.75" customHeight="1">
      <c r="A50">
        <f>IF(Table_12[[#This Row],[Protein Name]]=0,"",Table_12[[#This Row],[Protein Name]])</f>
        <v/>
      </c>
      <c r="H50">
        <f>LEN(TRIM(CLEAN(SUBSTITUTE(SUBSTITUTE(Table_12[[#This Row],[Sequence]],CHAR(160)," ")," ",""))))</f>
        <v/>
      </c>
      <c r="J50" s="21" t="n"/>
      <c r="K50" s="21">
        <f>IF($B50="","FALSE","TRUE")</f>
        <v/>
      </c>
      <c r="L50">
        <f t="array" ref="L50">IsURL(Table_121215[[#This Row],[Data Source]])</f>
        <v/>
      </c>
      <c r="M50">
        <f t="array" ref="M50">IsURL(Table_121215[[#This Row],[DOI]])</f>
        <v/>
      </c>
      <c r="N50">
        <f t="array" ref="N50">IsURL(Table_121215[[#This Row],[Data Source]])</f>
        <v/>
      </c>
      <c r="O50">
        <f t="array" ref="O50">IsURL(Table_121215[[#This Row],[Data Source]])</f>
        <v/>
      </c>
    </row>
    <row r="51" ht="15.75" customHeight="1">
      <c r="A51">
        <f>IF(Table_12[[#This Row],[Protein Name]]=0,"",Table_12[[#This Row],[Protein Name]])</f>
        <v/>
      </c>
      <c r="H51">
        <f>LEN(TRIM(CLEAN(SUBSTITUTE(SUBSTITUTE(Table_12[[#This Row],[Sequence]],CHAR(160)," ")," ",""))))</f>
        <v/>
      </c>
      <c r="J51" s="21" t="n"/>
      <c r="K51" s="21">
        <f>IF($B51="","FALSE","TRUE")</f>
        <v/>
      </c>
      <c r="L51">
        <f t="array" ref="L51">IsURL(Table_121215[[#This Row],[Data Source]])</f>
        <v/>
      </c>
      <c r="M51">
        <f t="array" ref="M51">IsURL(Table_121215[[#This Row],[DOI]])</f>
        <v/>
      </c>
      <c r="N51">
        <f t="array" ref="N51">IsURL(Table_121215[[#This Row],[Data Source]])</f>
        <v/>
      </c>
      <c r="O51">
        <f t="array" ref="O51">IsURL(Table_121215[[#This Row],[Data Source]])</f>
        <v/>
      </c>
    </row>
    <row r="52" ht="15.75" customHeight="1">
      <c r="A52">
        <f>IF(Table_12[[#This Row],[Protein Name]]=0,"",Table_12[[#This Row],[Protein Name]])</f>
        <v/>
      </c>
      <c r="H52">
        <f>LEN(TRIM(CLEAN(SUBSTITUTE(SUBSTITUTE(Table_12[[#This Row],[Sequence]],CHAR(160)," ")," ",""))))</f>
        <v/>
      </c>
      <c r="J52" s="21" t="n"/>
      <c r="K52" s="21">
        <f>IF($B52="","FALSE","TRUE")</f>
        <v/>
      </c>
      <c r="L52">
        <f t="array" ref="L52">IsURL(Table_121215[[#This Row],[Data Source]])</f>
        <v/>
      </c>
      <c r="M52">
        <f t="array" ref="M52">IsURL(Table_121215[[#This Row],[DOI]])</f>
        <v/>
      </c>
      <c r="N52">
        <f t="array" ref="N52">IsURL(Table_121215[[#This Row],[Data Source]])</f>
        <v/>
      </c>
      <c r="O52">
        <f t="array" ref="O52">IsURL(Table_121215[[#This Row],[Data Source]])</f>
        <v/>
      </c>
    </row>
    <row r="53" ht="15.75" customHeight="1">
      <c r="A53">
        <f>IF(Table_12[[#This Row],[Protein Name]]=0,"",Table_12[[#This Row],[Protein Name]])</f>
        <v/>
      </c>
      <c r="H53">
        <f>LEN(TRIM(CLEAN(SUBSTITUTE(SUBSTITUTE(Table_12[[#This Row],[Sequence]],CHAR(160)," ")," ",""))))</f>
        <v/>
      </c>
      <c r="J53" s="21" t="n"/>
      <c r="K53" s="21">
        <f>IF($B53="","FALSE","TRUE")</f>
        <v/>
      </c>
      <c r="L53">
        <f t="array" ref="L53">IsURL(Table_121215[[#This Row],[Data Source]])</f>
        <v/>
      </c>
      <c r="M53">
        <f t="array" ref="M53">IsURL(Table_121215[[#This Row],[DOI]])</f>
        <v/>
      </c>
      <c r="N53">
        <f t="array" ref="N53">IsURL(Table_121215[[#This Row],[Data Source]])</f>
        <v/>
      </c>
      <c r="O53">
        <f t="array" ref="O53">IsURL(Table_121215[[#This Row],[Data Source]])</f>
        <v/>
      </c>
    </row>
    <row r="54" ht="15.75" customHeight="1">
      <c r="A54">
        <f>IF(Table_12[[#This Row],[Protein Name]]=0,"",Table_12[[#This Row],[Protein Name]])</f>
        <v/>
      </c>
      <c r="H54">
        <f>LEN(TRIM(CLEAN(SUBSTITUTE(SUBSTITUTE(Table_12[[#This Row],[Sequence]],CHAR(160)," ")," ",""))))</f>
        <v/>
      </c>
      <c r="J54" s="21" t="n"/>
      <c r="K54" s="21">
        <f>IF($B54="","FALSE","TRUE")</f>
        <v/>
      </c>
      <c r="L54">
        <f t="array" ref="L54">IsURL(Table_121215[[#This Row],[Data Source]])</f>
        <v/>
      </c>
      <c r="M54">
        <f t="array" ref="M54">IsURL(Table_121215[[#This Row],[DOI]])</f>
        <v/>
      </c>
      <c r="N54">
        <f t="array" ref="N54">IsURL(Table_121215[[#This Row],[Data Source]])</f>
        <v/>
      </c>
      <c r="O54">
        <f t="array" ref="O54">IsURL(Table_121215[[#This Row],[Data Source]])</f>
        <v/>
      </c>
    </row>
    <row r="55" ht="15.75" customHeight="1">
      <c r="A55">
        <f>IF(Table_12[[#This Row],[Protein Name]]=0,"",Table_12[[#This Row],[Protein Name]])</f>
        <v/>
      </c>
      <c r="H55">
        <f>LEN(TRIM(CLEAN(SUBSTITUTE(SUBSTITUTE(Table_12[[#This Row],[Sequence]],CHAR(160)," ")," ",""))))</f>
        <v/>
      </c>
      <c r="J55" s="21" t="n"/>
      <c r="K55" s="21">
        <f>IF($B55="","FALSE","TRUE")</f>
        <v/>
      </c>
      <c r="L55">
        <f t="array" ref="L55">IsURL(Table_121215[[#This Row],[Data Source]])</f>
        <v/>
      </c>
      <c r="M55">
        <f t="array" ref="M55">IsURL(Table_121215[[#This Row],[DOI]])</f>
        <v/>
      </c>
      <c r="N55">
        <f t="array" ref="N55">IsURL(Table_121215[[#This Row],[Data Source]])</f>
        <v/>
      </c>
      <c r="O55">
        <f t="array" ref="O55">IsURL(Table_121215[[#This Row],[Data Source]])</f>
        <v/>
      </c>
    </row>
    <row r="56" ht="15.75" customHeight="1">
      <c r="A56">
        <f>IF(Table_12[[#This Row],[Protein Name]]=0,"",Table_12[[#This Row],[Protein Name]])</f>
        <v/>
      </c>
      <c r="H56">
        <f>LEN(TRIM(CLEAN(SUBSTITUTE(SUBSTITUTE(Table_12[[#This Row],[Sequence]],CHAR(160)," ")," ",""))))</f>
        <v/>
      </c>
      <c r="J56" s="21" t="n"/>
      <c r="K56" s="21">
        <f>IF($B56="","FALSE","TRUE")</f>
        <v/>
      </c>
      <c r="L56">
        <f t="array" ref="L56">IsURL(Table_121215[[#This Row],[Data Source]])</f>
        <v/>
      </c>
      <c r="M56">
        <f t="array" ref="M56">IsURL(Table_121215[[#This Row],[DOI]])</f>
        <v/>
      </c>
      <c r="N56">
        <f t="array" ref="N56">IsURL(Table_121215[[#This Row],[Data Source]])</f>
        <v/>
      </c>
      <c r="O56">
        <f t="array" ref="O56">IsURL(Table_121215[[#This Row],[Data Source]])</f>
        <v/>
      </c>
    </row>
    <row r="57" ht="15.75" customHeight="1">
      <c r="A57">
        <f>IF(Table_12[[#This Row],[Protein Name]]=0,"",Table_12[[#This Row],[Protein Name]])</f>
        <v/>
      </c>
      <c r="H57">
        <f>LEN(TRIM(CLEAN(SUBSTITUTE(SUBSTITUTE(Table_12[[#This Row],[Sequence]],CHAR(160)," ")," ",""))))</f>
        <v/>
      </c>
      <c r="J57" s="21" t="n"/>
      <c r="K57" s="21">
        <f>IF($B57="","FALSE","TRUE")</f>
        <v/>
      </c>
      <c r="L57">
        <f t="array" ref="L57">IsURL(Table_121215[[#This Row],[Data Source]])</f>
        <v/>
      </c>
      <c r="M57">
        <f t="array" ref="M57">IsURL(Table_121215[[#This Row],[DOI]])</f>
        <v/>
      </c>
      <c r="N57">
        <f t="array" ref="N57">IsURL(Table_121215[[#This Row],[Data Source]])</f>
        <v/>
      </c>
      <c r="O57">
        <f t="array" ref="O57">IsURL(Table_121215[[#This Row],[Data Source]])</f>
        <v/>
      </c>
    </row>
    <row r="58" ht="15.75" customHeight="1">
      <c r="A58">
        <f>IF(Table_12[[#This Row],[Protein Name]]=0,"",Table_12[[#This Row],[Protein Name]])</f>
        <v/>
      </c>
      <c r="H58">
        <f>LEN(TRIM(CLEAN(SUBSTITUTE(SUBSTITUTE(Table_12[[#This Row],[Sequence]],CHAR(160)," ")," ",""))))</f>
        <v/>
      </c>
      <c r="J58" s="21" t="n"/>
      <c r="K58" s="21">
        <f>IF($B58="","FALSE","TRUE")</f>
        <v/>
      </c>
      <c r="L58">
        <f t="array" ref="L58">IsURL(Table_121215[[#This Row],[Data Source]])</f>
        <v/>
      </c>
      <c r="M58">
        <f t="array" ref="M58">IsURL(Table_121215[[#This Row],[DOI]])</f>
        <v/>
      </c>
      <c r="N58">
        <f t="array" ref="N58">IsURL(Table_121215[[#This Row],[Data Source]])</f>
        <v/>
      </c>
      <c r="O58">
        <f t="array" ref="O58">IsURL(Table_121215[[#This Row],[Data Source]])</f>
        <v/>
      </c>
    </row>
    <row r="59" ht="15.75" customHeight="1">
      <c r="A59">
        <f>IF(Table_12[[#This Row],[Protein Name]]=0,"",Table_12[[#This Row],[Protein Name]])</f>
        <v/>
      </c>
      <c r="H59">
        <f>LEN(TRIM(CLEAN(SUBSTITUTE(SUBSTITUTE(Table_12[[#This Row],[Sequence]],CHAR(160)," ")," ",""))))</f>
        <v/>
      </c>
      <c r="J59" s="21" t="n"/>
      <c r="K59" s="21">
        <f>IF($B59="","FALSE","TRUE")</f>
        <v/>
      </c>
      <c r="L59">
        <f t="array" ref="L59">IsURL(Table_121215[[#This Row],[Data Source]])</f>
        <v/>
      </c>
      <c r="M59">
        <f t="array" ref="M59">IsURL(Table_121215[[#This Row],[DOI]])</f>
        <v/>
      </c>
      <c r="N59">
        <f t="array" ref="N59">IsURL(Table_121215[[#This Row],[Data Source]])</f>
        <v/>
      </c>
      <c r="O59">
        <f t="array" ref="O59">IsURL(Table_121215[[#This Row],[Data Source]])</f>
        <v/>
      </c>
    </row>
    <row r="60" ht="15.75" customHeight="1">
      <c r="A60">
        <f>IF(Table_12[[#This Row],[Protein Name]]=0,"",Table_12[[#This Row],[Protein Name]])</f>
        <v/>
      </c>
      <c r="H60">
        <f>LEN(TRIM(CLEAN(SUBSTITUTE(SUBSTITUTE(Table_12[[#This Row],[Sequence]],CHAR(160)," ")," ",""))))</f>
        <v/>
      </c>
      <c r="J60" s="21" t="n"/>
      <c r="K60" s="21">
        <f>IF($B60="","FALSE","TRUE")</f>
        <v/>
      </c>
      <c r="L60">
        <f t="array" ref="L60">IsURL(Table_121215[[#This Row],[Data Source]])</f>
        <v/>
      </c>
      <c r="M60">
        <f t="array" ref="M60">IsURL(Table_121215[[#This Row],[DOI]])</f>
        <v/>
      </c>
      <c r="N60">
        <f t="array" ref="N60">IsURL(Table_121215[[#This Row],[Data Source]])</f>
        <v/>
      </c>
      <c r="O60">
        <f t="array" ref="O60">IsURL(Table_121215[[#This Row],[Data Source]])</f>
        <v/>
      </c>
    </row>
    <row r="61" ht="15.75" customHeight="1">
      <c r="A61">
        <f>IF(Table_12[[#This Row],[Protein Name]]=0,"",Table_12[[#This Row],[Protein Name]])</f>
        <v/>
      </c>
      <c r="H61">
        <f>LEN(TRIM(CLEAN(SUBSTITUTE(SUBSTITUTE(Table_12[[#This Row],[Sequence]],CHAR(160)," ")," ",""))))</f>
        <v/>
      </c>
      <c r="J61" s="21" t="n"/>
      <c r="K61" s="21">
        <f>IF($B61="","FALSE","TRUE")</f>
        <v/>
      </c>
      <c r="L61">
        <f t="array" ref="L61">IsURL(Table_121215[[#This Row],[Data Source]])</f>
        <v/>
      </c>
      <c r="M61">
        <f t="array" ref="M61">IsURL(Table_121215[[#This Row],[DOI]])</f>
        <v/>
      </c>
      <c r="N61">
        <f t="array" ref="N61">IsURL(Table_121215[[#This Row],[Data Source]])</f>
        <v/>
      </c>
      <c r="O61">
        <f t="array" ref="O61">IsURL(Table_121215[[#This Row],[Data Source]])</f>
        <v/>
      </c>
    </row>
    <row r="62" ht="15.75" customHeight="1">
      <c r="A62">
        <f>IF(Table_12[[#This Row],[Protein Name]]=0,"",Table_12[[#This Row],[Protein Name]])</f>
        <v/>
      </c>
      <c r="H62">
        <f>LEN(TRIM(CLEAN(SUBSTITUTE(SUBSTITUTE(Table_12[[#This Row],[Sequence]],CHAR(160)," ")," ",""))))</f>
        <v/>
      </c>
      <c r="J62" s="21" t="n"/>
      <c r="K62" s="21">
        <f>IF($B62="","FALSE","TRUE")</f>
        <v/>
      </c>
      <c r="L62">
        <f t="array" ref="L62">IsURL(Table_121215[[#This Row],[Data Source]])</f>
        <v/>
      </c>
      <c r="M62">
        <f t="array" ref="M62">IsURL(Table_121215[[#This Row],[DOI]])</f>
        <v/>
      </c>
      <c r="N62">
        <f t="array" ref="N62">IsURL(Table_121215[[#This Row],[Data Source]])</f>
        <v/>
      </c>
      <c r="O62">
        <f t="array" ref="O62">IsURL(Table_121215[[#This Row],[Data Source]])</f>
        <v/>
      </c>
    </row>
    <row r="63" ht="15.75" customHeight="1">
      <c r="A63">
        <f>IF(Table_12[[#This Row],[Protein Name]]=0,"",Table_12[[#This Row],[Protein Name]])</f>
        <v/>
      </c>
      <c r="H63">
        <f>LEN(TRIM(CLEAN(SUBSTITUTE(SUBSTITUTE(Table_12[[#This Row],[Sequence]],CHAR(160)," ")," ",""))))</f>
        <v/>
      </c>
      <c r="J63" s="21" t="n"/>
      <c r="K63" s="21">
        <f>IF($B63="","FALSE","TRUE")</f>
        <v/>
      </c>
      <c r="L63">
        <f t="array" ref="L63">IsURL(Table_121215[[#This Row],[Data Source]])</f>
        <v/>
      </c>
      <c r="M63">
        <f t="array" ref="M63">IsURL(Table_121215[[#This Row],[DOI]])</f>
        <v/>
      </c>
      <c r="N63">
        <f t="array" ref="N63">IsURL(Table_121215[[#This Row],[Data Source]])</f>
        <v/>
      </c>
      <c r="O63">
        <f t="array" ref="O63">IsURL(Table_121215[[#This Row],[Data Source]])</f>
        <v/>
      </c>
    </row>
    <row r="64" ht="15.75" customHeight="1">
      <c r="A64">
        <f>IF(Table_12[[#This Row],[Protein Name]]=0,"",Table_12[[#This Row],[Protein Name]])</f>
        <v/>
      </c>
      <c r="H64">
        <f>LEN(TRIM(CLEAN(SUBSTITUTE(SUBSTITUTE(Table_12[[#This Row],[Sequence]],CHAR(160)," ")," ",""))))</f>
        <v/>
      </c>
      <c r="J64" s="21" t="n"/>
      <c r="K64" s="21">
        <f>IF($B64="","FALSE","TRUE")</f>
        <v/>
      </c>
      <c r="L64">
        <f t="array" ref="L64">IsURL(Table_121215[[#This Row],[Data Source]])</f>
        <v/>
      </c>
      <c r="M64">
        <f t="array" ref="M64">IsURL(Table_121215[[#This Row],[DOI]])</f>
        <v/>
      </c>
      <c r="N64">
        <f t="array" ref="N64">IsURL(Table_121215[[#This Row],[Data Source]])</f>
        <v/>
      </c>
      <c r="O64">
        <f t="array" ref="O64">IsURL(Table_121215[[#This Row],[Data Source]])</f>
        <v/>
      </c>
    </row>
    <row r="65" ht="15.75" customHeight="1">
      <c r="A65">
        <f>IF(Table_12[[#This Row],[Protein Name]]=0,"",Table_12[[#This Row],[Protein Name]])</f>
        <v/>
      </c>
      <c r="H65">
        <f>LEN(TRIM(CLEAN(SUBSTITUTE(SUBSTITUTE(Table_12[[#This Row],[Sequence]],CHAR(160)," ")," ",""))))</f>
        <v/>
      </c>
      <c r="J65" s="21" t="n"/>
      <c r="K65" s="21">
        <f>IF($B65="","FALSE","TRUE")</f>
        <v/>
      </c>
      <c r="L65">
        <f t="array" ref="L65">IsURL(Table_121215[[#This Row],[Data Source]])</f>
        <v/>
      </c>
      <c r="M65">
        <f t="array" ref="M65">IsURL(Table_121215[[#This Row],[DOI]])</f>
        <v/>
      </c>
      <c r="N65">
        <f t="array" ref="N65">IsURL(Table_121215[[#This Row],[Data Source]])</f>
        <v/>
      </c>
      <c r="O65">
        <f t="array" ref="O65">IsURL(Table_121215[[#This Row],[Data Source]])</f>
        <v/>
      </c>
    </row>
    <row r="66" ht="15.75" customHeight="1">
      <c r="A66">
        <f>IF(Table_12[[#This Row],[Protein Name]]=0,"",Table_12[[#This Row],[Protein Name]])</f>
        <v/>
      </c>
      <c r="H66">
        <f>LEN(TRIM(CLEAN(SUBSTITUTE(SUBSTITUTE(Table_12[[#This Row],[Sequence]],CHAR(160)," ")," ",""))))</f>
        <v/>
      </c>
      <c r="J66" s="21" t="n"/>
      <c r="K66" s="21">
        <f>IF($B66="","FALSE","TRUE")</f>
        <v/>
      </c>
      <c r="L66">
        <f t="array" ref="L66">IsURL(Table_121215[[#This Row],[Data Source]])</f>
        <v/>
      </c>
      <c r="M66">
        <f t="array" ref="M66">IsURL(Table_121215[[#This Row],[DOI]])</f>
        <v/>
      </c>
      <c r="N66">
        <f t="array" ref="N66">IsURL(Table_121215[[#This Row],[Data Source]])</f>
        <v/>
      </c>
      <c r="O66">
        <f t="array" ref="O66">IsURL(Table_121215[[#This Row],[Data Source]])</f>
        <v/>
      </c>
    </row>
    <row r="67" ht="15.75" customHeight="1">
      <c r="A67">
        <f>IF(Table_12[[#This Row],[Protein Name]]=0,"",Table_12[[#This Row],[Protein Name]])</f>
        <v/>
      </c>
      <c r="H67">
        <f>LEN(TRIM(CLEAN(SUBSTITUTE(SUBSTITUTE(Table_12[[#This Row],[Sequence]],CHAR(160)," ")," ",""))))</f>
        <v/>
      </c>
      <c r="J67" s="21" t="n"/>
      <c r="K67" s="21">
        <f>IF($B67="","FALSE","TRUE")</f>
        <v/>
      </c>
      <c r="L67">
        <f t="array" ref="L67">IsURL(Table_121215[[#This Row],[Data Source]])</f>
        <v/>
      </c>
      <c r="M67">
        <f t="array" ref="M67">IsURL(Table_121215[[#This Row],[DOI]])</f>
        <v/>
      </c>
      <c r="N67">
        <f t="array" ref="N67">IsURL(Table_121215[[#This Row],[Data Source]])</f>
        <v/>
      </c>
      <c r="O67">
        <f t="array" ref="O67">IsURL(Table_121215[[#This Row],[Data Source]])</f>
        <v/>
      </c>
    </row>
    <row r="68" ht="15.75" customHeight="1">
      <c r="A68">
        <f>IF(Table_12[[#This Row],[Protein Name]]=0,"",Table_12[[#This Row],[Protein Name]])</f>
        <v/>
      </c>
      <c r="H68">
        <f>LEN(TRIM(CLEAN(SUBSTITUTE(SUBSTITUTE(Table_12[[#This Row],[Sequence]],CHAR(160)," ")," ",""))))</f>
        <v/>
      </c>
      <c r="J68" s="21" t="n"/>
      <c r="K68" s="21">
        <f>IF($B68="","FALSE","TRUE")</f>
        <v/>
      </c>
      <c r="L68">
        <f t="array" ref="L68">IsURL(Table_121215[[#This Row],[Data Source]])</f>
        <v/>
      </c>
      <c r="M68">
        <f t="array" ref="M68">IsURL(Table_121215[[#This Row],[DOI]])</f>
        <v/>
      </c>
      <c r="N68">
        <f t="array" ref="N68">IsURL(Table_121215[[#This Row],[Data Source]])</f>
        <v/>
      </c>
      <c r="O68">
        <f t="array" ref="O68">IsURL(Table_121215[[#This Row],[Data Source]])</f>
        <v/>
      </c>
    </row>
    <row r="69" ht="15.75" customHeight="1">
      <c r="A69">
        <f>IF(Table_12[[#This Row],[Protein Name]]=0,"",Table_12[[#This Row],[Protein Name]])</f>
        <v/>
      </c>
      <c r="H69">
        <f>LEN(TRIM(CLEAN(SUBSTITUTE(SUBSTITUTE(Table_12[[#This Row],[Sequence]],CHAR(160)," ")," ",""))))</f>
        <v/>
      </c>
      <c r="J69" s="21" t="n"/>
      <c r="K69" s="21">
        <f>IF($B69="","FALSE","TRUE")</f>
        <v/>
      </c>
      <c r="L69">
        <f t="array" ref="L69">IsURL(Table_121215[[#This Row],[Data Source]])</f>
        <v/>
      </c>
      <c r="M69">
        <f t="array" ref="M69">IsURL(Table_121215[[#This Row],[DOI]])</f>
        <v/>
      </c>
      <c r="N69">
        <f t="array" ref="N69">IsURL(Table_121215[[#This Row],[Data Source]])</f>
        <v/>
      </c>
      <c r="O69">
        <f t="array" ref="O69">IsURL(Table_121215[[#This Row],[Data Source]])</f>
        <v/>
      </c>
    </row>
    <row r="70" ht="15.75" customHeight="1">
      <c r="A70">
        <f>IF(Table_12[[#This Row],[Protein Name]]=0,"",Table_12[[#This Row],[Protein Name]])</f>
        <v/>
      </c>
      <c r="H70">
        <f>LEN(TRIM(CLEAN(SUBSTITUTE(SUBSTITUTE(Table_12[[#This Row],[Sequence]],CHAR(160)," ")," ",""))))</f>
        <v/>
      </c>
      <c r="J70" s="21" t="n"/>
      <c r="K70" s="21">
        <f>IF($B70="","FALSE","TRUE")</f>
        <v/>
      </c>
      <c r="L70">
        <f t="array" ref="L70">IsURL(Table_121215[[#This Row],[Data Source]])</f>
        <v/>
      </c>
      <c r="M70">
        <f t="array" ref="M70">IsURL(Table_121215[[#This Row],[DOI]])</f>
        <v/>
      </c>
      <c r="N70">
        <f t="array" ref="N70">IsURL(Table_121215[[#This Row],[Data Source]])</f>
        <v/>
      </c>
      <c r="O70">
        <f t="array" ref="O70">IsURL(Table_121215[[#This Row],[Data Source]])</f>
        <v/>
      </c>
    </row>
    <row r="71" ht="15.75" customHeight="1">
      <c r="A71">
        <f>IF(Table_12[[#This Row],[Protein Name]]=0,"",Table_12[[#This Row],[Protein Name]])</f>
        <v/>
      </c>
      <c r="H71">
        <f>LEN(TRIM(CLEAN(SUBSTITUTE(SUBSTITUTE(Table_12[[#This Row],[Sequence]],CHAR(160)," ")," ",""))))</f>
        <v/>
      </c>
      <c r="J71" s="21" t="n"/>
      <c r="K71" s="21">
        <f>IF($B71="","FALSE","TRUE")</f>
        <v/>
      </c>
      <c r="L71">
        <f t="array" ref="L71">IsURL(Table_121215[[#This Row],[Data Source]])</f>
        <v/>
      </c>
      <c r="M71">
        <f t="array" ref="M71">IsURL(Table_121215[[#This Row],[DOI]])</f>
        <v/>
      </c>
      <c r="N71">
        <f t="array" ref="N71">IsURL(Table_121215[[#This Row],[Data Source]])</f>
        <v/>
      </c>
      <c r="O71">
        <f t="array" ref="O71">IsURL(Table_121215[[#This Row],[Data Source]])</f>
        <v/>
      </c>
    </row>
    <row r="72" ht="15.75" customHeight="1">
      <c r="A72">
        <f>IF(Table_12[[#This Row],[Protein Name]]=0,"",Table_12[[#This Row],[Protein Name]])</f>
        <v/>
      </c>
      <c r="H72">
        <f>LEN(TRIM(CLEAN(SUBSTITUTE(SUBSTITUTE(Table_12[[#This Row],[Sequence]],CHAR(160)," ")," ",""))))</f>
        <v/>
      </c>
      <c r="J72" s="21" t="n"/>
      <c r="K72" s="21">
        <f>IF($B72="","FALSE","TRUE")</f>
        <v/>
      </c>
      <c r="L72">
        <f t="array" ref="L72">IsURL(Table_121215[[#This Row],[Data Source]])</f>
        <v/>
      </c>
      <c r="M72">
        <f t="array" ref="M72">IsURL(Table_121215[[#This Row],[DOI]])</f>
        <v/>
      </c>
      <c r="N72">
        <f t="array" ref="N72">IsURL(Table_121215[[#This Row],[Data Source]])</f>
        <v/>
      </c>
      <c r="O72">
        <f t="array" ref="O72">IsURL(Table_121215[[#This Row],[Data Source]])</f>
        <v/>
      </c>
    </row>
    <row r="73" ht="15.75" customHeight="1">
      <c r="A73">
        <f>IF(Table_12[[#This Row],[Protein Name]]=0,"",Table_12[[#This Row],[Protein Name]])</f>
        <v/>
      </c>
      <c r="H73">
        <f>LEN(TRIM(CLEAN(SUBSTITUTE(SUBSTITUTE(Table_12[[#This Row],[Sequence]],CHAR(160)," ")," ",""))))</f>
        <v/>
      </c>
      <c r="J73" s="21" t="n"/>
      <c r="K73" s="21">
        <f>IF($B73="","FALSE","TRUE")</f>
        <v/>
      </c>
      <c r="L73">
        <f t="array" ref="L73">IsURL(Table_121215[[#This Row],[Data Source]])</f>
        <v/>
      </c>
      <c r="M73">
        <f t="array" ref="M73">IsURL(Table_121215[[#This Row],[DOI]])</f>
        <v/>
      </c>
      <c r="N73">
        <f t="array" ref="N73">IsURL(Table_121215[[#This Row],[Data Source]])</f>
        <v/>
      </c>
      <c r="O73">
        <f t="array" ref="O73">IsURL(Table_121215[[#This Row],[Data Source]])</f>
        <v/>
      </c>
    </row>
    <row r="74" ht="15.75" customHeight="1">
      <c r="A74">
        <f>IF(Table_12[[#This Row],[Protein Name]]=0,"",Table_12[[#This Row],[Protein Name]])</f>
        <v/>
      </c>
      <c r="H74">
        <f>LEN(TRIM(CLEAN(SUBSTITUTE(SUBSTITUTE(Table_12[[#This Row],[Sequence]],CHAR(160)," ")," ",""))))</f>
        <v/>
      </c>
      <c r="J74" s="21" t="n"/>
      <c r="K74" s="21">
        <f>IF($B74="","FALSE","TRUE")</f>
        <v/>
      </c>
      <c r="L74">
        <f t="array" ref="L74">IsURL(Table_121215[[#This Row],[Data Source]])</f>
        <v/>
      </c>
      <c r="M74">
        <f t="array" ref="M74">IsURL(Table_121215[[#This Row],[DOI]])</f>
        <v/>
      </c>
      <c r="N74">
        <f t="array" ref="N74">IsURL(Table_121215[[#This Row],[Data Source]])</f>
        <v/>
      </c>
      <c r="O74">
        <f t="array" ref="O74">IsURL(Table_121215[[#This Row],[Data Source]])</f>
        <v/>
      </c>
    </row>
    <row r="75" ht="15.75" customHeight="1">
      <c r="A75">
        <f>IF(Table_12[[#This Row],[Protein Name]]=0,"",Table_12[[#This Row],[Protein Name]])</f>
        <v/>
      </c>
      <c r="H75">
        <f>LEN(TRIM(CLEAN(SUBSTITUTE(SUBSTITUTE(Table_12[[#This Row],[Sequence]],CHAR(160)," ")," ",""))))</f>
        <v/>
      </c>
      <c r="J75" s="21" t="n"/>
      <c r="K75" s="21">
        <f>IF($B75="","FALSE","TRUE")</f>
        <v/>
      </c>
      <c r="L75">
        <f t="array" ref="L75">IsURL(Table_121215[[#This Row],[Data Source]])</f>
        <v/>
      </c>
      <c r="M75">
        <f t="array" ref="M75">IsURL(Table_121215[[#This Row],[DOI]])</f>
        <v/>
      </c>
      <c r="N75">
        <f t="array" ref="N75">IsURL(Table_121215[[#This Row],[Data Source]])</f>
        <v/>
      </c>
      <c r="O75">
        <f t="array" ref="O75">IsURL(Table_121215[[#This Row],[Data Source]])</f>
        <v/>
      </c>
    </row>
    <row r="76" ht="15.75" customHeight="1">
      <c r="A76">
        <f>IF(Table_12[[#This Row],[Protein Name]]=0,"",Table_12[[#This Row],[Protein Name]])</f>
        <v/>
      </c>
      <c r="H76">
        <f>LEN(TRIM(CLEAN(SUBSTITUTE(SUBSTITUTE(Table_12[[#This Row],[Sequence]],CHAR(160)," ")," ",""))))</f>
        <v/>
      </c>
      <c r="J76" s="21" t="n"/>
      <c r="K76" s="21">
        <f>IF($B76="","FALSE","TRUE")</f>
        <v/>
      </c>
      <c r="L76">
        <f t="array" ref="L76">IsURL(Table_121215[[#This Row],[Data Source]])</f>
        <v/>
      </c>
      <c r="M76">
        <f t="array" ref="M76">IsURL(Table_121215[[#This Row],[DOI]])</f>
        <v/>
      </c>
      <c r="N76">
        <f t="array" ref="N76">IsURL(Table_121215[[#This Row],[Data Source]])</f>
        <v/>
      </c>
      <c r="O76">
        <f t="array" ref="O76">IsURL(Table_121215[[#This Row],[Data Source]])</f>
        <v/>
      </c>
    </row>
    <row r="77" ht="15.75" customHeight="1">
      <c r="A77">
        <f>IF(Table_12[[#This Row],[Protein Name]]=0,"",Table_12[[#This Row],[Protein Name]])</f>
        <v/>
      </c>
      <c r="H77">
        <f>LEN(TRIM(CLEAN(SUBSTITUTE(SUBSTITUTE(Table_12[[#This Row],[Sequence]],CHAR(160)," ")," ",""))))</f>
        <v/>
      </c>
      <c r="J77" s="21" t="n"/>
      <c r="K77" s="21">
        <f>IF($B77="","FALSE","TRUE")</f>
        <v/>
      </c>
      <c r="L77">
        <f t="array" ref="L77">IsURL(Table_121215[[#This Row],[Data Source]])</f>
        <v/>
      </c>
      <c r="M77">
        <f t="array" ref="M77">IsURL(Table_121215[[#This Row],[DOI]])</f>
        <v/>
      </c>
      <c r="N77">
        <f t="array" ref="N77">IsURL(Table_121215[[#This Row],[Data Source]])</f>
        <v/>
      </c>
      <c r="O77">
        <f t="array" ref="O77">IsURL(Table_121215[[#This Row],[Data Source]])</f>
        <v/>
      </c>
    </row>
    <row r="78" ht="15.75" customHeight="1">
      <c r="A78">
        <f>IF(Table_12[[#This Row],[Protein Name]]=0,"",Table_12[[#This Row],[Protein Name]])</f>
        <v/>
      </c>
      <c r="H78">
        <f>LEN(TRIM(CLEAN(SUBSTITUTE(SUBSTITUTE(Table_12[[#This Row],[Sequence]],CHAR(160)," ")," ",""))))</f>
        <v/>
      </c>
      <c r="J78" s="21" t="n"/>
      <c r="K78" s="21">
        <f>IF($B78="","FALSE","TRUE")</f>
        <v/>
      </c>
      <c r="L78">
        <f t="array" ref="L78">IsURL(Table_121215[[#This Row],[Data Source]])</f>
        <v/>
      </c>
      <c r="M78">
        <f t="array" ref="M78">IsURL(Table_121215[[#This Row],[DOI]])</f>
        <v/>
      </c>
      <c r="N78">
        <f t="array" ref="N78">IsURL(Table_121215[[#This Row],[Data Source]])</f>
        <v/>
      </c>
      <c r="O78">
        <f t="array" ref="O78">IsURL(Table_121215[[#This Row],[Data Source]])</f>
        <v/>
      </c>
    </row>
    <row r="79" ht="15.75" customHeight="1">
      <c r="A79">
        <f>IF(Table_12[[#This Row],[Protein Name]]=0,"",Table_12[[#This Row],[Protein Name]])</f>
        <v/>
      </c>
      <c r="H79">
        <f>LEN(TRIM(CLEAN(SUBSTITUTE(SUBSTITUTE(Table_12[[#This Row],[Sequence]],CHAR(160)," ")," ",""))))</f>
        <v/>
      </c>
      <c r="J79" s="21" t="n"/>
      <c r="K79" s="21">
        <f>IF($B79="","FALSE","TRUE")</f>
        <v/>
      </c>
      <c r="L79">
        <f t="array" ref="L79">IsURL(Table_121215[[#This Row],[Data Source]])</f>
        <v/>
      </c>
      <c r="M79">
        <f t="array" ref="M79">IsURL(Table_121215[[#This Row],[DOI]])</f>
        <v/>
      </c>
      <c r="N79">
        <f t="array" ref="N79">IsURL(Table_121215[[#This Row],[Data Source]])</f>
        <v/>
      </c>
      <c r="O79">
        <f t="array" ref="O79">IsURL(Table_121215[[#This Row],[Data Source]])</f>
        <v/>
      </c>
    </row>
    <row r="80" ht="15.75" customHeight="1">
      <c r="A80">
        <f>IF(Table_12[[#This Row],[Protein Name]]=0,"",Table_12[[#This Row],[Protein Name]])</f>
        <v/>
      </c>
      <c r="H80">
        <f>LEN(TRIM(CLEAN(SUBSTITUTE(SUBSTITUTE(Table_12[[#This Row],[Sequence]],CHAR(160)," ")," ",""))))</f>
        <v/>
      </c>
      <c r="J80" s="21" t="n"/>
      <c r="K80" s="21">
        <f>IF($B80="","FALSE","TRUE")</f>
        <v/>
      </c>
      <c r="L80">
        <f t="array" ref="L80">IsURL(Table_121215[[#This Row],[Data Source]])</f>
        <v/>
      </c>
      <c r="M80">
        <f t="array" ref="M80">IsURL(Table_121215[[#This Row],[DOI]])</f>
        <v/>
      </c>
      <c r="N80">
        <f t="array" ref="N80">IsURL(Table_121215[[#This Row],[Data Source]])</f>
        <v/>
      </c>
      <c r="O80">
        <f t="array" ref="O80">IsURL(Table_121215[[#This Row],[Data Source]])</f>
        <v/>
      </c>
    </row>
    <row r="81" ht="15.75" customHeight="1">
      <c r="A81">
        <f>IF(Table_12[[#This Row],[Protein Name]]=0,"",Table_12[[#This Row],[Protein Name]])</f>
        <v/>
      </c>
      <c r="H81">
        <f>LEN(TRIM(CLEAN(SUBSTITUTE(SUBSTITUTE(Table_12[[#This Row],[Sequence]],CHAR(160)," ")," ",""))))</f>
        <v/>
      </c>
      <c r="J81" s="21" t="n"/>
      <c r="K81" s="21">
        <f>IF($B81="","FALSE","TRUE")</f>
        <v/>
      </c>
      <c r="L81">
        <f t="array" ref="L81">IsURL(Table_121215[[#This Row],[Data Source]])</f>
        <v/>
      </c>
      <c r="M81">
        <f t="array" ref="M81">IsURL(Table_121215[[#This Row],[DOI]])</f>
        <v/>
      </c>
      <c r="N81">
        <f t="array" ref="N81">IsURL(Table_121215[[#This Row],[Data Source]])</f>
        <v/>
      </c>
      <c r="O81">
        <f t="array" ref="O81">IsURL(Table_121215[[#This Row],[Data Source]])</f>
        <v/>
      </c>
    </row>
    <row r="82" ht="15.75" customHeight="1">
      <c r="A82">
        <f>IF(Table_12[[#This Row],[Protein Name]]=0,"",Table_12[[#This Row],[Protein Name]])</f>
        <v/>
      </c>
      <c r="H82">
        <f>LEN(TRIM(CLEAN(SUBSTITUTE(SUBSTITUTE(Table_12[[#This Row],[Sequence]],CHAR(160)," ")," ",""))))</f>
        <v/>
      </c>
      <c r="J82" s="21" t="n"/>
      <c r="K82" s="21">
        <f>IF($B82="","FALSE","TRUE")</f>
        <v/>
      </c>
      <c r="L82">
        <f t="array" ref="L82">IsURL(Table_121215[[#This Row],[Data Source]])</f>
        <v/>
      </c>
      <c r="M82">
        <f t="array" ref="M82">IsURL(Table_121215[[#This Row],[DOI]])</f>
        <v/>
      </c>
      <c r="N82">
        <f t="array" ref="N82">IsURL(Table_121215[[#This Row],[Data Source]])</f>
        <v/>
      </c>
      <c r="O82">
        <f t="array" ref="O82">IsURL(Table_121215[[#This Row],[Data Source]])</f>
        <v/>
      </c>
    </row>
    <row r="83" ht="15.75" customHeight="1">
      <c r="A83">
        <f>IF(Table_12[[#This Row],[Protein Name]]=0,"",Table_12[[#This Row],[Protein Name]])</f>
        <v/>
      </c>
      <c r="H83">
        <f>LEN(TRIM(CLEAN(SUBSTITUTE(SUBSTITUTE(Table_12[[#This Row],[Sequence]],CHAR(160)," ")," ",""))))</f>
        <v/>
      </c>
      <c r="J83" s="21" t="n"/>
      <c r="K83" s="21">
        <f>IF($B83="","FALSE","TRUE")</f>
        <v/>
      </c>
      <c r="L83">
        <f t="array" ref="L83">IsURL(Table_121215[[#This Row],[Data Source]])</f>
        <v/>
      </c>
      <c r="M83">
        <f t="array" ref="M83">IsURL(Table_121215[[#This Row],[DOI]])</f>
        <v/>
      </c>
      <c r="N83">
        <f t="array" ref="N83">IsURL(Table_121215[[#This Row],[Data Source]])</f>
        <v/>
      </c>
      <c r="O83">
        <f t="array" ref="O83">IsURL(Table_121215[[#This Row],[Data Source]])</f>
        <v/>
      </c>
    </row>
    <row r="84" ht="15.75" customHeight="1">
      <c r="A84">
        <f>IF(Table_12[[#This Row],[Protein Name]]=0,"",Table_12[[#This Row],[Protein Name]])</f>
        <v/>
      </c>
      <c r="H84">
        <f>LEN(TRIM(CLEAN(SUBSTITUTE(SUBSTITUTE(Table_12[[#This Row],[Sequence]],CHAR(160)," ")," ",""))))</f>
        <v/>
      </c>
      <c r="J84" s="21" t="n"/>
      <c r="K84" s="21">
        <f>IF($B84="","FALSE","TRUE")</f>
        <v/>
      </c>
      <c r="L84">
        <f t="array" ref="L84">IsURL(Table_121215[[#This Row],[Data Source]])</f>
        <v/>
      </c>
      <c r="M84">
        <f t="array" ref="M84">IsURL(Table_121215[[#This Row],[DOI]])</f>
        <v/>
      </c>
      <c r="N84">
        <f t="array" ref="N84">IsURL(Table_121215[[#This Row],[Data Source]])</f>
        <v/>
      </c>
      <c r="O84">
        <f t="array" ref="O84">IsURL(Table_121215[[#This Row],[Data Source]])</f>
        <v/>
      </c>
    </row>
    <row r="85" ht="15.75" customHeight="1">
      <c r="A85">
        <f>IF(Table_12[[#This Row],[Protein Name]]=0,"",Table_12[[#This Row],[Protein Name]])</f>
        <v/>
      </c>
      <c r="H85">
        <f>LEN(TRIM(CLEAN(SUBSTITUTE(SUBSTITUTE(Table_12[[#This Row],[Sequence]],CHAR(160)," ")," ",""))))</f>
        <v/>
      </c>
      <c r="J85" s="21" t="n"/>
      <c r="K85" s="21">
        <f>IF($B85="","FALSE","TRUE")</f>
        <v/>
      </c>
      <c r="L85">
        <f t="array" ref="L85">IsURL(Table_121215[[#This Row],[Data Source]])</f>
        <v/>
      </c>
      <c r="M85">
        <f t="array" ref="M85">IsURL(Table_121215[[#This Row],[DOI]])</f>
        <v/>
      </c>
      <c r="N85">
        <f t="array" ref="N85">IsURL(Table_121215[[#This Row],[Data Source]])</f>
        <v/>
      </c>
      <c r="O85">
        <f t="array" ref="O85">IsURL(Table_121215[[#This Row],[Data Source]])</f>
        <v/>
      </c>
    </row>
    <row r="86" ht="15.75" customHeight="1">
      <c r="A86">
        <f>IF(Table_12[[#This Row],[Protein Name]]=0,"",Table_12[[#This Row],[Protein Name]])</f>
        <v/>
      </c>
      <c r="H86">
        <f>LEN(TRIM(CLEAN(SUBSTITUTE(SUBSTITUTE(Table_12[[#This Row],[Sequence]],CHAR(160)," ")," ",""))))</f>
        <v/>
      </c>
      <c r="J86" s="21" t="n"/>
      <c r="K86" s="21">
        <f>IF($B86="","FALSE","TRUE")</f>
        <v/>
      </c>
      <c r="L86">
        <f t="array" ref="L86">IsURL(Table_121215[[#This Row],[Data Source]])</f>
        <v/>
      </c>
      <c r="M86">
        <f t="array" ref="M86">IsURL(Table_121215[[#This Row],[DOI]])</f>
        <v/>
      </c>
      <c r="N86">
        <f t="array" ref="N86">IsURL(Table_121215[[#This Row],[Data Source]])</f>
        <v/>
      </c>
      <c r="O86">
        <f t="array" ref="O86">IsURL(Table_121215[[#This Row],[Data Source]])</f>
        <v/>
      </c>
    </row>
    <row r="87" ht="15.75" customHeight="1">
      <c r="A87">
        <f>IF(Table_12[[#This Row],[Protein Name]]=0,"",Table_12[[#This Row],[Protein Name]])</f>
        <v/>
      </c>
      <c r="H87">
        <f>LEN(TRIM(CLEAN(SUBSTITUTE(SUBSTITUTE(Table_12[[#This Row],[Sequence]],CHAR(160)," ")," ",""))))</f>
        <v/>
      </c>
      <c r="J87" s="21" t="n"/>
      <c r="K87" s="21">
        <f>IF($B87="","FALSE","TRUE")</f>
        <v/>
      </c>
      <c r="L87">
        <f t="array" ref="L87">IsURL(Table_121215[[#This Row],[Data Source]])</f>
        <v/>
      </c>
      <c r="M87">
        <f t="array" ref="M87">IsURL(Table_121215[[#This Row],[DOI]])</f>
        <v/>
      </c>
      <c r="N87">
        <f t="array" ref="N87">IsURL(Table_121215[[#This Row],[Data Source]])</f>
        <v/>
      </c>
      <c r="O87">
        <f t="array" ref="O87">IsURL(Table_121215[[#This Row],[Data Source]])</f>
        <v/>
      </c>
    </row>
    <row r="88" ht="15.75" customHeight="1">
      <c r="A88">
        <f>IF(Table_12[[#This Row],[Protein Name]]=0,"",Table_12[[#This Row],[Protein Name]])</f>
        <v/>
      </c>
      <c r="H88">
        <f>LEN(TRIM(CLEAN(SUBSTITUTE(SUBSTITUTE(Table_12[[#This Row],[Sequence]],CHAR(160)," ")," ",""))))</f>
        <v/>
      </c>
      <c r="J88" s="21" t="n"/>
      <c r="K88" s="21">
        <f>IF($B88="","FALSE","TRUE")</f>
        <v/>
      </c>
      <c r="L88">
        <f t="array" ref="L88">IsURL(Table_121215[[#This Row],[Data Source]])</f>
        <v/>
      </c>
      <c r="M88">
        <f t="array" ref="M88">IsURL(Table_121215[[#This Row],[DOI]])</f>
        <v/>
      </c>
      <c r="N88">
        <f t="array" ref="N88">IsURL(Table_121215[[#This Row],[Data Source]])</f>
        <v/>
      </c>
      <c r="O88">
        <f t="array" ref="O88">IsURL(Table_121215[[#This Row],[Data Source]])</f>
        <v/>
      </c>
    </row>
    <row r="89" ht="15.75" customHeight="1">
      <c r="A89">
        <f>IF(Table_12[[#This Row],[Protein Name]]=0,"",Table_12[[#This Row],[Protein Name]])</f>
        <v/>
      </c>
      <c r="H89">
        <f>LEN(TRIM(CLEAN(SUBSTITUTE(SUBSTITUTE(Table_12[[#This Row],[Sequence]],CHAR(160)," ")," ",""))))</f>
        <v/>
      </c>
      <c r="J89" s="21" t="n"/>
      <c r="K89" s="21">
        <f>IF($B89="","FALSE","TRUE")</f>
        <v/>
      </c>
      <c r="L89">
        <f t="array" ref="L89">IsURL(Table_121215[[#This Row],[Data Source]])</f>
        <v/>
      </c>
      <c r="M89">
        <f t="array" ref="M89">IsURL(Table_121215[[#This Row],[DOI]])</f>
        <v/>
      </c>
      <c r="N89">
        <f t="array" ref="N89">IsURL(Table_121215[[#This Row],[Data Source]])</f>
        <v/>
      </c>
      <c r="O89">
        <f t="array" ref="O89">IsURL(Table_121215[[#This Row],[Data Source]])</f>
        <v/>
      </c>
    </row>
    <row r="90" ht="15.75" customHeight="1">
      <c r="A90">
        <f>IF(Table_12[[#This Row],[Protein Name]]=0,"",Table_12[[#This Row],[Protein Name]])</f>
        <v/>
      </c>
      <c r="H90">
        <f>LEN(TRIM(CLEAN(SUBSTITUTE(SUBSTITUTE(Table_12[[#This Row],[Sequence]],CHAR(160)," ")," ",""))))</f>
        <v/>
      </c>
      <c r="J90" s="21" t="n"/>
      <c r="K90" s="21">
        <f>IF($B90="","FALSE","TRUE")</f>
        <v/>
      </c>
      <c r="L90">
        <f t="array" ref="L90">IsURL(Table_121215[[#This Row],[Data Source]])</f>
        <v/>
      </c>
      <c r="M90">
        <f t="array" ref="M90">IsURL(Table_121215[[#This Row],[DOI]])</f>
        <v/>
      </c>
      <c r="N90">
        <f t="array" ref="N90">IsURL(Table_121215[[#This Row],[Data Source]])</f>
        <v/>
      </c>
      <c r="O90">
        <f t="array" ref="O90">IsURL(Table_121215[[#This Row],[Data Source]])</f>
        <v/>
      </c>
    </row>
    <row r="91" ht="15.75" customHeight="1">
      <c r="A91">
        <f>IF(Table_12[[#This Row],[Protein Name]]=0,"",Table_12[[#This Row],[Protein Name]])</f>
        <v/>
      </c>
      <c r="H91">
        <f>LEN(TRIM(CLEAN(SUBSTITUTE(SUBSTITUTE(Table_12[[#This Row],[Sequence]],CHAR(160)," ")," ",""))))</f>
        <v/>
      </c>
      <c r="J91" s="21" t="n"/>
      <c r="K91" s="21">
        <f>IF($B91="","FALSE","TRUE")</f>
        <v/>
      </c>
      <c r="L91">
        <f t="array" ref="L91">IsURL(Table_121215[[#This Row],[Data Source]])</f>
        <v/>
      </c>
      <c r="M91">
        <f t="array" ref="M91">IsURL(Table_121215[[#This Row],[DOI]])</f>
        <v/>
      </c>
      <c r="N91">
        <f t="array" ref="N91">IsURL(Table_121215[[#This Row],[Data Source]])</f>
        <v/>
      </c>
      <c r="O91">
        <f t="array" ref="O91">IsURL(Table_121215[[#This Row],[Data Source]])</f>
        <v/>
      </c>
    </row>
    <row r="92" ht="15.75" customHeight="1">
      <c r="A92">
        <f>IF(Table_12[[#This Row],[Protein Name]]=0,"",Table_12[[#This Row],[Protein Name]])</f>
        <v/>
      </c>
      <c r="H92">
        <f>LEN(TRIM(CLEAN(SUBSTITUTE(SUBSTITUTE(Table_12[[#This Row],[Sequence]],CHAR(160)," ")," ",""))))</f>
        <v/>
      </c>
      <c r="J92" s="21" t="n"/>
      <c r="K92" s="21">
        <f>IF($B92="","FALSE","TRUE")</f>
        <v/>
      </c>
      <c r="L92">
        <f t="array" ref="L92">IsURL(Table_121215[[#This Row],[Data Source]])</f>
        <v/>
      </c>
      <c r="M92">
        <f t="array" ref="M92">IsURL(Table_121215[[#This Row],[DOI]])</f>
        <v/>
      </c>
      <c r="N92">
        <f t="array" ref="N92">IsURL(Table_121215[[#This Row],[Data Source]])</f>
        <v/>
      </c>
      <c r="O92">
        <f t="array" ref="O92">IsURL(Table_121215[[#This Row],[Data Source]])</f>
        <v/>
      </c>
    </row>
    <row r="93" ht="15.75" customHeight="1">
      <c r="A93">
        <f>IF(Table_12[[#This Row],[Protein Name]]=0,"",Table_12[[#This Row],[Protein Name]])</f>
        <v/>
      </c>
      <c r="H93">
        <f>LEN(TRIM(CLEAN(SUBSTITUTE(SUBSTITUTE(Table_12[[#This Row],[Sequence]],CHAR(160)," ")," ",""))))</f>
        <v/>
      </c>
      <c r="J93" s="21" t="n"/>
      <c r="K93" s="21">
        <f>IF($B93="","FALSE","TRUE")</f>
        <v/>
      </c>
      <c r="L93">
        <f t="array" ref="L93">IsURL(Table_121215[[#This Row],[Data Source]])</f>
        <v/>
      </c>
      <c r="M93">
        <f t="array" ref="M93">IsURL(Table_121215[[#This Row],[DOI]])</f>
        <v/>
      </c>
      <c r="N93">
        <f t="array" ref="N93">IsURL(Table_121215[[#This Row],[Data Source]])</f>
        <v/>
      </c>
      <c r="O93">
        <f t="array" ref="O93">IsURL(Table_121215[[#This Row],[Data Source]])</f>
        <v/>
      </c>
    </row>
    <row r="94" ht="15.75" customHeight="1">
      <c r="A94">
        <f>IF(Table_12[[#This Row],[Protein Name]]=0,"",Table_12[[#This Row],[Protein Name]])</f>
        <v/>
      </c>
      <c r="H94">
        <f>LEN(TRIM(CLEAN(SUBSTITUTE(SUBSTITUTE(Table_12[[#This Row],[Sequence]],CHAR(160)," ")," ",""))))</f>
        <v/>
      </c>
      <c r="J94" s="21" t="n"/>
      <c r="K94" s="21">
        <f>IF($B94="","FALSE","TRUE")</f>
        <v/>
      </c>
      <c r="L94">
        <f t="array" ref="L94">IsURL(Table_121215[[#This Row],[Data Source]])</f>
        <v/>
      </c>
      <c r="M94">
        <f t="array" ref="M94">IsURL(Table_121215[[#This Row],[DOI]])</f>
        <v/>
      </c>
      <c r="N94">
        <f t="array" ref="N94">IsURL(Table_121215[[#This Row],[Data Source]])</f>
        <v/>
      </c>
      <c r="O94">
        <f t="array" ref="O94">IsURL(Table_121215[[#This Row],[Data Source]])</f>
        <v/>
      </c>
    </row>
    <row r="95" ht="15.75" customHeight="1">
      <c r="A95">
        <f>IF(Table_12[[#This Row],[Protein Name]]=0,"",Table_12[[#This Row],[Protein Name]])</f>
        <v/>
      </c>
      <c r="H95">
        <f>LEN(TRIM(CLEAN(SUBSTITUTE(SUBSTITUTE(Table_12[[#This Row],[Sequence]],CHAR(160)," ")," ",""))))</f>
        <v/>
      </c>
      <c r="J95" s="21" t="n"/>
      <c r="K95" s="21">
        <f>IF($B95="","FALSE","TRUE")</f>
        <v/>
      </c>
      <c r="L95">
        <f t="array" ref="L95">IsURL(Table_121215[[#This Row],[Data Source]])</f>
        <v/>
      </c>
      <c r="M95">
        <f t="array" ref="M95">IsURL(Table_121215[[#This Row],[DOI]])</f>
        <v/>
      </c>
      <c r="N95">
        <f t="array" ref="N95">IsURL(Table_121215[[#This Row],[Data Source]])</f>
        <v/>
      </c>
      <c r="O95">
        <f t="array" ref="O95">IsURL(Table_121215[[#This Row],[Data Source]])</f>
        <v/>
      </c>
    </row>
    <row r="96" ht="15.75" customHeight="1">
      <c r="A96">
        <f>IF(Table_12[[#This Row],[Protein Name]]=0,"",Table_12[[#This Row],[Protein Name]])</f>
        <v/>
      </c>
      <c r="H96">
        <f>LEN(TRIM(CLEAN(SUBSTITUTE(SUBSTITUTE(Table_12[[#This Row],[Sequence]],CHAR(160)," ")," ",""))))</f>
        <v/>
      </c>
      <c r="J96" s="21" t="n"/>
      <c r="K96" s="21">
        <f>IF($B96="","FALSE","TRUE")</f>
        <v/>
      </c>
      <c r="L96">
        <f t="array" ref="L96">IsURL(Table_121215[[#This Row],[Data Source]])</f>
        <v/>
      </c>
      <c r="M96">
        <f t="array" ref="M96">IsURL(Table_121215[[#This Row],[DOI]])</f>
        <v/>
      </c>
      <c r="N96">
        <f t="array" ref="N96">IsURL(Table_121215[[#This Row],[Data Source]])</f>
        <v/>
      </c>
      <c r="O96">
        <f t="array" ref="O96">IsURL(Table_121215[[#This Row],[Data Source]])</f>
        <v/>
      </c>
    </row>
    <row r="97" ht="15.75" customHeight="1">
      <c r="A97">
        <f>IF(Table_12[[#This Row],[Protein Name]]=0,"",Table_12[[#This Row],[Protein Name]])</f>
        <v/>
      </c>
      <c r="H97">
        <f>LEN(TRIM(CLEAN(SUBSTITUTE(SUBSTITUTE(Table_12[[#This Row],[Sequence]],CHAR(160)," ")," ",""))))</f>
        <v/>
      </c>
      <c r="J97" s="21" t="n"/>
      <c r="K97" s="21">
        <f>IF($B97="","FALSE","TRUE")</f>
        <v/>
      </c>
      <c r="L97">
        <f t="array" ref="L97">IsURL(Table_121215[[#This Row],[Data Source]])</f>
        <v/>
      </c>
      <c r="M97">
        <f t="array" ref="M97">IsURL(Table_121215[[#This Row],[DOI]])</f>
        <v/>
      </c>
      <c r="N97">
        <f t="array" ref="N97">IsURL(Table_121215[[#This Row],[Data Source]])</f>
        <v/>
      </c>
      <c r="O97">
        <f t="array" ref="O97">IsURL(Table_121215[[#This Row],[Data Source]])</f>
        <v/>
      </c>
    </row>
    <row r="98" ht="15.75" customHeight="1">
      <c r="A98">
        <f>IF(Table_12[[#This Row],[Protein Name]]=0,"",Table_12[[#This Row],[Protein Name]])</f>
        <v/>
      </c>
      <c r="H98">
        <f>LEN(TRIM(CLEAN(SUBSTITUTE(SUBSTITUTE(Table_12[[#This Row],[Sequence]],CHAR(160)," ")," ",""))))</f>
        <v/>
      </c>
      <c r="J98" s="21" t="n"/>
      <c r="K98" s="21">
        <f>IF($B98="","FALSE","TRUE")</f>
        <v/>
      </c>
      <c r="L98">
        <f t="array" ref="L98">IsURL(Table_121215[[#This Row],[Data Source]])</f>
        <v/>
      </c>
      <c r="M98">
        <f t="array" ref="M98">IsURL(Table_121215[[#This Row],[DOI]])</f>
        <v/>
      </c>
      <c r="N98">
        <f t="array" ref="N98">IsURL(Table_121215[[#This Row],[Data Source]])</f>
        <v/>
      </c>
      <c r="O98">
        <f t="array" ref="O98">IsURL(Table_121215[[#This Row],[Data Source]])</f>
        <v/>
      </c>
    </row>
    <row r="99" ht="15.75" customHeight="1">
      <c r="A99">
        <f>IF(Table_12[[#This Row],[Protein Name]]=0,"",Table_12[[#This Row],[Protein Name]])</f>
        <v/>
      </c>
      <c r="H99">
        <f>LEN(TRIM(CLEAN(SUBSTITUTE(SUBSTITUTE(Table_12[[#This Row],[Sequence]],CHAR(160)," ")," ",""))))</f>
        <v/>
      </c>
      <c r="J99" s="21" t="n"/>
      <c r="K99" s="21">
        <f>IF($B99="","FALSE","TRUE")</f>
        <v/>
      </c>
      <c r="L99">
        <f t="array" ref="L99">IsURL(Table_121215[[#This Row],[Data Source]])</f>
        <v/>
      </c>
      <c r="M99">
        <f t="array" ref="M99">IsURL(Table_121215[[#This Row],[DOI]])</f>
        <v/>
      </c>
      <c r="N99">
        <f t="array" ref="N99">IsURL(Table_121215[[#This Row],[Data Source]])</f>
        <v/>
      </c>
      <c r="O99">
        <f t="array" ref="O99">IsURL(Table_121215[[#This Row],[Data Source]])</f>
        <v/>
      </c>
    </row>
    <row r="100" ht="15.75" customHeight="1">
      <c r="A100">
        <f>IF(Table_12[[#This Row],[Protein Name]]=0,"",Table_12[[#This Row],[Protein Name]])</f>
        <v/>
      </c>
      <c r="H100">
        <f>LEN(TRIM(CLEAN(SUBSTITUTE(SUBSTITUTE(Table_12[[#This Row],[Sequence]],CHAR(160)," ")," ",""))))</f>
        <v/>
      </c>
      <c r="J100" s="21" t="n"/>
      <c r="K100" s="21">
        <f>IF($B100="","FALSE","TRUE")</f>
        <v/>
      </c>
      <c r="L100">
        <f t="array" ref="L100">IsURL(Table_121215[[#This Row],[Data Source]])</f>
        <v/>
      </c>
      <c r="M100">
        <f t="array" ref="M100">IsURL(Table_121215[[#This Row],[DOI]])</f>
        <v/>
      </c>
      <c r="N100">
        <f t="array" ref="N100">IsURL(Table_121215[[#This Row],[Data Source]])</f>
        <v/>
      </c>
      <c r="O100">
        <f t="array" ref="O100">IsURL(Table_121215[[#This Row],[Data Source]])</f>
        <v/>
      </c>
    </row>
    <row r="101" ht="15.75" customHeight="1">
      <c r="A101">
        <f>IF(Table_12[[#This Row],[Protein Name]]=0,"",Table_12[[#This Row],[Protein Name]])</f>
        <v/>
      </c>
      <c r="H101">
        <f>LEN(TRIM(CLEAN(SUBSTITUTE(SUBSTITUTE(Table_12[[#This Row],[Sequence]],CHAR(160)," ")," ",""))))</f>
        <v/>
      </c>
      <c r="J101" s="21" t="n"/>
      <c r="K101" s="21">
        <f>IF($B101="","FALSE","TRUE")</f>
        <v/>
      </c>
      <c r="L101">
        <f t="array" ref="L101">IsURL(Table_121215[[#This Row],[Data Source]])</f>
        <v/>
      </c>
      <c r="M101">
        <f t="array" ref="M101">IsURL(Table_121215[[#This Row],[DOI]])</f>
        <v/>
      </c>
      <c r="N101">
        <f t="array" ref="N101">IsURL(Table_121215[[#This Row],[Data Source]])</f>
        <v/>
      </c>
      <c r="O101">
        <f t="array" ref="O101">IsURL(Table_121215[[#This Row],[Data Source]])</f>
        <v/>
      </c>
    </row>
    <row r="102" ht="15.75" customHeight="1">
      <c r="A102">
        <f>IF(Table_12[[#This Row],[Protein Name]]=0,"",Table_12[[#This Row],[Protein Name]])</f>
        <v/>
      </c>
      <c r="H102">
        <f>LEN(TRIM(CLEAN(SUBSTITUTE(SUBSTITUTE(Table_12[[#This Row],[Sequence]],CHAR(160)," ")," ",""))))</f>
        <v/>
      </c>
      <c r="J102" s="21" t="n"/>
      <c r="K102" s="21">
        <f>IF($B102="","FALSE","TRUE")</f>
        <v/>
      </c>
      <c r="L102">
        <f t="array" ref="L102">IsURL(Table_121215[[#This Row],[Data Source]])</f>
        <v/>
      </c>
      <c r="M102">
        <f t="array" ref="M102">IsURL(Table_121215[[#This Row],[DOI]])</f>
        <v/>
      </c>
      <c r="N102">
        <f t="array" ref="N102">IsURL(Table_121215[[#This Row],[Data Source]])</f>
        <v/>
      </c>
      <c r="O102">
        <f t="array" ref="O102">IsURL(Table_121215[[#This Row],[Data Source]])</f>
        <v/>
      </c>
    </row>
    <row r="103" ht="15.75" customHeight="1">
      <c r="A103">
        <f>IF(Table_12[[#This Row],[Protein Name]]=0,"",Table_12[[#This Row],[Protein Name]])</f>
        <v/>
      </c>
      <c r="H103">
        <f>LEN(TRIM(CLEAN(SUBSTITUTE(SUBSTITUTE(Table_12[[#This Row],[Sequence]],CHAR(160)," ")," ",""))))</f>
        <v/>
      </c>
      <c r="J103" s="21" t="n"/>
      <c r="K103" s="21">
        <f>IF($B103="","FALSE","TRUE")</f>
        <v/>
      </c>
      <c r="L103">
        <f t="array" ref="L103">IsURL(Table_121215[[#This Row],[Data Source]])</f>
        <v/>
      </c>
      <c r="M103">
        <f t="array" ref="M103">IsURL(Table_121215[[#This Row],[DOI]])</f>
        <v/>
      </c>
      <c r="N103">
        <f t="array" ref="N103">IsURL(Table_121215[[#This Row],[Data Source]])</f>
        <v/>
      </c>
      <c r="O103">
        <f t="array" ref="O103">IsURL(Table_121215[[#This Row],[Data Source]])</f>
        <v/>
      </c>
    </row>
    <row r="104" ht="15.75" customHeight="1">
      <c r="A104">
        <f>IF(Table_12[[#This Row],[Protein Name]]=0,"",Table_12[[#This Row],[Protein Name]])</f>
        <v/>
      </c>
      <c r="H104">
        <f>LEN(TRIM(CLEAN(SUBSTITUTE(SUBSTITUTE(Table_12[[#This Row],[Sequence]],CHAR(160)," ")," ",""))))</f>
        <v/>
      </c>
      <c r="J104" s="21" t="n"/>
      <c r="K104" s="21">
        <f>IF($B104="","FALSE","TRUE")</f>
        <v/>
      </c>
      <c r="L104">
        <f t="array" ref="L104">IsURL(Table_121215[[#This Row],[Data Source]])</f>
        <v/>
      </c>
      <c r="M104">
        <f t="array" ref="M104">IsURL(Table_121215[[#This Row],[DOI]])</f>
        <v/>
      </c>
      <c r="N104">
        <f t="array" ref="N104">IsURL(Table_121215[[#This Row],[Data Source]])</f>
        <v/>
      </c>
      <c r="O104">
        <f t="array" ref="O104">IsURL(Table_121215[[#This Row],[Data Source]])</f>
        <v/>
      </c>
    </row>
    <row r="105" ht="15.75" customHeight="1">
      <c r="A105">
        <f>IF(Table_12[[#This Row],[Protein Name]]=0,"",Table_12[[#This Row],[Protein Name]])</f>
        <v/>
      </c>
      <c r="H105">
        <f>LEN(TRIM(CLEAN(SUBSTITUTE(SUBSTITUTE(Table_12[[#This Row],[Sequence]],CHAR(160)," ")," ",""))))</f>
        <v/>
      </c>
      <c r="J105" s="21" t="n"/>
      <c r="K105" s="21">
        <f>IF($B105="","FALSE","TRUE")</f>
        <v/>
      </c>
      <c r="L105">
        <f t="array" ref="L105">IsURL(Table_121215[[#This Row],[Data Source]])</f>
        <v/>
      </c>
      <c r="M105">
        <f t="array" ref="M105">IsURL(Table_121215[[#This Row],[DOI]])</f>
        <v/>
      </c>
      <c r="N105">
        <f t="array" ref="N105">IsURL(Table_121215[[#This Row],[Data Source]])</f>
        <v/>
      </c>
      <c r="O105">
        <f t="array" ref="O105">IsURL(Table_121215[[#This Row],[Data Source]])</f>
        <v/>
      </c>
    </row>
    <row r="106" ht="15.75" customHeight="1">
      <c r="A106">
        <f>IF(Table_12[[#This Row],[Protein Name]]=0,"",Table_12[[#This Row],[Protein Name]])</f>
        <v/>
      </c>
      <c r="H106">
        <f>LEN(TRIM(CLEAN(SUBSTITUTE(SUBSTITUTE(Table_12[[#This Row],[Sequence]],CHAR(160)," ")," ",""))))</f>
        <v/>
      </c>
      <c r="J106" s="21" t="n"/>
      <c r="K106" s="21">
        <f>IF($B106="","FALSE","TRUE")</f>
        <v/>
      </c>
      <c r="L106">
        <f t="array" ref="L106">IsURL(Table_121215[[#This Row],[Data Source]])</f>
        <v/>
      </c>
      <c r="M106">
        <f t="array" ref="M106">IsURL(Table_121215[[#This Row],[DOI]])</f>
        <v/>
      </c>
      <c r="N106">
        <f t="array" ref="N106">IsURL(Table_121215[[#This Row],[Data Source]])</f>
        <v/>
      </c>
      <c r="O106">
        <f t="array" ref="O106">IsURL(Table_121215[[#This Row],[Data Source]])</f>
        <v/>
      </c>
    </row>
    <row r="107" ht="15.75" customHeight="1">
      <c r="A107">
        <f>IF(Table_12[[#This Row],[Protein Name]]=0,"",Table_12[[#This Row],[Protein Name]])</f>
        <v/>
      </c>
      <c r="H107">
        <f>LEN(TRIM(CLEAN(SUBSTITUTE(SUBSTITUTE(Table_12[[#This Row],[Sequence]],CHAR(160)," ")," ",""))))</f>
        <v/>
      </c>
      <c r="J107" s="21" t="n"/>
      <c r="K107" s="21">
        <f>IF($B107="","FALSE","TRUE")</f>
        <v/>
      </c>
      <c r="L107">
        <f t="array" ref="L107">IsURL(Table_121215[[#This Row],[Data Source]])</f>
        <v/>
      </c>
      <c r="M107">
        <f t="array" ref="M107">IsURL(Table_121215[[#This Row],[DOI]])</f>
        <v/>
      </c>
      <c r="N107">
        <f t="array" ref="N107">IsURL(Table_121215[[#This Row],[Data Source]])</f>
        <v/>
      </c>
      <c r="O107">
        <f t="array" ref="O107">IsURL(Table_121215[[#This Row],[Data Source]])</f>
        <v/>
      </c>
    </row>
    <row r="108" ht="15.75" customHeight="1">
      <c r="A108">
        <f>IF(Table_12[[#This Row],[Protein Name]]=0,"",Table_12[[#This Row],[Protein Name]])</f>
        <v/>
      </c>
      <c r="H108">
        <f>LEN(TRIM(CLEAN(SUBSTITUTE(SUBSTITUTE(Table_12[[#This Row],[Sequence]],CHAR(160)," ")," ",""))))</f>
        <v/>
      </c>
      <c r="J108" s="21" t="n"/>
      <c r="K108" s="21">
        <f>IF($B108="","FALSE","TRUE")</f>
        <v/>
      </c>
      <c r="L108">
        <f t="array" ref="L108">IsURL(Table_121215[[#This Row],[Data Source]])</f>
        <v/>
      </c>
      <c r="M108">
        <f t="array" ref="M108">IsURL(Table_121215[[#This Row],[DOI]])</f>
        <v/>
      </c>
      <c r="N108">
        <f t="array" ref="N108">IsURL(Table_121215[[#This Row],[Data Source]])</f>
        <v/>
      </c>
      <c r="O108">
        <f t="array" ref="O108">IsURL(Table_121215[[#This Row],[Data Source]])</f>
        <v/>
      </c>
    </row>
    <row r="109" ht="15.75" customHeight="1">
      <c r="A109">
        <f>IF(Table_12[[#This Row],[Protein Name]]=0,"",Table_12[[#This Row],[Protein Name]])</f>
        <v/>
      </c>
      <c r="H109">
        <f>LEN(TRIM(CLEAN(SUBSTITUTE(SUBSTITUTE(Table_12[[#This Row],[Sequence]],CHAR(160)," ")," ",""))))</f>
        <v/>
      </c>
      <c r="J109" s="21" t="n"/>
      <c r="K109" s="21">
        <f>IF($B109="","FALSE","TRUE")</f>
        <v/>
      </c>
      <c r="L109">
        <f t="array" ref="L109">IsURL(Table_121215[[#This Row],[Data Source]])</f>
        <v/>
      </c>
      <c r="M109">
        <f t="array" ref="M109">IsURL(Table_121215[[#This Row],[DOI]])</f>
        <v/>
      </c>
      <c r="N109">
        <f t="array" ref="N109">IsURL(Table_121215[[#This Row],[Data Source]])</f>
        <v/>
      </c>
      <c r="O109">
        <f t="array" ref="O109">IsURL(Table_121215[[#This Row],[Data Source]])</f>
        <v/>
      </c>
    </row>
    <row r="110" ht="15.75" customHeight="1">
      <c r="A110">
        <f>IF(Table_12[[#This Row],[Protein Name]]=0,"",Table_12[[#This Row],[Protein Name]])</f>
        <v/>
      </c>
      <c r="H110">
        <f>LEN(TRIM(CLEAN(SUBSTITUTE(SUBSTITUTE(Table_12[[#This Row],[Sequence]],CHAR(160)," ")," ",""))))</f>
        <v/>
      </c>
      <c r="J110" s="21" t="n"/>
      <c r="K110" s="21">
        <f>IF($B110="","FALSE","TRUE")</f>
        <v/>
      </c>
      <c r="L110">
        <f t="array" ref="L110">IsURL(Table_121215[[#This Row],[Data Source]])</f>
        <v/>
      </c>
      <c r="M110">
        <f t="array" ref="M110">IsURL(Table_121215[[#This Row],[DOI]])</f>
        <v/>
      </c>
      <c r="N110">
        <f t="array" ref="N110">IsURL(Table_121215[[#This Row],[Data Source]])</f>
        <v/>
      </c>
      <c r="O110">
        <f t="array" ref="O110">IsURL(Table_121215[[#This Row],[Data Source]])</f>
        <v/>
      </c>
    </row>
    <row r="111" ht="15.75" customHeight="1">
      <c r="A111">
        <f>IF(Table_12[[#This Row],[Protein Name]]=0,"",Table_12[[#This Row],[Protein Name]])</f>
        <v/>
      </c>
      <c r="H111">
        <f>LEN(TRIM(CLEAN(SUBSTITUTE(SUBSTITUTE(Table_12[[#This Row],[Sequence]],CHAR(160)," ")," ",""))))</f>
        <v/>
      </c>
      <c r="J111" s="21" t="n"/>
      <c r="K111" s="21">
        <f>IF($B111="","FALSE","TRUE")</f>
        <v/>
      </c>
      <c r="L111">
        <f t="array" ref="L111">IsURL(Table_121215[[#This Row],[Data Source]])</f>
        <v/>
      </c>
      <c r="M111">
        <f t="array" ref="M111">IsURL(Table_121215[[#This Row],[DOI]])</f>
        <v/>
      </c>
      <c r="N111">
        <f t="array" ref="N111">IsURL(Table_121215[[#This Row],[Data Source]])</f>
        <v/>
      </c>
      <c r="O111">
        <f t="array" ref="O111">IsURL(Table_121215[[#This Row],[Data Source]])</f>
        <v/>
      </c>
    </row>
    <row r="112" ht="15.75" customHeight="1">
      <c r="A112">
        <f>IF(Table_12[[#This Row],[Protein Name]]=0,"",Table_12[[#This Row],[Protein Name]])</f>
        <v/>
      </c>
      <c r="H112">
        <f>LEN(TRIM(CLEAN(SUBSTITUTE(SUBSTITUTE(Table_12[[#This Row],[Sequence]],CHAR(160)," ")," ",""))))</f>
        <v/>
      </c>
      <c r="J112" s="21" t="n"/>
      <c r="K112" s="21">
        <f>IF($B112="","FALSE","TRUE")</f>
        <v/>
      </c>
      <c r="L112">
        <f t="array" ref="L112">IsURL(Table_121215[[#This Row],[Data Source]])</f>
        <v/>
      </c>
      <c r="M112">
        <f t="array" ref="M112">IsURL(Table_121215[[#This Row],[DOI]])</f>
        <v/>
      </c>
      <c r="N112">
        <f t="array" ref="N112">IsURL(Table_121215[[#This Row],[Data Source]])</f>
        <v/>
      </c>
      <c r="O112">
        <f t="array" ref="O112">IsURL(Table_121215[[#This Row],[Data Source]])</f>
        <v/>
      </c>
    </row>
    <row r="113" ht="15.75" customHeight="1">
      <c r="A113">
        <f>IF(Table_12[[#This Row],[Protein Name]]=0,"",Table_12[[#This Row],[Protein Name]])</f>
        <v/>
      </c>
      <c r="H113">
        <f>LEN(TRIM(CLEAN(SUBSTITUTE(SUBSTITUTE(Table_12[[#This Row],[Sequence]],CHAR(160)," ")," ",""))))</f>
        <v/>
      </c>
      <c r="J113" s="21" t="n"/>
      <c r="K113" s="21">
        <f>IF($B113="","FALSE","TRUE")</f>
        <v/>
      </c>
      <c r="L113">
        <f t="array" ref="L113">IsURL(Table_121215[[#This Row],[Data Source]])</f>
        <v/>
      </c>
      <c r="M113">
        <f t="array" ref="M113">IsURL(Table_121215[[#This Row],[DOI]])</f>
        <v/>
      </c>
      <c r="N113">
        <f t="array" ref="N113">IsURL(Table_121215[[#This Row],[Data Source]])</f>
        <v/>
      </c>
      <c r="O113">
        <f t="array" ref="O113">IsURL(Table_121215[[#This Row],[Data Source]])</f>
        <v/>
      </c>
    </row>
    <row r="114" ht="15.75" customHeight="1">
      <c r="A114">
        <f>IF(Table_12[[#This Row],[Protein Name]]=0,"",Table_12[[#This Row],[Protein Name]])</f>
        <v/>
      </c>
      <c r="H114">
        <f>LEN(TRIM(CLEAN(SUBSTITUTE(SUBSTITUTE(Table_12[[#This Row],[Sequence]],CHAR(160)," ")," ",""))))</f>
        <v/>
      </c>
      <c r="J114" s="21" t="n"/>
      <c r="K114" s="21">
        <f>IF($B114="","FALSE","TRUE")</f>
        <v/>
      </c>
      <c r="L114">
        <f t="array" ref="L114">IsURL(Table_121215[[#This Row],[Data Source]])</f>
        <v/>
      </c>
      <c r="M114">
        <f t="array" ref="M114">IsURL(Table_121215[[#This Row],[DOI]])</f>
        <v/>
      </c>
      <c r="N114">
        <f t="array" ref="N114">IsURL(Table_121215[[#This Row],[Data Source]])</f>
        <v/>
      </c>
      <c r="O114">
        <f t="array" ref="O114">IsURL(Table_121215[[#This Row],[Data Source]])</f>
        <v/>
      </c>
    </row>
    <row r="115" ht="15.75" customHeight="1">
      <c r="A115">
        <f>IF(Table_12[[#This Row],[Protein Name]]=0,"",Table_12[[#This Row],[Protein Name]])</f>
        <v/>
      </c>
      <c r="H115">
        <f>LEN(TRIM(CLEAN(SUBSTITUTE(SUBSTITUTE(Table_12[[#This Row],[Sequence]],CHAR(160)," ")," ",""))))</f>
        <v/>
      </c>
      <c r="J115" s="21" t="n"/>
      <c r="K115" s="21">
        <f>IF($B115="","FALSE","TRUE")</f>
        <v/>
      </c>
      <c r="L115">
        <f t="array" ref="L115">IsURL(Table_121215[[#This Row],[Data Source]])</f>
        <v/>
      </c>
      <c r="M115">
        <f t="array" ref="M115">IsURL(Table_121215[[#This Row],[DOI]])</f>
        <v/>
      </c>
      <c r="N115">
        <f t="array" ref="N115">IsURL(Table_121215[[#This Row],[Data Source]])</f>
        <v/>
      </c>
      <c r="O115">
        <f t="array" ref="O115">IsURL(Table_121215[[#This Row],[Data Source]])</f>
        <v/>
      </c>
    </row>
    <row r="116" ht="15.75" customHeight="1">
      <c r="A116">
        <f>IF(Table_12[[#This Row],[Protein Name]]=0,"",Table_12[[#This Row],[Protein Name]])</f>
        <v/>
      </c>
      <c r="H116">
        <f>LEN(TRIM(CLEAN(SUBSTITUTE(SUBSTITUTE(Table_12[[#This Row],[Sequence]],CHAR(160)," ")," ",""))))</f>
        <v/>
      </c>
      <c r="J116" s="21" t="n"/>
      <c r="K116" s="21">
        <f>IF($B116="","FALSE","TRUE")</f>
        <v/>
      </c>
      <c r="L116">
        <f t="array" ref="L116">IsURL(Table_121215[[#This Row],[Data Source]])</f>
        <v/>
      </c>
      <c r="M116">
        <f t="array" ref="M116">IsURL(Table_121215[[#This Row],[DOI]])</f>
        <v/>
      </c>
      <c r="N116">
        <f t="array" ref="N116">IsURL(Table_121215[[#This Row],[Data Source]])</f>
        <v/>
      </c>
      <c r="O116">
        <f t="array" ref="O116">IsURL(Table_121215[[#This Row],[Data Source]])</f>
        <v/>
      </c>
    </row>
    <row r="117" ht="15.75" customHeight="1">
      <c r="A117">
        <f>IF(Table_12[[#This Row],[Protein Name]]=0,"",Table_12[[#This Row],[Protein Name]])</f>
        <v/>
      </c>
      <c r="H117">
        <f>LEN(TRIM(CLEAN(SUBSTITUTE(SUBSTITUTE(Table_12[[#This Row],[Sequence]],CHAR(160)," ")," ",""))))</f>
        <v/>
      </c>
      <c r="J117" s="21" t="n"/>
      <c r="K117" s="21">
        <f>IF($B117="","FALSE","TRUE")</f>
        <v/>
      </c>
      <c r="L117">
        <f t="array" ref="L117">IsURL(Table_121215[[#This Row],[Data Source]])</f>
        <v/>
      </c>
      <c r="M117">
        <f t="array" ref="M117">IsURL(Table_121215[[#This Row],[DOI]])</f>
        <v/>
      </c>
      <c r="N117">
        <f t="array" ref="N117">IsURL(Table_121215[[#This Row],[Data Source]])</f>
        <v/>
      </c>
      <c r="O117">
        <f t="array" ref="O117">IsURL(Table_121215[[#This Row],[Data Source]])</f>
        <v/>
      </c>
    </row>
    <row r="118" ht="15.75" customHeight="1">
      <c r="A118">
        <f>IF(Table_12[[#This Row],[Protein Name]]=0,"",Table_12[[#This Row],[Protein Name]])</f>
        <v/>
      </c>
      <c r="H118">
        <f>LEN(TRIM(CLEAN(SUBSTITUTE(SUBSTITUTE(Table_12[[#This Row],[Sequence]],CHAR(160)," ")," ",""))))</f>
        <v/>
      </c>
      <c r="J118" s="21" t="n"/>
      <c r="K118" s="21">
        <f>IF($B118="","FALSE","TRUE")</f>
        <v/>
      </c>
      <c r="L118">
        <f t="array" ref="L118">IsURL(Table_121215[[#This Row],[Data Source]])</f>
        <v/>
      </c>
      <c r="M118">
        <f t="array" ref="M118">IsURL(Table_121215[[#This Row],[DOI]])</f>
        <v/>
      </c>
      <c r="N118">
        <f t="array" ref="N118">IsURL(Table_121215[[#This Row],[Data Source]])</f>
        <v/>
      </c>
      <c r="O118">
        <f t="array" ref="O118">IsURL(Table_121215[[#This Row],[Data Source]])</f>
        <v/>
      </c>
    </row>
    <row r="119" ht="15.75" customHeight="1">
      <c r="A119">
        <f>IF(Table_12[[#This Row],[Protein Name]]=0,"",Table_12[[#This Row],[Protein Name]])</f>
        <v/>
      </c>
      <c r="H119">
        <f>LEN(TRIM(CLEAN(SUBSTITUTE(SUBSTITUTE(Table_12[[#This Row],[Sequence]],CHAR(160)," ")," ",""))))</f>
        <v/>
      </c>
      <c r="J119" s="21" t="n"/>
      <c r="K119" s="21">
        <f>IF($B119="","FALSE","TRUE")</f>
        <v/>
      </c>
      <c r="L119">
        <f t="array" ref="L119">IsURL(Table_121215[[#This Row],[Data Source]])</f>
        <v/>
      </c>
      <c r="M119">
        <f t="array" ref="M119">IsURL(Table_121215[[#This Row],[DOI]])</f>
        <v/>
      </c>
      <c r="N119">
        <f t="array" ref="N119">IsURL(Table_121215[[#This Row],[Data Source]])</f>
        <v/>
      </c>
      <c r="O119">
        <f t="array" ref="O119">IsURL(Table_121215[[#This Row],[Data Source]])</f>
        <v/>
      </c>
    </row>
    <row r="120" ht="15.75" customHeight="1">
      <c r="A120">
        <f>IF(Table_12[[#This Row],[Protein Name]]=0,"",Table_12[[#This Row],[Protein Name]])</f>
        <v/>
      </c>
      <c r="H120">
        <f>LEN(TRIM(CLEAN(SUBSTITUTE(SUBSTITUTE(Table_12[[#This Row],[Sequence]],CHAR(160)," ")," ",""))))</f>
        <v/>
      </c>
      <c r="J120" s="21" t="n"/>
      <c r="K120" s="21">
        <f>IF($B120="","FALSE","TRUE")</f>
        <v/>
      </c>
      <c r="L120">
        <f t="array" ref="L120">IsURL(Table_121215[[#This Row],[Data Source]])</f>
        <v/>
      </c>
      <c r="M120">
        <f t="array" ref="M120">IsURL(Table_121215[[#This Row],[DOI]])</f>
        <v/>
      </c>
      <c r="N120">
        <f t="array" ref="N120">IsURL(Table_121215[[#This Row],[Data Source]])</f>
        <v/>
      </c>
      <c r="O120">
        <f t="array" ref="O120">IsURL(Table_121215[[#This Row],[Data Source]])</f>
        <v/>
      </c>
    </row>
    <row r="121" ht="15.75" customHeight="1">
      <c r="A121">
        <f>IF(Table_12[[#This Row],[Protein Name]]=0,"",Table_12[[#This Row],[Protein Name]])</f>
        <v/>
      </c>
      <c r="H121">
        <f>LEN(TRIM(CLEAN(SUBSTITUTE(SUBSTITUTE(Table_12[[#This Row],[Sequence]],CHAR(160)," ")," ",""))))</f>
        <v/>
      </c>
      <c r="J121" s="21" t="n"/>
      <c r="K121" s="21">
        <f>IF($B121="","FALSE","TRUE")</f>
        <v/>
      </c>
      <c r="L121">
        <f t="array" ref="L121">IsURL(Table_121215[[#This Row],[Data Source]])</f>
        <v/>
      </c>
      <c r="M121">
        <f t="array" ref="M121">IsURL(Table_121215[[#This Row],[DOI]])</f>
        <v/>
      </c>
      <c r="N121">
        <f t="array" ref="N121">IsURL(Table_121215[[#This Row],[Data Source]])</f>
        <v/>
      </c>
      <c r="O121">
        <f t="array" ref="O121">IsURL(Table_121215[[#This Row],[Data Source]])</f>
        <v/>
      </c>
    </row>
    <row r="122" ht="15.75" customHeight="1">
      <c r="A122">
        <f>IF(Table_12[[#This Row],[Protein Name]]=0,"",Table_12[[#This Row],[Protein Name]])</f>
        <v/>
      </c>
      <c r="H122">
        <f>LEN(TRIM(CLEAN(SUBSTITUTE(SUBSTITUTE(Table_12[[#This Row],[Sequence]],CHAR(160)," ")," ",""))))</f>
        <v/>
      </c>
      <c r="J122" s="21" t="n"/>
      <c r="K122" s="21">
        <f>IF($B122="","FALSE","TRUE")</f>
        <v/>
      </c>
      <c r="L122">
        <f t="array" ref="L122">IsURL(Table_121215[[#This Row],[Data Source]])</f>
        <v/>
      </c>
      <c r="M122">
        <f t="array" ref="M122">IsURL(Table_121215[[#This Row],[DOI]])</f>
        <v/>
      </c>
      <c r="N122">
        <f t="array" ref="N122">IsURL(Table_121215[[#This Row],[Data Source]])</f>
        <v/>
      </c>
      <c r="O122">
        <f t="array" ref="O122">IsURL(Table_121215[[#This Row],[Data Source]])</f>
        <v/>
      </c>
    </row>
    <row r="123" ht="15.75" customHeight="1">
      <c r="A123">
        <f>IF(Table_12[[#This Row],[Protein Name]]=0,"",Table_12[[#This Row],[Protein Name]])</f>
        <v/>
      </c>
      <c r="H123">
        <f>LEN(TRIM(CLEAN(SUBSTITUTE(SUBSTITUTE(Table_12[[#This Row],[Sequence]],CHAR(160)," ")," ",""))))</f>
        <v/>
      </c>
      <c r="J123" s="21" t="n"/>
      <c r="K123" s="21">
        <f>IF($B123="","FALSE","TRUE")</f>
        <v/>
      </c>
      <c r="L123">
        <f t="array" ref="L123">IsURL(Table_121215[[#This Row],[Data Source]])</f>
        <v/>
      </c>
      <c r="M123">
        <f t="array" ref="M123">IsURL(Table_121215[[#This Row],[DOI]])</f>
        <v/>
      </c>
      <c r="N123">
        <f t="array" ref="N123">IsURL(Table_121215[[#This Row],[Data Source]])</f>
        <v/>
      </c>
      <c r="O123">
        <f t="array" ref="O123">IsURL(Table_121215[[#This Row],[Data Source]])</f>
        <v/>
      </c>
    </row>
    <row r="124" ht="15.75" customHeight="1">
      <c r="A124">
        <f>IF(Table_12[[#This Row],[Protein Name]]=0,"",Table_12[[#This Row],[Protein Name]])</f>
        <v/>
      </c>
      <c r="H124">
        <f>LEN(TRIM(CLEAN(SUBSTITUTE(SUBSTITUTE(Table_12[[#This Row],[Sequence]],CHAR(160)," ")," ",""))))</f>
        <v/>
      </c>
      <c r="J124" s="21" t="n"/>
      <c r="K124" s="21">
        <f>IF($B124="","FALSE","TRUE")</f>
        <v/>
      </c>
      <c r="L124">
        <f t="array" ref="L124">IsURL(Table_121215[[#This Row],[Data Source]])</f>
        <v/>
      </c>
      <c r="M124">
        <f t="array" ref="M124">IsURL(Table_121215[[#This Row],[DOI]])</f>
        <v/>
      </c>
      <c r="N124">
        <f t="array" ref="N124">IsURL(Table_121215[[#This Row],[Data Source]])</f>
        <v/>
      </c>
      <c r="O124">
        <f t="array" ref="O124">IsURL(Table_121215[[#This Row],[Data Source]])</f>
        <v/>
      </c>
    </row>
    <row r="125" ht="15.75" customHeight="1">
      <c r="A125">
        <f>IF(Table_12[[#This Row],[Protein Name]]=0,"",Table_12[[#This Row],[Protein Name]])</f>
        <v/>
      </c>
      <c r="H125">
        <f>LEN(TRIM(CLEAN(SUBSTITUTE(SUBSTITUTE(Table_12[[#This Row],[Sequence]],CHAR(160)," ")," ",""))))</f>
        <v/>
      </c>
      <c r="J125" s="21" t="n"/>
      <c r="K125" s="21">
        <f>IF($B125="","FALSE","TRUE")</f>
        <v/>
      </c>
      <c r="L125">
        <f t="array" ref="L125">IsURL(Table_121215[[#This Row],[Data Source]])</f>
        <v/>
      </c>
      <c r="M125">
        <f t="array" ref="M125">IsURL(Table_121215[[#This Row],[DOI]])</f>
        <v/>
      </c>
      <c r="N125">
        <f t="array" ref="N125">IsURL(Table_121215[[#This Row],[Data Source]])</f>
        <v/>
      </c>
      <c r="O125">
        <f t="array" ref="O125">IsURL(Table_121215[[#This Row],[Data Source]])</f>
        <v/>
      </c>
    </row>
    <row r="126" ht="15.75" customHeight="1">
      <c r="A126">
        <f>IF(Table_12[[#This Row],[Protein Name]]=0,"",Table_12[[#This Row],[Protein Name]])</f>
        <v/>
      </c>
      <c r="H126">
        <f>LEN(TRIM(CLEAN(SUBSTITUTE(SUBSTITUTE(Table_12[[#This Row],[Sequence]],CHAR(160)," ")," ",""))))</f>
        <v/>
      </c>
      <c r="J126" s="21" t="n"/>
      <c r="K126" s="21">
        <f>IF($B126="","FALSE","TRUE")</f>
        <v/>
      </c>
      <c r="L126">
        <f t="array" ref="L126">IsURL(Table_121215[[#This Row],[Data Source]])</f>
        <v/>
      </c>
      <c r="M126">
        <f t="array" ref="M126">IsURL(Table_121215[[#This Row],[DOI]])</f>
        <v/>
      </c>
      <c r="N126">
        <f t="array" ref="N126">IsURL(Table_121215[[#This Row],[Data Source]])</f>
        <v/>
      </c>
      <c r="O126">
        <f t="array" ref="O126">IsURL(Table_121215[[#This Row],[Data Source]])</f>
        <v/>
      </c>
    </row>
    <row r="127" ht="15.75" customHeight="1">
      <c r="A127">
        <f>IF(Table_12[[#This Row],[Protein Name]]=0,"",Table_12[[#This Row],[Protein Name]])</f>
        <v/>
      </c>
      <c r="H127">
        <f>LEN(TRIM(CLEAN(SUBSTITUTE(SUBSTITUTE(Table_12[[#This Row],[Sequence]],CHAR(160)," ")," ",""))))</f>
        <v/>
      </c>
      <c r="J127" s="21" t="n"/>
      <c r="K127" s="21">
        <f>IF($B127="","FALSE","TRUE")</f>
        <v/>
      </c>
      <c r="L127">
        <f t="array" ref="L127">IsURL(Table_121215[[#This Row],[Data Source]])</f>
        <v/>
      </c>
      <c r="M127">
        <f t="array" ref="M127">IsURL(Table_121215[[#This Row],[DOI]])</f>
        <v/>
      </c>
      <c r="N127">
        <f t="array" ref="N127">IsURL(Table_121215[[#This Row],[Data Source]])</f>
        <v/>
      </c>
      <c r="O127">
        <f t="array" ref="O127">IsURL(Table_121215[[#This Row],[Data Source]])</f>
        <v/>
      </c>
    </row>
    <row r="128" ht="15.75" customHeight="1">
      <c r="A128">
        <f>IF(Table_12[[#This Row],[Protein Name]]=0,"",Table_12[[#This Row],[Protein Name]])</f>
        <v/>
      </c>
      <c r="H128">
        <f>LEN(TRIM(CLEAN(SUBSTITUTE(SUBSTITUTE(Table_12[[#This Row],[Sequence]],CHAR(160)," ")," ",""))))</f>
        <v/>
      </c>
      <c r="J128" s="21" t="n"/>
      <c r="K128" s="21">
        <f>IF($B128="","FALSE","TRUE")</f>
        <v/>
      </c>
      <c r="L128">
        <f t="array" ref="L128">IsURL(Table_121215[[#This Row],[Data Source]])</f>
        <v/>
      </c>
      <c r="M128">
        <f t="array" ref="M128">IsURL(Table_121215[[#This Row],[DOI]])</f>
        <v/>
      </c>
      <c r="N128">
        <f t="array" ref="N128">IsURL(Table_121215[[#This Row],[Data Source]])</f>
        <v/>
      </c>
      <c r="O128">
        <f t="array" ref="O128">IsURL(Table_121215[[#This Row],[Data Source]])</f>
        <v/>
      </c>
    </row>
    <row r="129" ht="15.75" customHeight="1">
      <c r="A129">
        <f>IF(Table_12[[#This Row],[Protein Name]]=0,"",Table_12[[#This Row],[Protein Name]])</f>
        <v/>
      </c>
      <c r="H129">
        <f>LEN(TRIM(CLEAN(SUBSTITUTE(SUBSTITUTE(Table_12[[#This Row],[Sequence]],CHAR(160)," ")," ",""))))</f>
        <v/>
      </c>
      <c r="J129" s="21" t="n"/>
      <c r="K129" s="21">
        <f>IF($B129="","FALSE","TRUE")</f>
        <v/>
      </c>
      <c r="L129">
        <f t="array" ref="L129">IsURL(Table_121215[[#This Row],[Data Source]])</f>
        <v/>
      </c>
      <c r="M129">
        <f t="array" ref="M129">IsURL(Table_121215[[#This Row],[DOI]])</f>
        <v/>
      </c>
      <c r="N129">
        <f t="array" ref="N129">IsURL(Table_121215[[#This Row],[Data Source]])</f>
        <v/>
      </c>
      <c r="O129">
        <f t="array" ref="O129">IsURL(Table_121215[[#This Row],[Data Source]])</f>
        <v/>
      </c>
    </row>
    <row r="130" ht="15.75" customHeight="1">
      <c r="A130">
        <f>IF(Table_12[[#This Row],[Protein Name]]=0,"",Table_12[[#This Row],[Protein Name]])</f>
        <v/>
      </c>
      <c r="H130">
        <f>LEN(TRIM(CLEAN(SUBSTITUTE(SUBSTITUTE(Table_12[[#This Row],[Sequence]],CHAR(160)," ")," ",""))))</f>
        <v/>
      </c>
      <c r="J130" s="21" t="n"/>
      <c r="K130" s="21">
        <f>IF($B130="","FALSE","TRUE")</f>
        <v/>
      </c>
      <c r="L130">
        <f t="array" ref="L130">IsURL(Table_121215[[#This Row],[Data Source]])</f>
        <v/>
      </c>
      <c r="M130">
        <f t="array" ref="M130">IsURL(Table_121215[[#This Row],[DOI]])</f>
        <v/>
      </c>
      <c r="N130">
        <f t="array" ref="N130">IsURL(Table_121215[[#This Row],[Data Source]])</f>
        <v/>
      </c>
      <c r="O130">
        <f t="array" ref="O130">IsURL(Table_121215[[#This Row],[Data Source]])</f>
        <v/>
      </c>
    </row>
    <row r="131" ht="15.75" customHeight="1">
      <c r="A131">
        <f>IF(Table_12[[#This Row],[Protein Name]]=0,"",Table_12[[#This Row],[Protein Name]])</f>
        <v/>
      </c>
      <c r="H131">
        <f>LEN(TRIM(CLEAN(SUBSTITUTE(SUBSTITUTE(Table_12[[#This Row],[Sequence]],CHAR(160)," ")," ",""))))</f>
        <v/>
      </c>
      <c r="J131" s="21" t="n"/>
      <c r="K131" s="21">
        <f>IF($B131="","FALSE","TRUE")</f>
        <v/>
      </c>
      <c r="L131">
        <f t="array" ref="L131">IsURL(Table_121215[[#This Row],[Data Source]])</f>
        <v/>
      </c>
      <c r="M131">
        <f t="array" ref="M131">IsURL(Table_121215[[#This Row],[DOI]])</f>
        <v/>
      </c>
      <c r="N131">
        <f t="array" ref="N131">IsURL(Table_121215[[#This Row],[Data Source]])</f>
        <v/>
      </c>
      <c r="O131">
        <f t="array" ref="O131">IsURL(Table_121215[[#This Row],[Data Source]])</f>
        <v/>
      </c>
    </row>
    <row r="132" ht="15.75" customHeight="1">
      <c r="A132">
        <f>IF(Table_12[[#This Row],[Protein Name]]=0,"",Table_12[[#This Row],[Protein Name]])</f>
        <v/>
      </c>
      <c r="H132">
        <f>LEN(TRIM(CLEAN(SUBSTITUTE(SUBSTITUTE(Table_12[[#This Row],[Sequence]],CHAR(160)," ")," ",""))))</f>
        <v/>
      </c>
      <c r="J132" s="21" t="n"/>
      <c r="K132" s="21">
        <f>IF($B132="","FALSE","TRUE")</f>
        <v/>
      </c>
      <c r="L132">
        <f t="array" ref="L132">IsURL(Table_121215[[#This Row],[Data Source]])</f>
        <v/>
      </c>
      <c r="M132">
        <f t="array" ref="M132">IsURL(Table_121215[[#This Row],[DOI]])</f>
        <v/>
      </c>
      <c r="N132">
        <f t="array" ref="N132">IsURL(Table_121215[[#This Row],[Data Source]])</f>
        <v/>
      </c>
      <c r="O132">
        <f t="array" ref="O132">IsURL(Table_121215[[#This Row],[Data Source]])</f>
        <v/>
      </c>
    </row>
    <row r="133" ht="15.75" customHeight="1">
      <c r="A133">
        <f>IF(Table_12[[#This Row],[Protein Name]]=0,"",Table_12[[#This Row],[Protein Name]])</f>
        <v/>
      </c>
      <c r="H133">
        <f>LEN(TRIM(CLEAN(SUBSTITUTE(SUBSTITUTE(Table_12[[#This Row],[Sequence]],CHAR(160)," ")," ",""))))</f>
        <v/>
      </c>
      <c r="J133" s="21" t="n"/>
      <c r="K133" s="21">
        <f>IF($B133="","FALSE","TRUE")</f>
        <v/>
      </c>
      <c r="L133">
        <f t="array" ref="L133">IsURL(Table_121215[[#This Row],[Data Source]])</f>
        <v/>
      </c>
      <c r="M133">
        <f t="array" ref="M133">IsURL(Table_121215[[#This Row],[DOI]])</f>
        <v/>
      </c>
      <c r="N133">
        <f t="array" ref="N133">IsURL(Table_121215[[#This Row],[Data Source]])</f>
        <v/>
      </c>
      <c r="O133">
        <f t="array" ref="O133">IsURL(Table_121215[[#This Row],[Data Source]])</f>
        <v/>
      </c>
    </row>
    <row r="134" ht="15.75" customHeight="1">
      <c r="A134">
        <f>IF(Table_12[[#This Row],[Protein Name]]=0,"",Table_12[[#This Row],[Protein Name]])</f>
        <v/>
      </c>
      <c r="H134">
        <f>LEN(TRIM(CLEAN(SUBSTITUTE(SUBSTITUTE(Table_12[[#This Row],[Sequence]],CHAR(160)," ")," ",""))))</f>
        <v/>
      </c>
      <c r="J134" s="21" t="n"/>
      <c r="K134" s="21">
        <f>IF($B134="","FALSE","TRUE")</f>
        <v/>
      </c>
      <c r="L134">
        <f t="array" ref="L134">IsURL(Table_121215[[#This Row],[Data Source]])</f>
        <v/>
      </c>
      <c r="M134">
        <f t="array" ref="M134">IsURL(Table_121215[[#This Row],[DOI]])</f>
        <v/>
      </c>
      <c r="N134">
        <f t="array" ref="N134">IsURL(Table_121215[[#This Row],[Data Source]])</f>
        <v/>
      </c>
      <c r="O134">
        <f t="array" ref="O134">IsURL(Table_121215[[#This Row],[Data Source]])</f>
        <v/>
      </c>
    </row>
    <row r="135" ht="15.75" customHeight="1">
      <c r="A135">
        <f>IF(Table_12[[#This Row],[Protein Name]]=0,"",Table_12[[#This Row],[Protein Name]])</f>
        <v/>
      </c>
      <c r="H135">
        <f>LEN(TRIM(CLEAN(SUBSTITUTE(SUBSTITUTE(Table_12[[#This Row],[Sequence]],CHAR(160)," ")," ",""))))</f>
        <v/>
      </c>
      <c r="J135" s="21" t="n"/>
      <c r="K135" s="21">
        <f>IF($B135="","FALSE","TRUE")</f>
        <v/>
      </c>
      <c r="L135">
        <f t="array" ref="L135">IsURL(Table_121215[[#This Row],[Data Source]])</f>
        <v/>
      </c>
      <c r="M135">
        <f t="array" ref="M135">IsURL(Table_121215[[#This Row],[DOI]])</f>
        <v/>
      </c>
      <c r="N135">
        <f t="array" ref="N135">IsURL(Table_121215[[#This Row],[Data Source]])</f>
        <v/>
      </c>
      <c r="O135">
        <f t="array" ref="O135">IsURL(Table_121215[[#This Row],[Data Source]])</f>
        <v/>
      </c>
    </row>
    <row r="136" ht="15.75" customHeight="1">
      <c r="A136">
        <f>IF(Table_12[[#This Row],[Protein Name]]=0,"",Table_12[[#This Row],[Protein Name]])</f>
        <v/>
      </c>
      <c r="H136">
        <f>LEN(TRIM(CLEAN(SUBSTITUTE(SUBSTITUTE(Table_12[[#This Row],[Sequence]],CHAR(160)," ")," ",""))))</f>
        <v/>
      </c>
      <c r="J136" s="21" t="n"/>
      <c r="K136" s="21">
        <f>IF($B136="","FALSE","TRUE")</f>
        <v/>
      </c>
      <c r="L136">
        <f t="array" ref="L136">IsURL(Table_121215[[#This Row],[Data Source]])</f>
        <v/>
      </c>
      <c r="M136">
        <f t="array" ref="M136">IsURL(Table_121215[[#This Row],[DOI]])</f>
        <v/>
      </c>
      <c r="N136">
        <f t="array" ref="N136">IsURL(Table_121215[[#This Row],[Data Source]])</f>
        <v/>
      </c>
      <c r="O136">
        <f t="array" ref="O136">IsURL(Table_121215[[#This Row],[Data Source]])</f>
        <v/>
      </c>
    </row>
    <row r="137" ht="15.75" customHeight="1">
      <c r="A137">
        <f>IF(Table_12[[#This Row],[Protein Name]]=0,"",Table_12[[#This Row],[Protein Name]])</f>
        <v/>
      </c>
      <c r="H137">
        <f>LEN(TRIM(CLEAN(SUBSTITUTE(SUBSTITUTE(Table_12[[#This Row],[Sequence]],CHAR(160)," ")," ",""))))</f>
        <v/>
      </c>
      <c r="J137" s="21" t="n"/>
      <c r="K137" s="21">
        <f>IF($B137="","FALSE","TRUE")</f>
        <v/>
      </c>
      <c r="L137">
        <f t="array" ref="L137">IsURL(Table_121215[[#This Row],[Data Source]])</f>
        <v/>
      </c>
      <c r="M137">
        <f t="array" ref="M137">IsURL(Table_121215[[#This Row],[DOI]])</f>
        <v/>
      </c>
      <c r="N137">
        <f t="array" ref="N137">IsURL(Table_121215[[#This Row],[Data Source]])</f>
        <v/>
      </c>
      <c r="O137">
        <f t="array" ref="O137">IsURL(Table_121215[[#This Row],[Data Source]])</f>
        <v/>
      </c>
    </row>
    <row r="138" ht="15.75" customHeight="1">
      <c r="A138">
        <f>IF(Table_12[[#This Row],[Protein Name]]=0,"",Table_12[[#This Row],[Protein Name]])</f>
        <v/>
      </c>
      <c r="H138">
        <f>LEN(TRIM(CLEAN(SUBSTITUTE(SUBSTITUTE(Table_12[[#This Row],[Sequence]],CHAR(160)," ")," ",""))))</f>
        <v/>
      </c>
      <c r="J138" s="21" t="n"/>
      <c r="K138" s="21">
        <f>IF($B138="","FALSE","TRUE")</f>
        <v/>
      </c>
      <c r="L138">
        <f t="array" ref="L138">IsURL(Table_121215[[#This Row],[Data Source]])</f>
        <v/>
      </c>
      <c r="M138">
        <f t="array" ref="M138">IsURL(Table_121215[[#This Row],[DOI]])</f>
        <v/>
      </c>
      <c r="N138">
        <f t="array" ref="N138">IsURL(Table_121215[[#This Row],[Data Source]])</f>
        <v/>
      </c>
      <c r="O138">
        <f t="array" ref="O138">IsURL(Table_121215[[#This Row],[Data Source]])</f>
        <v/>
      </c>
    </row>
    <row r="139" ht="15.75" customHeight="1">
      <c r="A139">
        <f>IF(Table_12[[#This Row],[Protein Name]]=0,"",Table_12[[#This Row],[Protein Name]])</f>
        <v/>
      </c>
      <c r="H139">
        <f>LEN(TRIM(CLEAN(SUBSTITUTE(SUBSTITUTE(Table_12[[#This Row],[Sequence]],CHAR(160)," ")," ",""))))</f>
        <v/>
      </c>
      <c r="J139" s="21" t="n"/>
      <c r="K139" s="21">
        <f>IF($B139="","FALSE","TRUE")</f>
        <v/>
      </c>
      <c r="L139">
        <f t="array" ref="L139">IsURL(Table_121215[[#This Row],[Data Source]])</f>
        <v/>
      </c>
      <c r="M139">
        <f t="array" ref="M139">IsURL(Table_121215[[#This Row],[DOI]])</f>
        <v/>
      </c>
      <c r="N139">
        <f t="array" ref="N139">IsURL(Table_121215[[#This Row],[Data Source]])</f>
        <v/>
      </c>
      <c r="O139">
        <f t="array" ref="O139">IsURL(Table_121215[[#This Row],[Data Source]])</f>
        <v/>
      </c>
    </row>
    <row r="140" ht="15.75" customHeight="1">
      <c r="A140">
        <f>IF(Table_12[[#This Row],[Protein Name]]=0,"",Table_12[[#This Row],[Protein Name]])</f>
        <v/>
      </c>
      <c r="H140">
        <f>LEN(TRIM(CLEAN(SUBSTITUTE(SUBSTITUTE(Table_12[[#This Row],[Sequence]],CHAR(160)," ")," ",""))))</f>
        <v/>
      </c>
      <c r="J140" s="21" t="n"/>
      <c r="K140" s="21">
        <f>IF($B140="","FALSE","TRUE")</f>
        <v/>
      </c>
      <c r="L140">
        <f t="array" ref="L140">IsURL(Table_121215[[#This Row],[Data Source]])</f>
        <v/>
      </c>
      <c r="M140">
        <f t="array" ref="M140">IsURL(Table_121215[[#This Row],[DOI]])</f>
        <v/>
      </c>
      <c r="N140">
        <f t="array" ref="N140">IsURL(Table_121215[[#This Row],[Data Source]])</f>
        <v/>
      </c>
      <c r="O140">
        <f t="array" ref="O140">IsURL(Table_121215[[#This Row],[Data Source]])</f>
        <v/>
      </c>
    </row>
    <row r="141" ht="15.75" customHeight="1">
      <c r="A141">
        <f>IF(Table_12[[#This Row],[Protein Name]]=0,"",Table_12[[#This Row],[Protein Name]])</f>
        <v/>
      </c>
      <c r="H141">
        <f>LEN(TRIM(CLEAN(SUBSTITUTE(SUBSTITUTE(Table_12[[#This Row],[Sequence]],CHAR(160)," ")," ",""))))</f>
        <v/>
      </c>
      <c r="J141" s="21" t="n"/>
      <c r="K141" s="21">
        <f>IF($B141="","FALSE","TRUE")</f>
        <v/>
      </c>
      <c r="L141">
        <f t="array" ref="L141">IsURL(Table_121215[[#This Row],[Data Source]])</f>
        <v/>
      </c>
      <c r="M141">
        <f t="array" ref="M141">IsURL(Table_121215[[#This Row],[DOI]])</f>
        <v/>
      </c>
      <c r="N141">
        <f t="array" ref="N141">IsURL(Table_121215[[#This Row],[Data Source]])</f>
        <v/>
      </c>
      <c r="O141">
        <f t="array" ref="O141">IsURL(Table_121215[[#This Row],[Data Source]])</f>
        <v/>
      </c>
    </row>
    <row r="142" ht="15.75" customHeight="1">
      <c r="A142">
        <f>IF(Table_12[[#This Row],[Protein Name]]=0,"",Table_12[[#This Row],[Protein Name]])</f>
        <v/>
      </c>
      <c r="H142">
        <f>LEN(TRIM(CLEAN(SUBSTITUTE(SUBSTITUTE(Table_12[[#This Row],[Sequence]],CHAR(160)," ")," ",""))))</f>
        <v/>
      </c>
      <c r="J142" s="21" t="n"/>
      <c r="K142" s="21">
        <f>IF($B142="","FALSE","TRUE")</f>
        <v/>
      </c>
      <c r="L142">
        <f t="array" ref="L142">IsURL(Table_121215[[#This Row],[Data Source]])</f>
        <v/>
      </c>
      <c r="M142">
        <f t="array" ref="M142">IsURL(Table_121215[[#This Row],[DOI]])</f>
        <v/>
      </c>
      <c r="N142">
        <f t="array" ref="N142">IsURL(Table_121215[[#This Row],[Data Source]])</f>
        <v/>
      </c>
      <c r="O142">
        <f t="array" ref="O142">IsURL(Table_121215[[#This Row],[Data Source]])</f>
        <v/>
      </c>
    </row>
    <row r="143" ht="15.75" customHeight="1">
      <c r="A143">
        <f>IF(Table_12[[#This Row],[Protein Name]]=0,"",Table_12[[#This Row],[Protein Name]])</f>
        <v/>
      </c>
      <c r="H143">
        <f>LEN(TRIM(CLEAN(SUBSTITUTE(SUBSTITUTE(Table_12[[#This Row],[Sequence]],CHAR(160)," ")," ",""))))</f>
        <v/>
      </c>
      <c r="J143" s="21" t="n"/>
      <c r="K143" s="21">
        <f>IF($B143="","FALSE","TRUE")</f>
        <v/>
      </c>
      <c r="L143">
        <f t="array" ref="L143">IsURL(Table_121215[[#This Row],[Data Source]])</f>
        <v/>
      </c>
      <c r="M143">
        <f t="array" ref="M143">IsURL(Table_121215[[#This Row],[DOI]])</f>
        <v/>
      </c>
      <c r="N143">
        <f t="array" ref="N143">IsURL(Table_121215[[#This Row],[Data Source]])</f>
        <v/>
      </c>
      <c r="O143">
        <f t="array" ref="O143">IsURL(Table_121215[[#This Row],[Data Source]])</f>
        <v/>
      </c>
    </row>
    <row r="144" ht="15.75" customHeight="1">
      <c r="A144">
        <f>IF(Table_12[[#This Row],[Protein Name]]=0,"",Table_12[[#This Row],[Protein Name]])</f>
        <v/>
      </c>
      <c r="H144">
        <f>LEN(TRIM(CLEAN(SUBSTITUTE(SUBSTITUTE(Table_12[[#This Row],[Sequence]],CHAR(160)," ")," ",""))))</f>
        <v/>
      </c>
      <c r="J144" s="21" t="n"/>
      <c r="K144" s="21">
        <f>IF($B144="","FALSE","TRUE")</f>
        <v/>
      </c>
      <c r="L144">
        <f t="array" ref="L144">IsURL(Table_121215[[#This Row],[Data Source]])</f>
        <v/>
      </c>
      <c r="M144">
        <f t="array" ref="M144">IsURL(Table_121215[[#This Row],[DOI]])</f>
        <v/>
      </c>
      <c r="N144">
        <f t="array" ref="N144">IsURL(Table_121215[[#This Row],[Data Source]])</f>
        <v/>
      </c>
      <c r="O144">
        <f t="array" ref="O144">IsURL(Table_121215[[#This Row],[Data Source]])</f>
        <v/>
      </c>
    </row>
    <row r="145" ht="15.75" customHeight="1">
      <c r="A145">
        <f>IF(Table_12[[#This Row],[Protein Name]]=0,"",Table_12[[#This Row],[Protein Name]])</f>
        <v/>
      </c>
      <c r="H145">
        <f>LEN(TRIM(CLEAN(SUBSTITUTE(SUBSTITUTE(Table_12[[#This Row],[Sequence]],CHAR(160)," ")," ",""))))</f>
        <v/>
      </c>
      <c r="J145" s="21" t="n"/>
      <c r="K145" s="21">
        <f>IF($B145="","FALSE","TRUE")</f>
        <v/>
      </c>
      <c r="L145">
        <f t="array" ref="L145">IsURL(Table_121215[[#This Row],[Data Source]])</f>
        <v/>
      </c>
      <c r="M145">
        <f t="array" ref="M145">IsURL(Table_121215[[#This Row],[DOI]])</f>
        <v/>
      </c>
      <c r="N145">
        <f t="array" ref="N145">IsURL(Table_121215[[#This Row],[Data Source]])</f>
        <v/>
      </c>
      <c r="O145">
        <f t="array" ref="O145">IsURL(Table_121215[[#This Row],[Data Source]])</f>
        <v/>
      </c>
    </row>
    <row r="146" ht="15.75" customHeight="1">
      <c r="A146">
        <f>IF(Table_12[[#This Row],[Protein Name]]=0,"",Table_12[[#This Row],[Protein Name]])</f>
        <v/>
      </c>
      <c r="H146">
        <f>LEN(TRIM(CLEAN(SUBSTITUTE(SUBSTITUTE(Table_12[[#This Row],[Sequence]],CHAR(160)," ")," ",""))))</f>
        <v/>
      </c>
      <c r="J146" s="21" t="n"/>
      <c r="K146" s="21">
        <f>IF($B146="","FALSE","TRUE")</f>
        <v/>
      </c>
      <c r="L146">
        <f t="array" ref="L146">IsURL(Table_121215[[#This Row],[Data Source]])</f>
        <v/>
      </c>
      <c r="M146">
        <f t="array" ref="M146">IsURL(Table_121215[[#This Row],[DOI]])</f>
        <v/>
      </c>
      <c r="N146">
        <f t="array" ref="N146">IsURL(Table_121215[[#This Row],[Data Source]])</f>
        <v/>
      </c>
      <c r="O146">
        <f t="array" ref="O146">IsURL(Table_121215[[#This Row],[Data Source]])</f>
        <v/>
      </c>
    </row>
    <row r="147" ht="15.75" customHeight="1">
      <c r="A147">
        <f>IF(Table_12[[#This Row],[Protein Name]]=0,"",Table_12[[#This Row],[Protein Name]])</f>
        <v/>
      </c>
      <c r="H147">
        <f>LEN(TRIM(CLEAN(SUBSTITUTE(SUBSTITUTE(Table_12[[#This Row],[Sequence]],CHAR(160)," ")," ",""))))</f>
        <v/>
      </c>
      <c r="J147" s="21" t="n"/>
      <c r="K147" s="21">
        <f>IF($B147="","FALSE","TRUE")</f>
        <v/>
      </c>
      <c r="L147">
        <f t="array" ref="L147">IsURL(Table_121215[[#This Row],[Data Source]])</f>
        <v/>
      </c>
      <c r="M147">
        <f t="array" ref="M147">IsURL(Table_121215[[#This Row],[DOI]])</f>
        <v/>
      </c>
      <c r="N147">
        <f t="array" ref="N147">IsURL(Table_121215[[#This Row],[Data Source]])</f>
        <v/>
      </c>
      <c r="O147">
        <f t="array" ref="O147">IsURL(Table_121215[[#This Row],[Data Source]])</f>
        <v/>
      </c>
    </row>
    <row r="148" ht="15.75" customHeight="1">
      <c r="A148">
        <f>IF(Table_12[[#This Row],[Protein Name]]=0,"",Table_12[[#This Row],[Protein Name]])</f>
        <v/>
      </c>
      <c r="H148">
        <f>LEN(TRIM(CLEAN(SUBSTITUTE(SUBSTITUTE(Table_12[[#This Row],[Sequence]],CHAR(160)," ")," ",""))))</f>
        <v/>
      </c>
      <c r="J148" s="21" t="n"/>
      <c r="K148" s="21">
        <f>IF($B148="","FALSE","TRUE")</f>
        <v/>
      </c>
      <c r="L148">
        <f t="array" ref="L148">IsURL(Table_121215[[#This Row],[Data Source]])</f>
        <v/>
      </c>
      <c r="M148">
        <f t="array" ref="M148">IsURL(Table_121215[[#This Row],[DOI]])</f>
        <v/>
      </c>
      <c r="N148">
        <f t="array" ref="N148">IsURL(Table_121215[[#This Row],[Data Source]])</f>
        <v/>
      </c>
      <c r="O148">
        <f t="array" ref="O148">IsURL(Table_121215[[#This Row],[Data Source]])</f>
        <v/>
      </c>
    </row>
    <row r="149" ht="15.75" customHeight="1">
      <c r="A149">
        <f>IF(Table_12[[#This Row],[Protein Name]]=0,"",Table_12[[#This Row],[Protein Name]])</f>
        <v/>
      </c>
      <c r="H149">
        <f>LEN(TRIM(CLEAN(SUBSTITUTE(SUBSTITUTE(Table_12[[#This Row],[Sequence]],CHAR(160)," ")," ",""))))</f>
        <v/>
      </c>
      <c r="J149" s="21" t="n"/>
      <c r="K149" s="21">
        <f>IF($B149="","FALSE","TRUE")</f>
        <v/>
      </c>
      <c r="L149">
        <f t="array" ref="L149">IsURL(Table_121215[[#This Row],[Data Source]])</f>
        <v/>
      </c>
      <c r="M149">
        <f t="array" ref="M149">IsURL(Table_121215[[#This Row],[DOI]])</f>
        <v/>
      </c>
      <c r="N149">
        <f t="array" ref="N149">IsURL(Table_121215[[#This Row],[Data Source]])</f>
        <v/>
      </c>
      <c r="O149">
        <f t="array" ref="O149">IsURL(Table_121215[[#This Row],[Data Source]])</f>
        <v/>
      </c>
    </row>
    <row r="150" ht="15.75" customHeight="1">
      <c r="A150">
        <f>IF(Table_12[[#This Row],[Protein Name]]=0,"",Table_12[[#This Row],[Protein Name]])</f>
        <v/>
      </c>
      <c r="H150">
        <f>LEN(TRIM(CLEAN(SUBSTITUTE(SUBSTITUTE(Table_12[[#This Row],[Sequence]],CHAR(160)," ")," ",""))))</f>
        <v/>
      </c>
      <c r="J150" s="21" t="n"/>
      <c r="K150" s="21">
        <f>IF($B150="","FALSE","TRUE")</f>
        <v/>
      </c>
      <c r="L150">
        <f t="array" ref="L150">IsURL(Table_121215[[#This Row],[Data Source]])</f>
        <v/>
      </c>
      <c r="M150">
        <f t="array" ref="M150">IsURL(Table_121215[[#This Row],[DOI]])</f>
        <v/>
      </c>
      <c r="N150">
        <f t="array" ref="N150">IsURL(Table_121215[[#This Row],[Data Source]])</f>
        <v/>
      </c>
      <c r="O150">
        <f t="array" ref="O150">IsURL(Table_121215[[#This Row],[Data Source]])</f>
        <v/>
      </c>
    </row>
    <row r="151" ht="15.75" customHeight="1">
      <c r="A151">
        <f>IF(Table_12[[#This Row],[Protein Name]]=0,"",Table_12[[#This Row],[Protein Name]])</f>
        <v/>
      </c>
      <c r="H151">
        <f>LEN(TRIM(CLEAN(SUBSTITUTE(SUBSTITUTE(Table_12[[#This Row],[Sequence]],CHAR(160)," ")," ",""))))</f>
        <v/>
      </c>
      <c r="J151" s="21" t="n"/>
      <c r="K151" s="21">
        <f>IF($B151="","FALSE","TRUE")</f>
        <v/>
      </c>
      <c r="L151">
        <f t="array" ref="L151">IsURL(Table_121215[[#This Row],[Data Source]])</f>
        <v/>
      </c>
      <c r="M151">
        <f t="array" ref="M151">IsURL(Table_121215[[#This Row],[DOI]])</f>
        <v/>
      </c>
      <c r="N151">
        <f t="array" ref="N151">IsURL(Table_121215[[#This Row],[Data Source]])</f>
        <v/>
      </c>
      <c r="O151">
        <f t="array" ref="O151">IsURL(Table_121215[[#This Row],[Data Source]])</f>
        <v/>
      </c>
    </row>
    <row r="152" ht="15.75" customHeight="1">
      <c r="A152">
        <f>IF(Table_12[[#This Row],[Protein Name]]=0,"",Table_12[[#This Row],[Protein Name]])</f>
        <v/>
      </c>
      <c r="H152">
        <f>LEN(TRIM(CLEAN(SUBSTITUTE(SUBSTITUTE(Table_12[[#This Row],[Sequence]],CHAR(160)," ")," ",""))))</f>
        <v/>
      </c>
      <c r="J152" s="21" t="n"/>
      <c r="K152" s="21">
        <f>IF($B152="","FALSE","TRUE")</f>
        <v/>
      </c>
      <c r="L152">
        <f t="array" ref="L152">IsURL(Table_121215[[#This Row],[Data Source]])</f>
        <v/>
      </c>
      <c r="M152">
        <f t="array" ref="M152">IsURL(Table_121215[[#This Row],[DOI]])</f>
        <v/>
      </c>
      <c r="N152">
        <f t="array" ref="N152">IsURL(Table_121215[[#This Row],[Data Source]])</f>
        <v/>
      </c>
      <c r="O152">
        <f t="array" ref="O152">IsURL(Table_121215[[#This Row],[Data Source]])</f>
        <v/>
      </c>
    </row>
    <row r="153" ht="15.75" customHeight="1">
      <c r="A153">
        <f>IF(Table_12[[#This Row],[Protein Name]]=0,"",Table_12[[#This Row],[Protein Name]])</f>
        <v/>
      </c>
      <c r="H153">
        <f>LEN(TRIM(CLEAN(SUBSTITUTE(SUBSTITUTE(Table_12[[#This Row],[Sequence]],CHAR(160)," ")," ",""))))</f>
        <v/>
      </c>
      <c r="J153" s="21" t="n"/>
      <c r="K153" s="21">
        <f>IF($B153="","FALSE","TRUE")</f>
        <v/>
      </c>
      <c r="L153">
        <f t="array" ref="L153">IsURL(Table_121215[[#This Row],[Data Source]])</f>
        <v/>
      </c>
      <c r="M153">
        <f t="array" ref="M153">IsURL(Table_121215[[#This Row],[DOI]])</f>
        <v/>
      </c>
      <c r="N153">
        <f t="array" ref="N153">IsURL(Table_121215[[#This Row],[Data Source]])</f>
        <v/>
      </c>
      <c r="O153">
        <f t="array" ref="O153">IsURL(Table_121215[[#This Row],[Data Source]])</f>
        <v/>
      </c>
    </row>
    <row r="154" ht="15.75" customHeight="1">
      <c r="A154">
        <f>IF(Table_12[[#This Row],[Protein Name]]=0,"",Table_12[[#This Row],[Protein Name]])</f>
        <v/>
      </c>
      <c r="H154">
        <f>LEN(TRIM(CLEAN(SUBSTITUTE(SUBSTITUTE(Table_12[[#This Row],[Sequence]],CHAR(160)," ")," ",""))))</f>
        <v/>
      </c>
      <c r="J154" s="21" t="n"/>
      <c r="K154" s="21">
        <f>IF($B154="","FALSE","TRUE")</f>
        <v/>
      </c>
      <c r="L154">
        <f t="array" ref="L154">IsURL(Table_121215[[#This Row],[Data Source]])</f>
        <v/>
      </c>
      <c r="M154">
        <f t="array" ref="M154">IsURL(Table_121215[[#This Row],[DOI]])</f>
        <v/>
      </c>
      <c r="N154">
        <f t="array" ref="N154">IsURL(Table_121215[[#This Row],[Data Source]])</f>
        <v/>
      </c>
      <c r="O154">
        <f t="array" ref="O154">IsURL(Table_121215[[#This Row],[Data Source]])</f>
        <v/>
      </c>
    </row>
    <row r="155" ht="15.75" customHeight="1">
      <c r="A155">
        <f>IF(Table_12[[#This Row],[Protein Name]]=0,"",Table_12[[#This Row],[Protein Name]])</f>
        <v/>
      </c>
      <c r="H155">
        <f>LEN(TRIM(CLEAN(SUBSTITUTE(SUBSTITUTE(Table_12[[#This Row],[Sequence]],CHAR(160)," ")," ",""))))</f>
        <v/>
      </c>
      <c r="J155" s="21" t="n"/>
      <c r="K155" s="21">
        <f>IF($B155="","FALSE","TRUE")</f>
        <v/>
      </c>
      <c r="L155">
        <f t="array" ref="L155">IsURL(Table_121215[[#This Row],[Data Source]])</f>
        <v/>
      </c>
      <c r="M155">
        <f t="array" ref="M155">IsURL(Table_121215[[#This Row],[DOI]])</f>
        <v/>
      </c>
      <c r="N155">
        <f t="array" ref="N155">IsURL(Table_121215[[#This Row],[Data Source]])</f>
        <v/>
      </c>
      <c r="O155">
        <f t="array" ref="O155">IsURL(Table_121215[[#This Row],[Data Source]])</f>
        <v/>
      </c>
    </row>
    <row r="156" ht="15.75" customHeight="1">
      <c r="A156">
        <f>IF(Table_12[[#This Row],[Protein Name]]=0,"",Table_12[[#This Row],[Protein Name]])</f>
        <v/>
      </c>
      <c r="H156">
        <f>LEN(TRIM(CLEAN(SUBSTITUTE(SUBSTITUTE(Table_12[[#This Row],[Sequence]],CHAR(160)," ")," ",""))))</f>
        <v/>
      </c>
      <c r="J156" s="21" t="n"/>
      <c r="K156" s="21">
        <f>IF($B156="","FALSE","TRUE")</f>
        <v/>
      </c>
      <c r="L156">
        <f t="array" ref="L156">IsURL(Table_121215[[#This Row],[Data Source]])</f>
        <v/>
      </c>
      <c r="M156">
        <f t="array" ref="M156">IsURL(Table_121215[[#This Row],[DOI]])</f>
        <v/>
      </c>
      <c r="N156">
        <f t="array" ref="N156">IsURL(Table_121215[[#This Row],[Data Source]])</f>
        <v/>
      </c>
      <c r="O156">
        <f t="array" ref="O156">IsURL(Table_121215[[#This Row],[Data Source]])</f>
        <v/>
      </c>
    </row>
    <row r="157" ht="15.75" customHeight="1">
      <c r="A157">
        <f>IF(Table_12[[#This Row],[Protein Name]]=0,"",Table_12[[#This Row],[Protein Name]])</f>
        <v/>
      </c>
      <c r="H157">
        <f>LEN(TRIM(CLEAN(SUBSTITUTE(SUBSTITUTE(Table_12[[#This Row],[Sequence]],CHAR(160)," ")," ",""))))</f>
        <v/>
      </c>
      <c r="J157" s="21" t="n"/>
      <c r="K157" s="21">
        <f>IF($B157="","FALSE","TRUE")</f>
        <v/>
      </c>
      <c r="L157">
        <f t="array" ref="L157">IsURL(Table_121215[[#This Row],[Data Source]])</f>
        <v/>
      </c>
      <c r="M157">
        <f t="array" ref="M157">IsURL(Table_121215[[#This Row],[DOI]])</f>
        <v/>
      </c>
      <c r="N157">
        <f t="array" ref="N157">IsURL(Table_121215[[#This Row],[Data Source]])</f>
        <v/>
      </c>
      <c r="O157">
        <f t="array" ref="O157">IsURL(Table_121215[[#This Row],[Data Source]])</f>
        <v/>
      </c>
    </row>
    <row r="158" ht="15.75" customHeight="1">
      <c r="A158">
        <f>IF(Table_12[[#This Row],[Protein Name]]=0,"",Table_12[[#This Row],[Protein Name]])</f>
        <v/>
      </c>
      <c r="H158">
        <f>LEN(TRIM(CLEAN(SUBSTITUTE(SUBSTITUTE(Table_12[[#This Row],[Sequence]],CHAR(160)," ")," ",""))))</f>
        <v/>
      </c>
      <c r="J158" s="21" t="n"/>
      <c r="K158" s="21">
        <f>IF($B158="","FALSE","TRUE")</f>
        <v/>
      </c>
      <c r="L158">
        <f t="array" ref="L158">IsURL(Table_121215[[#This Row],[Data Source]])</f>
        <v/>
      </c>
      <c r="M158">
        <f t="array" ref="M158">IsURL(Table_121215[[#This Row],[DOI]])</f>
        <v/>
      </c>
      <c r="N158">
        <f t="array" ref="N158">IsURL(Table_121215[[#This Row],[Data Source]])</f>
        <v/>
      </c>
      <c r="O158">
        <f t="array" ref="O158">IsURL(Table_121215[[#This Row],[Data Source]])</f>
        <v/>
      </c>
    </row>
    <row r="159" ht="15.75" customHeight="1">
      <c r="A159">
        <f>IF(Table_12[[#This Row],[Protein Name]]=0,"",Table_12[[#This Row],[Protein Name]])</f>
        <v/>
      </c>
      <c r="H159">
        <f>LEN(TRIM(CLEAN(SUBSTITUTE(SUBSTITUTE(Table_12[[#This Row],[Sequence]],CHAR(160)," ")," ",""))))</f>
        <v/>
      </c>
      <c r="J159" s="21" t="n"/>
      <c r="K159" s="21">
        <f>IF($B159="","FALSE","TRUE")</f>
        <v/>
      </c>
      <c r="L159">
        <f t="array" ref="L159">IsURL(Table_121215[[#This Row],[Data Source]])</f>
        <v/>
      </c>
      <c r="M159">
        <f t="array" ref="M159">IsURL(Table_121215[[#This Row],[DOI]])</f>
        <v/>
      </c>
      <c r="N159">
        <f t="array" ref="N159">IsURL(Table_121215[[#This Row],[Data Source]])</f>
        <v/>
      </c>
      <c r="O159">
        <f t="array" ref="O159">IsURL(Table_121215[[#This Row],[Data Source]])</f>
        <v/>
      </c>
    </row>
    <row r="160" ht="15.75" customHeight="1">
      <c r="A160">
        <f>IF(Table_12[[#This Row],[Protein Name]]=0,"",Table_12[[#This Row],[Protein Name]])</f>
        <v/>
      </c>
      <c r="H160">
        <f>LEN(TRIM(CLEAN(SUBSTITUTE(SUBSTITUTE(Table_12[[#This Row],[Sequence]],CHAR(160)," ")," ",""))))</f>
        <v/>
      </c>
      <c r="J160" s="21" t="n"/>
      <c r="K160" s="21">
        <f>IF($B160="","FALSE","TRUE")</f>
        <v/>
      </c>
      <c r="L160">
        <f t="array" ref="L160">IsURL(Table_121215[[#This Row],[Data Source]])</f>
        <v/>
      </c>
      <c r="M160">
        <f t="array" ref="M160">IsURL(Table_121215[[#This Row],[DOI]])</f>
        <v/>
      </c>
      <c r="N160">
        <f t="array" ref="N160">IsURL(Table_121215[[#This Row],[Data Source]])</f>
        <v/>
      </c>
      <c r="O160">
        <f t="array" ref="O160">IsURL(Table_121215[[#This Row],[Data Source]])</f>
        <v/>
      </c>
    </row>
    <row r="161" ht="15.75" customHeight="1">
      <c r="A161">
        <f>IF(Table_12[[#This Row],[Protein Name]]=0,"",Table_12[[#This Row],[Protein Name]])</f>
        <v/>
      </c>
      <c r="H161">
        <f>LEN(TRIM(CLEAN(SUBSTITUTE(SUBSTITUTE(Table_12[[#This Row],[Sequence]],CHAR(160)," ")," ",""))))</f>
        <v/>
      </c>
      <c r="J161" s="21" t="n"/>
      <c r="K161" s="21">
        <f>IF($B161="","FALSE","TRUE")</f>
        <v/>
      </c>
      <c r="L161">
        <f t="array" ref="L161">IsURL(Table_121215[[#This Row],[Data Source]])</f>
        <v/>
      </c>
      <c r="M161">
        <f t="array" ref="M161">IsURL(Table_121215[[#This Row],[DOI]])</f>
        <v/>
      </c>
      <c r="N161">
        <f t="array" ref="N161">IsURL(Table_121215[[#This Row],[Data Source]])</f>
        <v/>
      </c>
      <c r="O161">
        <f t="array" ref="O161">IsURL(Table_121215[[#This Row],[Data Source]])</f>
        <v/>
      </c>
    </row>
    <row r="162" ht="15.75" customHeight="1">
      <c r="A162">
        <f>IF(Table_12[[#This Row],[Protein Name]]=0,"",Table_12[[#This Row],[Protein Name]])</f>
        <v/>
      </c>
      <c r="H162">
        <f>LEN(TRIM(CLEAN(SUBSTITUTE(SUBSTITUTE(Table_12[[#This Row],[Sequence]],CHAR(160)," ")," ",""))))</f>
        <v/>
      </c>
      <c r="J162" s="21" t="n"/>
      <c r="K162" s="21">
        <f>IF($B162="","FALSE","TRUE")</f>
        <v/>
      </c>
      <c r="L162">
        <f t="array" ref="L162">IsURL(Table_121215[[#This Row],[Data Source]])</f>
        <v/>
      </c>
      <c r="M162">
        <f t="array" ref="M162">IsURL(Table_121215[[#This Row],[DOI]])</f>
        <v/>
      </c>
      <c r="N162">
        <f t="array" ref="N162">IsURL(Table_121215[[#This Row],[Data Source]])</f>
        <v/>
      </c>
      <c r="O162">
        <f t="array" ref="O162">IsURL(Table_121215[[#This Row],[Data Source]])</f>
        <v/>
      </c>
    </row>
    <row r="163" ht="15.75" customHeight="1">
      <c r="A163">
        <f>IF(Table_12[[#This Row],[Protein Name]]=0,"",Table_12[[#This Row],[Protein Name]])</f>
        <v/>
      </c>
      <c r="H163">
        <f>LEN(TRIM(CLEAN(SUBSTITUTE(SUBSTITUTE(Table_12[[#This Row],[Sequence]],CHAR(160)," ")," ",""))))</f>
        <v/>
      </c>
      <c r="J163" s="21" t="n"/>
      <c r="K163" s="21">
        <f>IF($B163="","FALSE","TRUE")</f>
        <v/>
      </c>
      <c r="L163">
        <f t="array" ref="L163">IsURL(Table_121215[[#This Row],[Data Source]])</f>
        <v/>
      </c>
      <c r="M163">
        <f t="array" ref="M163">IsURL(Table_121215[[#This Row],[DOI]])</f>
        <v/>
      </c>
      <c r="N163">
        <f t="array" ref="N163">IsURL(Table_121215[[#This Row],[Data Source]])</f>
        <v/>
      </c>
      <c r="O163">
        <f t="array" ref="O163">IsURL(Table_121215[[#This Row],[Data Source]])</f>
        <v/>
      </c>
    </row>
    <row r="164" ht="15.75" customHeight="1">
      <c r="A164">
        <f>IF(Table_12[[#This Row],[Protein Name]]=0,"",Table_12[[#This Row],[Protein Name]])</f>
        <v/>
      </c>
      <c r="H164">
        <f>LEN(TRIM(CLEAN(SUBSTITUTE(SUBSTITUTE(Table_12[[#This Row],[Sequence]],CHAR(160)," ")," ",""))))</f>
        <v/>
      </c>
      <c r="J164" s="21" t="n"/>
      <c r="K164" s="21">
        <f>IF($B164="","FALSE","TRUE")</f>
        <v/>
      </c>
      <c r="L164">
        <f t="array" ref="L164">IsURL(Table_121215[[#This Row],[Data Source]])</f>
        <v/>
      </c>
      <c r="M164">
        <f t="array" ref="M164">IsURL(Table_121215[[#This Row],[DOI]])</f>
        <v/>
      </c>
      <c r="N164">
        <f t="array" ref="N164">IsURL(Table_121215[[#This Row],[Data Source]])</f>
        <v/>
      </c>
      <c r="O164">
        <f t="array" ref="O164">IsURL(Table_121215[[#This Row],[Data Source]])</f>
        <v/>
      </c>
    </row>
    <row r="165" ht="15.75" customHeight="1">
      <c r="A165">
        <f>IF(Table_12[[#This Row],[Protein Name]]=0,"",Table_12[[#This Row],[Protein Name]])</f>
        <v/>
      </c>
      <c r="H165">
        <f>LEN(TRIM(CLEAN(SUBSTITUTE(SUBSTITUTE(Table_12[[#This Row],[Sequence]],CHAR(160)," ")," ",""))))</f>
        <v/>
      </c>
      <c r="J165" s="21" t="n"/>
      <c r="K165" s="21">
        <f>IF($B165="","FALSE","TRUE")</f>
        <v/>
      </c>
      <c r="L165">
        <f t="array" ref="L165">IsURL(Table_121215[[#This Row],[Data Source]])</f>
        <v/>
      </c>
      <c r="M165">
        <f t="array" ref="M165">IsURL(Table_121215[[#This Row],[DOI]])</f>
        <v/>
      </c>
      <c r="N165">
        <f t="array" ref="N165">IsURL(Table_121215[[#This Row],[Data Source]])</f>
        <v/>
      </c>
      <c r="O165">
        <f t="array" ref="O165">IsURL(Table_121215[[#This Row],[Data Source]])</f>
        <v/>
      </c>
    </row>
    <row r="166" ht="15.75" customHeight="1">
      <c r="A166">
        <f>IF(Table_12[[#This Row],[Protein Name]]=0,"",Table_12[[#This Row],[Protein Name]])</f>
        <v/>
      </c>
      <c r="H166">
        <f>LEN(TRIM(CLEAN(SUBSTITUTE(SUBSTITUTE(Table_12[[#This Row],[Sequence]],CHAR(160)," ")," ",""))))</f>
        <v/>
      </c>
      <c r="J166" s="21" t="n"/>
      <c r="K166" s="21">
        <f>IF($B166="","FALSE","TRUE")</f>
        <v/>
      </c>
      <c r="L166">
        <f t="array" ref="L166">IsURL(Table_121215[[#This Row],[Data Source]])</f>
        <v/>
      </c>
      <c r="M166">
        <f t="array" ref="M166">IsURL(Table_121215[[#This Row],[DOI]])</f>
        <v/>
      </c>
      <c r="N166">
        <f t="array" ref="N166">IsURL(Table_121215[[#This Row],[Data Source]])</f>
        <v/>
      </c>
      <c r="O166">
        <f t="array" ref="O166">IsURL(Table_121215[[#This Row],[Data Source]])</f>
        <v/>
      </c>
    </row>
    <row r="167" ht="15.75" customHeight="1">
      <c r="A167">
        <f>IF(Table_12[[#This Row],[Protein Name]]=0,"",Table_12[[#This Row],[Protein Name]])</f>
        <v/>
      </c>
      <c r="H167">
        <f>LEN(TRIM(CLEAN(SUBSTITUTE(SUBSTITUTE(Table_12[[#This Row],[Sequence]],CHAR(160)," ")," ",""))))</f>
        <v/>
      </c>
      <c r="J167" s="21" t="n"/>
      <c r="K167" s="21">
        <f>IF($B167="","FALSE","TRUE")</f>
        <v/>
      </c>
      <c r="L167">
        <f t="array" ref="L167">IsURL(Table_121215[[#This Row],[Data Source]])</f>
        <v/>
      </c>
      <c r="M167">
        <f t="array" ref="M167">IsURL(Table_121215[[#This Row],[DOI]])</f>
        <v/>
      </c>
      <c r="N167">
        <f t="array" ref="N167">IsURL(Table_121215[[#This Row],[Data Source]])</f>
        <v/>
      </c>
      <c r="O167">
        <f t="array" ref="O167">IsURL(Table_121215[[#This Row],[Data Source]])</f>
        <v/>
      </c>
    </row>
    <row r="168" ht="15.75" customHeight="1">
      <c r="A168">
        <f>IF(Table_12[[#This Row],[Protein Name]]=0,"",Table_12[[#This Row],[Protein Name]])</f>
        <v/>
      </c>
      <c r="H168">
        <f>LEN(TRIM(CLEAN(SUBSTITUTE(SUBSTITUTE(Table_12[[#This Row],[Sequence]],CHAR(160)," ")," ",""))))</f>
        <v/>
      </c>
      <c r="J168" s="21" t="n"/>
      <c r="K168" s="21">
        <f>IF($B168="","FALSE","TRUE")</f>
        <v/>
      </c>
      <c r="L168">
        <f t="array" ref="L168">IsURL(Table_121215[[#This Row],[Data Source]])</f>
        <v/>
      </c>
      <c r="M168">
        <f t="array" ref="M168">IsURL(Table_121215[[#This Row],[DOI]])</f>
        <v/>
      </c>
      <c r="N168">
        <f t="array" ref="N168">IsURL(Table_121215[[#This Row],[Data Source]])</f>
        <v/>
      </c>
      <c r="O168">
        <f t="array" ref="O168">IsURL(Table_121215[[#This Row],[Data Source]])</f>
        <v/>
      </c>
    </row>
    <row r="169" ht="15.75" customHeight="1">
      <c r="A169">
        <f>IF(Table_12[[#This Row],[Protein Name]]=0,"",Table_12[[#This Row],[Protein Name]])</f>
        <v/>
      </c>
      <c r="H169">
        <f>LEN(TRIM(CLEAN(SUBSTITUTE(SUBSTITUTE(Table_12[[#This Row],[Sequence]],CHAR(160)," ")," ",""))))</f>
        <v/>
      </c>
      <c r="J169" s="21" t="n"/>
      <c r="K169" s="21">
        <f>IF($B169="","FALSE","TRUE")</f>
        <v/>
      </c>
      <c r="L169">
        <f t="array" ref="L169">IsURL(Table_121215[[#This Row],[Data Source]])</f>
        <v/>
      </c>
      <c r="M169">
        <f t="array" ref="M169">IsURL(Table_121215[[#This Row],[DOI]])</f>
        <v/>
      </c>
      <c r="N169">
        <f t="array" ref="N169">IsURL(Table_121215[[#This Row],[Data Source]])</f>
        <v/>
      </c>
      <c r="O169">
        <f t="array" ref="O169">IsURL(Table_121215[[#This Row],[Data Source]])</f>
        <v/>
      </c>
    </row>
    <row r="170" ht="15.75" customHeight="1">
      <c r="A170">
        <f>IF(Table_12[[#This Row],[Protein Name]]=0,"",Table_12[[#This Row],[Protein Name]])</f>
        <v/>
      </c>
      <c r="H170">
        <f>LEN(TRIM(CLEAN(SUBSTITUTE(SUBSTITUTE(Table_12[[#This Row],[Sequence]],CHAR(160)," ")," ",""))))</f>
        <v/>
      </c>
      <c r="J170" s="21" t="n"/>
      <c r="K170" s="21">
        <f>IF($B170="","FALSE","TRUE")</f>
        <v/>
      </c>
      <c r="L170">
        <f t="array" ref="L170">IsURL(Table_121215[[#This Row],[Data Source]])</f>
        <v/>
      </c>
      <c r="M170">
        <f t="array" ref="M170">IsURL(Table_121215[[#This Row],[DOI]])</f>
        <v/>
      </c>
      <c r="N170">
        <f t="array" ref="N170">IsURL(Table_121215[[#This Row],[Data Source]])</f>
        <v/>
      </c>
      <c r="O170">
        <f t="array" ref="O170">IsURL(Table_121215[[#This Row],[Data Source]])</f>
        <v/>
      </c>
    </row>
    <row r="171" ht="15.75" customHeight="1">
      <c r="A171">
        <f>IF(Table_12[[#This Row],[Protein Name]]=0,"",Table_12[[#This Row],[Protein Name]])</f>
        <v/>
      </c>
      <c r="H171">
        <f>LEN(TRIM(CLEAN(SUBSTITUTE(SUBSTITUTE(Table_12[[#This Row],[Sequence]],CHAR(160)," ")," ",""))))</f>
        <v/>
      </c>
      <c r="J171" s="21" t="n"/>
      <c r="K171" s="21">
        <f>IF($B171="","FALSE","TRUE")</f>
        <v/>
      </c>
      <c r="L171">
        <f t="array" ref="L171">IsURL(Table_121215[[#This Row],[Data Source]])</f>
        <v/>
      </c>
      <c r="M171">
        <f t="array" ref="M171">IsURL(Table_121215[[#This Row],[DOI]])</f>
        <v/>
      </c>
      <c r="N171">
        <f t="array" ref="N171">IsURL(Table_121215[[#This Row],[Data Source]])</f>
        <v/>
      </c>
      <c r="O171">
        <f t="array" ref="O171">IsURL(Table_121215[[#This Row],[Data Source]])</f>
        <v/>
      </c>
    </row>
    <row r="172" ht="15.75" customHeight="1">
      <c r="A172">
        <f>IF(Table_12[[#This Row],[Protein Name]]=0,"",Table_12[[#This Row],[Protein Name]])</f>
        <v/>
      </c>
      <c r="H172">
        <f>LEN(TRIM(CLEAN(SUBSTITUTE(SUBSTITUTE(Table_12[[#This Row],[Sequence]],CHAR(160)," ")," ",""))))</f>
        <v/>
      </c>
      <c r="J172" s="21" t="n"/>
      <c r="K172" s="21">
        <f>IF($B172="","FALSE","TRUE")</f>
        <v/>
      </c>
      <c r="L172">
        <f t="array" ref="L172">IsURL(Table_121215[[#This Row],[Data Source]])</f>
        <v/>
      </c>
      <c r="M172">
        <f t="array" ref="M172">IsURL(Table_121215[[#This Row],[DOI]])</f>
        <v/>
      </c>
      <c r="N172">
        <f t="array" ref="N172">IsURL(Table_121215[[#This Row],[Data Source]])</f>
        <v/>
      </c>
      <c r="O172">
        <f t="array" ref="O172">IsURL(Table_121215[[#This Row],[Data Source]])</f>
        <v/>
      </c>
    </row>
    <row r="173" ht="15.75" customHeight="1">
      <c r="A173">
        <f>IF(Table_12[[#This Row],[Protein Name]]=0,"",Table_12[[#This Row],[Protein Name]])</f>
        <v/>
      </c>
      <c r="H173">
        <f>LEN(TRIM(CLEAN(SUBSTITUTE(SUBSTITUTE(Table_12[[#This Row],[Sequence]],CHAR(160)," ")," ",""))))</f>
        <v/>
      </c>
      <c r="J173" s="21" t="n"/>
      <c r="K173" s="21">
        <f>IF($B173="","FALSE","TRUE")</f>
        <v/>
      </c>
      <c r="L173">
        <f t="array" ref="L173">IsURL(Table_121215[[#This Row],[Data Source]])</f>
        <v/>
      </c>
      <c r="M173">
        <f t="array" ref="M173">IsURL(Table_121215[[#This Row],[DOI]])</f>
        <v/>
      </c>
      <c r="N173">
        <f t="array" ref="N173">IsURL(Table_121215[[#This Row],[Data Source]])</f>
        <v/>
      </c>
      <c r="O173">
        <f t="array" ref="O173">IsURL(Table_121215[[#This Row],[Data Source]])</f>
        <v/>
      </c>
    </row>
    <row r="174" ht="15.75" customHeight="1">
      <c r="A174">
        <f>IF(Table_12[[#This Row],[Protein Name]]=0,"",Table_12[[#This Row],[Protein Name]])</f>
        <v/>
      </c>
      <c r="H174">
        <f>LEN(TRIM(CLEAN(SUBSTITUTE(SUBSTITUTE(Table_12[[#This Row],[Sequence]],CHAR(160)," ")," ",""))))</f>
        <v/>
      </c>
      <c r="J174" s="21" t="n"/>
      <c r="K174" s="21">
        <f>IF($B174="","FALSE","TRUE")</f>
        <v/>
      </c>
      <c r="L174">
        <f t="array" ref="L174">IsURL(Table_121215[[#This Row],[Data Source]])</f>
        <v/>
      </c>
      <c r="M174">
        <f t="array" ref="M174">IsURL(Table_121215[[#This Row],[DOI]])</f>
        <v/>
      </c>
      <c r="N174">
        <f t="array" ref="N174">IsURL(Table_121215[[#This Row],[Data Source]])</f>
        <v/>
      </c>
      <c r="O174">
        <f t="array" ref="O174">IsURL(Table_121215[[#This Row],[Data Source]])</f>
        <v/>
      </c>
    </row>
    <row r="175" ht="15.75" customHeight="1">
      <c r="A175">
        <f>IF(Table_12[[#This Row],[Protein Name]]=0,"",Table_12[[#This Row],[Protein Name]])</f>
        <v/>
      </c>
      <c r="H175">
        <f>LEN(TRIM(CLEAN(SUBSTITUTE(SUBSTITUTE(Table_12[[#This Row],[Sequence]],CHAR(160)," ")," ",""))))</f>
        <v/>
      </c>
      <c r="J175" s="21" t="n"/>
      <c r="K175" s="21">
        <f>IF($B175="","FALSE","TRUE")</f>
        <v/>
      </c>
      <c r="L175">
        <f t="array" ref="L175">IsURL(Table_121215[[#This Row],[Data Source]])</f>
        <v/>
      </c>
      <c r="M175">
        <f t="array" ref="M175">IsURL(Table_121215[[#This Row],[DOI]])</f>
        <v/>
      </c>
      <c r="N175">
        <f t="array" ref="N175">IsURL(Table_121215[[#This Row],[Data Source]])</f>
        <v/>
      </c>
      <c r="O175">
        <f t="array" ref="O175">IsURL(Table_121215[[#This Row],[Data Source]])</f>
        <v/>
      </c>
    </row>
    <row r="176" ht="15.75" customHeight="1">
      <c r="A176">
        <f>IF(Table_12[[#This Row],[Protein Name]]=0,"",Table_12[[#This Row],[Protein Name]])</f>
        <v/>
      </c>
      <c r="H176">
        <f>LEN(TRIM(CLEAN(SUBSTITUTE(SUBSTITUTE(Table_12[[#This Row],[Sequence]],CHAR(160)," ")," ",""))))</f>
        <v/>
      </c>
      <c r="J176" s="21" t="n"/>
      <c r="K176" s="21">
        <f>IF($B176="","FALSE","TRUE")</f>
        <v/>
      </c>
      <c r="L176">
        <f t="array" ref="L176">IsURL(Table_121215[[#This Row],[Data Source]])</f>
        <v/>
      </c>
      <c r="M176">
        <f t="array" ref="M176">IsURL(Table_121215[[#This Row],[DOI]])</f>
        <v/>
      </c>
      <c r="N176">
        <f t="array" ref="N176">IsURL(Table_121215[[#This Row],[Data Source]])</f>
        <v/>
      </c>
      <c r="O176">
        <f t="array" ref="O176">IsURL(Table_121215[[#This Row],[Data Source]])</f>
        <v/>
      </c>
    </row>
    <row r="177" ht="15.75" customHeight="1">
      <c r="A177">
        <f>IF(Table_12[[#This Row],[Protein Name]]=0,"",Table_12[[#This Row],[Protein Name]])</f>
        <v/>
      </c>
      <c r="H177">
        <f>LEN(TRIM(CLEAN(SUBSTITUTE(SUBSTITUTE(Table_12[[#This Row],[Sequence]],CHAR(160)," ")," ",""))))</f>
        <v/>
      </c>
      <c r="J177" s="21" t="n"/>
      <c r="K177" s="21">
        <f>IF($B177="","FALSE","TRUE")</f>
        <v/>
      </c>
      <c r="L177">
        <f t="array" ref="L177">IsURL(Table_121215[[#This Row],[Data Source]])</f>
        <v/>
      </c>
      <c r="M177">
        <f t="array" ref="M177">IsURL(Table_121215[[#This Row],[DOI]])</f>
        <v/>
      </c>
      <c r="N177">
        <f t="array" ref="N177">IsURL(Table_121215[[#This Row],[Data Source]])</f>
        <v/>
      </c>
      <c r="O177">
        <f t="array" ref="O177">IsURL(Table_121215[[#This Row],[Data Source]])</f>
        <v/>
      </c>
    </row>
    <row r="178" ht="15.75" customHeight="1">
      <c r="A178">
        <f>IF(Table_12[[#This Row],[Protein Name]]=0,"",Table_12[[#This Row],[Protein Name]])</f>
        <v/>
      </c>
      <c r="H178">
        <f>LEN(TRIM(CLEAN(SUBSTITUTE(SUBSTITUTE(Table_12[[#This Row],[Sequence]],CHAR(160)," ")," ",""))))</f>
        <v/>
      </c>
      <c r="J178" s="21" t="n"/>
      <c r="K178" s="21">
        <f>IF($B178="","FALSE","TRUE")</f>
        <v/>
      </c>
      <c r="L178">
        <f t="array" ref="L178">IsURL(Table_121215[[#This Row],[Data Source]])</f>
        <v/>
      </c>
      <c r="M178">
        <f t="array" ref="M178">IsURL(Table_121215[[#This Row],[DOI]])</f>
        <v/>
      </c>
      <c r="N178">
        <f t="array" ref="N178">IsURL(Table_121215[[#This Row],[Data Source]])</f>
        <v/>
      </c>
      <c r="O178">
        <f t="array" ref="O178">IsURL(Table_121215[[#This Row],[Data Source]])</f>
        <v/>
      </c>
    </row>
    <row r="179" ht="15.75" customHeight="1">
      <c r="A179">
        <f>IF(Table_12[[#This Row],[Protein Name]]=0,"",Table_12[[#This Row],[Protein Name]])</f>
        <v/>
      </c>
      <c r="H179">
        <f>LEN(TRIM(CLEAN(SUBSTITUTE(SUBSTITUTE(Table_12[[#This Row],[Sequence]],CHAR(160)," ")," ",""))))</f>
        <v/>
      </c>
      <c r="J179" s="21" t="n"/>
      <c r="K179" s="21">
        <f>IF($B179="","FALSE","TRUE")</f>
        <v/>
      </c>
      <c r="L179">
        <f t="array" ref="L179">IsURL(Table_121215[[#This Row],[Data Source]])</f>
        <v/>
      </c>
      <c r="M179">
        <f t="array" ref="M179">IsURL(Table_121215[[#This Row],[DOI]])</f>
        <v/>
      </c>
      <c r="N179">
        <f t="array" ref="N179">IsURL(Table_121215[[#This Row],[Data Source]])</f>
        <v/>
      </c>
      <c r="O179">
        <f t="array" ref="O179">IsURL(Table_121215[[#This Row],[Data Source]])</f>
        <v/>
      </c>
    </row>
    <row r="180" ht="15.75" customHeight="1">
      <c r="A180">
        <f>IF(Table_12[[#This Row],[Protein Name]]=0,"",Table_12[[#This Row],[Protein Name]])</f>
        <v/>
      </c>
      <c r="H180">
        <f>LEN(TRIM(CLEAN(SUBSTITUTE(SUBSTITUTE(Table_12[[#This Row],[Sequence]],CHAR(160)," ")," ",""))))</f>
        <v/>
      </c>
      <c r="J180" s="21" t="n"/>
      <c r="K180" s="21">
        <f>IF($B180="","FALSE","TRUE")</f>
        <v/>
      </c>
      <c r="L180">
        <f t="array" ref="L180">IsURL(Table_121215[[#This Row],[Data Source]])</f>
        <v/>
      </c>
      <c r="M180">
        <f t="array" ref="M180">IsURL(Table_121215[[#This Row],[DOI]])</f>
        <v/>
      </c>
      <c r="N180">
        <f t="array" ref="N180">IsURL(Table_121215[[#This Row],[Data Source]])</f>
        <v/>
      </c>
      <c r="O180">
        <f t="array" ref="O180">IsURL(Table_121215[[#This Row],[Data Source]])</f>
        <v/>
      </c>
    </row>
    <row r="181" ht="15.75" customHeight="1">
      <c r="A181">
        <f>IF(Table_12[[#This Row],[Protein Name]]=0,"",Table_12[[#This Row],[Protein Name]])</f>
        <v/>
      </c>
      <c r="H181">
        <f>LEN(TRIM(CLEAN(SUBSTITUTE(SUBSTITUTE(Table_12[[#This Row],[Sequence]],CHAR(160)," ")," ",""))))</f>
        <v/>
      </c>
      <c r="J181" s="21" t="n"/>
      <c r="K181" s="21">
        <f>IF($B181="","FALSE","TRUE")</f>
        <v/>
      </c>
      <c r="L181">
        <f t="array" ref="L181">IsURL(Table_121215[[#This Row],[Data Source]])</f>
        <v/>
      </c>
      <c r="M181">
        <f t="array" ref="M181">IsURL(Table_121215[[#This Row],[DOI]])</f>
        <v/>
      </c>
      <c r="N181">
        <f t="array" ref="N181">IsURL(Table_121215[[#This Row],[Data Source]])</f>
        <v/>
      </c>
      <c r="O181">
        <f t="array" ref="O181">IsURL(Table_121215[[#This Row],[Data Source]])</f>
        <v/>
      </c>
    </row>
    <row r="182" ht="15.75" customHeight="1">
      <c r="A182">
        <f>IF(Table_12[[#This Row],[Protein Name]]=0,"",Table_12[[#This Row],[Protein Name]])</f>
        <v/>
      </c>
      <c r="H182">
        <f>LEN(TRIM(CLEAN(SUBSTITUTE(SUBSTITUTE(Table_12[[#This Row],[Sequence]],CHAR(160)," ")," ",""))))</f>
        <v/>
      </c>
      <c r="J182" s="21" t="n"/>
      <c r="K182" s="21">
        <f>IF($B182="","FALSE","TRUE")</f>
        <v/>
      </c>
      <c r="L182">
        <f t="array" ref="L182">IsURL(Table_121215[[#This Row],[Data Source]])</f>
        <v/>
      </c>
      <c r="M182">
        <f t="array" ref="M182">IsURL(Table_121215[[#This Row],[DOI]])</f>
        <v/>
      </c>
      <c r="N182">
        <f t="array" ref="N182">IsURL(Table_121215[[#This Row],[Data Source]])</f>
        <v/>
      </c>
      <c r="O182">
        <f t="array" ref="O182">IsURL(Table_121215[[#This Row],[Data Source]])</f>
        <v/>
      </c>
    </row>
    <row r="183" ht="15.75" customHeight="1">
      <c r="A183">
        <f>IF(Table_12[[#This Row],[Protein Name]]=0,"",Table_12[[#This Row],[Protein Name]])</f>
        <v/>
      </c>
      <c r="H183">
        <f>LEN(TRIM(CLEAN(SUBSTITUTE(SUBSTITUTE(Table_12[[#This Row],[Sequence]],CHAR(160)," ")," ",""))))</f>
        <v/>
      </c>
      <c r="J183" s="21" t="n"/>
      <c r="K183" s="21">
        <f>IF($B183="","FALSE","TRUE")</f>
        <v/>
      </c>
      <c r="L183">
        <f t="array" ref="L183">IsURL(Table_121215[[#This Row],[Data Source]])</f>
        <v/>
      </c>
      <c r="M183">
        <f t="array" ref="M183">IsURL(Table_121215[[#This Row],[DOI]])</f>
        <v/>
      </c>
      <c r="N183">
        <f t="array" ref="N183">IsURL(Table_121215[[#This Row],[Data Source]])</f>
        <v/>
      </c>
      <c r="O183">
        <f t="array" ref="O183">IsURL(Table_121215[[#This Row],[Data Source]])</f>
        <v/>
      </c>
    </row>
    <row r="184" ht="15.75" customHeight="1">
      <c r="A184">
        <f>IF(Table_12[[#This Row],[Protein Name]]=0,"",Table_12[[#This Row],[Protein Name]])</f>
        <v/>
      </c>
      <c r="H184">
        <f>LEN(TRIM(CLEAN(SUBSTITUTE(SUBSTITUTE(Table_12[[#This Row],[Sequence]],CHAR(160)," ")," ",""))))</f>
        <v/>
      </c>
      <c r="J184" s="21" t="n"/>
      <c r="K184" s="21">
        <f>IF($B184="","FALSE","TRUE")</f>
        <v/>
      </c>
      <c r="L184">
        <f t="array" ref="L184">IsURL(Table_121215[[#This Row],[Data Source]])</f>
        <v/>
      </c>
      <c r="M184">
        <f t="array" ref="M184">IsURL(Table_121215[[#This Row],[DOI]])</f>
        <v/>
      </c>
      <c r="N184">
        <f t="array" ref="N184">IsURL(Table_121215[[#This Row],[Data Source]])</f>
        <v/>
      </c>
      <c r="O184">
        <f t="array" ref="O184">IsURL(Table_121215[[#This Row],[Data Source]])</f>
        <v/>
      </c>
    </row>
    <row r="185" ht="15.75" customHeight="1">
      <c r="A185">
        <f>IF(Table_12[[#This Row],[Protein Name]]=0,"",Table_12[[#This Row],[Protein Name]])</f>
        <v/>
      </c>
      <c r="H185">
        <f>LEN(TRIM(CLEAN(SUBSTITUTE(SUBSTITUTE(Table_12[[#This Row],[Sequence]],CHAR(160)," ")," ",""))))</f>
        <v/>
      </c>
      <c r="J185" s="21" t="n"/>
      <c r="K185" s="21">
        <f>IF($B185="","FALSE","TRUE")</f>
        <v/>
      </c>
      <c r="L185">
        <f t="array" ref="L185">IsURL(Table_121215[[#This Row],[Data Source]])</f>
        <v/>
      </c>
      <c r="M185">
        <f t="array" ref="M185">IsURL(Table_121215[[#This Row],[DOI]])</f>
        <v/>
      </c>
      <c r="N185">
        <f t="array" ref="N185">IsURL(Table_121215[[#This Row],[Data Source]])</f>
        <v/>
      </c>
      <c r="O185">
        <f t="array" ref="O185">IsURL(Table_121215[[#This Row],[Data Source]])</f>
        <v/>
      </c>
    </row>
    <row r="186" ht="15.75" customHeight="1">
      <c r="A186">
        <f>IF(Table_12[[#This Row],[Protein Name]]=0,"",Table_12[[#This Row],[Protein Name]])</f>
        <v/>
      </c>
      <c r="H186">
        <f>LEN(TRIM(CLEAN(SUBSTITUTE(SUBSTITUTE(Table_12[[#This Row],[Sequence]],CHAR(160)," ")," ",""))))</f>
        <v/>
      </c>
      <c r="J186" s="21" t="n"/>
      <c r="K186" s="21">
        <f>IF($B186="","FALSE","TRUE")</f>
        <v/>
      </c>
      <c r="L186">
        <f t="array" ref="L186">IsURL(Table_121215[[#This Row],[Data Source]])</f>
        <v/>
      </c>
      <c r="M186">
        <f t="array" ref="M186">IsURL(Table_121215[[#This Row],[DOI]])</f>
        <v/>
      </c>
      <c r="N186">
        <f t="array" ref="N186">IsURL(Table_121215[[#This Row],[Data Source]])</f>
        <v/>
      </c>
      <c r="O186">
        <f t="array" ref="O186">IsURL(Table_121215[[#This Row],[Data Source]])</f>
        <v/>
      </c>
    </row>
    <row r="187" ht="15.75" customHeight="1">
      <c r="A187">
        <f>IF(Table_12[[#This Row],[Protein Name]]=0,"",Table_12[[#This Row],[Protein Name]])</f>
        <v/>
      </c>
      <c r="H187">
        <f>LEN(TRIM(CLEAN(SUBSTITUTE(SUBSTITUTE(Table_12[[#This Row],[Sequence]],CHAR(160)," ")," ",""))))</f>
        <v/>
      </c>
      <c r="J187" s="21" t="n"/>
      <c r="K187" s="21">
        <f>IF($B187="","FALSE","TRUE")</f>
        <v/>
      </c>
      <c r="L187">
        <f t="array" ref="L187">IsURL(Table_121215[[#This Row],[Data Source]])</f>
        <v/>
      </c>
      <c r="M187">
        <f t="array" ref="M187">IsURL(Table_121215[[#This Row],[DOI]])</f>
        <v/>
      </c>
      <c r="N187">
        <f t="array" ref="N187">IsURL(Table_121215[[#This Row],[Data Source]])</f>
        <v/>
      </c>
      <c r="O187">
        <f t="array" ref="O187">IsURL(Table_121215[[#This Row],[Data Source]])</f>
        <v/>
      </c>
    </row>
    <row r="188" ht="15.75" customHeight="1">
      <c r="A188">
        <f>IF(Table_12[[#This Row],[Protein Name]]=0,"",Table_12[[#This Row],[Protein Name]])</f>
        <v/>
      </c>
      <c r="H188">
        <f>LEN(TRIM(CLEAN(SUBSTITUTE(SUBSTITUTE(Table_12[[#This Row],[Sequence]],CHAR(160)," ")," ",""))))</f>
        <v/>
      </c>
      <c r="J188" s="21" t="n"/>
      <c r="K188" s="21">
        <f>IF($B188="","FALSE","TRUE")</f>
        <v/>
      </c>
      <c r="L188">
        <f t="array" ref="L188">IsURL(Table_121215[[#This Row],[Data Source]])</f>
        <v/>
      </c>
      <c r="M188">
        <f t="array" ref="M188">IsURL(Table_121215[[#This Row],[DOI]])</f>
        <v/>
      </c>
      <c r="N188">
        <f t="array" ref="N188">IsURL(Table_121215[[#This Row],[Data Source]])</f>
        <v/>
      </c>
      <c r="O188">
        <f t="array" ref="O188">IsURL(Table_121215[[#This Row],[Data Source]])</f>
        <v/>
      </c>
    </row>
    <row r="189" ht="15.75" customHeight="1">
      <c r="A189">
        <f>IF(Table_12[[#This Row],[Protein Name]]=0,"",Table_12[[#This Row],[Protein Name]])</f>
        <v/>
      </c>
      <c r="H189">
        <f>LEN(TRIM(CLEAN(SUBSTITUTE(SUBSTITUTE(Table_12[[#This Row],[Sequence]],CHAR(160)," ")," ",""))))</f>
        <v/>
      </c>
      <c r="J189" s="21" t="n"/>
      <c r="K189" s="21">
        <f>IF($B189="","FALSE","TRUE")</f>
        <v/>
      </c>
      <c r="L189">
        <f t="array" ref="L189">IsURL(Table_121215[[#This Row],[Data Source]])</f>
        <v/>
      </c>
      <c r="M189">
        <f t="array" ref="M189">IsURL(Table_121215[[#This Row],[DOI]])</f>
        <v/>
      </c>
      <c r="N189">
        <f t="array" ref="N189">IsURL(Table_121215[[#This Row],[Data Source]])</f>
        <v/>
      </c>
      <c r="O189">
        <f t="array" ref="O189">IsURL(Table_121215[[#This Row],[Data Source]])</f>
        <v/>
      </c>
    </row>
    <row r="190" ht="15.75" customHeight="1">
      <c r="A190">
        <f>IF(Table_12[[#This Row],[Protein Name]]=0,"",Table_12[[#This Row],[Protein Name]])</f>
        <v/>
      </c>
      <c r="H190">
        <f>LEN(TRIM(CLEAN(SUBSTITUTE(SUBSTITUTE(Table_12[[#This Row],[Sequence]],CHAR(160)," ")," ",""))))</f>
        <v/>
      </c>
      <c r="J190" s="21" t="n"/>
      <c r="K190" s="21">
        <f>IF($B190="","FALSE","TRUE")</f>
        <v/>
      </c>
      <c r="L190">
        <f t="array" ref="L190">IsURL(Table_121215[[#This Row],[Data Source]])</f>
        <v/>
      </c>
      <c r="M190">
        <f t="array" ref="M190">IsURL(Table_121215[[#This Row],[DOI]])</f>
        <v/>
      </c>
      <c r="N190">
        <f t="array" ref="N190">IsURL(Table_121215[[#This Row],[Data Source]])</f>
        <v/>
      </c>
      <c r="O190">
        <f t="array" ref="O190">IsURL(Table_121215[[#This Row],[Data Source]])</f>
        <v/>
      </c>
    </row>
    <row r="191" ht="15.75" customHeight="1">
      <c r="A191">
        <f>IF(Table_12[[#This Row],[Protein Name]]=0,"",Table_12[[#This Row],[Protein Name]])</f>
        <v/>
      </c>
      <c r="H191">
        <f>LEN(TRIM(CLEAN(SUBSTITUTE(SUBSTITUTE(Table_12[[#This Row],[Sequence]],CHAR(160)," ")," ",""))))</f>
        <v/>
      </c>
      <c r="J191" s="21" t="n"/>
      <c r="K191" s="21">
        <f>IF($B191="","FALSE","TRUE")</f>
        <v/>
      </c>
      <c r="L191">
        <f t="array" ref="L191">IsURL(Table_121215[[#This Row],[Data Source]])</f>
        <v/>
      </c>
      <c r="M191">
        <f t="array" ref="M191">IsURL(Table_121215[[#This Row],[DOI]])</f>
        <v/>
      </c>
      <c r="N191">
        <f t="array" ref="N191">IsURL(Table_121215[[#This Row],[Data Source]])</f>
        <v/>
      </c>
      <c r="O191">
        <f t="array" ref="O191">IsURL(Table_121215[[#This Row],[Data Source]])</f>
        <v/>
      </c>
    </row>
    <row r="192" ht="15.75" customHeight="1">
      <c r="A192">
        <f>IF(Table_12[[#This Row],[Protein Name]]=0,"",Table_12[[#This Row],[Protein Name]])</f>
        <v/>
      </c>
      <c r="H192">
        <f>LEN(TRIM(CLEAN(SUBSTITUTE(SUBSTITUTE(Table_12[[#This Row],[Sequence]],CHAR(160)," ")," ",""))))</f>
        <v/>
      </c>
      <c r="J192" s="21" t="n"/>
      <c r="K192" s="21">
        <f>IF($B192="","FALSE","TRUE")</f>
        <v/>
      </c>
      <c r="L192">
        <f t="array" ref="L192">IsURL(Table_121215[[#This Row],[Data Source]])</f>
        <v/>
      </c>
      <c r="M192">
        <f t="array" ref="M192">IsURL(Table_121215[[#This Row],[DOI]])</f>
        <v/>
      </c>
      <c r="N192">
        <f t="array" ref="N192">IsURL(Table_121215[[#This Row],[Data Source]])</f>
        <v/>
      </c>
      <c r="O192">
        <f t="array" ref="O192">IsURL(Table_121215[[#This Row],[Data Source]])</f>
        <v/>
      </c>
    </row>
    <row r="193" ht="15.75" customHeight="1">
      <c r="A193">
        <f>IF(Table_12[[#This Row],[Protein Name]]=0,"",Table_12[[#This Row],[Protein Name]])</f>
        <v/>
      </c>
      <c r="H193">
        <f>LEN(TRIM(CLEAN(SUBSTITUTE(SUBSTITUTE(Table_12[[#This Row],[Sequence]],CHAR(160)," ")," ",""))))</f>
        <v/>
      </c>
      <c r="J193" s="21" t="n"/>
      <c r="K193" s="21">
        <f>IF($B193="","FALSE","TRUE")</f>
        <v/>
      </c>
      <c r="L193">
        <f t="array" ref="L193">IsURL(Table_121215[[#This Row],[Data Source]])</f>
        <v/>
      </c>
      <c r="M193">
        <f t="array" ref="M193">IsURL(Table_121215[[#This Row],[DOI]])</f>
        <v/>
      </c>
      <c r="N193">
        <f t="array" ref="N193">IsURL(Table_121215[[#This Row],[Data Source]])</f>
        <v/>
      </c>
      <c r="O193">
        <f t="array" ref="O193">IsURL(Table_121215[[#This Row],[Data Source]])</f>
        <v/>
      </c>
    </row>
    <row r="194" ht="15.75" customHeight="1">
      <c r="A194">
        <f>IF(Table_12[[#This Row],[Protein Name]]=0,"",Table_12[[#This Row],[Protein Name]])</f>
        <v/>
      </c>
      <c r="H194">
        <f>LEN(TRIM(CLEAN(SUBSTITUTE(SUBSTITUTE(Table_12[[#This Row],[Sequence]],CHAR(160)," ")," ",""))))</f>
        <v/>
      </c>
      <c r="J194" s="21" t="n"/>
      <c r="K194" s="21">
        <f>IF($B194="","FALSE","TRUE")</f>
        <v/>
      </c>
      <c r="L194">
        <f t="array" ref="L194">IsURL(Table_121215[[#This Row],[Data Source]])</f>
        <v/>
      </c>
      <c r="M194">
        <f t="array" ref="M194">IsURL(Table_121215[[#This Row],[DOI]])</f>
        <v/>
      </c>
      <c r="N194">
        <f t="array" ref="N194">IsURL(Table_121215[[#This Row],[Data Source]])</f>
        <v/>
      </c>
      <c r="O194">
        <f t="array" ref="O194">IsURL(Table_121215[[#This Row],[Data Source]])</f>
        <v/>
      </c>
    </row>
    <row r="195" ht="15.75" customHeight="1">
      <c r="A195">
        <f>IF(Table_12[[#This Row],[Protein Name]]=0,"",Table_12[[#This Row],[Protein Name]])</f>
        <v/>
      </c>
      <c r="H195">
        <f>LEN(TRIM(CLEAN(SUBSTITUTE(SUBSTITUTE(Table_12[[#This Row],[Sequence]],CHAR(160)," ")," ",""))))</f>
        <v/>
      </c>
      <c r="J195" s="21" t="n"/>
      <c r="K195" s="21">
        <f>IF($B195="","FALSE","TRUE")</f>
        <v/>
      </c>
      <c r="L195">
        <f t="array" ref="L195">IsURL(Table_121215[[#This Row],[Data Source]])</f>
        <v/>
      </c>
      <c r="M195">
        <f t="array" ref="M195">IsURL(Table_121215[[#This Row],[DOI]])</f>
        <v/>
      </c>
      <c r="N195">
        <f t="array" ref="N195">IsURL(Table_121215[[#This Row],[Data Source]])</f>
        <v/>
      </c>
      <c r="O195">
        <f t="array" ref="O195">IsURL(Table_121215[[#This Row],[Data Source]])</f>
        <v/>
      </c>
    </row>
    <row r="196" ht="15.75" customHeight="1">
      <c r="A196">
        <f>IF(Table_12[[#This Row],[Protein Name]]=0,"",Table_12[[#This Row],[Protein Name]])</f>
        <v/>
      </c>
      <c r="H196">
        <f>LEN(TRIM(CLEAN(SUBSTITUTE(SUBSTITUTE(Table_12[[#This Row],[Sequence]],CHAR(160)," ")," ",""))))</f>
        <v/>
      </c>
      <c r="J196" s="21" t="n"/>
      <c r="K196" s="21">
        <f>IF($B196="","FALSE","TRUE")</f>
        <v/>
      </c>
      <c r="L196">
        <f t="array" ref="L196">IsURL(Table_121215[[#This Row],[Data Source]])</f>
        <v/>
      </c>
      <c r="M196">
        <f t="array" ref="M196">IsURL(Table_121215[[#This Row],[DOI]])</f>
        <v/>
      </c>
      <c r="N196">
        <f t="array" ref="N196">IsURL(Table_121215[[#This Row],[Data Source]])</f>
        <v/>
      </c>
      <c r="O196">
        <f t="array" ref="O196">IsURL(Table_121215[[#This Row],[Data Source]])</f>
        <v/>
      </c>
    </row>
    <row r="197" ht="15.75" customHeight="1">
      <c r="A197">
        <f>IF(Table_12[[#This Row],[Protein Name]]=0,"",Table_12[[#This Row],[Protein Name]])</f>
        <v/>
      </c>
      <c r="H197">
        <f>LEN(TRIM(CLEAN(SUBSTITUTE(SUBSTITUTE(Table_12[[#This Row],[Sequence]],CHAR(160)," ")," ",""))))</f>
        <v/>
      </c>
      <c r="J197" s="21" t="n"/>
      <c r="K197" s="21">
        <f>IF($B197="","FALSE","TRUE")</f>
        <v/>
      </c>
      <c r="L197">
        <f t="array" ref="L197">IsURL(Table_121215[[#This Row],[Data Source]])</f>
        <v/>
      </c>
      <c r="M197">
        <f t="array" ref="M197">IsURL(Table_121215[[#This Row],[DOI]])</f>
        <v/>
      </c>
      <c r="N197">
        <f t="array" ref="N197">IsURL(Table_121215[[#This Row],[Data Source]])</f>
        <v/>
      </c>
      <c r="O197">
        <f t="array" ref="O197">IsURL(Table_121215[[#This Row],[Data Source]])</f>
        <v/>
      </c>
    </row>
    <row r="198" ht="15.75" customHeight="1">
      <c r="A198">
        <f>IF(Table_12[[#This Row],[Protein Name]]=0,"",Table_12[[#This Row],[Protein Name]])</f>
        <v/>
      </c>
      <c r="H198">
        <f>LEN(TRIM(CLEAN(SUBSTITUTE(SUBSTITUTE(Table_12[[#This Row],[Sequence]],CHAR(160)," ")," ",""))))</f>
        <v/>
      </c>
      <c r="J198" s="21" t="n"/>
      <c r="K198" s="21">
        <f>IF($B198="","FALSE","TRUE")</f>
        <v/>
      </c>
      <c r="L198">
        <f t="array" ref="L198">IsURL(Table_121215[[#This Row],[Data Source]])</f>
        <v/>
      </c>
      <c r="M198">
        <f t="array" ref="M198">IsURL(Table_121215[[#This Row],[DOI]])</f>
        <v/>
      </c>
      <c r="N198">
        <f t="array" ref="N198">IsURL(Table_121215[[#This Row],[Data Source]])</f>
        <v/>
      </c>
      <c r="O198">
        <f t="array" ref="O198">IsURL(Table_121215[[#This Row],[Data Source]])</f>
        <v/>
      </c>
    </row>
    <row r="199" ht="15.75" customHeight="1">
      <c r="A199">
        <f>IF(Table_12[[#This Row],[Protein Name]]=0,"",Table_12[[#This Row],[Protein Name]])</f>
        <v/>
      </c>
      <c r="H199">
        <f>LEN(TRIM(CLEAN(SUBSTITUTE(SUBSTITUTE(Table_12[[#This Row],[Sequence]],CHAR(160)," ")," ",""))))</f>
        <v/>
      </c>
      <c r="J199" s="21" t="n"/>
      <c r="K199" s="21">
        <f>IF($B199="","FALSE","TRUE")</f>
        <v/>
      </c>
      <c r="L199">
        <f t="array" ref="L199">IsURL(Table_121215[[#This Row],[Data Source]])</f>
        <v/>
      </c>
      <c r="M199">
        <f t="array" ref="M199">IsURL(Table_121215[[#This Row],[DOI]])</f>
        <v/>
      </c>
      <c r="N199">
        <f t="array" ref="N199">IsURL(Table_121215[[#This Row],[Data Source]])</f>
        <v/>
      </c>
      <c r="O199">
        <f t="array" ref="O199">IsURL(Table_121215[[#This Row],[Data Source]])</f>
        <v/>
      </c>
    </row>
    <row r="200" ht="15.75" customHeight="1">
      <c r="A200">
        <f>IF(Table_12[[#This Row],[Protein Name]]=0,"",Table_12[[#This Row],[Protein Name]])</f>
        <v/>
      </c>
      <c r="H200">
        <f>LEN(TRIM(CLEAN(SUBSTITUTE(SUBSTITUTE(Table_12[[#This Row],[Sequence]],CHAR(160)," ")," ",""))))</f>
        <v/>
      </c>
      <c r="J200" s="21" t="n"/>
      <c r="K200" s="21">
        <f>IF($B200="","FALSE","TRUE")</f>
        <v/>
      </c>
      <c r="L200">
        <f t="array" ref="L200">IsURL(Table_121215[[#This Row],[Data Source]])</f>
        <v/>
      </c>
      <c r="M200">
        <f t="array" ref="M200">IsURL(Table_121215[[#This Row],[DOI]])</f>
        <v/>
      </c>
      <c r="N200">
        <f t="array" ref="N200">IsURL(Table_121215[[#This Row],[Data Source]])</f>
        <v/>
      </c>
      <c r="O200">
        <f t="array" ref="O200">IsURL(Table_121215[[#This Row],[Data Source]])</f>
        <v/>
      </c>
    </row>
    <row r="201" ht="15.75" customHeight="1">
      <c r="A201">
        <f>IF(Table_12[[#This Row],[Protein Name]]=0,"",Table_12[[#This Row],[Protein Name]])</f>
        <v/>
      </c>
      <c r="H201">
        <f>LEN(TRIM(CLEAN(SUBSTITUTE(SUBSTITUTE(Table_12[[#This Row],[Sequence]],CHAR(160)," ")," ",""))))</f>
        <v/>
      </c>
      <c r="J201" s="21" t="n"/>
      <c r="K201" s="21">
        <f>IF($B201="","FALSE","TRUE")</f>
        <v/>
      </c>
      <c r="L201">
        <f t="array" ref="L201">IsURL(Table_121215[[#This Row],[Data Source]])</f>
        <v/>
      </c>
      <c r="M201">
        <f t="array" ref="M201">IsURL(Table_121215[[#This Row],[DOI]])</f>
        <v/>
      </c>
      <c r="N201">
        <f t="array" ref="N201">IsURL(Table_121215[[#This Row],[Data Source]])</f>
        <v/>
      </c>
      <c r="O201">
        <f t="array" ref="O201">IsURL(Table_121215[[#This Row],[Data Source]])</f>
        <v/>
      </c>
    </row>
    <row r="202" ht="15.75" customHeight="1">
      <c r="A202">
        <f>IF(Table_12[[#This Row],[Protein Name]]=0,"",Table_12[[#This Row],[Protein Name]])</f>
        <v/>
      </c>
      <c r="H202">
        <f>LEN(TRIM(CLEAN(SUBSTITUTE(SUBSTITUTE(Table_12[[#This Row],[Sequence]],CHAR(160)," ")," ",""))))</f>
        <v/>
      </c>
      <c r="J202" s="21" t="n"/>
      <c r="K202" s="21">
        <f>IF($B202="","FALSE","TRUE")</f>
        <v/>
      </c>
      <c r="L202">
        <f t="array" ref="L202">IsURL(Table_121215[[#This Row],[Data Source]])</f>
        <v/>
      </c>
      <c r="M202">
        <f t="array" ref="M202">IsURL(Table_121215[[#This Row],[DOI]])</f>
        <v/>
      </c>
      <c r="N202">
        <f t="array" ref="N202">IsURL(Table_121215[[#This Row],[Data Source]])</f>
        <v/>
      </c>
      <c r="O202">
        <f t="array" ref="O202">IsURL(Table_121215[[#This Row],[Data Source]])</f>
        <v/>
      </c>
    </row>
    <row r="203" ht="15.75" customHeight="1">
      <c r="A203">
        <f>IF(Table_12[[#This Row],[Protein Name]]=0,"",Table_12[[#This Row],[Protein Name]])</f>
        <v/>
      </c>
      <c r="H203">
        <f>LEN(TRIM(CLEAN(SUBSTITUTE(SUBSTITUTE(Table_12[[#This Row],[Sequence]],CHAR(160)," ")," ",""))))</f>
        <v/>
      </c>
      <c r="J203" s="21" t="n"/>
      <c r="K203" s="21">
        <f>IF($B203="","FALSE","TRUE")</f>
        <v/>
      </c>
      <c r="L203">
        <f t="array" ref="L203">IsURL(Table_121215[[#This Row],[Data Source]])</f>
        <v/>
      </c>
      <c r="M203">
        <f t="array" ref="M203">IsURL(Table_121215[[#This Row],[DOI]])</f>
        <v/>
      </c>
      <c r="N203">
        <f t="array" ref="N203">IsURL(Table_121215[[#This Row],[Data Source]])</f>
        <v/>
      </c>
      <c r="O203">
        <f t="array" ref="O203">IsURL(Table_121215[[#This Row],[Data Source]])</f>
        <v/>
      </c>
    </row>
    <row r="204" ht="15.75" customHeight="1">
      <c r="A204">
        <f>IF(Table_12[[#This Row],[Protein Name]]=0,"",Table_12[[#This Row],[Protein Name]])</f>
        <v/>
      </c>
      <c r="H204">
        <f>LEN(TRIM(CLEAN(SUBSTITUTE(SUBSTITUTE(Table_12[[#This Row],[Sequence]],CHAR(160)," ")," ",""))))</f>
        <v/>
      </c>
      <c r="J204" s="21" t="n"/>
      <c r="K204" s="21">
        <f>IF($B204="","FALSE","TRUE")</f>
        <v/>
      </c>
      <c r="L204">
        <f t="array" ref="L204">IsURL(Table_121215[[#This Row],[Data Source]])</f>
        <v/>
      </c>
      <c r="M204">
        <f t="array" ref="M204">IsURL(Table_121215[[#This Row],[DOI]])</f>
        <v/>
      </c>
      <c r="N204">
        <f t="array" ref="N204">IsURL(Table_121215[[#This Row],[Data Source]])</f>
        <v/>
      </c>
      <c r="O204">
        <f t="array" ref="O204">IsURL(Table_121215[[#This Row],[Data Source]])</f>
        <v/>
      </c>
    </row>
    <row r="205" ht="15.75" customHeight="1">
      <c r="A205">
        <f>IF(Table_12[[#This Row],[Protein Name]]=0,"",Table_12[[#This Row],[Protein Name]])</f>
        <v/>
      </c>
      <c r="H205">
        <f>LEN(TRIM(CLEAN(SUBSTITUTE(SUBSTITUTE(Table_12[[#This Row],[Sequence]],CHAR(160)," ")," ",""))))</f>
        <v/>
      </c>
      <c r="J205" s="21" t="n"/>
      <c r="K205" s="21">
        <f>IF($B205="","FALSE","TRUE")</f>
        <v/>
      </c>
      <c r="L205">
        <f t="array" ref="L205">IsURL(Table_121215[[#This Row],[Data Source]])</f>
        <v/>
      </c>
      <c r="M205">
        <f t="array" ref="M205">IsURL(Table_121215[[#This Row],[DOI]])</f>
        <v/>
      </c>
      <c r="N205">
        <f t="array" ref="N205">IsURL(Table_121215[[#This Row],[Data Source]])</f>
        <v/>
      </c>
      <c r="O205">
        <f t="array" ref="O205">IsURL(Table_121215[[#This Row],[Data Source]])</f>
        <v/>
      </c>
    </row>
    <row r="206" ht="15.75" customHeight="1">
      <c r="A206">
        <f>IF(Table_12[[#This Row],[Protein Name]]=0,"",Table_12[[#This Row],[Protein Name]])</f>
        <v/>
      </c>
      <c r="H206">
        <f>LEN(TRIM(CLEAN(SUBSTITUTE(SUBSTITUTE(Table_12[[#This Row],[Sequence]],CHAR(160)," ")," ",""))))</f>
        <v/>
      </c>
      <c r="J206" s="21" t="n"/>
      <c r="K206" s="21">
        <f>IF($B206="","FALSE","TRUE")</f>
        <v/>
      </c>
      <c r="L206">
        <f t="array" ref="L206">IsURL(Table_121215[[#This Row],[Data Source]])</f>
        <v/>
      </c>
      <c r="M206">
        <f t="array" ref="M206">IsURL(Table_121215[[#This Row],[DOI]])</f>
        <v/>
      </c>
      <c r="N206">
        <f t="array" ref="N206">IsURL(Table_121215[[#This Row],[Data Source]])</f>
        <v/>
      </c>
      <c r="O206">
        <f t="array" ref="O206">IsURL(Table_121215[[#This Row],[Data Source]])</f>
        <v/>
      </c>
    </row>
    <row r="207" ht="15.75" customHeight="1">
      <c r="A207">
        <f>IF(Table_12[[#This Row],[Protein Name]]=0,"",Table_12[[#This Row],[Protein Name]])</f>
        <v/>
      </c>
      <c r="H207">
        <f>LEN(TRIM(CLEAN(SUBSTITUTE(SUBSTITUTE(Table_12[[#This Row],[Sequence]],CHAR(160)," ")," ",""))))</f>
        <v/>
      </c>
      <c r="J207" s="21" t="n"/>
      <c r="K207" s="21">
        <f>IF($B207="","FALSE","TRUE")</f>
        <v/>
      </c>
      <c r="L207">
        <f t="array" ref="L207">IsURL(Table_121215[[#This Row],[Data Source]])</f>
        <v/>
      </c>
      <c r="M207">
        <f t="array" ref="M207">IsURL(Table_121215[[#This Row],[DOI]])</f>
        <v/>
      </c>
      <c r="N207">
        <f t="array" ref="N207">IsURL(Table_121215[[#This Row],[Data Source]])</f>
        <v/>
      </c>
      <c r="O207">
        <f t="array" ref="O207">IsURL(Table_121215[[#This Row],[Data Source]])</f>
        <v/>
      </c>
    </row>
    <row r="208" ht="15.75" customHeight="1">
      <c r="A208">
        <f>IF(Table_12[[#This Row],[Protein Name]]=0,"",Table_12[[#This Row],[Protein Name]])</f>
        <v/>
      </c>
      <c r="H208">
        <f>LEN(TRIM(CLEAN(SUBSTITUTE(SUBSTITUTE(Table_12[[#This Row],[Sequence]],CHAR(160)," ")," ",""))))</f>
        <v/>
      </c>
      <c r="J208" s="21" t="n"/>
      <c r="K208" s="21">
        <f>IF($B208="","FALSE","TRUE")</f>
        <v/>
      </c>
      <c r="L208">
        <f t="array" ref="L208">IsURL(Table_121215[[#This Row],[Data Source]])</f>
        <v/>
      </c>
      <c r="M208">
        <f t="array" ref="M208">IsURL(Table_121215[[#This Row],[DOI]])</f>
        <v/>
      </c>
      <c r="N208">
        <f t="array" ref="N208">IsURL(Table_121215[[#This Row],[Data Source]])</f>
        <v/>
      </c>
      <c r="O208">
        <f t="array" ref="O208">IsURL(Table_121215[[#This Row],[Data Source]])</f>
        <v/>
      </c>
    </row>
    <row r="209" ht="15.75" customHeight="1">
      <c r="A209">
        <f>IF(Table_12[[#This Row],[Protein Name]]=0,"",Table_12[[#This Row],[Protein Name]])</f>
        <v/>
      </c>
      <c r="H209">
        <f>LEN(TRIM(CLEAN(SUBSTITUTE(SUBSTITUTE(Table_12[[#This Row],[Sequence]],CHAR(160)," ")," ",""))))</f>
        <v/>
      </c>
      <c r="J209" s="21" t="n"/>
      <c r="K209" s="21">
        <f>IF($B209="","FALSE","TRUE")</f>
        <v/>
      </c>
      <c r="L209">
        <f t="array" ref="L209">IsURL(Table_121215[[#This Row],[Data Source]])</f>
        <v/>
      </c>
      <c r="M209">
        <f t="array" ref="M209">IsURL(Table_121215[[#This Row],[DOI]])</f>
        <v/>
      </c>
      <c r="N209">
        <f t="array" ref="N209">IsURL(Table_121215[[#This Row],[Data Source]])</f>
        <v/>
      </c>
      <c r="O209">
        <f t="array" ref="O209">IsURL(Table_121215[[#This Row],[Data Source]])</f>
        <v/>
      </c>
    </row>
    <row r="210" ht="15.75" customHeight="1">
      <c r="A210">
        <f>IF(Table_12[[#This Row],[Protein Name]]=0,"",Table_12[[#This Row],[Protein Name]])</f>
        <v/>
      </c>
      <c r="H210">
        <f>LEN(TRIM(CLEAN(SUBSTITUTE(SUBSTITUTE(Table_12[[#This Row],[Sequence]],CHAR(160)," ")," ",""))))</f>
        <v/>
      </c>
      <c r="J210" s="21" t="n"/>
      <c r="K210" s="21">
        <f>IF($B210="","FALSE","TRUE")</f>
        <v/>
      </c>
      <c r="L210">
        <f t="array" ref="L210">IsURL(Table_121215[[#This Row],[Data Source]])</f>
        <v/>
      </c>
      <c r="M210">
        <f t="array" ref="M210">IsURL(Table_121215[[#This Row],[DOI]])</f>
        <v/>
      </c>
      <c r="N210">
        <f t="array" ref="N210">IsURL(Table_121215[[#This Row],[Data Source]])</f>
        <v/>
      </c>
      <c r="O210">
        <f t="array" ref="O210">IsURL(Table_121215[[#This Row],[Data Source]])</f>
        <v/>
      </c>
    </row>
    <row r="211" ht="15.75" customHeight="1">
      <c r="A211">
        <f>IF(Table_12[[#This Row],[Protein Name]]=0,"",Table_12[[#This Row],[Protein Name]])</f>
        <v/>
      </c>
      <c r="H211">
        <f>LEN(TRIM(CLEAN(SUBSTITUTE(SUBSTITUTE(Table_12[[#This Row],[Sequence]],CHAR(160)," ")," ",""))))</f>
        <v/>
      </c>
      <c r="J211" s="21" t="n"/>
      <c r="K211" s="21">
        <f>IF($B211="","FALSE","TRUE")</f>
        <v/>
      </c>
      <c r="L211">
        <f t="array" ref="L211">IsURL(Table_121215[[#This Row],[Data Source]])</f>
        <v/>
      </c>
      <c r="M211">
        <f t="array" ref="M211">IsURL(Table_121215[[#This Row],[DOI]])</f>
        <v/>
      </c>
      <c r="N211">
        <f t="array" ref="N211">IsURL(Table_121215[[#This Row],[Data Source]])</f>
        <v/>
      </c>
      <c r="O211">
        <f t="array" ref="O211">IsURL(Table_121215[[#This Row],[Data Source]])</f>
        <v/>
      </c>
    </row>
    <row r="212" ht="15.75" customHeight="1">
      <c r="A212">
        <f>IF(Table_12[[#This Row],[Protein Name]]=0,"",Table_12[[#This Row],[Protein Name]])</f>
        <v/>
      </c>
      <c r="H212">
        <f>LEN(TRIM(CLEAN(SUBSTITUTE(SUBSTITUTE(Table_12[[#This Row],[Sequence]],CHAR(160)," ")," ",""))))</f>
        <v/>
      </c>
      <c r="J212" s="21" t="n"/>
      <c r="K212" s="21">
        <f>IF($B212="","FALSE","TRUE")</f>
        <v/>
      </c>
      <c r="L212">
        <f t="array" ref="L212">IsURL(Table_121215[[#This Row],[Data Source]])</f>
        <v/>
      </c>
      <c r="M212">
        <f t="array" ref="M212">IsURL(Table_121215[[#This Row],[DOI]])</f>
        <v/>
      </c>
      <c r="N212">
        <f t="array" ref="N212">IsURL(Table_121215[[#This Row],[Data Source]])</f>
        <v/>
      </c>
      <c r="O212">
        <f t="array" ref="O212">IsURL(Table_121215[[#This Row],[Data Source]])</f>
        <v/>
      </c>
    </row>
    <row r="213" ht="15.75" customHeight="1">
      <c r="A213">
        <f>IF(Table_12[[#This Row],[Protein Name]]=0,"",Table_12[[#This Row],[Protein Name]])</f>
        <v/>
      </c>
      <c r="H213">
        <f>LEN(TRIM(CLEAN(SUBSTITUTE(SUBSTITUTE(Table_12[[#This Row],[Sequence]],CHAR(160)," ")," ",""))))</f>
        <v/>
      </c>
      <c r="J213" s="21" t="n"/>
      <c r="K213" s="21">
        <f>IF($B213="","FALSE","TRUE")</f>
        <v/>
      </c>
      <c r="L213">
        <f t="array" ref="L213">IsURL(Table_121215[[#This Row],[Data Source]])</f>
        <v/>
      </c>
      <c r="M213">
        <f t="array" ref="M213">IsURL(Table_121215[[#This Row],[DOI]])</f>
        <v/>
      </c>
      <c r="N213">
        <f t="array" ref="N213">IsURL(Table_121215[[#This Row],[Data Source]])</f>
        <v/>
      </c>
      <c r="O213">
        <f t="array" ref="O213">IsURL(Table_121215[[#This Row],[Data Source]])</f>
        <v/>
      </c>
    </row>
    <row r="214" ht="15.75" customHeight="1">
      <c r="A214">
        <f>IF(Table_12[[#This Row],[Protein Name]]=0,"",Table_12[[#This Row],[Protein Name]])</f>
        <v/>
      </c>
      <c r="H214">
        <f>LEN(TRIM(CLEAN(SUBSTITUTE(SUBSTITUTE(Table_12[[#This Row],[Sequence]],CHAR(160)," ")," ",""))))</f>
        <v/>
      </c>
      <c r="J214" s="21" t="n"/>
      <c r="K214" s="21">
        <f>IF($B214="","FALSE","TRUE")</f>
        <v/>
      </c>
      <c r="L214">
        <f t="array" ref="L214">IsURL(Table_121215[[#This Row],[Data Source]])</f>
        <v/>
      </c>
      <c r="M214">
        <f t="array" ref="M214">IsURL(Table_121215[[#This Row],[DOI]])</f>
        <v/>
      </c>
      <c r="N214">
        <f t="array" ref="N214">IsURL(Table_121215[[#This Row],[Data Source]])</f>
        <v/>
      </c>
      <c r="O214">
        <f t="array" ref="O214">IsURL(Table_121215[[#This Row],[Data Source]])</f>
        <v/>
      </c>
    </row>
    <row r="215" ht="15.75" customHeight="1">
      <c r="A215">
        <f>IF(Table_12[[#This Row],[Protein Name]]=0,"",Table_12[[#This Row],[Protein Name]])</f>
        <v/>
      </c>
      <c r="H215">
        <f>LEN(TRIM(CLEAN(SUBSTITUTE(SUBSTITUTE(Table_12[[#This Row],[Sequence]],CHAR(160)," ")," ",""))))</f>
        <v/>
      </c>
      <c r="J215" s="21" t="n"/>
      <c r="K215" s="21">
        <f>IF($B215="","FALSE","TRUE")</f>
        <v/>
      </c>
      <c r="L215">
        <f t="array" ref="L215">IsURL(Table_121215[[#This Row],[Data Source]])</f>
        <v/>
      </c>
      <c r="M215">
        <f t="array" ref="M215">IsURL(Table_121215[[#This Row],[DOI]])</f>
        <v/>
      </c>
      <c r="N215">
        <f t="array" ref="N215">IsURL(Table_121215[[#This Row],[Data Source]])</f>
        <v/>
      </c>
      <c r="O215">
        <f t="array" ref="O215">IsURL(Table_121215[[#This Row],[Data Source]])</f>
        <v/>
      </c>
    </row>
    <row r="216" ht="15.75" customHeight="1">
      <c r="A216">
        <f>IF(Table_12[[#This Row],[Protein Name]]=0,"",Table_12[[#This Row],[Protein Name]])</f>
        <v/>
      </c>
      <c r="H216">
        <f>LEN(TRIM(CLEAN(SUBSTITUTE(SUBSTITUTE(Table_12[[#This Row],[Sequence]],CHAR(160)," ")," ",""))))</f>
        <v/>
      </c>
      <c r="J216" s="21" t="n"/>
      <c r="K216" s="21">
        <f>IF($B216="","FALSE","TRUE")</f>
        <v/>
      </c>
      <c r="L216">
        <f t="array" ref="L216">IsURL(Table_121215[[#This Row],[Data Source]])</f>
        <v/>
      </c>
      <c r="M216">
        <f t="array" ref="M216">IsURL(Table_121215[[#This Row],[DOI]])</f>
        <v/>
      </c>
      <c r="N216">
        <f t="array" ref="N216">IsURL(Table_121215[[#This Row],[Data Source]])</f>
        <v/>
      </c>
      <c r="O216">
        <f t="array" ref="O216">IsURL(Table_121215[[#This Row],[Data Source]])</f>
        <v/>
      </c>
    </row>
    <row r="217" ht="15.75" customHeight="1">
      <c r="A217">
        <f>IF(Table_12[[#This Row],[Protein Name]]=0,"",Table_12[[#This Row],[Protein Name]])</f>
        <v/>
      </c>
      <c r="H217">
        <f>LEN(TRIM(CLEAN(SUBSTITUTE(SUBSTITUTE(Table_12[[#This Row],[Sequence]],CHAR(160)," ")," ",""))))</f>
        <v/>
      </c>
      <c r="J217" s="21" t="n"/>
      <c r="K217" s="21">
        <f>IF($B217="","FALSE","TRUE")</f>
        <v/>
      </c>
      <c r="L217">
        <f t="array" ref="L217">IsURL(Table_121215[[#This Row],[Data Source]])</f>
        <v/>
      </c>
      <c r="M217">
        <f t="array" ref="M217">IsURL(Table_121215[[#This Row],[DOI]])</f>
        <v/>
      </c>
      <c r="N217">
        <f t="array" ref="N217">IsURL(Table_121215[[#This Row],[Data Source]])</f>
        <v/>
      </c>
      <c r="O217">
        <f t="array" ref="O217">IsURL(Table_121215[[#This Row],[Data Source]])</f>
        <v/>
      </c>
    </row>
    <row r="218" ht="15.75" customHeight="1">
      <c r="A218">
        <f>IF(Table_12[[#This Row],[Protein Name]]=0,"",Table_12[[#This Row],[Protein Name]])</f>
        <v/>
      </c>
      <c r="H218">
        <f>LEN(TRIM(CLEAN(SUBSTITUTE(SUBSTITUTE(Table_12[[#This Row],[Sequence]],CHAR(160)," ")," ",""))))</f>
        <v/>
      </c>
      <c r="J218" s="21" t="n"/>
      <c r="K218" s="21">
        <f>IF($B218="","FALSE","TRUE")</f>
        <v/>
      </c>
      <c r="L218">
        <f t="array" ref="L218">IsURL(Table_121215[[#This Row],[Data Source]])</f>
        <v/>
      </c>
      <c r="M218">
        <f t="array" ref="M218">IsURL(Table_121215[[#This Row],[DOI]])</f>
        <v/>
      </c>
      <c r="N218">
        <f t="array" ref="N218">IsURL(Table_121215[[#This Row],[Data Source]])</f>
        <v/>
      </c>
      <c r="O218">
        <f t="array" ref="O218">IsURL(Table_121215[[#This Row],[Data Source]])</f>
        <v/>
      </c>
    </row>
    <row r="219" ht="15.75" customHeight="1">
      <c r="A219">
        <f>IF(Table_12[[#This Row],[Protein Name]]=0,"",Table_12[[#This Row],[Protein Name]])</f>
        <v/>
      </c>
      <c r="H219">
        <f>LEN(TRIM(CLEAN(SUBSTITUTE(SUBSTITUTE(Table_12[[#This Row],[Sequence]],CHAR(160)," ")," ",""))))</f>
        <v/>
      </c>
      <c r="J219" s="21" t="n"/>
      <c r="K219" s="21">
        <f>IF($B219="","FALSE","TRUE")</f>
        <v/>
      </c>
      <c r="L219">
        <f t="array" ref="L219">IsURL(Table_121215[[#This Row],[Data Source]])</f>
        <v/>
      </c>
      <c r="M219">
        <f t="array" ref="M219">IsURL(Table_121215[[#This Row],[DOI]])</f>
        <v/>
      </c>
      <c r="N219">
        <f t="array" ref="N219">IsURL(Table_121215[[#This Row],[Data Source]])</f>
        <v/>
      </c>
      <c r="O219">
        <f t="array" ref="O219">IsURL(Table_121215[[#This Row],[Data Source]])</f>
        <v/>
      </c>
    </row>
    <row r="220" ht="15.75" customHeight="1">
      <c r="A220">
        <f>IF(Table_12[[#This Row],[Protein Name]]=0,"",Table_12[[#This Row],[Protein Name]])</f>
        <v/>
      </c>
      <c r="H220">
        <f>LEN(TRIM(CLEAN(SUBSTITUTE(SUBSTITUTE(Table_12[[#This Row],[Sequence]],CHAR(160)," ")," ",""))))</f>
        <v/>
      </c>
      <c r="J220" s="21" t="n"/>
      <c r="K220" s="21">
        <f>IF($B220="","FALSE","TRUE")</f>
        <v/>
      </c>
      <c r="L220">
        <f t="array" ref="L220">IsURL(Table_121215[[#This Row],[Data Source]])</f>
        <v/>
      </c>
      <c r="M220">
        <f t="array" ref="M220">IsURL(Table_121215[[#This Row],[DOI]])</f>
        <v/>
      </c>
      <c r="N220">
        <f t="array" ref="N220">IsURL(Table_121215[[#This Row],[Data Source]])</f>
        <v/>
      </c>
      <c r="O220">
        <f t="array" ref="O220">IsURL(Table_121215[[#This Row],[Data Source]])</f>
        <v/>
      </c>
    </row>
    <row r="221" ht="15.75" customHeight="1">
      <c r="A221">
        <f>IF(Table_12[[#This Row],[Protein Name]]=0,"",Table_12[[#This Row],[Protein Name]])</f>
        <v/>
      </c>
      <c r="H221">
        <f>LEN(TRIM(CLEAN(SUBSTITUTE(SUBSTITUTE(Table_12[[#This Row],[Sequence]],CHAR(160)," ")," ",""))))</f>
        <v/>
      </c>
      <c r="J221" s="21" t="n"/>
      <c r="K221" s="21">
        <f>IF($B221="","FALSE","TRUE")</f>
        <v/>
      </c>
      <c r="L221">
        <f t="array" ref="L221">IsURL(Table_121215[[#This Row],[Data Source]])</f>
        <v/>
      </c>
      <c r="M221">
        <f t="array" ref="M221">IsURL(Table_121215[[#This Row],[DOI]])</f>
        <v/>
      </c>
      <c r="N221">
        <f t="array" ref="N221">IsURL(Table_121215[[#This Row],[Data Source]])</f>
        <v/>
      </c>
      <c r="O221">
        <f t="array" ref="O221">IsURL(Table_121215[[#This Row],[Data Source]])</f>
        <v/>
      </c>
    </row>
    <row r="222" ht="15.75" customHeight="1">
      <c r="A222">
        <f>IF(Table_12[[#This Row],[Protein Name]]=0,"",Table_12[[#This Row],[Protein Name]])</f>
        <v/>
      </c>
      <c r="H222">
        <f>LEN(TRIM(CLEAN(SUBSTITUTE(SUBSTITUTE(Table_12[[#This Row],[Sequence]],CHAR(160)," ")," ",""))))</f>
        <v/>
      </c>
      <c r="J222" s="21" t="n"/>
      <c r="K222" s="21">
        <f>IF($B222="","FALSE","TRUE")</f>
        <v/>
      </c>
      <c r="L222">
        <f t="array" ref="L222">IsURL(Table_121215[[#This Row],[Data Source]])</f>
        <v/>
      </c>
      <c r="M222">
        <f t="array" ref="M222">IsURL(Table_121215[[#This Row],[DOI]])</f>
        <v/>
      </c>
      <c r="N222">
        <f t="array" ref="N222">IsURL(Table_121215[[#This Row],[Data Source]])</f>
        <v/>
      </c>
      <c r="O222">
        <f t="array" ref="O222">IsURL(Table_121215[[#This Row],[Data Source]])</f>
        <v/>
      </c>
    </row>
    <row r="223" ht="15.75" customHeight="1">
      <c r="A223">
        <f>IF(Table_12[[#This Row],[Protein Name]]=0,"",Table_12[[#This Row],[Protein Name]])</f>
        <v/>
      </c>
      <c r="H223">
        <f>LEN(TRIM(CLEAN(SUBSTITUTE(SUBSTITUTE(Table_12[[#This Row],[Sequence]],CHAR(160)," ")," ",""))))</f>
        <v/>
      </c>
      <c r="J223" s="21" t="n"/>
      <c r="K223" s="21">
        <f>IF($B223="","FALSE","TRUE")</f>
        <v/>
      </c>
      <c r="L223">
        <f t="array" ref="L223">IsURL(Table_121215[[#This Row],[Data Source]])</f>
        <v/>
      </c>
      <c r="M223">
        <f t="array" ref="M223">IsURL(Table_121215[[#This Row],[DOI]])</f>
        <v/>
      </c>
      <c r="N223">
        <f t="array" ref="N223">IsURL(Table_121215[[#This Row],[Data Source]])</f>
        <v/>
      </c>
      <c r="O223">
        <f t="array" ref="O223">IsURL(Table_121215[[#This Row],[Data Source]])</f>
        <v/>
      </c>
    </row>
    <row r="224" ht="15.75" customHeight="1">
      <c r="A224">
        <f>IF(Table_12[[#This Row],[Protein Name]]=0,"",Table_12[[#This Row],[Protein Name]])</f>
        <v/>
      </c>
      <c r="H224">
        <f>LEN(TRIM(CLEAN(SUBSTITUTE(SUBSTITUTE(Table_12[[#This Row],[Sequence]],CHAR(160)," ")," ",""))))</f>
        <v/>
      </c>
      <c r="J224" s="21" t="n"/>
      <c r="K224" s="21">
        <f>IF($B224="","FALSE","TRUE")</f>
        <v/>
      </c>
      <c r="L224">
        <f t="array" ref="L224">IsURL(Table_121215[[#This Row],[Data Source]])</f>
        <v/>
      </c>
      <c r="M224">
        <f t="array" ref="M224">IsURL(Table_121215[[#This Row],[DOI]])</f>
        <v/>
      </c>
      <c r="N224">
        <f t="array" ref="N224">IsURL(Table_121215[[#This Row],[Data Source]])</f>
        <v/>
      </c>
      <c r="O224">
        <f t="array" ref="O224">IsURL(Table_121215[[#This Row],[Data Source]])</f>
        <v/>
      </c>
    </row>
    <row r="225" ht="15.75" customHeight="1">
      <c r="A225">
        <f>IF(Table_12[[#This Row],[Protein Name]]=0,"",Table_12[[#This Row],[Protein Name]])</f>
        <v/>
      </c>
      <c r="H225">
        <f>LEN(TRIM(CLEAN(SUBSTITUTE(SUBSTITUTE(Table_12[[#This Row],[Sequence]],CHAR(160)," ")," ",""))))</f>
        <v/>
      </c>
      <c r="J225" s="21" t="n"/>
      <c r="K225" s="21">
        <f>IF($B225="","FALSE","TRUE")</f>
        <v/>
      </c>
      <c r="L225">
        <f t="array" ref="L225">IsURL(Table_121215[[#This Row],[Data Source]])</f>
        <v/>
      </c>
      <c r="M225">
        <f t="array" ref="M225">IsURL(Table_121215[[#This Row],[DOI]])</f>
        <v/>
      </c>
      <c r="N225">
        <f t="array" ref="N225">IsURL(Table_121215[[#This Row],[Data Source]])</f>
        <v/>
      </c>
      <c r="O225">
        <f t="array" ref="O225">IsURL(Table_121215[[#This Row],[Data Source]])</f>
        <v/>
      </c>
    </row>
    <row r="226" ht="15.75" customHeight="1">
      <c r="A226">
        <f>IF(Table_12[[#This Row],[Protein Name]]=0,"",Table_12[[#This Row],[Protein Name]])</f>
        <v/>
      </c>
      <c r="H226">
        <f>LEN(TRIM(CLEAN(SUBSTITUTE(SUBSTITUTE(Table_12[[#This Row],[Sequence]],CHAR(160)," ")," ",""))))</f>
        <v/>
      </c>
      <c r="J226" s="21" t="n"/>
      <c r="K226" s="21">
        <f>IF($B226="","FALSE","TRUE")</f>
        <v/>
      </c>
      <c r="L226">
        <f t="array" ref="L226">IsURL(Table_121215[[#This Row],[Data Source]])</f>
        <v/>
      </c>
      <c r="M226">
        <f t="array" ref="M226">IsURL(Table_121215[[#This Row],[DOI]])</f>
        <v/>
      </c>
      <c r="N226">
        <f t="array" ref="N226">IsURL(Table_121215[[#This Row],[Data Source]])</f>
        <v/>
      </c>
      <c r="O226">
        <f t="array" ref="O226">IsURL(Table_121215[[#This Row],[Data Source]])</f>
        <v/>
      </c>
    </row>
    <row r="227" ht="15.75" customHeight="1">
      <c r="A227">
        <f>IF(Table_12[[#This Row],[Protein Name]]=0,"",Table_12[[#This Row],[Protein Name]])</f>
        <v/>
      </c>
      <c r="H227">
        <f>LEN(TRIM(CLEAN(SUBSTITUTE(SUBSTITUTE(Table_12[[#This Row],[Sequence]],CHAR(160)," ")," ",""))))</f>
        <v/>
      </c>
      <c r="J227" s="21" t="n"/>
      <c r="K227" s="21">
        <f>IF($B227="","FALSE","TRUE")</f>
        <v/>
      </c>
      <c r="L227">
        <f t="array" ref="L227">IsURL(Table_121215[[#This Row],[Data Source]])</f>
        <v/>
      </c>
      <c r="M227">
        <f t="array" ref="M227">IsURL(Table_121215[[#This Row],[DOI]])</f>
        <v/>
      </c>
      <c r="N227">
        <f t="array" ref="N227">IsURL(Table_121215[[#This Row],[Data Source]])</f>
        <v/>
      </c>
      <c r="O227">
        <f t="array" ref="O227">IsURL(Table_121215[[#This Row],[Data Source]])</f>
        <v/>
      </c>
    </row>
    <row r="228" ht="15.75" customHeight="1">
      <c r="A228">
        <f>IF(Table_12[[#This Row],[Protein Name]]=0,"",Table_12[[#This Row],[Protein Name]])</f>
        <v/>
      </c>
      <c r="H228">
        <f>LEN(TRIM(CLEAN(SUBSTITUTE(SUBSTITUTE(Table_12[[#This Row],[Sequence]],CHAR(160)," ")," ",""))))</f>
        <v/>
      </c>
      <c r="J228" s="21" t="n"/>
      <c r="K228" s="21">
        <f>IF($B228="","FALSE","TRUE")</f>
        <v/>
      </c>
      <c r="L228">
        <f t="array" ref="L228">IsURL(Table_121215[[#This Row],[Data Source]])</f>
        <v/>
      </c>
      <c r="M228">
        <f t="array" ref="M228">IsURL(Table_121215[[#This Row],[DOI]])</f>
        <v/>
      </c>
      <c r="N228">
        <f t="array" ref="N228">IsURL(Table_121215[[#This Row],[Data Source]])</f>
        <v/>
      </c>
      <c r="O228">
        <f t="array" ref="O228">IsURL(Table_121215[[#This Row],[Data Source]])</f>
        <v/>
      </c>
    </row>
    <row r="229" ht="15.75" customHeight="1">
      <c r="A229">
        <f>IF(Table_12[[#This Row],[Protein Name]]=0,"",Table_12[[#This Row],[Protein Name]])</f>
        <v/>
      </c>
      <c r="H229">
        <f>LEN(TRIM(CLEAN(SUBSTITUTE(SUBSTITUTE(Table_12[[#This Row],[Sequence]],CHAR(160)," ")," ",""))))</f>
        <v/>
      </c>
      <c r="J229" s="21" t="n"/>
      <c r="K229" s="21">
        <f>IF($B229="","FALSE","TRUE")</f>
        <v/>
      </c>
      <c r="L229">
        <f t="array" ref="L229">IsURL(Table_121215[[#This Row],[Data Source]])</f>
        <v/>
      </c>
      <c r="M229">
        <f t="array" ref="M229">IsURL(Table_121215[[#This Row],[DOI]])</f>
        <v/>
      </c>
      <c r="N229">
        <f t="array" ref="N229">IsURL(Table_121215[[#This Row],[Data Source]])</f>
        <v/>
      </c>
      <c r="O229">
        <f t="array" ref="O229">IsURL(Table_121215[[#This Row],[Data Source]])</f>
        <v/>
      </c>
    </row>
    <row r="230" ht="15.75" customHeight="1">
      <c r="A230">
        <f>IF(Table_12[[#This Row],[Protein Name]]=0,"",Table_12[[#This Row],[Protein Name]])</f>
        <v/>
      </c>
      <c r="H230">
        <f>LEN(TRIM(CLEAN(SUBSTITUTE(SUBSTITUTE(Table_12[[#This Row],[Sequence]],CHAR(160)," ")," ",""))))</f>
        <v/>
      </c>
      <c r="J230" s="21" t="n"/>
      <c r="K230" s="21">
        <f>IF($B230="","FALSE","TRUE")</f>
        <v/>
      </c>
      <c r="L230">
        <f t="array" ref="L230">IsURL(Table_121215[[#This Row],[Data Source]])</f>
        <v/>
      </c>
      <c r="M230">
        <f t="array" ref="M230">IsURL(Table_121215[[#This Row],[DOI]])</f>
        <v/>
      </c>
      <c r="N230">
        <f t="array" ref="N230">IsURL(Table_121215[[#This Row],[Data Source]])</f>
        <v/>
      </c>
      <c r="O230">
        <f t="array" ref="O230">IsURL(Table_121215[[#This Row],[Data Source]])</f>
        <v/>
      </c>
    </row>
    <row r="231" ht="15.75" customHeight="1">
      <c r="A231">
        <f>IF(Table_12[[#This Row],[Protein Name]]=0,"",Table_12[[#This Row],[Protein Name]])</f>
        <v/>
      </c>
      <c r="H231">
        <f>LEN(TRIM(CLEAN(SUBSTITUTE(SUBSTITUTE(Table_12[[#This Row],[Sequence]],CHAR(160)," ")," ",""))))</f>
        <v/>
      </c>
      <c r="J231" s="21" t="n"/>
      <c r="K231" s="21">
        <f>IF($B231="","FALSE","TRUE")</f>
        <v/>
      </c>
      <c r="L231">
        <f t="array" ref="L231">IsURL(Table_121215[[#This Row],[Data Source]])</f>
        <v/>
      </c>
      <c r="M231">
        <f t="array" ref="M231">IsURL(Table_121215[[#This Row],[DOI]])</f>
        <v/>
      </c>
      <c r="N231">
        <f t="array" ref="N231">IsURL(Table_121215[[#This Row],[Data Source]])</f>
        <v/>
      </c>
      <c r="O231">
        <f t="array" ref="O231">IsURL(Table_121215[[#This Row],[Data Source]])</f>
        <v/>
      </c>
    </row>
    <row r="232" ht="15.75" customHeight="1">
      <c r="A232">
        <f>IF(Table_12[[#This Row],[Protein Name]]=0,"",Table_12[[#This Row],[Protein Name]])</f>
        <v/>
      </c>
      <c r="H232">
        <f>LEN(TRIM(CLEAN(SUBSTITUTE(SUBSTITUTE(Table_12[[#This Row],[Sequence]],CHAR(160)," ")," ",""))))</f>
        <v/>
      </c>
      <c r="J232" s="21" t="n"/>
      <c r="K232" s="21">
        <f>IF($B232="","FALSE","TRUE")</f>
        <v/>
      </c>
      <c r="L232">
        <f t="array" ref="L232">IsURL(Table_121215[[#This Row],[Data Source]])</f>
        <v/>
      </c>
      <c r="M232">
        <f t="array" ref="M232">IsURL(Table_121215[[#This Row],[DOI]])</f>
        <v/>
      </c>
      <c r="N232">
        <f t="array" ref="N232">IsURL(Table_121215[[#This Row],[Data Source]])</f>
        <v/>
      </c>
      <c r="O232">
        <f t="array" ref="O232">IsURL(Table_121215[[#This Row],[Data Source]])</f>
        <v/>
      </c>
    </row>
    <row r="233" ht="15.75" customHeight="1">
      <c r="A233">
        <f>IF(Table_12[[#This Row],[Protein Name]]=0,"",Table_12[[#This Row],[Protein Name]])</f>
        <v/>
      </c>
      <c r="H233">
        <f>LEN(TRIM(CLEAN(SUBSTITUTE(SUBSTITUTE(Table_12[[#This Row],[Sequence]],CHAR(160)," ")," ",""))))</f>
        <v/>
      </c>
      <c r="J233" s="21" t="n"/>
      <c r="K233" s="21">
        <f>IF($B233="","FALSE","TRUE")</f>
        <v/>
      </c>
      <c r="L233">
        <f t="array" ref="L233">IsURL(Table_121215[[#This Row],[Data Source]])</f>
        <v/>
      </c>
      <c r="M233">
        <f t="array" ref="M233">IsURL(Table_121215[[#This Row],[DOI]])</f>
        <v/>
      </c>
      <c r="N233">
        <f t="array" ref="N233">IsURL(Table_121215[[#This Row],[Data Source]])</f>
        <v/>
      </c>
      <c r="O233">
        <f t="array" ref="O233">IsURL(Table_121215[[#This Row],[Data Source]])</f>
        <v/>
      </c>
    </row>
    <row r="234" ht="15.75" customHeight="1">
      <c r="A234">
        <f>IF(Table_12[[#This Row],[Protein Name]]=0,"",Table_12[[#This Row],[Protein Name]])</f>
        <v/>
      </c>
      <c r="H234">
        <f>LEN(TRIM(CLEAN(SUBSTITUTE(SUBSTITUTE(Table_12[[#This Row],[Sequence]],CHAR(160)," ")," ",""))))</f>
        <v/>
      </c>
      <c r="J234" s="21" t="n"/>
      <c r="K234" s="21">
        <f>IF($B234="","FALSE","TRUE")</f>
        <v/>
      </c>
      <c r="L234">
        <f t="array" ref="L234">IsURL(Table_121215[[#This Row],[Data Source]])</f>
        <v/>
      </c>
      <c r="M234">
        <f t="array" ref="M234">IsURL(Table_121215[[#This Row],[DOI]])</f>
        <v/>
      </c>
      <c r="N234">
        <f t="array" ref="N234">IsURL(Table_121215[[#This Row],[Data Source]])</f>
        <v/>
      </c>
      <c r="O234">
        <f t="array" ref="O234">IsURL(Table_121215[[#This Row],[Data Source]])</f>
        <v/>
      </c>
    </row>
    <row r="235" ht="15.75" customHeight="1">
      <c r="A235">
        <f>IF(Table_12[[#This Row],[Protein Name]]=0,"",Table_12[[#This Row],[Protein Name]])</f>
        <v/>
      </c>
      <c r="H235">
        <f>LEN(TRIM(CLEAN(SUBSTITUTE(SUBSTITUTE(Table_12[[#This Row],[Sequence]],CHAR(160)," ")," ",""))))</f>
        <v/>
      </c>
      <c r="J235" s="21" t="n"/>
      <c r="K235" s="21">
        <f>IF($B235="","FALSE","TRUE")</f>
        <v/>
      </c>
      <c r="L235">
        <f t="array" ref="L235">IsURL(Table_121215[[#This Row],[Data Source]])</f>
        <v/>
      </c>
      <c r="M235">
        <f t="array" ref="M235">IsURL(Table_121215[[#This Row],[DOI]])</f>
        <v/>
      </c>
      <c r="N235">
        <f t="array" ref="N235">IsURL(Table_121215[[#This Row],[Data Source]])</f>
        <v/>
      </c>
      <c r="O235">
        <f t="array" ref="O235">IsURL(Table_121215[[#This Row],[Data Source]])</f>
        <v/>
      </c>
    </row>
    <row r="236" ht="15.75" customHeight="1">
      <c r="A236">
        <f>IF(Table_12[[#This Row],[Protein Name]]=0,"",Table_12[[#This Row],[Protein Name]])</f>
        <v/>
      </c>
      <c r="H236">
        <f>LEN(TRIM(CLEAN(SUBSTITUTE(SUBSTITUTE(Table_12[[#This Row],[Sequence]],CHAR(160)," ")," ",""))))</f>
        <v/>
      </c>
      <c r="J236" s="21" t="n"/>
      <c r="K236" s="21">
        <f>IF($B236="","FALSE","TRUE")</f>
        <v/>
      </c>
      <c r="L236">
        <f t="array" ref="L236">IsURL(Table_121215[[#This Row],[Data Source]])</f>
        <v/>
      </c>
      <c r="M236">
        <f t="array" ref="M236">IsURL(Table_121215[[#This Row],[DOI]])</f>
        <v/>
      </c>
      <c r="N236">
        <f t="array" ref="N236">IsURL(Table_121215[[#This Row],[Data Source]])</f>
        <v/>
      </c>
      <c r="O236">
        <f t="array" ref="O236">IsURL(Table_121215[[#This Row],[Data Source]])</f>
        <v/>
      </c>
    </row>
    <row r="237" ht="15.75" customHeight="1">
      <c r="A237">
        <f>IF(Table_12[[#This Row],[Protein Name]]=0,"",Table_12[[#This Row],[Protein Name]])</f>
        <v/>
      </c>
      <c r="H237">
        <f>LEN(TRIM(CLEAN(SUBSTITUTE(SUBSTITUTE(Table_12[[#This Row],[Sequence]],CHAR(160)," ")," ",""))))</f>
        <v/>
      </c>
      <c r="J237" s="21" t="n"/>
      <c r="K237" s="21">
        <f>IF($B237="","FALSE","TRUE")</f>
        <v/>
      </c>
      <c r="L237">
        <f t="array" ref="L237">IsURL(Table_121215[[#This Row],[Data Source]])</f>
        <v/>
      </c>
      <c r="M237">
        <f t="array" ref="M237">IsURL(Table_121215[[#This Row],[DOI]])</f>
        <v/>
      </c>
      <c r="N237">
        <f t="array" ref="N237">IsURL(Table_121215[[#This Row],[Data Source]])</f>
        <v/>
      </c>
      <c r="O237">
        <f t="array" ref="O237">IsURL(Table_121215[[#This Row],[Data Source]])</f>
        <v/>
      </c>
    </row>
    <row r="238" ht="15.75" customHeight="1">
      <c r="A238">
        <f>IF(Table_12[[#This Row],[Protein Name]]=0,"",Table_12[[#This Row],[Protein Name]])</f>
        <v/>
      </c>
      <c r="H238">
        <f>LEN(TRIM(CLEAN(SUBSTITUTE(SUBSTITUTE(Table_12[[#This Row],[Sequence]],CHAR(160)," ")," ",""))))</f>
        <v/>
      </c>
      <c r="J238" s="21" t="n"/>
      <c r="K238" s="21">
        <f>IF($B238="","FALSE","TRUE")</f>
        <v/>
      </c>
      <c r="L238">
        <f t="array" ref="L238">IsURL(Table_121215[[#This Row],[Data Source]])</f>
        <v/>
      </c>
      <c r="M238">
        <f t="array" ref="M238">IsURL(Table_121215[[#This Row],[DOI]])</f>
        <v/>
      </c>
      <c r="N238">
        <f t="array" ref="N238">IsURL(Table_121215[[#This Row],[Data Source]])</f>
        <v/>
      </c>
      <c r="O238">
        <f t="array" ref="O238">IsURL(Table_121215[[#This Row],[Data Source]])</f>
        <v/>
      </c>
    </row>
    <row r="239" ht="15.75" customHeight="1">
      <c r="A239">
        <f>IF(Table_12[[#This Row],[Protein Name]]=0,"",Table_12[[#This Row],[Protein Name]])</f>
        <v/>
      </c>
      <c r="H239">
        <f>LEN(TRIM(CLEAN(SUBSTITUTE(SUBSTITUTE(Table_12[[#This Row],[Sequence]],CHAR(160)," ")," ",""))))</f>
        <v/>
      </c>
      <c r="J239" s="21" t="n"/>
      <c r="K239" s="21">
        <f>IF($B239="","FALSE","TRUE")</f>
        <v/>
      </c>
      <c r="L239">
        <f t="array" ref="L239">IsURL(Table_121215[[#This Row],[Data Source]])</f>
        <v/>
      </c>
      <c r="M239">
        <f t="array" ref="M239">IsURL(Table_121215[[#This Row],[DOI]])</f>
        <v/>
      </c>
      <c r="N239">
        <f t="array" ref="N239">IsURL(Table_121215[[#This Row],[Data Source]])</f>
        <v/>
      </c>
      <c r="O239">
        <f t="array" ref="O239">IsURL(Table_121215[[#This Row],[Data Source]])</f>
        <v/>
      </c>
    </row>
    <row r="240" ht="15.75" customHeight="1">
      <c r="A240">
        <f>IF(Table_12[[#This Row],[Protein Name]]=0,"",Table_12[[#This Row],[Protein Name]])</f>
        <v/>
      </c>
      <c r="H240">
        <f>LEN(TRIM(CLEAN(SUBSTITUTE(SUBSTITUTE(Table_12[[#This Row],[Sequence]],CHAR(160)," ")," ",""))))</f>
        <v/>
      </c>
      <c r="J240" s="21" t="n"/>
      <c r="K240" s="21">
        <f>IF($B240="","FALSE","TRUE")</f>
        <v/>
      </c>
      <c r="L240">
        <f t="array" ref="L240">IsURL(Table_121215[[#This Row],[Data Source]])</f>
        <v/>
      </c>
      <c r="M240">
        <f t="array" ref="M240">IsURL(Table_121215[[#This Row],[DOI]])</f>
        <v/>
      </c>
      <c r="N240">
        <f t="array" ref="N240">IsURL(Table_121215[[#This Row],[Data Source]])</f>
        <v/>
      </c>
      <c r="O240">
        <f t="array" ref="O240">IsURL(Table_121215[[#This Row],[Data Source]])</f>
        <v/>
      </c>
    </row>
    <row r="241" ht="15.75" customHeight="1">
      <c r="A241">
        <f>IF(Table_12[[#This Row],[Protein Name]]=0,"",Table_12[[#This Row],[Protein Name]])</f>
        <v/>
      </c>
      <c r="H241">
        <f>LEN(TRIM(CLEAN(SUBSTITUTE(SUBSTITUTE(Table_12[[#This Row],[Sequence]],CHAR(160)," ")," ",""))))</f>
        <v/>
      </c>
      <c r="J241" s="21" t="n"/>
      <c r="K241" s="21">
        <f>IF($B241="","FALSE","TRUE")</f>
        <v/>
      </c>
      <c r="L241">
        <f t="array" ref="L241">IsURL(Table_121215[[#This Row],[Data Source]])</f>
        <v/>
      </c>
      <c r="M241">
        <f t="array" ref="M241">IsURL(Table_121215[[#This Row],[DOI]])</f>
        <v/>
      </c>
      <c r="N241">
        <f t="array" ref="N241">IsURL(Table_121215[[#This Row],[Data Source]])</f>
        <v/>
      </c>
      <c r="O241">
        <f t="array" ref="O241">IsURL(Table_121215[[#This Row],[Data Source]])</f>
        <v/>
      </c>
    </row>
    <row r="242" ht="15.75" customHeight="1">
      <c r="A242">
        <f>IF(Table_12[[#This Row],[Protein Name]]=0,"",Table_12[[#This Row],[Protein Name]])</f>
        <v/>
      </c>
      <c r="H242">
        <f>LEN(TRIM(CLEAN(SUBSTITUTE(SUBSTITUTE(Table_12[[#This Row],[Sequence]],CHAR(160)," ")," ",""))))</f>
        <v/>
      </c>
      <c r="J242" s="21" t="n"/>
      <c r="K242" s="21">
        <f>IF($B242="","FALSE","TRUE")</f>
        <v/>
      </c>
      <c r="L242">
        <f t="array" ref="L242">IsURL(Table_121215[[#This Row],[Data Source]])</f>
        <v/>
      </c>
      <c r="M242">
        <f t="array" ref="M242">IsURL(Table_121215[[#This Row],[DOI]])</f>
        <v/>
      </c>
      <c r="N242">
        <f t="array" ref="N242">IsURL(Table_121215[[#This Row],[Data Source]])</f>
        <v/>
      </c>
      <c r="O242">
        <f t="array" ref="O242">IsURL(Table_121215[[#This Row],[Data Source]])</f>
        <v/>
      </c>
    </row>
    <row r="243" ht="15.75" customHeight="1">
      <c r="A243">
        <f>IF(Table_12[[#This Row],[Protein Name]]=0,"",Table_12[[#This Row],[Protein Name]])</f>
        <v/>
      </c>
      <c r="H243">
        <f>LEN(TRIM(CLEAN(SUBSTITUTE(SUBSTITUTE(Table_12[[#This Row],[Sequence]],CHAR(160)," ")," ",""))))</f>
        <v/>
      </c>
      <c r="J243" s="21" t="n"/>
      <c r="K243" s="21">
        <f>IF($B243="","FALSE","TRUE")</f>
        <v/>
      </c>
      <c r="L243">
        <f t="array" ref="L243">IsURL(Table_121215[[#This Row],[Data Source]])</f>
        <v/>
      </c>
      <c r="M243">
        <f t="array" ref="M243">IsURL(Table_121215[[#This Row],[DOI]])</f>
        <v/>
      </c>
      <c r="N243">
        <f t="array" ref="N243">IsURL(Table_121215[[#This Row],[Data Source]])</f>
        <v/>
      </c>
      <c r="O243">
        <f t="array" ref="O243">IsURL(Table_121215[[#This Row],[Data Source]])</f>
        <v/>
      </c>
    </row>
    <row r="244" ht="15.75" customHeight="1">
      <c r="A244">
        <f>IF(Table_12[[#This Row],[Protein Name]]=0,"",Table_12[[#This Row],[Protein Name]])</f>
        <v/>
      </c>
      <c r="H244">
        <f>LEN(TRIM(CLEAN(SUBSTITUTE(SUBSTITUTE(Table_12[[#This Row],[Sequence]],CHAR(160)," ")," ",""))))</f>
        <v/>
      </c>
      <c r="J244" s="21" t="n"/>
      <c r="K244" s="21">
        <f>IF($B244="","FALSE","TRUE")</f>
        <v/>
      </c>
      <c r="L244">
        <f t="array" ref="L244">IsURL(Table_121215[[#This Row],[Data Source]])</f>
        <v/>
      </c>
      <c r="M244">
        <f t="array" ref="M244">IsURL(Table_121215[[#This Row],[DOI]])</f>
        <v/>
      </c>
      <c r="N244">
        <f t="array" ref="N244">IsURL(Table_121215[[#This Row],[Data Source]])</f>
        <v/>
      </c>
      <c r="O244">
        <f t="array" ref="O244">IsURL(Table_121215[[#This Row],[Data Source]])</f>
        <v/>
      </c>
    </row>
    <row r="245" ht="15.75" customHeight="1">
      <c r="A245">
        <f>IF(Table_12[[#This Row],[Protein Name]]=0,"",Table_12[[#This Row],[Protein Name]])</f>
        <v/>
      </c>
      <c r="H245">
        <f>LEN(TRIM(CLEAN(SUBSTITUTE(SUBSTITUTE(Table_12[[#This Row],[Sequence]],CHAR(160)," ")," ",""))))</f>
        <v/>
      </c>
      <c r="J245" s="21" t="n"/>
      <c r="K245" s="21">
        <f>IF($B245="","FALSE","TRUE")</f>
        <v/>
      </c>
      <c r="L245">
        <f t="array" ref="L245">IsURL(Table_121215[[#This Row],[Data Source]])</f>
        <v/>
      </c>
      <c r="M245">
        <f t="array" ref="M245">IsURL(Table_121215[[#This Row],[DOI]])</f>
        <v/>
      </c>
      <c r="N245">
        <f t="array" ref="N245">IsURL(Table_121215[[#This Row],[Data Source]])</f>
        <v/>
      </c>
      <c r="O245">
        <f t="array" ref="O245">IsURL(Table_121215[[#This Row],[Data Source]])</f>
        <v/>
      </c>
    </row>
    <row r="246" ht="15.75" customHeight="1">
      <c r="A246">
        <f>IF(Table_12[[#This Row],[Protein Name]]=0,"",Table_12[[#This Row],[Protein Name]])</f>
        <v/>
      </c>
      <c r="H246">
        <f>LEN(TRIM(CLEAN(SUBSTITUTE(SUBSTITUTE(Table_12[[#This Row],[Sequence]],CHAR(160)," ")," ",""))))</f>
        <v/>
      </c>
      <c r="J246" s="21" t="n"/>
      <c r="K246" s="21">
        <f>IF($B246="","FALSE","TRUE")</f>
        <v/>
      </c>
      <c r="L246">
        <f t="array" ref="L246">IsURL(Table_121215[[#This Row],[Data Source]])</f>
        <v/>
      </c>
      <c r="M246">
        <f t="array" ref="M246">IsURL(Table_121215[[#This Row],[DOI]])</f>
        <v/>
      </c>
      <c r="N246">
        <f t="array" ref="N246">IsURL(Table_121215[[#This Row],[Data Source]])</f>
        <v/>
      </c>
      <c r="O246">
        <f t="array" ref="O246">IsURL(Table_121215[[#This Row],[Data Source]])</f>
        <v/>
      </c>
    </row>
    <row r="247" ht="15.75" customHeight="1">
      <c r="A247">
        <f>IF(Table_12[[#This Row],[Protein Name]]=0,"",Table_12[[#This Row],[Protein Name]])</f>
        <v/>
      </c>
      <c r="H247">
        <f>LEN(TRIM(CLEAN(SUBSTITUTE(SUBSTITUTE(Table_12[[#This Row],[Sequence]],CHAR(160)," ")," ",""))))</f>
        <v/>
      </c>
      <c r="J247" s="21" t="n"/>
      <c r="K247" s="21">
        <f>IF($B247="","FALSE","TRUE")</f>
        <v/>
      </c>
      <c r="L247">
        <f t="array" ref="L247">IsURL(Table_121215[[#This Row],[Data Source]])</f>
        <v/>
      </c>
      <c r="M247">
        <f t="array" ref="M247">IsURL(Table_121215[[#This Row],[DOI]])</f>
        <v/>
      </c>
      <c r="N247">
        <f t="array" ref="N247">IsURL(Table_121215[[#This Row],[Data Source]])</f>
        <v/>
      </c>
      <c r="O247">
        <f t="array" ref="O247">IsURL(Table_121215[[#This Row],[Data Source]])</f>
        <v/>
      </c>
    </row>
    <row r="248" ht="15.75" customHeight="1">
      <c r="A248">
        <f>IF(Table_12[[#This Row],[Protein Name]]=0,"",Table_12[[#This Row],[Protein Name]])</f>
        <v/>
      </c>
      <c r="H248">
        <f>LEN(TRIM(CLEAN(SUBSTITUTE(SUBSTITUTE(Table_12[[#This Row],[Sequence]],CHAR(160)," ")," ",""))))</f>
        <v/>
      </c>
      <c r="J248" s="21" t="n"/>
      <c r="K248" s="21">
        <f>IF($B248="","FALSE","TRUE")</f>
        <v/>
      </c>
      <c r="L248">
        <f t="array" ref="L248">IsURL(Table_121215[[#This Row],[Data Source]])</f>
        <v/>
      </c>
      <c r="M248">
        <f t="array" ref="M248">IsURL(Table_121215[[#This Row],[DOI]])</f>
        <v/>
      </c>
      <c r="N248">
        <f t="array" ref="N248">IsURL(Table_121215[[#This Row],[Data Source]])</f>
        <v/>
      </c>
      <c r="O248">
        <f t="array" ref="O248">IsURL(Table_121215[[#This Row],[Data Source]])</f>
        <v/>
      </c>
    </row>
    <row r="249" ht="15.75" customHeight="1">
      <c r="A249">
        <f>IF(Table_12[[#This Row],[Protein Name]]=0,"",Table_12[[#This Row],[Protein Name]])</f>
        <v/>
      </c>
      <c r="H249">
        <f>LEN(TRIM(CLEAN(SUBSTITUTE(SUBSTITUTE(Table_12[[#This Row],[Sequence]],CHAR(160)," ")," ",""))))</f>
        <v/>
      </c>
      <c r="J249" s="21" t="n"/>
      <c r="K249" s="21">
        <f>IF($B249="","FALSE","TRUE")</f>
        <v/>
      </c>
      <c r="L249">
        <f t="array" ref="L249">IsURL(Table_121215[[#This Row],[Data Source]])</f>
        <v/>
      </c>
      <c r="M249">
        <f t="array" ref="M249">IsURL(Table_121215[[#This Row],[DOI]])</f>
        <v/>
      </c>
      <c r="N249">
        <f t="array" ref="N249">IsURL(Table_121215[[#This Row],[Data Source]])</f>
        <v/>
      </c>
      <c r="O249">
        <f t="array" ref="O249">IsURL(Table_121215[[#This Row],[Data Source]])</f>
        <v/>
      </c>
    </row>
    <row r="250" ht="15.75" customHeight="1">
      <c r="A250">
        <f>IF(Table_12[[#This Row],[Protein Name]]=0,"",Table_12[[#This Row],[Protein Name]])</f>
        <v/>
      </c>
      <c r="H250">
        <f>LEN(TRIM(CLEAN(SUBSTITUTE(SUBSTITUTE(Table_12[[#This Row],[Sequence]],CHAR(160)," ")," ",""))))</f>
        <v/>
      </c>
      <c r="J250" s="21" t="n"/>
      <c r="K250" s="21">
        <f>IF($B250="","FALSE","TRUE")</f>
        <v/>
      </c>
      <c r="L250">
        <f t="array" ref="L250">IsURL(Table_121215[[#This Row],[Data Source]])</f>
        <v/>
      </c>
      <c r="M250">
        <f t="array" ref="M250">IsURL(Table_121215[[#This Row],[DOI]])</f>
        <v/>
      </c>
      <c r="N250">
        <f t="array" ref="N250">IsURL(Table_121215[[#This Row],[Data Source]])</f>
        <v/>
      </c>
      <c r="O250">
        <f t="array" ref="O250">IsURL(Table_121215[[#This Row],[Data Source]])</f>
        <v/>
      </c>
    </row>
    <row r="251" ht="15.75" customHeight="1">
      <c r="A251">
        <f>IF(Table_12[[#This Row],[Protein Name]]=0,"",Table_12[[#This Row],[Protein Name]])</f>
        <v/>
      </c>
      <c r="H251">
        <f>LEN(TRIM(CLEAN(SUBSTITUTE(SUBSTITUTE(Table_12[[#This Row],[Sequence]],CHAR(160)," ")," ",""))))</f>
        <v/>
      </c>
      <c r="J251" s="21" t="n"/>
      <c r="K251" s="21">
        <f>IF($B251="","FALSE","TRUE")</f>
        <v/>
      </c>
      <c r="L251">
        <f t="array" ref="L251">IsURL(Table_121215[[#This Row],[Data Source]])</f>
        <v/>
      </c>
      <c r="M251">
        <f t="array" ref="M251">IsURL(Table_121215[[#This Row],[DOI]])</f>
        <v/>
      </c>
      <c r="N251">
        <f t="array" ref="N251">IsURL(Table_121215[[#This Row],[Data Source]])</f>
        <v/>
      </c>
      <c r="O251">
        <f t="array" ref="O251">IsURL(Table_121215[[#This Row],[Data Source]])</f>
        <v/>
      </c>
    </row>
    <row r="252" ht="15.75" customHeight="1">
      <c r="A252">
        <f>IF(Table_12[[#This Row],[Protein Name]]=0,"",Table_12[[#This Row],[Protein Name]])</f>
        <v/>
      </c>
      <c r="H252">
        <f>LEN(TRIM(CLEAN(SUBSTITUTE(SUBSTITUTE(Table_12[[#This Row],[Sequence]],CHAR(160)," ")," ",""))))</f>
        <v/>
      </c>
      <c r="J252" s="21" t="n"/>
      <c r="K252" s="21">
        <f>IF($B252="","FALSE","TRUE")</f>
        <v/>
      </c>
      <c r="L252">
        <f t="array" ref="L252">IsURL(Table_121215[[#This Row],[Data Source]])</f>
        <v/>
      </c>
      <c r="M252">
        <f t="array" ref="M252">IsURL(Table_121215[[#This Row],[DOI]])</f>
        <v/>
      </c>
      <c r="N252">
        <f t="array" ref="N252">IsURL(Table_121215[[#This Row],[Data Source]])</f>
        <v/>
      </c>
      <c r="O252">
        <f t="array" ref="O252">IsURL(Table_121215[[#This Row],[Data Source]])</f>
        <v/>
      </c>
    </row>
    <row r="253" ht="15.75" customHeight="1">
      <c r="A253">
        <f>IF(Table_12[[#This Row],[Protein Name]]=0,"",Table_12[[#This Row],[Protein Name]])</f>
        <v/>
      </c>
      <c r="H253">
        <f>LEN(TRIM(CLEAN(SUBSTITUTE(SUBSTITUTE(Table_12[[#This Row],[Sequence]],CHAR(160)," ")," ",""))))</f>
        <v/>
      </c>
      <c r="J253" s="21" t="n"/>
      <c r="K253" s="21">
        <f>IF($B253="","FALSE","TRUE")</f>
        <v/>
      </c>
      <c r="L253">
        <f t="array" ref="L253">IsURL(Table_121215[[#This Row],[Data Source]])</f>
        <v/>
      </c>
      <c r="M253">
        <f t="array" ref="M253">IsURL(Table_121215[[#This Row],[DOI]])</f>
        <v/>
      </c>
      <c r="N253">
        <f t="array" ref="N253">IsURL(Table_121215[[#This Row],[Data Source]])</f>
        <v/>
      </c>
      <c r="O253">
        <f t="array" ref="O253">IsURL(Table_121215[[#This Row],[Data Source]])</f>
        <v/>
      </c>
    </row>
    <row r="254" ht="15.75" customHeight="1">
      <c r="A254">
        <f>IF(Table_12[[#This Row],[Protein Name]]=0,"",Table_12[[#This Row],[Protein Name]])</f>
        <v/>
      </c>
      <c r="H254">
        <f>LEN(TRIM(CLEAN(SUBSTITUTE(SUBSTITUTE(Table_12[[#This Row],[Sequence]],CHAR(160)," ")," ",""))))</f>
        <v/>
      </c>
      <c r="J254" s="21" t="n"/>
      <c r="K254" s="21">
        <f>IF($B254="","FALSE","TRUE")</f>
        <v/>
      </c>
      <c r="L254">
        <f t="array" ref="L254">IsURL(Table_121215[[#This Row],[Data Source]])</f>
        <v/>
      </c>
      <c r="M254">
        <f t="array" ref="M254">IsURL(Table_121215[[#This Row],[DOI]])</f>
        <v/>
      </c>
      <c r="N254">
        <f t="array" ref="N254">IsURL(Table_121215[[#This Row],[Data Source]])</f>
        <v/>
      </c>
      <c r="O254">
        <f t="array" ref="O254">IsURL(Table_121215[[#This Row],[Data Source]])</f>
        <v/>
      </c>
    </row>
    <row r="255" ht="15.75" customHeight="1">
      <c r="A255">
        <f>IF(Table_12[[#This Row],[Protein Name]]=0,"",Table_12[[#This Row],[Protein Name]])</f>
        <v/>
      </c>
      <c r="H255">
        <f>LEN(TRIM(CLEAN(SUBSTITUTE(SUBSTITUTE(Table_12[[#This Row],[Sequence]],CHAR(160)," ")," ",""))))</f>
        <v/>
      </c>
      <c r="J255" s="21" t="n"/>
      <c r="K255" s="21">
        <f>IF($B255="","FALSE","TRUE")</f>
        <v/>
      </c>
      <c r="L255">
        <f t="array" ref="L255">IsURL(Table_121215[[#This Row],[Data Source]])</f>
        <v/>
      </c>
      <c r="M255">
        <f t="array" ref="M255">IsURL(Table_121215[[#This Row],[DOI]])</f>
        <v/>
      </c>
      <c r="N255">
        <f t="array" ref="N255">IsURL(Table_121215[[#This Row],[Data Source]])</f>
        <v/>
      </c>
      <c r="O255">
        <f t="array" ref="O255">IsURL(Table_121215[[#This Row],[Data Source]])</f>
        <v/>
      </c>
    </row>
    <row r="256" ht="15.75" customHeight="1">
      <c r="A256">
        <f>IF(Table_12[[#This Row],[Protein Name]]=0,"",Table_12[[#This Row],[Protein Name]])</f>
        <v/>
      </c>
      <c r="H256">
        <f>LEN(TRIM(CLEAN(SUBSTITUTE(SUBSTITUTE(Table_12[[#This Row],[Sequence]],CHAR(160)," ")," ",""))))</f>
        <v/>
      </c>
      <c r="J256" s="21" t="n"/>
      <c r="K256" s="21">
        <f>IF($B256="","FALSE","TRUE")</f>
        <v/>
      </c>
      <c r="L256">
        <f t="array" ref="L256">IsURL(Table_121215[[#This Row],[Data Source]])</f>
        <v/>
      </c>
      <c r="M256">
        <f t="array" ref="M256">IsURL(Table_121215[[#This Row],[DOI]])</f>
        <v/>
      </c>
      <c r="N256">
        <f t="array" ref="N256">IsURL(Table_121215[[#This Row],[Data Source]])</f>
        <v/>
      </c>
      <c r="O256">
        <f t="array" ref="O256">IsURL(Table_121215[[#This Row],[Data Source]])</f>
        <v/>
      </c>
    </row>
    <row r="257" ht="15.75" customHeight="1">
      <c r="A257">
        <f>IF(Table_12[[#This Row],[Protein Name]]=0,"",Table_12[[#This Row],[Protein Name]])</f>
        <v/>
      </c>
      <c r="H257">
        <f>LEN(TRIM(CLEAN(SUBSTITUTE(SUBSTITUTE(Table_12[[#This Row],[Sequence]],CHAR(160)," ")," ",""))))</f>
        <v/>
      </c>
      <c r="J257" s="21" t="n"/>
      <c r="K257" s="21">
        <f>IF($B257="","FALSE","TRUE")</f>
        <v/>
      </c>
      <c r="L257">
        <f t="array" ref="L257">IsURL(Table_121215[[#This Row],[Data Source]])</f>
        <v/>
      </c>
      <c r="M257">
        <f t="array" ref="M257">IsURL(Table_121215[[#This Row],[DOI]])</f>
        <v/>
      </c>
      <c r="N257">
        <f t="array" ref="N257">IsURL(Table_121215[[#This Row],[Data Source]])</f>
        <v/>
      </c>
      <c r="O257">
        <f t="array" ref="O257">IsURL(Table_121215[[#This Row],[Data Source]])</f>
        <v/>
      </c>
    </row>
    <row r="258" ht="15.75" customHeight="1">
      <c r="A258">
        <f>IF(Table_12[[#This Row],[Protein Name]]=0,"",Table_12[[#This Row],[Protein Name]])</f>
        <v/>
      </c>
      <c r="H258">
        <f>LEN(TRIM(CLEAN(SUBSTITUTE(SUBSTITUTE(Table_12[[#This Row],[Sequence]],CHAR(160)," ")," ",""))))</f>
        <v/>
      </c>
      <c r="J258" s="21" t="n"/>
      <c r="K258" s="21">
        <f>IF($B258="","FALSE","TRUE")</f>
        <v/>
      </c>
      <c r="L258">
        <f t="array" ref="L258">IsURL(Table_121215[[#This Row],[Data Source]])</f>
        <v/>
      </c>
      <c r="M258">
        <f t="array" ref="M258">IsURL(Table_121215[[#This Row],[DOI]])</f>
        <v/>
      </c>
      <c r="N258">
        <f t="array" ref="N258">IsURL(Table_121215[[#This Row],[Data Source]])</f>
        <v/>
      </c>
      <c r="O258">
        <f t="array" ref="O258">IsURL(Table_121215[[#This Row],[Data Source]])</f>
        <v/>
      </c>
    </row>
    <row r="259" ht="15.75" customHeight="1">
      <c r="A259">
        <f>IF(Table_12[[#This Row],[Protein Name]]=0,"",Table_12[[#This Row],[Protein Name]])</f>
        <v/>
      </c>
      <c r="H259">
        <f>LEN(TRIM(CLEAN(SUBSTITUTE(SUBSTITUTE(Table_12[[#This Row],[Sequence]],CHAR(160)," ")," ",""))))</f>
        <v/>
      </c>
      <c r="J259" s="21" t="n"/>
      <c r="K259" s="21">
        <f>IF($B259="","FALSE","TRUE")</f>
        <v/>
      </c>
      <c r="L259">
        <f t="array" ref="L259">IsURL(Table_121215[[#This Row],[Data Source]])</f>
        <v/>
      </c>
      <c r="M259">
        <f t="array" ref="M259">IsURL(Table_121215[[#This Row],[DOI]])</f>
        <v/>
      </c>
      <c r="N259">
        <f t="array" ref="N259">IsURL(Table_121215[[#This Row],[Data Source]])</f>
        <v/>
      </c>
      <c r="O259">
        <f t="array" ref="O259">IsURL(Table_121215[[#This Row],[Data Source]])</f>
        <v/>
      </c>
    </row>
    <row r="260" ht="15.75" customHeight="1">
      <c r="A260">
        <f>IF(Table_12[[#This Row],[Protein Name]]=0,"",Table_12[[#This Row],[Protein Name]])</f>
        <v/>
      </c>
      <c r="H260">
        <f>LEN(TRIM(CLEAN(SUBSTITUTE(SUBSTITUTE(Table_12[[#This Row],[Sequence]],CHAR(160)," ")," ",""))))</f>
        <v/>
      </c>
      <c r="J260" s="21" t="n"/>
      <c r="K260" s="21">
        <f>IF($B260="","FALSE","TRUE")</f>
        <v/>
      </c>
      <c r="L260">
        <f t="array" ref="L260">IsURL(Table_121215[[#This Row],[Data Source]])</f>
        <v/>
      </c>
      <c r="M260">
        <f t="array" ref="M260">IsURL(Table_121215[[#This Row],[DOI]])</f>
        <v/>
      </c>
      <c r="N260">
        <f t="array" ref="N260">IsURL(Table_121215[[#This Row],[Data Source]])</f>
        <v/>
      </c>
      <c r="O260">
        <f t="array" ref="O260">IsURL(Table_121215[[#This Row],[Data Source]])</f>
        <v/>
      </c>
    </row>
    <row r="261" ht="15.75" customHeight="1">
      <c r="A261">
        <f>IF(Table_12[[#This Row],[Protein Name]]=0,"",Table_12[[#This Row],[Protein Name]])</f>
        <v/>
      </c>
      <c r="H261">
        <f>LEN(TRIM(CLEAN(SUBSTITUTE(SUBSTITUTE(Table_12[[#This Row],[Sequence]],CHAR(160)," ")," ",""))))</f>
        <v/>
      </c>
      <c r="J261" s="21" t="n"/>
      <c r="K261" s="21">
        <f>IF($B261="","FALSE","TRUE")</f>
        <v/>
      </c>
      <c r="L261">
        <f t="array" ref="L261">IsURL(Table_121215[[#This Row],[Data Source]])</f>
        <v/>
      </c>
      <c r="M261">
        <f t="array" ref="M261">IsURL(Table_121215[[#This Row],[DOI]])</f>
        <v/>
      </c>
      <c r="N261">
        <f t="array" ref="N261">IsURL(Table_121215[[#This Row],[Data Source]])</f>
        <v/>
      </c>
      <c r="O261">
        <f t="array" ref="O261">IsURL(Table_121215[[#This Row],[Data Source]])</f>
        <v/>
      </c>
    </row>
    <row r="262" ht="15.75" customHeight="1">
      <c r="A262">
        <f>IF(Table_12[[#This Row],[Protein Name]]=0,"",Table_12[[#This Row],[Protein Name]])</f>
        <v/>
      </c>
      <c r="H262">
        <f>LEN(TRIM(CLEAN(SUBSTITUTE(SUBSTITUTE(Table_12[[#This Row],[Sequence]],CHAR(160)," ")," ",""))))</f>
        <v/>
      </c>
      <c r="J262" s="21" t="n"/>
      <c r="K262" s="21">
        <f>IF($B262="","FALSE","TRUE")</f>
        <v/>
      </c>
      <c r="L262">
        <f t="array" ref="L262">IsURL(Table_121215[[#This Row],[Data Source]])</f>
        <v/>
      </c>
      <c r="M262">
        <f t="array" ref="M262">IsURL(Table_121215[[#This Row],[DOI]])</f>
        <v/>
      </c>
      <c r="N262">
        <f t="array" ref="N262">IsURL(Table_121215[[#This Row],[Data Source]])</f>
        <v/>
      </c>
      <c r="O262">
        <f t="array" ref="O262">IsURL(Table_121215[[#This Row],[Data Source]])</f>
        <v/>
      </c>
    </row>
    <row r="263" ht="15.75" customHeight="1">
      <c r="A263">
        <f>IF(Table_12[[#This Row],[Protein Name]]=0,"",Table_12[[#This Row],[Protein Name]])</f>
        <v/>
      </c>
      <c r="H263">
        <f>LEN(TRIM(CLEAN(SUBSTITUTE(SUBSTITUTE(Table_12[[#This Row],[Sequence]],CHAR(160)," ")," ",""))))</f>
        <v/>
      </c>
      <c r="J263" s="21" t="n"/>
      <c r="K263" s="21">
        <f>IF($B263="","FALSE","TRUE")</f>
        <v/>
      </c>
      <c r="L263">
        <f t="array" ref="L263">IsURL(Table_121215[[#This Row],[Data Source]])</f>
        <v/>
      </c>
      <c r="M263">
        <f t="array" ref="M263">IsURL(Table_121215[[#This Row],[DOI]])</f>
        <v/>
      </c>
      <c r="N263">
        <f t="array" ref="N263">IsURL(Table_121215[[#This Row],[Data Source]])</f>
        <v/>
      </c>
      <c r="O263">
        <f t="array" ref="O263">IsURL(Table_121215[[#This Row],[Data Source]])</f>
        <v/>
      </c>
    </row>
    <row r="264" ht="15.75" customHeight="1">
      <c r="A264">
        <f>IF(Table_12[[#This Row],[Protein Name]]=0,"",Table_12[[#This Row],[Protein Name]])</f>
        <v/>
      </c>
      <c r="H264">
        <f>LEN(TRIM(CLEAN(SUBSTITUTE(SUBSTITUTE(Table_12[[#This Row],[Sequence]],CHAR(160)," ")," ",""))))</f>
        <v/>
      </c>
      <c r="J264" s="21" t="n"/>
      <c r="K264" s="21">
        <f>IF($B264="","FALSE","TRUE")</f>
        <v/>
      </c>
      <c r="L264">
        <f t="array" ref="L264">IsURL(Table_121215[[#This Row],[Data Source]])</f>
        <v/>
      </c>
      <c r="M264">
        <f t="array" ref="M264">IsURL(Table_121215[[#This Row],[DOI]])</f>
        <v/>
      </c>
      <c r="N264">
        <f t="array" ref="N264">IsURL(Table_121215[[#This Row],[Data Source]])</f>
        <v/>
      </c>
      <c r="O264">
        <f t="array" ref="O264">IsURL(Table_121215[[#This Row],[Data Source]])</f>
        <v/>
      </c>
    </row>
    <row r="265" ht="15.75" customHeight="1">
      <c r="A265">
        <f>IF(Table_12[[#This Row],[Protein Name]]=0,"",Table_12[[#This Row],[Protein Name]])</f>
        <v/>
      </c>
      <c r="H265">
        <f>LEN(TRIM(CLEAN(SUBSTITUTE(SUBSTITUTE(Table_12[[#This Row],[Sequence]],CHAR(160)," ")," ",""))))</f>
        <v/>
      </c>
      <c r="J265" s="21" t="n"/>
      <c r="K265" s="21">
        <f>IF($B265="","FALSE","TRUE")</f>
        <v/>
      </c>
      <c r="L265">
        <f t="array" ref="L265">IsURL(Table_121215[[#This Row],[Data Source]])</f>
        <v/>
      </c>
      <c r="M265">
        <f t="array" ref="M265">IsURL(Table_121215[[#This Row],[DOI]])</f>
        <v/>
      </c>
      <c r="N265">
        <f t="array" ref="N265">IsURL(Table_121215[[#This Row],[Data Source]])</f>
        <v/>
      </c>
      <c r="O265">
        <f t="array" ref="O265">IsURL(Table_121215[[#This Row],[Data Source]])</f>
        <v/>
      </c>
    </row>
    <row r="266" ht="15.75" customHeight="1">
      <c r="A266">
        <f>IF(Table_12[[#This Row],[Protein Name]]=0,"",Table_12[[#This Row],[Protein Name]])</f>
        <v/>
      </c>
      <c r="H266">
        <f>LEN(TRIM(CLEAN(SUBSTITUTE(SUBSTITUTE(Table_12[[#This Row],[Sequence]],CHAR(160)," ")," ",""))))</f>
        <v/>
      </c>
      <c r="J266" s="21" t="n"/>
      <c r="K266" s="21">
        <f>IF($B266="","FALSE","TRUE")</f>
        <v/>
      </c>
      <c r="L266">
        <f t="array" ref="L266">IsURL(Table_121215[[#This Row],[Data Source]])</f>
        <v/>
      </c>
      <c r="M266">
        <f t="array" ref="M266">IsURL(Table_121215[[#This Row],[DOI]])</f>
        <v/>
      </c>
      <c r="N266">
        <f t="array" ref="N266">IsURL(Table_121215[[#This Row],[Data Source]])</f>
        <v/>
      </c>
      <c r="O266">
        <f t="array" ref="O266">IsURL(Table_121215[[#This Row],[Data Source]])</f>
        <v/>
      </c>
    </row>
    <row r="267" ht="15.75" customHeight="1">
      <c r="A267">
        <f>IF(Table_12[[#This Row],[Protein Name]]=0,"",Table_12[[#This Row],[Protein Name]])</f>
        <v/>
      </c>
      <c r="H267">
        <f>LEN(TRIM(CLEAN(SUBSTITUTE(SUBSTITUTE(Table_12[[#This Row],[Sequence]],CHAR(160)," ")," ",""))))</f>
        <v/>
      </c>
      <c r="J267" s="21" t="n"/>
      <c r="K267" s="21">
        <f>IF($B267="","FALSE","TRUE")</f>
        <v/>
      </c>
      <c r="L267">
        <f t="array" ref="L267">IsURL(Table_121215[[#This Row],[Data Source]])</f>
        <v/>
      </c>
      <c r="M267">
        <f t="array" ref="M267">IsURL(Table_121215[[#This Row],[DOI]])</f>
        <v/>
      </c>
      <c r="N267">
        <f t="array" ref="N267">IsURL(Table_121215[[#This Row],[Data Source]])</f>
        <v/>
      </c>
      <c r="O267">
        <f t="array" ref="O267">IsURL(Table_121215[[#This Row],[Data Source]])</f>
        <v/>
      </c>
    </row>
    <row r="268" ht="15.75" customHeight="1">
      <c r="A268">
        <f>IF(Table_12[[#This Row],[Protein Name]]=0,"",Table_12[[#This Row],[Protein Name]])</f>
        <v/>
      </c>
      <c r="H268">
        <f>LEN(TRIM(CLEAN(SUBSTITUTE(SUBSTITUTE(Table_12[[#This Row],[Sequence]],CHAR(160)," ")," ",""))))</f>
        <v/>
      </c>
      <c r="J268" s="21" t="n"/>
      <c r="K268" s="21">
        <f>IF($B268="","FALSE","TRUE")</f>
        <v/>
      </c>
      <c r="L268">
        <f t="array" ref="L268">IsURL(Table_121215[[#This Row],[Data Source]])</f>
        <v/>
      </c>
      <c r="M268">
        <f t="array" ref="M268">IsURL(Table_121215[[#This Row],[DOI]])</f>
        <v/>
      </c>
      <c r="N268">
        <f t="array" ref="N268">IsURL(Table_121215[[#This Row],[Data Source]])</f>
        <v/>
      </c>
      <c r="O268">
        <f t="array" ref="O268">IsURL(Table_121215[[#This Row],[Data Source]])</f>
        <v/>
      </c>
    </row>
    <row r="269" ht="15.75" customHeight="1">
      <c r="A269">
        <f>IF(Table_12[[#This Row],[Protein Name]]=0,"",Table_12[[#This Row],[Protein Name]])</f>
        <v/>
      </c>
      <c r="H269">
        <f>LEN(TRIM(CLEAN(SUBSTITUTE(SUBSTITUTE(Table_12[[#This Row],[Sequence]],CHAR(160)," ")," ",""))))</f>
        <v/>
      </c>
      <c r="J269" s="21" t="n"/>
      <c r="K269" s="21">
        <f>IF($B269="","FALSE","TRUE")</f>
        <v/>
      </c>
      <c r="L269">
        <f t="array" ref="L269">IsURL(Table_121215[[#This Row],[Data Source]])</f>
        <v/>
      </c>
      <c r="M269">
        <f t="array" ref="M269">IsURL(Table_121215[[#This Row],[DOI]])</f>
        <v/>
      </c>
      <c r="N269">
        <f t="array" ref="N269">IsURL(Table_121215[[#This Row],[Data Source]])</f>
        <v/>
      </c>
      <c r="O269">
        <f t="array" ref="O269">IsURL(Table_121215[[#This Row],[Data Source]])</f>
        <v/>
      </c>
    </row>
    <row r="270" ht="15.75" customHeight="1">
      <c r="A270">
        <f>IF(Table_12[[#This Row],[Protein Name]]=0,"",Table_12[[#This Row],[Protein Name]])</f>
        <v/>
      </c>
      <c r="H270">
        <f>LEN(TRIM(CLEAN(SUBSTITUTE(SUBSTITUTE(Table_12[[#This Row],[Sequence]],CHAR(160)," ")," ",""))))</f>
        <v/>
      </c>
      <c r="J270" s="21" t="n"/>
      <c r="K270" s="21">
        <f>IF($B270="","FALSE","TRUE")</f>
        <v/>
      </c>
      <c r="L270">
        <f t="array" ref="L270">IsURL(Table_121215[[#This Row],[Data Source]])</f>
        <v/>
      </c>
      <c r="M270">
        <f t="array" ref="M270">IsURL(Table_121215[[#This Row],[DOI]])</f>
        <v/>
      </c>
      <c r="N270">
        <f t="array" ref="N270">IsURL(Table_121215[[#This Row],[Data Source]])</f>
        <v/>
      </c>
      <c r="O270">
        <f t="array" ref="O270">IsURL(Table_121215[[#This Row],[Data Source]])</f>
        <v/>
      </c>
    </row>
    <row r="271" ht="15.75" customHeight="1">
      <c r="A271">
        <f>IF(Table_12[[#This Row],[Protein Name]]=0,"",Table_12[[#This Row],[Protein Name]])</f>
        <v/>
      </c>
      <c r="H271">
        <f>LEN(TRIM(CLEAN(SUBSTITUTE(SUBSTITUTE(Table_12[[#This Row],[Sequence]],CHAR(160)," ")," ",""))))</f>
        <v/>
      </c>
      <c r="J271" s="21" t="n"/>
      <c r="K271" s="21">
        <f>IF($B271="","FALSE","TRUE")</f>
        <v/>
      </c>
      <c r="L271">
        <f t="array" ref="L271">IsURL(Table_121215[[#This Row],[Data Source]])</f>
        <v/>
      </c>
      <c r="M271">
        <f t="array" ref="M271">IsURL(Table_121215[[#This Row],[DOI]])</f>
        <v/>
      </c>
      <c r="N271">
        <f t="array" ref="N271">IsURL(Table_121215[[#This Row],[Data Source]])</f>
        <v/>
      </c>
      <c r="O271">
        <f t="array" ref="O271">IsURL(Table_121215[[#This Row],[Data Source]])</f>
        <v/>
      </c>
    </row>
    <row r="272" ht="15.75" customHeight="1">
      <c r="A272">
        <f>IF(Table_12[[#This Row],[Protein Name]]=0,"",Table_12[[#This Row],[Protein Name]])</f>
        <v/>
      </c>
      <c r="H272">
        <f>LEN(TRIM(CLEAN(SUBSTITUTE(SUBSTITUTE(Table_12[[#This Row],[Sequence]],CHAR(160)," ")," ",""))))</f>
        <v/>
      </c>
      <c r="J272" s="21" t="n"/>
      <c r="K272" s="21">
        <f>IF($B272="","FALSE","TRUE")</f>
        <v/>
      </c>
      <c r="L272">
        <f t="array" ref="L272">IsURL(Table_121215[[#This Row],[Data Source]])</f>
        <v/>
      </c>
      <c r="M272">
        <f t="array" ref="M272">IsURL(Table_121215[[#This Row],[DOI]])</f>
        <v/>
      </c>
      <c r="N272">
        <f t="array" ref="N272">IsURL(Table_121215[[#This Row],[Data Source]])</f>
        <v/>
      </c>
      <c r="O272">
        <f t="array" ref="O272">IsURL(Table_121215[[#This Row],[Data Source]])</f>
        <v/>
      </c>
    </row>
    <row r="273" ht="15.75" customHeight="1">
      <c r="A273">
        <f>IF(Table_12[[#This Row],[Protein Name]]=0,"",Table_12[[#This Row],[Protein Name]])</f>
        <v/>
      </c>
      <c r="H273">
        <f>LEN(TRIM(CLEAN(SUBSTITUTE(SUBSTITUTE(Table_12[[#This Row],[Sequence]],CHAR(160)," ")," ",""))))</f>
        <v/>
      </c>
      <c r="J273" s="21" t="n"/>
      <c r="K273" s="21">
        <f>IF($B273="","FALSE","TRUE")</f>
        <v/>
      </c>
      <c r="L273">
        <f t="array" ref="L273">IsURL(Table_121215[[#This Row],[Data Source]])</f>
        <v/>
      </c>
      <c r="M273">
        <f t="array" ref="M273">IsURL(Table_121215[[#This Row],[DOI]])</f>
        <v/>
      </c>
      <c r="N273">
        <f t="array" ref="N273">IsURL(Table_121215[[#This Row],[Data Source]])</f>
        <v/>
      </c>
      <c r="O273">
        <f t="array" ref="O273">IsURL(Table_121215[[#This Row],[Data Source]])</f>
        <v/>
      </c>
    </row>
    <row r="274" ht="15.75" customHeight="1">
      <c r="A274">
        <f>IF(Table_12[[#This Row],[Protein Name]]=0,"",Table_12[[#This Row],[Protein Name]])</f>
        <v/>
      </c>
      <c r="H274">
        <f>LEN(TRIM(CLEAN(SUBSTITUTE(SUBSTITUTE(Table_12[[#This Row],[Sequence]],CHAR(160)," ")," ",""))))</f>
        <v/>
      </c>
      <c r="J274" s="21" t="n"/>
      <c r="K274" s="21">
        <f>IF($B274="","FALSE","TRUE")</f>
        <v/>
      </c>
      <c r="L274">
        <f t="array" ref="L274">IsURL(Table_121215[[#This Row],[Data Source]])</f>
        <v/>
      </c>
      <c r="M274">
        <f t="array" ref="M274">IsURL(Table_121215[[#This Row],[DOI]])</f>
        <v/>
      </c>
      <c r="N274">
        <f t="array" ref="N274">IsURL(Table_121215[[#This Row],[Data Source]])</f>
        <v/>
      </c>
      <c r="O274">
        <f t="array" ref="O274">IsURL(Table_121215[[#This Row],[Data Source]])</f>
        <v/>
      </c>
    </row>
    <row r="275" ht="15.75" customHeight="1">
      <c r="A275">
        <f>IF(Table_12[[#This Row],[Protein Name]]=0,"",Table_12[[#This Row],[Protein Name]])</f>
        <v/>
      </c>
      <c r="H275">
        <f>LEN(TRIM(CLEAN(SUBSTITUTE(SUBSTITUTE(Table_12[[#This Row],[Sequence]],CHAR(160)," ")," ",""))))</f>
        <v/>
      </c>
      <c r="J275" s="21" t="n"/>
      <c r="K275" s="21">
        <f>IF($B275="","FALSE","TRUE")</f>
        <v/>
      </c>
      <c r="L275">
        <f t="array" ref="L275">IsURL(Table_121215[[#This Row],[Data Source]])</f>
        <v/>
      </c>
      <c r="M275">
        <f t="array" ref="M275">IsURL(Table_121215[[#This Row],[DOI]])</f>
        <v/>
      </c>
      <c r="N275">
        <f t="array" ref="N275">IsURL(Table_121215[[#This Row],[Data Source]])</f>
        <v/>
      </c>
      <c r="O275">
        <f t="array" ref="O275">IsURL(Table_121215[[#This Row],[Data Source]])</f>
        <v/>
      </c>
    </row>
    <row r="276" ht="15.75" customHeight="1">
      <c r="A276">
        <f>IF(Table_12[[#This Row],[Protein Name]]=0,"",Table_12[[#This Row],[Protein Name]])</f>
        <v/>
      </c>
      <c r="H276">
        <f>LEN(TRIM(CLEAN(SUBSTITUTE(SUBSTITUTE(Table_12[[#This Row],[Sequence]],CHAR(160)," ")," ",""))))</f>
        <v/>
      </c>
      <c r="J276" s="21" t="n"/>
      <c r="K276" s="21">
        <f>IF($B276="","FALSE","TRUE")</f>
        <v/>
      </c>
      <c r="L276">
        <f t="array" ref="L276">IsURL(Table_121215[[#This Row],[Data Source]])</f>
        <v/>
      </c>
      <c r="M276">
        <f t="array" ref="M276">IsURL(Table_121215[[#This Row],[DOI]])</f>
        <v/>
      </c>
      <c r="N276">
        <f t="array" ref="N276">IsURL(Table_121215[[#This Row],[Data Source]])</f>
        <v/>
      </c>
      <c r="O276">
        <f t="array" ref="O276">IsURL(Table_121215[[#This Row],[Data Source]])</f>
        <v/>
      </c>
    </row>
    <row r="277" ht="15.75" customHeight="1">
      <c r="A277">
        <f>IF(Table_12[[#This Row],[Protein Name]]=0,"",Table_12[[#This Row],[Protein Name]])</f>
        <v/>
      </c>
      <c r="H277">
        <f>LEN(TRIM(CLEAN(SUBSTITUTE(SUBSTITUTE(Table_12[[#This Row],[Sequence]],CHAR(160)," ")," ",""))))</f>
        <v/>
      </c>
      <c r="J277" s="21" t="n"/>
      <c r="K277" s="21">
        <f>IF($B277="","FALSE","TRUE")</f>
        <v/>
      </c>
      <c r="L277">
        <f t="array" ref="L277">IsURL(Table_121215[[#This Row],[Data Source]])</f>
        <v/>
      </c>
      <c r="M277">
        <f t="array" ref="M277">IsURL(Table_121215[[#This Row],[DOI]])</f>
        <v/>
      </c>
      <c r="N277">
        <f t="array" ref="N277">IsURL(Table_121215[[#This Row],[Data Source]])</f>
        <v/>
      </c>
      <c r="O277">
        <f t="array" ref="O277">IsURL(Table_121215[[#This Row],[Data Source]])</f>
        <v/>
      </c>
    </row>
    <row r="278" ht="15.75" customHeight="1">
      <c r="A278">
        <f>IF(Table_12[[#This Row],[Protein Name]]=0,"",Table_12[[#This Row],[Protein Name]])</f>
        <v/>
      </c>
      <c r="H278">
        <f>LEN(TRIM(CLEAN(SUBSTITUTE(SUBSTITUTE(Table_12[[#This Row],[Sequence]],CHAR(160)," ")," ",""))))</f>
        <v/>
      </c>
      <c r="J278" s="21" t="n"/>
      <c r="K278" s="21">
        <f>IF($B278="","FALSE","TRUE")</f>
        <v/>
      </c>
      <c r="L278">
        <f t="array" ref="L278">IsURL(Table_121215[[#This Row],[Data Source]])</f>
        <v/>
      </c>
      <c r="M278">
        <f t="array" ref="M278">IsURL(Table_121215[[#This Row],[DOI]])</f>
        <v/>
      </c>
      <c r="N278">
        <f t="array" ref="N278">IsURL(Table_121215[[#This Row],[Data Source]])</f>
        <v/>
      </c>
      <c r="O278">
        <f t="array" ref="O278">IsURL(Table_121215[[#This Row],[Data Source]])</f>
        <v/>
      </c>
    </row>
    <row r="279" ht="15.75" customHeight="1">
      <c r="A279">
        <f>IF(Table_12[[#This Row],[Protein Name]]=0,"",Table_12[[#This Row],[Protein Name]])</f>
        <v/>
      </c>
      <c r="H279">
        <f>LEN(TRIM(CLEAN(SUBSTITUTE(SUBSTITUTE(Table_12[[#This Row],[Sequence]],CHAR(160)," ")," ",""))))</f>
        <v/>
      </c>
      <c r="J279" s="21" t="n"/>
      <c r="K279" s="21">
        <f>IF($B279="","FALSE","TRUE")</f>
        <v/>
      </c>
      <c r="L279">
        <f t="array" ref="L279">IsURL(Table_121215[[#This Row],[Data Source]])</f>
        <v/>
      </c>
      <c r="M279">
        <f t="array" ref="M279">IsURL(Table_121215[[#This Row],[DOI]])</f>
        <v/>
      </c>
      <c r="N279">
        <f t="array" ref="N279">IsURL(Table_121215[[#This Row],[Data Source]])</f>
        <v/>
      </c>
      <c r="O279">
        <f t="array" ref="O279">IsURL(Table_121215[[#This Row],[Data Source]])</f>
        <v/>
      </c>
    </row>
    <row r="280" ht="15.75" customHeight="1">
      <c r="A280">
        <f>IF(Table_12[[#This Row],[Protein Name]]=0,"",Table_12[[#This Row],[Protein Name]])</f>
        <v/>
      </c>
      <c r="H280">
        <f>LEN(TRIM(CLEAN(SUBSTITUTE(SUBSTITUTE(Table_12[[#This Row],[Sequence]],CHAR(160)," ")," ",""))))</f>
        <v/>
      </c>
      <c r="J280" s="21" t="n"/>
      <c r="K280" s="21">
        <f>IF($B280="","FALSE","TRUE")</f>
        <v/>
      </c>
      <c r="L280">
        <f t="array" ref="L280">IsURL(Table_121215[[#This Row],[Data Source]])</f>
        <v/>
      </c>
      <c r="M280">
        <f t="array" ref="M280">IsURL(Table_121215[[#This Row],[DOI]])</f>
        <v/>
      </c>
      <c r="N280">
        <f t="array" ref="N280">IsURL(Table_121215[[#This Row],[Data Source]])</f>
        <v/>
      </c>
      <c r="O280">
        <f t="array" ref="O280">IsURL(Table_121215[[#This Row],[Data Source]])</f>
        <v/>
      </c>
    </row>
    <row r="281" ht="15.75" customHeight="1">
      <c r="A281">
        <f>IF(Table_12[[#This Row],[Protein Name]]=0,"",Table_12[[#This Row],[Protein Name]])</f>
        <v/>
      </c>
      <c r="H281">
        <f>LEN(TRIM(CLEAN(SUBSTITUTE(SUBSTITUTE(Table_12[[#This Row],[Sequence]],CHAR(160)," ")," ",""))))</f>
        <v/>
      </c>
      <c r="J281" s="21" t="n"/>
      <c r="K281" s="21">
        <f>IF($B281="","FALSE","TRUE")</f>
        <v/>
      </c>
      <c r="L281">
        <f t="array" ref="L281">IsURL(Table_121215[[#This Row],[Data Source]])</f>
        <v/>
      </c>
      <c r="M281">
        <f t="array" ref="M281">IsURL(Table_121215[[#This Row],[DOI]])</f>
        <v/>
      </c>
      <c r="N281">
        <f t="array" ref="N281">IsURL(Table_121215[[#This Row],[Data Source]])</f>
        <v/>
      </c>
      <c r="O281">
        <f t="array" ref="O281">IsURL(Table_121215[[#This Row],[Data Source]])</f>
        <v/>
      </c>
    </row>
    <row r="282" ht="15.75" customHeight="1">
      <c r="A282">
        <f>IF(Table_12[[#This Row],[Protein Name]]=0,"",Table_12[[#This Row],[Protein Name]])</f>
        <v/>
      </c>
      <c r="H282">
        <f>LEN(TRIM(CLEAN(SUBSTITUTE(SUBSTITUTE(Table_12[[#This Row],[Sequence]],CHAR(160)," ")," ",""))))</f>
        <v/>
      </c>
      <c r="J282" s="21" t="n"/>
      <c r="K282" s="21">
        <f>IF($B282="","FALSE","TRUE")</f>
        <v/>
      </c>
      <c r="L282">
        <f t="array" ref="L282">IsURL(Table_121215[[#This Row],[Data Source]])</f>
        <v/>
      </c>
      <c r="M282">
        <f t="array" ref="M282">IsURL(Table_121215[[#This Row],[DOI]])</f>
        <v/>
      </c>
      <c r="N282">
        <f t="array" ref="N282">IsURL(Table_121215[[#This Row],[Data Source]])</f>
        <v/>
      </c>
      <c r="O282">
        <f t="array" ref="O282">IsURL(Table_121215[[#This Row],[Data Source]])</f>
        <v/>
      </c>
    </row>
    <row r="283" ht="15.75" customHeight="1">
      <c r="A283">
        <f>IF(Table_12[[#This Row],[Protein Name]]=0,"",Table_12[[#This Row],[Protein Name]])</f>
        <v/>
      </c>
      <c r="H283">
        <f>LEN(TRIM(CLEAN(SUBSTITUTE(SUBSTITUTE(Table_12[[#This Row],[Sequence]],CHAR(160)," ")," ",""))))</f>
        <v/>
      </c>
      <c r="J283" s="21" t="n"/>
      <c r="K283" s="21">
        <f>IF($B283="","FALSE","TRUE")</f>
        <v/>
      </c>
      <c r="L283">
        <f t="array" ref="L283">IsURL(Table_121215[[#This Row],[Data Source]])</f>
        <v/>
      </c>
      <c r="M283">
        <f t="array" ref="M283">IsURL(Table_121215[[#This Row],[DOI]])</f>
        <v/>
      </c>
      <c r="N283">
        <f t="array" ref="N283">IsURL(Table_121215[[#This Row],[Data Source]])</f>
        <v/>
      </c>
      <c r="O283">
        <f t="array" ref="O283">IsURL(Table_121215[[#This Row],[Data Source]])</f>
        <v/>
      </c>
    </row>
    <row r="284" ht="15.75" customHeight="1">
      <c r="A284">
        <f>IF(Table_12[[#This Row],[Protein Name]]=0,"",Table_12[[#This Row],[Protein Name]])</f>
        <v/>
      </c>
      <c r="H284">
        <f>LEN(TRIM(CLEAN(SUBSTITUTE(SUBSTITUTE(Table_12[[#This Row],[Sequence]],CHAR(160)," ")," ",""))))</f>
        <v/>
      </c>
      <c r="J284" s="21" t="n"/>
      <c r="K284" s="21">
        <f>IF($B284="","FALSE","TRUE")</f>
        <v/>
      </c>
      <c r="L284">
        <f t="array" ref="L284">IsURL(Table_121215[[#This Row],[Data Source]])</f>
        <v/>
      </c>
      <c r="M284">
        <f t="array" ref="M284">IsURL(Table_121215[[#This Row],[DOI]])</f>
        <v/>
      </c>
      <c r="N284">
        <f t="array" ref="N284">IsURL(Table_121215[[#This Row],[Data Source]])</f>
        <v/>
      </c>
      <c r="O284">
        <f t="array" ref="O284">IsURL(Table_121215[[#This Row],[Data Source]])</f>
        <v/>
      </c>
    </row>
    <row r="285" ht="15.75" customHeight="1">
      <c r="A285">
        <f>IF(Table_12[[#This Row],[Protein Name]]=0,"",Table_12[[#This Row],[Protein Name]])</f>
        <v/>
      </c>
      <c r="H285">
        <f>LEN(TRIM(CLEAN(SUBSTITUTE(SUBSTITUTE(Table_12[[#This Row],[Sequence]],CHAR(160)," ")," ",""))))</f>
        <v/>
      </c>
      <c r="J285" s="21" t="n"/>
      <c r="K285" s="21">
        <f>IF($B285="","FALSE","TRUE")</f>
        <v/>
      </c>
      <c r="L285">
        <f t="array" ref="L285">IsURL(Table_121215[[#This Row],[Data Source]])</f>
        <v/>
      </c>
      <c r="M285">
        <f t="array" ref="M285">IsURL(Table_121215[[#This Row],[DOI]])</f>
        <v/>
      </c>
      <c r="N285">
        <f t="array" ref="N285">IsURL(Table_121215[[#This Row],[Data Source]])</f>
        <v/>
      </c>
      <c r="O285">
        <f t="array" ref="O285">IsURL(Table_121215[[#This Row],[Data Source]])</f>
        <v/>
      </c>
    </row>
    <row r="286" ht="15.75" customHeight="1">
      <c r="A286">
        <f>IF(Table_12[[#This Row],[Protein Name]]=0,"",Table_12[[#This Row],[Protein Name]])</f>
        <v/>
      </c>
      <c r="H286">
        <f>LEN(TRIM(CLEAN(SUBSTITUTE(SUBSTITUTE(Table_12[[#This Row],[Sequence]],CHAR(160)," ")," ",""))))</f>
        <v/>
      </c>
      <c r="J286" s="21" t="n"/>
      <c r="K286" s="21">
        <f>IF($B286="","FALSE","TRUE")</f>
        <v/>
      </c>
      <c r="L286">
        <f t="array" ref="L286">IsURL(Table_121215[[#This Row],[Data Source]])</f>
        <v/>
      </c>
      <c r="M286">
        <f t="array" ref="M286">IsURL(Table_121215[[#This Row],[DOI]])</f>
        <v/>
      </c>
      <c r="N286">
        <f t="array" ref="N286">IsURL(Table_121215[[#This Row],[Data Source]])</f>
        <v/>
      </c>
      <c r="O286">
        <f t="array" ref="O286">IsURL(Table_121215[[#This Row],[Data Source]])</f>
        <v/>
      </c>
    </row>
    <row r="287" ht="15.75" customHeight="1">
      <c r="A287">
        <f>IF(Table_12[[#This Row],[Protein Name]]=0,"",Table_12[[#This Row],[Protein Name]])</f>
        <v/>
      </c>
      <c r="H287">
        <f>LEN(TRIM(CLEAN(SUBSTITUTE(SUBSTITUTE(Table_12[[#This Row],[Sequence]],CHAR(160)," ")," ",""))))</f>
        <v/>
      </c>
      <c r="J287" s="21" t="n"/>
      <c r="K287" s="21">
        <f>IF($B287="","FALSE","TRUE")</f>
        <v/>
      </c>
      <c r="L287">
        <f t="array" ref="L287">IsURL(Table_121215[[#This Row],[Data Source]])</f>
        <v/>
      </c>
      <c r="M287">
        <f t="array" ref="M287">IsURL(Table_121215[[#This Row],[DOI]])</f>
        <v/>
      </c>
      <c r="N287">
        <f t="array" ref="N287">IsURL(Table_121215[[#This Row],[Data Source]])</f>
        <v/>
      </c>
      <c r="O287">
        <f t="array" ref="O287">IsURL(Table_121215[[#This Row],[Data Source]])</f>
        <v/>
      </c>
    </row>
    <row r="288" ht="15.75" customHeight="1">
      <c r="A288">
        <f>IF(Table_12[[#This Row],[Protein Name]]=0,"",Table_12[[#This Row],[Protein Name]])</f>
        <v/>
      </c>
      <c r="H288">
        <f>LEN(TRIM(CLEAN(SUBSTITUTE(SUBSTITUTE(Table_12[[#This Row],[Sequence]],CHAR(160)," ")," ",""))))</f>
        <v/>
      </c>
      <c r="J288" s="21" t="n"/>
      <c r="K288" s="21">
        <f>IF($B288="","FALSE","TRUE")</f>
        <v/>
      </c>
      <c r="L288">
        <f t="array" ref="L288">IsURL(Table_121215[[#This Row],[Data Source]])</f>
        <v/>
      </c>
      <c r="M288">
        <f t="array" ref="M288">IsURL(Table_121215[[#This Row],[DOI]])</f>
        <v/>
      </c>
      <c r="N288">
        <f t="array" ref="N288">IsURL(Table_121215[[#This Row],[Data Source]])</f>
        <v/>
      </c>
      <c r="O288">
        <f t="array" ref="O288">IsURL(Table_121215[[#This Row],[Data Source]])</f>
        <v/>
      </c>
    </row>
    <row r="289" ht="15.75" customHeight="1">
      <c r="A289">
        <f>IF(Table_12[[#This Row],[Protein Name]]=0,"",Table_12[[#This Row],[Protein Name]])</f>
        <v/>
      </c>
      <c r="H289">
        <f>LEN(TRIM(CLEAN(SUBSTITUTE(SUBSTITUTE(Table_12[[#This Row],[Sequence]],CHAR(160)," ")," ",""))))</f>
        <v/>
      </c>
      <c r="J289" s="21" t="n"/>
      <c r="K289" s="21">
        <f>IF($B289="","FALSE","TRUE")</f>
        <v/>
      </c>
      <c r="L289">
        <f t="array" ref="L289">IsURL(Table_121215[[#This Row],[Data Source]])</f>
        <v/>
      </c>
      <c r="M289">
        <f t="array" ref="M289">IsURL(Table_121215[[#This Row],[DOI]])</f>
        <v/>
      </c>
      <c r="N289">
        <f t="array" ref="N289">IsURL(Table_121215[[#This Row],[Data Source]])</f>
        <v/>
      </c>
      <c r="O289">
        <f t="array" ref="O289">IsURL(Table_121215[[#This Row],[Data Source]])</f>
        <v/>
      </c>
    </row>
    <row r="290" ht="15.75" customHeight="1">
      <c r="A290">
        <f>IF(Table_12[[#This Row],[Protein Name]]=0,"",Table_12[[#This Row],[Protein Name]])</f>
        <v/>
      </c>
      <c r="H290">
        <f>LEN(TRIM(CLEAN(SUBSTITUTE(SUBSTITUTE(Table_12[[#This Row],[Sequence]],CHAR(160)," ")," ",""))))</f>
        <v/>
      </c>
      <c r="J290" s="21" t="n"/>
      <c r="K290" s="21">
        <f>IF($B290="","FALSE","TRUE")</f>
        <v/>
      </c>
      <c r="L290">
        <f t="array" ref="L290">IsURL(Table_121215[[#This Row],[Data Source]])</f>
        <v/>
      </c>
      <c r="M290">
        <f t="array" ref="M290">IsURL(Table_121215[[#This Row],[DOI]])</f>
        <v/>
      </c>
      <c r="N290">
        <f t="array" ref="N290">IsURL(Table_121215[[#This Row],[Data Source]])</f>
        <v/>
      </c>
      <c r="O290">
        <f t="array" ref="O290">IsURL(Table_121215[[#This Row],[Data Source]])</f>
        <v/>
      </c>
    </row>
    <row r="291" ht="15.75" customHeight="1">
      <c r="A291">
        <f>IF(Table_12[[#This Row],[Protein Name]]=0,"",Table_12[[#This Row],[Protein Name]])</f>
        <v/>
      </c>
      <c r="H291">
        <f>LEN(TRIM(CLEAN(SUBSTITUTE(SUBSTITUTE(Table_12[[#This Row],[Sequence]],CHAR(160)," ")," ",""))))</f>
        <v/>
      </c>
      <c r="J291" s="21" t="n"/>
      <c r="K291" s="21">
        <f>IF($B291="","FALSE","TRUE")</f>
        <v/>
      </c>
      <c r="L291">
        <f t="array" ref="L291">IsURL(Table_121215[[#This Row],[Data Source]])</f>
        <v/>
      </c>
      <c r="M291">
        <f t="array" ref="M291">IsURL(Table_121215[[#This Row],[DOI]])</f>
        <v/>
      </c>
      <c r="N291">
        <f t="array" ref="N291">IsURL(Table_121215[[#This Row],[Data Source]])</f>
        <v/>
      </c>
      <c r="O291">
        <f t="array" ref="O291">IsURL(Table_121215[[#This Row],[Data Source]])</f>
        <v/>
      </c>
    </row>
    <row r="292" ht="15.75" customHeight="1">
      <c r="A292">
        <f>IF(Table_12[[#This Row],[Protein Name]]=0,"",Table_12[[#This Row],[Protein Name]])</f>
        <v/>
      </c>
      <c r="H292">
        <f>LEN(TRIM(CLEAN(SUBSTITUTE(SUBSTITUTE(Table_12[[#This Row],[Sequence]],CHAR(160)," ")," ",""))))</f>
        <v/>
      </c>
      <c r="J292" s="21" t="n"/>
      <c r="K292" s="21">
        <f>IF($B292="","FALSE","TRUE")</f>
        <v/>
      </c>
      <c r="L292">
        <f t="array" ref="L292">IsURL(Table_121215[[#This Row],[Data Source]])</f>
        <v/>
      </c>
      <c r="M292">
        <f t="array" ref="M292">IsURL(Table_121215[[#This Row],[DOI]])</f>
        <v/>
      </c>
      <c r="N292">
        <f t="array" ref="N292">IsURL(Table_121215[[#This Row],[Data Source]])</f>
        <v/>
      </c>
      <c r="O292">
        <f t="array" ref="O292">IsURL(Table_121215[[#This Row],[Data Source]])</f>
        <v/>
      </c>
    </row>
    <row r="293" ht="15.75" customHeight="1">
      <c r="A293">
        <f>IF(Table_12[[#This Row],[Protein Name]]=0,"",Table_12[[#This Row],[Protein Name]])</f>
        <v/>
      </c>
      <c r="H293">
        <f>LEN(TRIM(CLEAN(SUBSTITUTE(SUBSTITUTE(Table_12[[#This Row],[Sequence]],CHAR(160)," ")," ",""))))</f>
        <v/>
      </c>
      <c r="J293" s="21" t="n"/>
      <c r="K293" s="21">
        <f>IF($B293="","FALSE","TRUE")</f>
        <v/>
      </c>
      <c r="L293">
        <f t="array" ref="L293">IsURL(Table_121215[[#This Row],[Data Source]])</f>
        <v/>
      </c>
      <c r="M293">
        <f t="array" ref="M293">IsURL(Table_121215[[#This Row],[DOI]])</f>
        <v/>
      </c>
      <c r="N293">
        <f t="array" ref="N293">IsURL(Table_121215[[#This Row],[Data Source]])</f>
        <v/>
      </c>
      <c r="O293">
        <f t="array" ref="O293">IsURL(Table_121215[[#This Row],[Data Source]])</f>
        <v/>
      </c>
    </row>
    <row r="294" ht="15.75" customHeight="1">
      <c r="A294">
        <f>IF(Table_12[[#This Row],[Protein Name]]=0,"",Table_12[[#This Row],[Protein Name]])</f>
        <v/>
      </c>
      <c r="H294">
        <f>LEN(TRIM(CLEAN(SUBSTITUTE(SUBSTITUTE(Table_12[[#This Row],[Sequence]],CHAR(160)," ")," ",""))))</f>
        <v/>
      </c>
      <c r="J294" s="21" t="n"/>
      <c r="K294" s="21">
        <f>IF($B294="","FALSE","TRUE")</f>
        <v/>
      </c>
      <c r="L294">
        <f t="array" ref="L294">IsURL(Table_121215[[#This Row],[Data Source]])</f>
        <v/>
      </c>
      <c r="M294">
        <f t="array" ref="M294">IsURL(Table_121215[[#This Row],[DOI]])</f>
        <v/>
      </c>
      <c r="N294">
        <f t="array" ref="N294">IsURL(Table_121215[[#This Row],[Data Source]])</f>
        <v/>
      </c>
      <c r="O294">
        <f t="array" ref="O294">IsURL(Table_121215[[#This Row],[Data Source]])</f>
        <v/>
      </c>
    </row>
    <row r="295" ht="15.75" customHeight="1">
      <c r="A295">
        <f>IF(Table_12[[#This Row],[Protein Name]]=0,"",Table_12[[#This Row],[Protein Name]])</f>
        <v/>
      </c>
      <c r="H295">
        <f>LEN(TRIM(CLEAN(SUBSTITUTE(SUBSTITUTE(Table_12[[#This Row],[Sequence]],CHAR(160)," ")," ",""))))</f>
        <v/>
      </c>
      <c r="J295" s="21" t="n"/>
      <c r="K295" s="21">
        <f>IF($B295="","FALSE","TRUE")</f>
        <v/>
      </c>
      <c r="L295">
        <f t="array" ref="L295">IsURL(Table_121215[[#This Row],[Data Source]])</f>
        <v/>
      </c>
      <c r="M295">
        <f t="array" ref="M295">IsURL(Table_121215[[#This Row],[DOI]])</f>
        <v/>
      </c>
      <c r="N295">
        <f t="array" ref="N295">IsURL(Table_121215[[#This Row],[Data Source]])</f>
        <v/>
      </c>
      <c r="O295">
        <f t="array" ref="O295">IsURL(Table_121215[[#This Row],[Data Source]])</f>
        <v/>
      </c>
    </row>
    <row r="296" ht="15.75" customHeight="1">
      <c r="A296">
        <f>IF(Table_12[[#This Row],[Protein Name]]=0,"",Table_12[[#This Row],[Protein Name]])</f>
        <v/>
      </c>
      <c r="H296">
        <f>LEN(TRIM(CLEAN(SUBSTITUTE(SUBSTITUTE(Table_12[[#This Row],[Sequence]],CHAR(160)," ")," ",""))))</f>
        <v/>
      </c>
      <c r="J296" s="21" t="n"/>
      <c r="K296" s="21">
        <f>IF($B296="","FALSE","TRUE")</f>
        <v/>
      </c>
      <c r="L296">
        <f t="array" ref="L296">IsURL(Table_121215[[#This Row],[Data Source]])</f>
        <v/>
      </c>
      <c r="M296">
        <f t="array" ref="M296">IsURL(Table_121215[[#This Row],[DOI]])</f>
        <v/>
      </c>
      <c r="N296">
        <f t="array" ref="N296">IsURL(Table_121215[[#This Row],[Data Source]])</f>
        <v/>
      </c>
      <c r="O296">
        <f t="array" ref="O296">IsURL(Table_121215[[#This Row],[Data Source]])</f>
        <v/>
      </c>
    </row>
    <row r="297" ht="15.75" customHeight="1">
      <c r="A297">
        <f>IF(Table_12[[#This Row],[Protein Name]]=0,"",Table_12[[#This Row],[Protein Name]])</f>
        <v/>
      </c>
      <c r="H297">
        <f>LEN(TRIM(CLEAN(SUBSTITUTE(SUBSTITUTE(Table_12[[#This Row],[Sequence]],CHAR(160)," ")," ",""))))</f>
        <v/>
      </c>
      <c r="J297" s="21" t="n"/>
      <c r="K297" s="21">
        <f>IF($B297="","FALSE","TRUE")</f>
        <v/>
      </c>
      <c r="L297">
        <f t="array" ref="L297">IsURL(Table_121215[[#This Row],[Data Source]])</f>
        <v/>
      </c>
      <c r="M297">
        <f t="array" ref="M297">IsURL(Table_121215[[#This Row],[DOI]])</f>
        <v/>
      </c>
      <c r="N297">
        <f t="array" ref="N297">IsURL(Table_121215[[#This Row],[Data Source]])</f>
        <v/>
      </c>
      <c r="O297">
        <f t="array" ref="O297">IsURL(Table_121215[[#This Row],[Data Source]])</f>
        <v/>
      </c>
    </row>
    <row r="298" ht="15.75" customHeight="1">
      <c r="A298">
        <f>IF(Table_12[[#This Row],[Protein Name]]=0,"",Table_12[[#This Row],[Protein Name]])</f>
        <v/>
      </c>
      <c r="H298">
        <f>LEN(TRIM(CLEAN(SUBSTITUTE(SUBSTITUTE(Table_12[[#This Row],[Sequence]],CHAR(160)," ")," ",""))))</f>
        <v/>
      </c>
      <c r="J298" s="21" t="n"/>
      <c r="K298" s="21">
        <f>IF($B298="","FALSE","TRUE")</f>
        <v/>
      </c>
      <c r="L298">
        <f t="array" ref="L298">IsURL(Table_121215[[#This Row],[Data Source]])</f>
        <v/>
      </c>
      <c r="M298">
        <f t="array" ref="M298">IsURL(Table_121215[[#This Row],[DOI]])</f>
        <v/>
      </c>
      <c r="N298">
        <f t="array" ref="N298">IsURL(Table_121215[[#This Row],[Data Source]])</f>
        <v/>
      </c>
      <c r="O298">
        <f t="array" ref="O298">IsURL(Table_121215[[#This Row],[Data Source]])</f>
        <v/>
      </c>
    </row>
    <row r="299" ht="15.75" customHeight="1">
      <c r="A299">
        <f>IF(Table_12[[#This Row],[Protein Name]]=0,"",Table_12[[#This Row],[Protein Name]])</f>
        <v/>
      </c>
      <c r="H299">
        <f>LEN(TRIM(CLEAN(SUBSTITUTE(SUBSTITUTE(Table_12[[#This Row],[Sequence]],CHAR(160)," ")," ",""))))</f>
        <v/>
      </c>
      <c r="J299" s="21" t="n"/>
      <c r="K299" s="21">
        <f>IF($B299="","FALSE","TRUE")</f>
        <v/>
      </c>
      <c r="L299">
        <f t="array" ref="L299">IsURL(Table_121215[[#This Row],[Data Source]])</f>
        <v/>
      </c>
      <c r="M299">
        <f t="array" ref="M299">IsURL(Table_121215[[#This Row],[DOI]])</f>
        <v/>
      </c>
      <c r="N299">
        <f t="array" ref="N299">IsURL(Table_121215[[#This Row],[Data Source]])</f>
        <v/>
      </c>
      <c r="O299">
        <f t="array" ref="O299">IsURL(Table_121215[[#This Row],[Data Source]])</f>
        <v/>
      </c>
    </row>
    <row r="300" ht="15.75" customHeight="1">
      <c r="A300">
        <f>IF(Table_12[[#This Row],[Protein Name]]=0,"",Table_12[[#This Row],[Protein Name]])</f>
        <v/>
      </c>
      <c r="H300">
        <f>LEN(TRIM(CLEAN(SUBSTITUTE(SUBSTITUTE(Table_12[[#This Row],[Sequence]],CHAR(160)," ")," ",""))))</f>
        <v/>
      </c>
      <c r="J300" s="21" t="n"/>
      <c r="K300" s="21">
        <f>IF($B300="","FALSE","TRUE")</f>
        <v/>
      </c>
      <c r="L300">
        <f t="array" ref="L300">IsURL(Table_121215[[#This Row],[Data Source]])</f>
        <v/>
      </c>
      <c r="M300">
        <f t="array" ref="M300">IsURL(Table_121215[[#This Row],[DOI]])</f>
        <v/>
      </c>
      <c r="N300">
        <f t="array" ref="N300">IsURL(Table_121215[[#This Row],[Data Source]])</f>
        <v/>
      </c>
      <c r="O300">
        <f t="array" ref="O300">IsURL(Table_121215[[#This Row],[Data Source]])</f>
        <v/>
      </c>
    </row>
    <row r="301" ht="15.75" customHeight="1">
      <c r="A301">
        <f>IF(Table_12[[#This Row],[Protein Name]]=0,"",Table_12[[#This Row],[Protein Name]])</f>
        <v/>
      </c>
      <c r="B301" t="inlineStr">
        <is>
          <t>Test1_Protein</t>
        </is>
      </c>
      <c r="H301">
        <f>LEN(TRIM(CLEAN(SUBSTITUTE(SUBSTITUTE(Table_12[[#This Row],[Sequence]],CHAR(160)," ")," ",""))))</f>
        <v/>
      </c>
      <c r="I301" t="inlineStr">
        <is>
          <t>MFRPIGSA</t>
        </is>
      </c>
      <c r="J301" s="21" t="n"/>
      <c r="K301" s="21">
        <f>IF($B301="","FALSE","TRUE")</f>
        <v/>
      </c>
      <c r="L301">
        <f t="array" ref="L301">IsURL(Table_121215[[#This Row],[Data Source]])</f>
        <v/>
      </c>
      <c r="M301">
        <f t="array" ref="M301">IsURL(Table_121215[[#This Row],[DOI]])</f>
        <v/>
      </c>
      <c r="N301">
        <f t="array" ref="N301">IsURL(Table_121215[[#This Row],[Data Source]])</f>
        <v/>
      </c>
      <c r="O301">
        <f t="array" ref="O301">IsURL(Table_121215[[#This Row],[Data Source]])</f>
        <v/>
      </c>
    </row>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sheetData>
  <conditionalFormatting sqref="B5:B301">
    <cfRule type="expression" priority="11" dxfId="6" stopIfTrue="1">
      <formula>ISBLANK(B5)</formula>
    </cfRule>
  </conditionalFormatting>
  <conditionalFormatting sqref="I5:I301">
    <cfRule type="duplicateValues" priority="2" dxfId="6"/>
  </conditionalFormatting>
  <dataValidations count="3">
    <dataValidation sqref="K5:K301" showErrorMessage="1" showInputMessage="1" allowBlank="0" type="list">
      <formula1>"TRUE, FALSE"</formula1>
    </dataValidation>
    <dataValidation sqref="E5:E301" showErrorMessage="1" showInputMessage="1" allowBlank="0" errorTitle="Invalid URL" error="The URL entered seems to be invalid, please check again." type="custom">
      <formula1>#REF!</formula1>
    </dataValidation>
    <dataValidation sqref="I5:I301" showErrorMessage="1" showInputMessage="1" allowBlank="0" type="custom">
      <formula1>AND(COUNTIF($I$1:$I$301,I5)=1,CODE(MID(I5,1,1))&gt;=65)</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11.xml><?xml version="1.0" encoding="utf-8"?>
<worksheet xmlns="http://schemas.openxmlformats.org/spreadsheetml/2006/main">
  <sheetPr codeName="Sheet8">
    <outlinePr summaryBelow="1" summaryRight="1"/>
    <pageSetUpPr/>
  </sheetPr>
  <dimension ref="A3:N300"/>
  <sheetViews>
    <sheetView topLeftCell="B1" zoomScale="131" zoomScaleNormal="160" workbookViewId="0">
      <selection activeCell="K1" sqref="K1:N1048576"/>
    </sheetView>
  </sheetViews>
  <sheetFormatPr baseColWidth="10" defaultColWidth="8.6640625" defaultRowHeight="15"/>
  <cols>
    <col hidden="1" width="26.5" customWidth="1" min="1" max="1"/>
    <col width="17" bestFit="1" customWidth="1" min="2" max="2"/>
    <col width="23.6640625" bestFit="1" customWidth="1" min="3" max="3"/>
    <col width="22.33203125" bestFit="1" customWidth="1" min="4" max="4"/>
    <col width="14.33203125" bestFit="1" customWidth="1" min="5" max="5"/>
    <col width="13" bestFit="1" customWidth="1" min="6" max="6"/>
    <col width="7" bestFit="1" customWidth="1" min="7" max="7"/>
    <col width="18.33203125" bestFit="1" customWidth="1" min="8" max="8"/>
    <col width="6.83203125" bestFit="1" customWidth="1" min="9" max="9"/>
    <col width="10" bestFit="1" customWidth="1" min="10" max="10"/>
    <col hidden="1" width="27.83203125" customWidth="1" min="11" max="11"/>
    <col hidden="1" width="20.33203125" customWidth="1" min="12" max="12"/>
    <col hidden="1" width="27.83203125" customWidth="1" min="13" max="14"/>
    <col width="8.5" bestFit="1" customWidth="1" min="15" max="26"/>
    <col width="12.5" bestFit="1" customWidth="1" min="27" max="27"/>
  </cols>
  <sheetData>
    <row r="1" ht="15.75" customHeight="1"/>
    <row r="2" ht="15.75" customHeight="1"/>
    <row r="3" ht="15.75" customHeight="1">
      <c r="A3" t="inlineStr">
        <is>
          <t>This ID is used to reference the complexes in the other sheets.</t>
        </is>
      </c>
      <c r="B3" t="inlineStr">
        <is>
          <t>This is the name shown in the display id once uploaded to SynBioHub. Choose something human friendly. E.g. GFP Reporter</t>
        </is>
      </c>
      <c r="D3" t="inlineStr">
        <is>
          <t>A description of how the part is meant to function and any information about the part that is not to do with how it was designed.</t>
        </is>
      </c>
      <c r="E3" t="inlineStr">
        <is>
          <t>Where is the information about this part coming from? Provide a direct link to the part. This field has priority 1, and is preferred over PubMed Id and DOI, but feel free to add them if you have the information</t>
        </is>
      </c>
      <c r="F3" t="inlineStr">
        <is>
          <t>Provide a PubMed Id for the part. This field has priority 2, and is preferred over DOI, but feel free to add it if you have the information</t>
        </is>
      </c>
      <c r="G3" t="inlineStr">
        <is>
          <t>Provide a DOI for the part. This field has priority 2, and is preferred over DOI, but feel free to add it if you have the information</t>
        </is>
      </c>
      <c r="H3" t="inlineStr">
        <is>
          <t>Add the protein id for the protein that is part of this complex</t>
        </is>
      </c>
      <c r="K3" s="22" t="inlineStr">
        <is>
          <t>DO NOT CHANGE</t>
        </is>
      </c>
      <c r="L3" s="22" t="inlineStr">
        <is>
          <t>DO NOT CHANGE</t>
        </is>
      </c>
      <c r="M3" s="22" t="inlineStr">
        <is>
          <t>DO NOT CHANGE</t>
        </is>
      </c>
      <c r="N3" s="22" t="inlineStr">
        <is>
          <t>DO NOT CHANGE</t>
        </is>
      </c>
    </row>
    <row r="4" ht="15.75" customHeight="1">
      <c r="A4" t="inlineStr">
        <is>
          <t>Complex ID</t>
        </is>
      </c>
      <c r="B4" t="inlineStr">
        <is>
          <t>Complex Name</t>
        </is>
      </c>
      <c r="C4" t="inlineStr">
        <is>
          <t>Previous Version (URI)</t>
        </is>
      </c>
      <c r="D4" t="inlineStr">
        <is>
          <t>Complex Description</t>
        </is>
      </c>
      <c r="E4" t="inlineStr">
        <is>
          <t>Data Source</t>
        </is>
      </c>
      <c r="F4" t="inlineStr">
        <is>
          <t>PubMed Id</t>
        </is>
      </c>
      <c r="G4" t="inlineStr">
        <is>
          <t>DOI</t>
        </is>
      </c>
      <c r="H4" t="inlineStr">
        <is>
          <t>Components IDs</t>
        </is>
      </c>
      <c r="I4" s="20" t="inlineStr">
        <is>
          <t>URI</t>
        </is>
      </c>
      <c r="J4" s="20" t="inlineStr">
        <is>
          <t>Update</t>
        </is>
      </c>
      <c r="K4" s="23" t="inlineStr">
        <is>
          <t>URL Checker - Data Source</t>
        </is>
      </c>
      <c r="L4" s="24" t="inlineStr">
        <is>
          <t>URL Checker - DOI</t>
        </is>
      </c>
      <c r="M4" s="23" t="inlineStr">
        <is>
          <t>URL Checker - Previous Version</t>
        </is>
      </c>
      <c r="N4" s="23" t="inlineStr">
        <is>
          <t>URL Checker - URI</t>
        </is>
      </c>
    </row>
    <row r="5" ht="15.75" customHeight="1">
      <c r="A5">
        <f>IF(Table_1211[[#This Row],[Complex Name]]=0,"",Table_1211[[#This Row],[Complex Name]])</f>
        <v/>
      </c>
      <c r="I5" s="21" t="n"/>
      <c r="J5" s="21">
        <f>IF($B5="","FALSE","TRUE")</f>
        <v/>
      </c>
      <c r="K5">
        <f t="array" ref="K5">IsURL(Table_121215[[#This Row],[Data Source]])</f>
        <v/>
      </c>
      <c r="L5">
        <f t="array" ref="L5">IsURL(Table_121215[[#This Row],[DOI]])</f>
        <v/>
      </c>
      <c r="M5">
        <f t="array" ref="M5">IsURL(Table_121215[[#This Row],[Data Source]])</f>
        <v/>
      </c>
      <c r="N5">
        <f t="array" ref="N5">IsURL(Table_121215[[#This Row],[Data Source]])</f>
        <v/>
      </c>
    </row>
    <row r="6" ht="15.75" customHeight="1">
      <c r="A6">
        <f>IF(Table_1211[[#This Row],[Complex Name]]=0,"",Table_1211[[#This Row],[Complex Name]])</f>
        <v/>
      </c>
      <c r="I6" s="21" t="n"/>
      <c r="J6" s="21">
        <f>IF($B6="","FALSE","TRUE")</f>
        <v/>
      </c>
      <c r="K6">
        <f t="array" ref="K6">IsURL(Table_121215[[#This Row],[Data Source]])</f>
        <v/>
      </c>
      <c r="L6">
        <f t="array" ref="L6">IsURL(Table_121215[[#This Row],[DOI]])</f>
        <v/>
      </c>
      <c r="M6">
        <f t="array" ref="M6">IsURL(Table_121215[[#This Row],[Data Source]])</f>
        <v/>
      </c>
      <c r="N6">
        <f t="array" ref="N6">IsURL(Table_121215[[#This Row],[Data Source]])</f>
        <v/>
      </c>
    </row>
    <row r="7" ht="15.75" customHeight="1">
      <c r="A7">
        <f>IF(Table_1211[[#This Row],[Complex Name]]=0,"",Table_1211[[#This Row],[Complex Name]])</f>
        <v/>
      </c>
      <c r="I7" s="21" t="n"/>
      <c r="J7" s="21">
        <f>IF($B7="","FALSE","TRUE")</f>
        <v/>
      </c>
      <c r="K7">
        <f t="array" ref="K7">IsURL(Table_121215[[#This Row],[Data Source]])</f>
        <v/>
      </c>
      <c r="L7">
        <f t="array" ref="L7">IsURL(Table_121215[[#This Row],[DOI]])</f>
        <v/>
      </c>
      <c r="M7">
        <f t="array" ref="M7">IsURL(Table_121215[[#This Row],[Data Source]])</f>
        <v/>
      </c>
      <c r="N7">
        <f t="array" ref="N7">IsURL(Table_121215[[#This Row],[Data Source]])</f>
        <v/>
      </c>
    </row>
    <row r="8" ht="15.75" customHeight="1">
      <c r="A8">
        <f>IF(Table_1211[[#This Row],[Complex Name]]=0,"",Table_1211[[#This Row],[Complex Name]])</f>
        <v/>
      </c>
      <c r="I8" s="21" t="n"/>
      <c r="J8" s="21">
        <f>IF($B8="","FALSE","TRUE")</f>
        <v/>
      </c>
      <c r="K8">
        <f t="array" ref="K8">IsURL(Table_121215[[#This Row],[Data Source]])</f>
        <v/>
      </c>
      <c r="L8">
        <f t="array" ref="L8">IsURL(Table_121215[[#This Row],[DOI]])</f>
        <v/>
      </c>
      <c r="M8">
        <f t="array" ref="M8">IsURL(Table_121215[[#This Row],[Data Source]])</f>
        <v/>
      </c>
      <c r="N8">
        <f t="array" ref="N8">IsURL(Table_121215[[#This Row],[Data Source]])</f>
        <v/>
      </c>
    </row>
    <row r="9" ht="15.75" customHeight="1">
      <c r="A9">
        <f>IF(Table_1211[[#This Row],[Complex Name]]=0,"",Table_1211[[#This Row],[Complex Name]])</f>
        <v/>
      </c>
      <c r="I9" s="21" t="n"/>
      <c r="J9" s="21">
        <f>IF($B9="","FALSE","TRUE")</f>
        <v/>
      </c>
      <c r="K9">
        <f t="array" ref="K9">IsURL(Table_121215[[#This Row],[Data Source]])</f>
        <v/>
      </c>
      <c r="L9">
        <f t="array" ref="L9">IsURL(Table_121215[[#This Row],[DOI]])</f>
        <v/>
      </c>
      <c r="M9">
        <f t="array" ref="M9">IsURL(Table_121215[[#This Row],[Data Source]])</f>
        <v/>
      </c>
      <c r="N9">
        <f t="array" ref="N9">IsURL(Table_121215[[#This Row],[Data Source]])</f>
        <v/>
      </c>
    </row>
    <row r="10" ht="15.75" customHeight="1">
      <c r="A10">
        <f>IF(Table_1211[[#This Row],[Complex Name]]=0,"",Table_1211[[#This Row],[Complex Name]])</f>
        <v/>
      </c>
      <c r="I10" s="21" t="n"/>
      <c r="J10" s="21">
        <f>IF($B10="","FALSE","TRUE")</f>
        <v/>
      </c>
      <c r="K10">
        <f t="array" ref="K10">IsURL(Table_121215[[#This Row],[Data Source]])</f>
        <v/>
      </c>
      <c r="L10">
        <f t="array" ref="L10">IsURL(Table_121215[[#This Row],[DOI]])</f>
        <v/>
      </c>
      <c r="M10">
        <f t="array" ref="M10">IsURL(Table_121215[[#This Row],[Data Source]])</f>
        <v/>
      </c>
      <c r="N10">
        <f t="array" ref="N10">IsURL(Table_121215[[#This Row],[Data Source]])</f>
        <v/>
      </c>
    </row>
    <row r="11" ht="15.75" customHeight="1">
      <c r="A11">
        <f>IF(Table_1211[[#This Row],[Complex Name]]=0,"",Table_1211[[#This Row],[Complex Name]])</f>
        <v/>
      </c>
      <c r="I11" s="21" t="n"/>
      <c r="J11" s="21">
        <f>IF($B11="","FALSE","TRUE")</f>
        <v/>
      </c>
      <c r="K11">
        <f t="array" ref="K11">IsURL(Table_121215[[#This Row],[Data Source]])</f>
        <v/>
      </c>
      <c r="L11">
        <f t="array" ref="L11">IsURL(Table_121215[[#This Row],[DOI]])</f>
        <v/>
      </c>
      <c r="M11">
        <f t="array" ref="M11">IsURL(Table_121215[[#This Row],[Data Source]])</f>
        <v/>
      </c>
      <c r="N11">
        <f t="array" ref="N11">IsURL(Table_121215[[#This Row],[Data Source]])</f>
        <v/>
      </c>
    </row>
    <row r="12" ht="15.75" customHeight="1">
      <c r="A12">
        <f>IF(Table_1211[[#This Row],[Complex Name]]=0,"",Table_1211[[#This Row],[Complex Name]])</f>
        <v/>
      </c>
      <c r="I12" s="21" t="n"/>
      <c r="J12" s="21">
        <f>IF($B12="","FALSE","TRUE")</f>
        <v/>
      </c>
      <c r="K12">
        <f t="array" ref="K12">IsURL(Table_121215[[#This Row],[Data Source]])</f>
        <v/>
      </c>
      <c r="L12">
        <f t="array" ref="L12">IsURL(Table_121215[[#This Row],[DOI]])</f>
        <v/>
      </c>
      <c r="M12">
        <f t="array" ref="M12">IsURL(Table_121215[[#This Row],[Data Source]])</f>
        <v/>
      </c>
      <c r="N12">
        <f t="array" ref="N12">IsURL(Table_121215[[#This Row],[Data Source]])</f>
        <v/>
      </c>
    </row>
    <row r="13" ht="15.75" customHeight="1">
      <c r="A13">
        <f>IF(Table_1211[[#This Row],[Complex Name]]=0,"",Table_1211[[#This Row],[Complex Name]])</f>
        <v/>
      </c>
      <c r="I13" s="21" t="n"/>
      <c r="J13" s="21">
        <f>IF($B13="","FALSE","TRUE")</f>
        <v/>
      </c>
      <c r="K13">
        <f t="array" ref="K13">IsURL(Table_121215[[#This Row],[Data Source]])</f>
        <v/>
      </c>
      <c r="L13">
        <f t="array" ref="L13">IsURL(Table_121215[[#This Row],[DOI]])</f>
        <v/>
      </c>
      <c r="M13">
        <f t="array" ref="M13">IsURL(Table_121215[[#This Row],[Data Source]])</f>
        <v/>
      </c>
      <c r="N13">
        <f t="array" ref="N13">IsURL(Table_121215[[#This Row],[Data Source]])</f>
        <v/>
      </c>
    </row>
    <row r="14" ht="15.75" customHeight="1">
      <c r="A14">
        <f>IF(Table_1211[[#This Row],[Complex Name]]=0,"",Table_1211[[#This Row],[Complex Name]])</f>
        <v/>
      </c>
      <c r="I14" s="21" t="n"/>
      <c r="J14" s="21">
        <f>IF($B14="","FALSE","TRUE")</f>
        <v/>
      </c>
      <c r="K14">
        <f t="array" ref="K14">IsURL(Table_121215[[#This Row],[Data Source]])</f>
        <v/>
      </c>
      <c r="L14">
        <f t="array" ref="L14">IsURL(Table_121215[[#This Row],[DOI]])</f>
        <v/>
      </c>
      <c r="M14">
        <f t="array" ref="M14">IsURL(Table_121215[[#This Row],[Data Source]])</f>
        <v/>
      </c>
      <c r="N14">
        <f t="array" ref="N14">IsURL(Table_121215[[#This Row],[Data Source]])</f>
        <v/>
      </c>
    </row>
    <row r="15" ht="15.75" customHeight="1">
      <c r="A15">
        <f>IF(Table_1211[[#This Row],[Complex Name]]=0,"",Table_1211[[#This Row],[Complex Name]])</f>
        <v/>
      </c>
      <c r="I15" s="21" t="n"/>
      <c r="J15" s="21">
        <f>IF($B15="","FALSE","TRUE")</f>
        <v/>
      </c>
      <c r="K15">
        <f t="array" ref="K15">IsURL(Table_121215[[#This Row],[Data Source]])</f>
        <v/>
      </c>
      <c r="L15">
        <f t="array" ref="L15">IsURL(Table_121215[[#This Row],[DOI]])</f>
        <v/>
      </c>
      <c r="M15">
        <f t="array" ref="M15">IsURL(Table_121215[[#This Row],[Data Source]])</f>
        <v/>
      </c>
      <c r="N15">
        <f t="array" ref="N15">IsURL(Table_121215[[#This Row],[Data Source]])</f>
        <v/>
      </c>
    </row>
    <row r="16" ht="15.75" customHeight="1">
      <c r="A16">
        <f>IF(Table_1211[[#This Row],[Complex Name]]=0,"",Table_1211[[#This Row],[Complex Name]])</f>
        <v/>
      </c>
      <c r="I16" s="21" t="n"/>
      <c r="J16" s="21">
        <f>IF($B16="","FALSE","TRUE")</f>
        <v/>
      </c>
      <c r="K16">
        <f t="array" ref="K16">IsURL(Table_121215[[#This Row],[Data Source]])</f>
        <v/>
      </c>
      <c r="L16">
        <f t="array" ref="L16">IsURL(Table_121215[[#This Row],[DOI]])</f>
        <v/>
      </c>
      <c r="M16">
        <f t="array" ref="M16">IsURL(Table_121215[[#This Row],[Data Source]])</f>
        <v/>
      </c>
      <c r="N16">
        <f t="array" ref="N16">IsURL(Table_121215[[#This Row],[Data Source]])</f>
        <v/>
      </c>
    </row>
    <row r="17" ht="15.75" customHeight="1">
      <c r="A17">
        <f>IF(Table_1211[[#This Row],[Complex Name]]=0,"",Table_1211[[#This Row],[Complex Name]])</f>
        <v/>
      </c>
      <c r="I17" s="21" t="n"/>
      <c r="J17" s="21">
        <f>IF($B17="","FALSE","TRUE")</f>
        <v/>
      </c>
      <c r="K17">
        <f t="array" ref="K17">IsURL(Table_121215[[#This Row],[Data Source]])</f>
        <v/>
      </c>
      <c r="L17">
        <f t="array" ref="L17">IsURL(Table_121215[[#This Row],[DOI]])</f>
        <v/>
      </c>
      <c r="M17">
        <f t="array" ref="M17">IsURL(Table_121215[[#This Row],[Data Source]])</f>
        <v/>
      </c>
      <c r="N17">
        <f t="array" ref="N17">IsURL(Table_121215[[#This Row],[Data Source]])</f>
        <v/>
      </c>
    </row>
    <row r="18" ht="15.75" customHeight="1">
      <c r="A18">
        <f>IF(Table_1211[[#This Row],[Complex Name]]=0,"",Table_1211[[#This Row],[Complex Name]])</f>
        <v/>
      </c>
      <c r="I18" s="21" t="n"/>
      <c r="J18" s="21">
        <f>IF($B18="","FALSE","TRUE")</f>
        <v/>
      </c>
      <c r="K18">
        <f t="array" ref="K18">IsURL(Table_121215[[#This Row],[Data Source]])</f>
        <v/>
      </c>
      <c r="L18">
        <f t="array" ref="L18">IsURL(Table_121215[[#This Row],[DOI]])</f>
        <v/>
      </c>
      <c r="M18">
        <f t="array" ref="M18">IsURL(Table_121215[[#This Row],[Data Source]])</f>
        <v/>
      </c>
      <c r="N18">
        <f t="array" ref="N18">IsURL(Table_121215[[#This Row],[Data Source]])</f>
        <v/>
      </c>
    </row>
    <row r="19" ht="15.75" customHeight="1">
      <c r="A19">
        <f>IF(Table_1211[[#This Row],[Complex Name]]=0,"",Table_1211[[#This Row],[Complex Name]])</f>
        <v/>
      </c>
      <c r="I19" s="21" t="n"/>
      <c r="J19" s="21">
        <f>IF($B19="","FALSE","TRUE")</f>
        <v/>
      </c>
      <c r="K19">
        <f t="array" ref="K19">IsURL(Table_121215[[#This Row],[Data Source]])</f>
        <v/>
      </c>
      <c r="L19">
        <f t="array" ref="L19">IsURL(Table_121215[[#This Row],[DOI]])</f>
        <v/>
      </c>
      <c r="M19">
        <f t="array" ref="M19">IsURL(Table_121215[[#This Row],[Data Source]])</f>
        <v/>
      </c>
      <c r="N19">
        <f t="array" ref="N19">IsURL(Table_121215[[#This Row],[Data Source]])</f>
        <v/>
      </c>
    </row>
    <row r="20" ht="15.75" customHeight="1">
      <c r="A20">
        <f>IF(Table_1211[[#This Row],[Complex Name]]=0,"",Table_1211[[#This Row],[Complex Name]])</f>
        <v/>
      </c>
      <c r="I20" s="21" t="n"/>
      <c r="J20" s="21">
        <f>IF($B20="","FALSE","TRUE")</f>
        <v/>
      </c>
      <c r="K20">
        <f t="array" ref="K20">IsURL(Table_121215[[#This Row],[Data Source]])</f>
        <v/>
      </c>
      <c r="L20">
        <f t="array" ref="L20">IsURL(Table_121215[[#This Row],[DOI]])</f>
        <v/>
      </c>
      <c r="M20">
        <f t="array" ref="M20">IsURL(Table_121215[[#This Row],[Data Source]])</f>
        <v/>
      </c>
      <c r="N20">
        <f t="array" ref="N20">IsURL(Table_121215[[#This Row],[Data Source]])</f>
        <v/>
      </c>
    </row>
    <row r="21" ht="15.75" customHeight="1">
      <c r="A21">
        <f>IF(Table_1211[[#This Row],[Complex Name]]=0,"",Table_1211[[#This Row],[Complex Name]])</f>
        <v/>
      </c>
      <c r="I21" s="21" t="n"/>
      <c r="J21" s="21">
        <f>IF($B21="","FALSE","TRUE")</f>
        <v/>
      </c>
      <c r="K21">
        <f t="array" ref="K21">IsURL(Table_121215[[#This Row],[Data Source]])</f>
        <v/>
      </c>
      <c r="L21">
        <f t="array" ref="L21">IsURL(Table_121215[[#This Row],[DOI]])</f>
        <v/>
      </c>
      <c r="M21">
        <f t="array" ref="M21">IsURL(Table_121215[[#This Row],[Data Source]])</f>
        <v/>
      </c>
      <c r="N21">
        <f t="array" ref="N21">IsURL(Table_121215[[#This Row],[Data Source]])</f>
        <v/>
      </c>
    </row>
    <row r="22" ht="15.75" customHeight="1">
      <c r="A22">
        <f>IF(Table_1211[[#This Row],[Complex Name]]=0,"",Table_1211[[#This Row],[Complex Name]])</f>
        <v/>
      </c>
      <c r="I22" s="21" t="n"/>
      <c r="J22" s="21">
        <f>IF($B22="","FALSE","TRUE")</f>
        <v/>
      </c>
      <c r="K22">
        <f t="array" ref="K22">IsURL(Table_121215[[#This Row],[Data Source]])</f>
        <v/>
      </c>
      <c r="L22">
        <f t="array" ref="L22">IsURL(Table_121215[[#This Row],[DOI]])</f>
        <v/>
      </c>
      <c r="M22">
        <f t="array" ref="M22">IsURL(Table_121215[[#This Row],[Data Source]])</f>
        <v/>
      </c>
      <c r="N22">
        <f t="array" ref="N22">IsURL(Table_121215[[#This Row],[Data Source]])</f>
        <v/>
      </c>
    </row>
    <row r="23" ht="15.75" customHeight="1">
      <c r="A23">
        <f>IF(Table_1211[[#This Row],[Complex Name]]=0,"",Table_1211[[#This Row],[Complex Name]])</f>
        <v/>
      </c>
      <c r="I23" s="21" t="n"/>
      <c r="J23" s="21">
        <f>IF($B23="","FALSE","TRUE")</f>
        <v/>
      </c>
      <c r="K23">
        <f t="array" ref="K23">IsURL(Table_121215[[#This Row],[Data Source]])</f>
        <v/>
      </c>
      <c r="L23">
        <f t="array" ref="L23">IsURL(Table_121215[[#This Row],[DOI]])</f>
        <v/>
      </c>
      <c r="M23">
        <f t="array" ref="M23">IsURL(Table_121215[[#This Row],[Data Source]])</f>
        <v/>
      </c>
      <c r="N23">
        <f t="array" ref="N23">IsURL(Table_121215[[#This Row],[Data Source]])</f>
        <v/>
      </c>
    </row>
    <row r="24" ht="15.75" customHeight="1">
      <c r="A24">
        <f>IF(Table_1211[[#This Row],[Complex Name]]=0,"",Table_1211[[#This Row],[Complex Name]])</f>
        <v/>
      </c>
      <c r="I24" s="21" t="n"/>
      <c r="J24" s="21">
        <f>IF($B24="","FALSE","TRUE")</f>
        <v/>
      </c>
      <c r="K24">
        <f t="array" ref="K24">IsURL(Table_121215[[#This Row],[Data Source]])</f>
        <v/>
      </c>
      <c r="L24">
        <f t="array" ref="L24">IsURL(Table_121215[[#This Row],[DOI]])</f>
        <v/>
      </c>
      <c r="M24">
        <f t="array" ref="M24">IsURL(Table_121215[[#This Row],[Data Source]])</f>
        <v/>
      </c>
      <c r="N24">
        <f t="array" ref="N24">IsURL(Table_121215[[#This Row],[Data Source]])</f>
        <v/>
      </c>
    </row>
    <row r="25" ht="15.75" customHeight="1">
      <c r="A25">
        <f>IF(Table_1211[[#This Row],[Complex Name]]=0,"",Table_1211[[#This Row],[Complex Name]])</f>
        <v/>
      </c>
      <c r="I25" s="21" t="n"/>
      <c r="J25" s="21">
        <f>IF($B25="","FALSE","TRUE")</f>
        <v/>
      </c>
      <c r="K25">
        <f t="array" ref="K25">IsURL(Table_121215[[#This Row],[Data Source]])</f>
        <v/>
      </c>
      <c r="L25">
        <f t="array" ref="L25">IsURL(Table_121215[[#This Row],[DOI]])</f>
        <v/>
      </c>
      <c r="M25">
        <f t="array" ref="M25">IsURL(Table_121215[[#This Row],[Data Source]])</f>
        <v/>
      </c>
      <c r="N25">
        <f t="array" ref="N25">IsURL(Table_121215[[#This Row],[Data Source]])</f>
        <v/>
      </c>
    </row>
    <row r="26" ht="15.75" customHeight="1">
      <c r="A26">
        <f>IF(Table_1211[[#This Row],[Complex Name]]=0,"",Table_1211[[#This Row],[Complex Name]])</f>
        <v/>
      </c>
      <c r="I26" s="21" t="n"/>
      <c r="J26" s="21">
        <f>IF($B26="","FALSE","TRUE")</f>
        <v/>
      </c>
      <c r="K26">
        <f t="array" ref="K26">IsURL(Table_121215[[#This Row],[Data Source]])</f>
        <v/>
      </c>
      <c r="L26">
        <f t="array" ref="L26">IsURL(Table_121215[[#This Row],[DOI]])</f>
        <v/>
      </c>
      <c r="M26">
        <f t="array" ref="M26">IsURL(Table_121215[[#This Row],[Data Source]])</f>
        <v/>
      </c>
      <c r="N26">
        <f t="array" ref="N26">IsURL(Table_121215[[#This Row],[Data Source]])</f>
        <v/>
      </c>
    </row>
    <row r="27" ht="15.75" customHeight="1">
      <c r="A27">
        <f>IF(Table_1211[[#This Row],[Complex Name]]=0,"",Table_1211[[#This Row],[Complex Name]])</f>
        <v/>
      </c>
      <c r="I27" s="21" t="n"/>
      <c r="J27" s="21">
        <f>IF($B27="","FALSE","TRUE")</f>
        <v/>
      </c>
      <c r="K27">
        <f t="array" ref="K27">IsURL(Table_121215[[#This Row],[Data Source]])</f>
        <v/>
      </c>
      <c r="L27">
        <f t="array" ref="L27">IsURL(Table_121215[[#This Row],[DOI]])</f>
        <v/>
      </c>
      <c r="M27">
        <f t="array" ref="M27">IsURL(Table_121215[[#This Row],[Data Source]])</f>
        <v/>
      </c>
      <c r="N27">
        <f t="array" ref="N27">IsURL(Table_121215[[#This Row],[Data Source]])</f>
        <v/>
      </c>
    </row>
    <row r="28" ht="15.75" customHeight="1">
      <c r="A28">
        <f>IF(Table_1211[[#This Row],[Complex Name]]=0,"",Table_1211[[#This Row],[Complex Name]])</f>
        <v/>
      </c>
      <c r="I28" s="21" t="n"/>
      <c r="J28" s="21">
        <f>IF($B28="","FALSE","TRUE")</f>
        <v/>
      </c>
      <c r="K28">
        <f t="array" ref="K28">IsURL(Table_121215[[#This Row],[Data Source]])</f>
        <v/>
      </c>
      <c r="L28">
        <f t="array" ref="L28">IsURL(Table_121215[[#This Row],[DOI]])</f>
        <v/>
      </c>
      <c r="M28">
        <f t="array" ref="M28">IsURL(Table_121215[[#This Row],[Data Source]])</f>
        <v/>
      </c>
      <c r="N28">
        <f t="array" ref="N28">IsURL(Table_121215[[#This Row],[Data Source]])</f>
        <v/>
      </c>
    </row>
    <row r="29" ht="15.75" customHeight="1">
      <c r="A29">
        <f>IF(Table_1211[[#This Row],[Complex Name]]=0,"",Table_1211[[#This Row],[Complex Name]])</f>
        <v/>
      </c>
      <c r="I29" s="21" t="n"/>
      <c r="J29" s="21">
        <f>IF($B29="","FALSE","TRUE")</f>
        <v/>
      </c>
      <c r="K29">
        <f t="array" ref="K29">IsURL(Table_121215[[#This Row],[Data Source]])</f>
        <v/>
      </c>
      <c r="L29">
        <f t="array" ref="L29">IsURL(Table_121215[[#This Row],[DOI]])</f>
        <v/>
      </c>
      <c r="M29">
        <f t="array" ref="M29">IsURL(Table_121215[[#This Row],[Data Source]])</f>
        <v/>
      </c>
      <c r="N29">
        <f t="array" ref="N29">IsURL(Table_121215[[#This Row],[Data Source]])</f>
        <v/>
      </c>
    </row>
    <row r="30" ht="15.75" customHeight="1">
      <c r="A30">
        <f>IF(Table_1211[[#This Row],[Complex Name]]=0,"",Table_1211[[#This Row],[Complex Name]])</f>
        <v/>
      </c>
      <c r="I30" s="21" t="n"/>
      <c r="J30" s="21">
        <f>IF($B30="","FALSE","TRUE")</f>
        <v/>
      </c>
      <c r="K30">
        <f t="array" ref="K30">IsURL(Table_121215[[#This Row],[Data Source]])</f>
        <v/>
      </c>
      <c r="L30">
        <f t="array" ref="L30">IsURL(Table_121215[[#This Row],[DOI]])</f>
        <v/>
      </c>
      <c r="M30">
        <f t="array" ref="M30">IsURL(Table_121215[[#This Row],[Data Source]])</f>
        <v/>
      </c>
      <c r="N30">
        <f t="array" ref="N30">IsURL(Table_121215[[#This Row],[Data Source]])</f>
        <v/>
      </c>
    </row>
    <row r="31" ht="15.75" customHeight="1">
      <c r="A31">
        <f>IF(Table_1211[[#This Row],[Complex Name]]=0,"",Table_1211[[#This Row],[Complex Name]])</f>
        <v/>
      </c>
      <c r="I31" s="21" t="n"/>
      <c r="J31" s="21">
        <f>IF($B31="","FALSE","TRUE")</f>
        <v/>
      </c>
      <c r="K31">
        <f t="array" ref="K31">IsURL(Table_121215[[#This Row],[Data Source]])</f>
        <v/>
      </c>
      <c r="L31">
        <f t="array" ref="L31">IsURL(Table_121215[[#This Row],[DOI]])</f>
        <v/>
      </c>
      <c r="M31">
        <f t="array" ref="M31">IsURL(Table_121215[[#This Row],[Data Source]])</f>
        <v/>
      </c>
      <c r="N31">
        <f t="array" ref="N31">IsURL(Table_121215[[#This Row],[Data Source]])</f>
        <v/>
      </c>
    </row>
    <row r="32" ht="15.75" customHeight="1">
      <c r="A32">
        <f>IF(Table_1211[[#This Row],[Complex Name]]=0,"",Table_1211[[#This Row],[Complex Name]])</f>
        <v/>
      </c>
      <c r="I32" s="21" t="n"/>
      <c r="J32" s="21">
        <f>IF($B32="","FALSE","TRUE")</f>
        <v/>
      </c>
      <c r="K32">
        <f t="array" ref="K32">IsURL(Table_121215[[#This Row],[Data Source]])</f>
        <v/>
      </c>
      <c r="L32">
        <f t="array" ref="L32">IsURL(Table_121215[[#This Row],[DOI]])</f>
        <v/>
      </c>
      <c r="M32">
        <f t="array" ref="M32">IsURL(Table_121215[[#This Row],[Data Source]])</f>
        <v/>
      </c>
      <c r="N32">
        <f t="array" ref="N32">IsURL(Table_121215[[#This Row],[Data Source]])</f>
        <v/>
      </c>
    </row>
    <row r="33" ht="15.75" customHeight="1">
      <c r="A33">
        <f>IF(Table_1211[[#This Row],[Complex Name]]=0,"",Table_1211[[#This Row],[Complex Name]])</f>
        <v/>
      </c>
      <c r="I33" s="21" t="n"/>
      <c r="J33" s="21">
        <f>IF($B33="","FALSE","TRUE")</f>
        <v/>
      </c>
      <c r="K33">
        <f t="array" ref="K33">IsURL(Table_121215[[#This Row],[Data Source]])</f>
        <v/>
      </c>
      <c r="L33">
        <f t="array" ref="L33">IsURL(Table_121215[[#This Row],[DOI]])</f>
        <v/>
      </c>
      <c r="M33">
        <f t="array" ref="M33">IsURL(Table_121215[[#This Row],[Data Source]])</f>
        <v/>
      </c>
      <c r="N33">
        <f t="array" ref="N33">IsURL(Table_121215[[#This Row],[Data Source]])</f>
        <v/>
      </c>
    </row>
    <row r="34" ht="15.75" customHeight="1">
      <c r="A34">
        <f>IF(Table_1211[[#This Row],[Complex Name]]=0,"",Table_1211[[#This Row],[Complex Name]])</f>
        <v/>
      </c>
      <c r="I34" s="21" t="n"/>
      <c r="J34" s="21">
        <f>IF($B34="","FALSE","TRUE")</f>
        <v/>
      </c>
      <c r="K34">
        <f t="array" ref="K34">IsURL(Table_121215[[#This Row],[Data Source]])</f>
        <v/>
      </c>
      <c r="L34">
        <f t="array" ref="L34">IsURL(Table_121215[[#This Row],[DOI]])</f>
        <v/>
      </c>
      <c r="M34">
        <f t="array" ref="M34">IsURL(Table_121215[[#This Row],[Data Source]])</f>
        <v/>
      </c>
      <c r="N34">
        <f t="array" ref="N34">IsURL(Table_121215[[#This Row],[Data Source]])</f>
        <v/>
      </c>
    </row>
    <row r="35" ht="15.75" customHeight="1">
      <c r="A35">
        <f>IF(Table_1211[[#This Row],[Complex Name]]=0,"",Table_1211[[#This Row],[Complex Name]])</f>
        <v/>
      </c>
      <c r="I35" s="21" t="n"/>
      <c r="J35" s="21">
        <f>IF($B35="","FALSE","TRUE")</f>
        <v/>
      </c>
      <c r="K35">
        <f t="array" ref="K35">IsURL(Table_121215[[#This Row],[Data Source]])</f>
        <v/>
      </c>
      <c r="L35">
        <f t="array" ref="L35">IsURL(Table_121215[[#This Row],[DOI]])</f>
        <v/>
      </c>
      <c r="M35">
        <f t="array" ref="M35">IsURL(Table_121215[[#This Row],[Data Source]])</f>
        <v/>
      </c>
      <c r="N35">
        <f t="array" ref="N35">IsURL(Table_121215[[#This Row],[Data Source]])</f>
        <v/>
      </c>
    </row>
    <row r="36" ht="15.75" customHeight="1">
      <c r="A36">
        <f>IF(Table_1211[[#This Row],[Complex Name]]=0,"",Table_1211[[#This Row],[Complex Name]])</f>
        <v/>
      </c>
      <c r="I36" s="21" t="n"/>
      <c r="J36" s="21">
        <f>IF($B36="","FALSE","TRUE")</f>
        <v/>
      </c>
      <c r="K36">
        <f t="array" ref="K36">IsURL(Table_121215[[#This Row],[Data Source]])</f>
        <v/>
      </c>
      <c r="L36">
        <f t="array" ref="L36">IsURL(Table_121215[[#This Row],[DOI]])</f>
        <v/>
      </c>
      <c r="M36">
        <f t="array" ref="M36">IsURL(Table_121215[[#This Row],[Data Source]])</f>
        <v/>
      </c>
      <c r="N36">
        <f t="array" ref="N36">IsURL(Table_121215[[#This Row],[Data Source]])</f>
        <v/>
      </c>
    </row>
    <row r="37" ht="15.75" customHeight="1">
      <c r="A37">
        <f>IF(Table_1211[[#This Row],[Complex Name]]=0,"",Table_1211[[#This Row],[Complex Name]])</f>
        <v/>
      </c>
      <c r="I37" s="21" t="n"/>
      <c r="J37" s="21">
        <f>IF($B37="","FALSE","TRUE")</f>
        <v/>
      </c>
      <c r="K37">
        <f t="array" ref="K37">IsURL(Table_121215[[#This Row],[Data Source]])</f>
        <v/>
      </c>
      <c r="L37">
        <f t="array" ref="L37">IsURL(Table_121215[[#This Row],[DOI]])</f>
        <v/>
      </c>
      <c r="M37">
        <f t="array" ref="M37">IsURL(Table_121215[[#This Row],[Data Source]])</f>
        <v/>
      </c>
      <c r="N37">
        <f t="array" ref="N37">IsURL(Table_121215[[#This Row],[Data Source]])</f>
        <v/>
      </c>
    </row>
    <row r="38" ht="15.75" customHeight="1">
      <c r="A38">
        <f>IF(Table_1211[[#This Row],[Complex Name]]=0,"",Table_1211[[#This Row],[Complex Name]])</f>
        <v/>
      </c>
      <c r="I38" s="21" t="n"/>
      <c r="J38" s="21">
        <f>IF($B38="","FALSE","TRUE")</f>
        <v/>
      </c>
      <c r="K38">
        <f t="array" ref="K38">IsURL(Table_121215[[#This Row],[Data Source]])</f>
        <v/>
      </c>
      <c r="L38">
        <f t="array" ref="L38">IsURL(Table_121215[[#This Row],[DOI]])</f>
        <v/>
      </c>
      <c r="M38">
        <f t="array" ref="M38">IsURL(Table_121215[[#This Row],[Data Source]])</f>
        <v/>
      </c>
      <c r="N38">
        <f t="array" ref="N38">IsURL(Table_121215[[#This Row],[Data Source]])</f>
        <v/>
      </c>
    </row>
    <row r="39" ht="15.75" customHeight="1">
      <c r="A39">
        <f>IF(Table_1211[[#This Row],[Complex Name]]=0,"",Table_1211[[#This Row],[Complex Name]])</f>
        <v/>
      </c>
      <c r="I39" s="21" t="n"/>
      <c r="J39" s="21">
        <f>IF($B39="","FALSE","TRUE")</f>
        <v/>
      </c>
      <c r="K39">
        <f t="array" ref="K39">IsURL(Table_121215[[#This Row],[Data Source]])</f>
        <v/>
      </c>
      <c r="L39">
        <f t="array" ref="L39">IsURL(Table_121215[[#This Row],[DOI]])</f>
        <v/>
      </c>
      <c r="M39">
        <f t="array" ref="M39">IsURL(Table_121215[[#This Row],[Data Source]])</f>
        <v/>
      </c>
      <c r="N39">
        <f t="array" ref="N39">IsURL(Table_121215[[#This Row],[Data Source]])</f>
        <v/>
      </c>
    </row>
    <row r="40" ht="15.75" customHeight="1">
      <c r="A40">
        <f>IF(Table_1211[[#This Row],[Complex Name]]=0,"",Table_1211[[#This Row],[Complex Name]])</f>
        <v/>
      </c>
      <c r="I40" s="21" t="n"/>
      <c r="J40" s="21">
        <f>IF($B40="","FALSE","TRUE")</f>
        <v/>
      </c>
      <c r="K40">
        <f t="array" ref="K40">IsURL(Table_121215[[#This Row],[Data Source]])</f>
        <v/>
      </c>
      <c r="L40">
        <f t="array" ref="L40">IsURL(Table_121215[[#This Row],[DOI]])</f>
        <v/>
      </c>
      <c r="M40">
        <f t="array" ref="M40">IsURL(Table_121215[[#This Row],[Data Source]])</f>
        <v/>
      </c>
      <c r="N40">
        <f t="array" ref="N40">IsURL(Table_121215[[#This Row],[Data Source]])</f>
        <v/>
      </c>
    </row>
    <row r="41" ht="15.75" customHeight="1">
      <c r="A41">
        <f>IF(Table_1211[[#This Row],[Complex Name]]=0,"",Table_1211[[#This Row],[Complex Name]])</f>
        <v/>
      </c>
      <c r="I41" s="21" t="n"/>
      <c r="J41" s="21">
        <f>IF($B41="","FALSE","TRUE")</f>
        <v/>
      </c>
      <c r="K41">
        <f t="array" ref="K41">IsURL(Table_121215[[#This Row],[Data Source]])</f>
        <v/>
      </c>
      <c r="L41">
        <f t="array" ref="L41">IsURL(Table_121215[[#This Row],[DOI]])</f>
        <v/>
      </c>
      <c r="M41">
        <f t="array" ref="M41">IsURL(Table_121215[[#This Row],[Data Source]])</f>
        <v/>
      </c>
      <c r="N41">
        <f t="array" ref="N41">IsURL(Table_121215[[#This Row],[Data Source]])</f>
        <v/>
      </c>
    </row>
    <row r="42" ht="15.75" customHeight="1">
      <c r="A42">
        <f>IF(Table_1211[[#This Row],[Complex Name]]=0,"",Table_1211[[#This Row],[Complex Name]])</f>
        <v/>
      </c>
      <c r="I42" s="21" t="n"/>
      <c r="J42" s="21">
        <f>IF($B42="","FALSE","TRUE")</f>
        <v/>
      </c>
      <c r="K42">
        <f t="array" ref="K42">IsURL(Table_121215[[#This Row],[Data Source]])</f>
        <v/>
      </c>
      <c r="L42">
        <f t="array" ref="L42">IsURL(Table_121215[[#This Row],[DOI]])</f>
        <v/>
      </c>
      <c r="M42">
        <f t="array" ref="M42">IsURL(Table_121215[[#This Row],[Data Source]])</f>
        <v/>
      </c>
      <c r="N42">
        <f t="array" ref="N42">IsURL(Table_121215[[#This Row],[Data Source]])</f>
        <v/>
      </c>
    </row>
    <row r="43" ht="15.75" customHeight="1">
      <c r="A43">
        <f>IF(Table_1211[[#This Row],[Complex Name]]=0,"",Table_1211[[#This Row],[Complex Name]])</f>
        <v/>
      </c>
      <c r="I43" s="21" t="n"/>
      <c r="J43" s="21">
        <f>IF($B43="","FALSE","TRUE")</f>
        <v/>
      </c>
      <c r="K43">
        <f t="array" ref="K43">IsURL(Table_121215[[#This Row],[Data Source]])</f>
        <v/>
      </c>
      <c r="L43">
        <f t="array" ref="L43">IsURL(Table_121215[[#This Row],[DOI]])</f>
        <v/>
      </c>
      <c r="M43">
        <f t="array" ref="M43">IsURL(Table_121215[[#This Row],[Data Source]])</f>
        <v/>
      </c>
      <c r="N43">
        <f t="array" ref="N43">IsURL(Table_121215[[#This Row],[Data Source]])</f>
        <v/>
      </c>
    </row>
    <row r="44" ht="15.75" customHeight="1">
      <c r="A44">
        <f>IF(Table_1211[[#This Row],[Complex Name]]=0,"",Table_1211[[#This Row],[Complex Name]])</f>
        <v/>
      </c>
      <c r="I44" s="21" t="n"/>
      <c r="J44" s="21">
        <f>IF($B44="","FALSE","TRUE")</f>
        <v/>
      </c>
      <c r="K44">
        <f t="array" ref="K44">IsURL(Table_121215[[#This Row],[Data Source]])</f>
        <v/>
      </c>
      <c r="L44">
        <f t="array" ref="L44">IsURL(Table_121215[[#This Row],[DOI]])</f>
        <v/>
      </c>
      <c r="M44">
        <f t="array" ref="M44">IsURL(Table_121215[[#This Row],[Data Source]])</f>
        <v/>
      </c>
      <c r="N44">
        <f t="array" ref="N44">IsURL(Table_121215[[#This Row],[Data Source]])</f>
        <v/>
      </c>
    </row>
    <row r="45" ht="15.75" customHeight="1">
      <c r="A45">
        <f>IF(Table_1211[[#This Row],[Complex Name]]=0,"",Table_1211[[#This Row],[Complex Name]])</f>
        <v/>
      </c>
      <c r="I45" s="21" t="n"/>
      <c r="J45" s="21">
        <f>IF($B45="","FALSE","TRUE")</f>
        <v/>
      </c>
      <c r="K45">
        <f t="array" ref="K45">IsURL(Table_121215[[#This Row],[Data Source]])</f>
        <v/>
      </c>
      <c r="L45">
        <f t="array" ref="L45">IsURL(Table_121215[[#This Row],[DOI]])</f>
        <v/>
      </c>
      <c r="M45">
        <f t="array" ref="M45">IsURL(Table_121215[[#This Row],[Data Source]])</f>
        <v/>
      </c>
      <c r="N45">
        <f t="array" ref="N45">IsURL(Table_121215[[#This Row],[Data Source]])</f>
        <v/>
      </c>
    </row>
    <row r="46" ht="15.75" customHeight="1">
      <c r="A46">
        <f>IF(Table_1211[[#This Row],[Complex Name]]=0,"",Table_1211[[#This Row],[Complex Name]])</f>
        <v/>
      </c>
      <c r="I46" s="21" t="n"/>
      <c r="J46" s="21">
        <f>IF($B46="","FALSE","TRUE")</f>
        <v/>
      </c>
      <c r="K46">
        <f t="array" ref="K46">IsURL(Table_121215[[#This Row],[Data Source]])</f>
        <v/>
      </c>
      <c r="L46">
        <f t="array" ref="L46">IsURL(Table_121215[[#This Row],[DOI]])</f>
        <v/>
      </c>
      <c r="M46">
        <f t="array" ref="M46">IsURL(Table_121215[[#This Row],[Data Source]])</f>
        <v/>
      </c>
      <c r="N46">
        <f t="array" ref="N46">IsURL(Table_121215[[#This Row],[Data Source]])</f>
        <v/>
      </c>
    </row>
    <row r="47" ht="15.75" customHeight="1">
      <c r="A47">
        <f>IF(Table_1211[[#This Row],[Complex Name]]=0,"",Table_1211[[#This Row],[Complex Name]])</f>
        <v/>
      </c>
      <c r="I47" s="21" t="n"/>
      <c r="J47" s="21">
        <f>IF($B47="","FALSE","TRUE")</f>
        <v/>
      </c>
      <c r="K47">
        <f t="array" ref="K47">IsURL(Table_121215[[#This Row],[Data Source]])</f>
        <v/>
      </c>
      <c r="L47">
        <f t="array" ref="L47">IsURL(Table_121215[[#This Row],[DOI]])</f>
        <v/>
      </c>
      <c r="M47">
        <f t="array" ref="M47">IsURL(Table_121215[[#This Row],[Data Source]])</f>
        <v/>
      </c>
      <c r="N47">
        <f t="array" ref="N47">IsURL(Table_121215[[#This Row],[Data Source]])</f>
        <v/>
      </c>
    </row>
    <row r="48" ht="15.75" customHeight="1">
      <c r="A48">
        <f>IF(Table_1211[[#This Row],[Complex Name]]=0,"",Table_1211[[#This Row],[Complex Name]])</f>
        <v/>
      </c>
      <c r="I48" s="21" t="n"/>
      <c r="J48" s="21">
        <f>IF($B48="","FALSE","TRUE")</f>
        <v/>
      </c>
      <c r="K48">
        <f t="array" ref="K48">IsURL(Table_121215[[#This Row],[Data Source]])</f>
        <v/>
      </c>
      <c r="L48">
        <f t="array" ref="L48">IsURL(Table_121215[[#This Row],[DOI]])</f>
        <v/>
      </c>
      <c r="M48">
        <f t="array" ref="M48">IsURL(Table_121215[[#This Row],[Data Source]])</f>
        <v/>
      </c>
      <c r="N48">
        <f t="array" ref="N48">IsURL(Table_121215[[#This Row],[Data Source]])</f>
        <v/>
      </c>
    </row>
    <row r="49" ht="15.75" customHeight="1">
      <c r="A49">
        <f>IF(Table_1211[[#This Row],[Complex Name]]=0,"",Table_1211[[#This Row],[Complex Name]])</f>
        <v/>
      </c>
      <c r="I49" s="21" t="n"/>
      <c r="J49" s="21">
        <f>IF($B49="","FALSE","TRUE")</f>
        <v/>
      </c>
      <c r="K49">
        <f t="array" ref="K49">IsURL(Table_121215[[#This Row],[Data Source]])</f>
        <v/>
      </c>
      <c r="L49">
        <f t="array" ref="L49">IsURL(Table_121215[[#This Row],[DOI]])</f>
        <v/>
      </c>
      <c r="M49">
        <f t="array" ref="M49">IsURL(Table_121215[[#This Row],[Data Source]])</f>
        <v/>
      </c>
      <c r="N49">
        <f t="array" ref="N49">IsURL(Table_121215[[#This Row],[Data Source]])</f>
        <v/>
      </c>
    </row>
    <row r="50" ht="15.75" customHeight="1">
      <c r="A50">
        <f>IF(Table_1211[[#This Row],[Complex Name]]=0,"",Table_1211[[#This Row],[Complex Name]])</f>
        <v/>
      </c>
      <c r="I50" s="21" t="n"/>
      <c r="J50" s="21">
        <f>IF($B50="","FALSE","TRUE")</f>
        <v/>
      </c>
      <c r="K50">
        <f t="array" ref="K50">IsURL(Table_121215[[#This Row],[Data Source]])</f>
        <v/>
      </c>
      <c r="L50">
        <f t="array" ref="L50">IsURL(Table_121215[[#This Row],[DOI]])</f>
        <v/>
      </c>
      <c r="M50">
        <f t="array" ref="M50">IsURL(Table_121215[[#This Row],[Data Source]])</f>
        <v/>
      </c>
      <c r="N50">
        <f t="array" ref="N50">IsURL(Table_121215[[#This Row],[Data Source]])</f>
        <v/>
      </c>
    </row>
    <row r="51" ht="15.75" customHeight="1">
      <c r="A51">
        <f>IF(Table_1211[[#This Row],[Complex Name]]=0,"",Table_1211[[#This Row],[Complex Name]])</f>
        <v/>
      </c>
      <c r="I51" s="21" t="n"/>
      <c r="J51" s="21">
        <f>IF($B51="","FALSE","TRUE")</f>
        <v/>
      </c>
      <c r="K51">
        <f t="array" ref="K51">IsURL(Table_121215[[#This Row],[Data Source]])</f>
        <v/>
      </c>
      <c r="L51">
        <f t="array" ref="L51">IsURL(Table_121215[[#This Row],[DOI]])</f>
        <v/>
      </c>
      <c r="M51">
        <f t="array" ref="M51">IsURL(Table_121215[[#This Row],[Data Source]])</f>
        <v/>
      </c>
      <c r="N51">
        <f t="array" ref="N51">IsURL(Table_121215[[#This Row],[Data Source]])</f>
        <v/>
      </c>
    </row>
    <row r="52" ht="15.75" customHeight="1">
      <c r="A52">
        <f>IF(Table_1211[[#This Row],[Complex Name]]=0,"",Table_1211[[#This Row],[Complex Name]])</f>
        <v/>
      </c>
      <c r="I52" s="21" t="n"/>
      <c r="J52" s="21">
        <f>IF($B52="","FALSE","TRUE")</f>
        <v/>
      </c>
      <c r="K52">
        <f t="array" ref="K52">IsURL(Table_121215[[#This Row],[Data Source]])</f>
        <v/>
      </c>
      <c r="L52">
        <f t="array" ref="L52">IsURL(Table_121215[[#This Row],[DOI]])</f>
        <v/>
      </c>
      <c r="M52">
        <f t="array" ref="M52">IsURL(Table_121215[[#This Row],[Data Source]])</f>
        <v/>
      </c>
      <c r="N52">
        <f t="array" ref="N52">IsURL(Table_121215[[#This Row],[Data Source]])</f>
        <v/>
      </c>
    </row>
    <row r="53" ht="15.75" customHeight="1">
      <c r="A53">
        <f>IF(Table_1211[[#This Row],[Complex Name]]=0,"",Table_1211[[#This Row],[Complex Name]])</f>
        <v/>
      </c>
      <c r="I53" s="21" t="n"/>
      <c r="J53" s="21">
        <f>IF($B53="","FALSE","TRUE")</f>
        <v/>
      </c>
      <c r="K53">
        <f t="array" ref="K53">IsURL(Table_121215[[#This Row],[Data Source]])</f>
        <v/>
      </c>
      <c r="L53">
        <f t="array" ref="L53">IsURL(Table_121215[[#This Row],[DOI]])</f>
        <v/>
      </c>
      <c r="M53">
        <f t="array" ref="M53">IsURL(Table_121215[[#This Row],[Data Source]])</f>
        <v/>
      </c>
      <c r="N53">
        <f t="array" ref="N53">IsURL(Table_121215[[#This Row],[Data Source]])</f>
        <v/>
      </c>
    </row>
    <row r="54" ht="15.75" customHeight="1">
      <c r="A54">
        <f>IF(Table_1211[[#This Row],[Complex Name]]=0,"",Table_1211[[#This Row],[Complex Name]])</f>
        <v/>
      </c>
      <c r="I54" s="21" t="n"/>
      <c r="J54" s="21">
        <f>IF($B54="","FALSE","TRUE")</f>
        <v/>
      </c>
      <c r="K54">
        <f t="array" ref="K54">IsURL(Table_121215[[#This Row],[Data Source]])</f>
        <v/>
      </c>
      <c r="L54">
        <f t="array" ref="L54">IsURL(Table_121215[[#This Row],[DOI]])</f>
        <v/>
      </c>
      <c r="M54">
        <f t="array" ref="M54">IsURL(Table_121215[[#This Row],[Data Source]])</f>
        <v/>
      </c>
      <c r="N54">
        <f t="array" ref="N54">IsURL(Table_121215[[#This Row],[Data Source]])</f>
        <v/>
      </c>
    </row>
    <row r="55" ht="15.75" customHeight="1">
      <c r="A55">
        <f>IF(Table_1211[[#This Row],[Complex Name]]=0,"",Table_1211[[#This Row],[Complex Name]])</f>
        <v/>
      </c>
      <c r="I55" s="21" t="n"/>
      <c r="J55" s="21">
        <f>IF($B55="","FALSE","TRUE")</f>
        <v/>
      </c>
      <c r="K55">
        <f t="array" ref="K55">IsURL(Table_121215[[#This Row],[Data Source]])</f>
        <v/>
      </c>
      <c r="L55">
        <f t="array" ref="L55">IsURL(Table_121215[[#This Row],[DOI]])</f>
        <v/>
      </c>
      <c r="M55">
        <f t="array" ref="M55">IsURL(Table_121215[[#This Row],[Data Source]])</f>
        <v/>
      </c>
      <c r="N55">
        <f t="array" ref="N55">IsURL(Table_121215[[#This Row],[Data Source]])</f>
        <v/>
      </c>
    </row>
    <row r="56" ht="15.75" customHeight="1">
      <c r="A56">
        <f>IF(Table_1211[[#This Row],[Complex Name]]=0,"",Table_1211[[#This Row],[Complex Name]])</f>
        <v/>
      </c>
      <c r="I56" s="21" t="n"/>
      <c r="J56" s="21">
        <f>IF($B56="","FALSE","TRUE")</f>
        <v/>
      </c>
      <c r="K56">
        <f t="array" ref="K56">IsURL(Table_121215[[#This Row],[Data Source]])</f>
        <v/>
      </c>
      <c r="L56">
        <f t="array" ref="L56">IsURL(Table_121215[[#This Row],[DOI]])</f>
        <v/>
      </c>
      <c r="M56">
        <f t="array" ref="M56">IsURL(Table_121215[[#This Row],[Data Source]])</f>
        <v/>
      </c>
      <c r="N56">
        <f t="array" ref="N56">IsURL(Table_121215[[#This Row],[Data Source]])</f>
        <v/>
      </c>
    </row>
    <row r="57" ht="15.75" customHeight="1">
      <c r="A57">
        <f>IF(Table_1211[[#This Row],[Complex Name]]=0,"",Table_1211[[#This Row],[Complex Name]])</f>
        <v/>
      </c>
      <c r="I57" s="21" t="n"/>
      <c r="J57" s="21">
        <f>IF($B57="","FALSE","TRUE")</f>
        <v/>
      </c>
      <c r="K57">
        <f t="array" ref="K57">IsURL(Table_121215[[#This Row],[Data Source]])</f>
        <v/>
      </c>
      <c r="L57">
        <f t="array" ref="L57">IsURL(Table_121215[[#This Row],[DOI]])</f>
        <v/>
      </c>
      <c r="M57">
        <f t="array" ref="M57">IsURL(Table_121215[[#This Row],[Data Source]])</f>
        <v/>
      </c>
      <c r="N57">
        <f t="array" ref="N57">IsURL(Table_121215[[#This Row],[Data Source]])</f>
        <v/>
      </c>
    </row>
    <row r="58" ht="15.75" customHeight="1">
      <c r="A58">
        <f>IF(Table_1211[[#This Row],[Complex Name]]=0,"",Table_1211[[#This Row],[Complex Name]])</f>
        <v/>
      </c>
      <c r="I58" s="21" t="n"/>
      <c r="J58" s="21">
        <f>IF($B58="","FALSE","TRUE")</f>
        <v/>
      </c>
      <c r="K58">
        <f t="array" ref="K58">IsURL(Table_121215[[#This Row],[Data Source]])</f>
        <v/>
      </c>
      <c r="L58">
        <f t="array" ref="L58">IsURL(Table_121215[[#This Row],[DOI]])</f>
        <v/>
      </c>
      <c r="M58">
        <f t="array" ref="M58">IsURL(Table_121215[[#This Row],[Data Source]])</f>
        <v/>
      </c>
      <c r="N58">
        <f t="array" ref="N58">IsURL(Table_121215[[#This Row],[Data Source]])</f>
        <v/>
      </c>
    </row>
    <row r="59" ht="15.75" customHeight="1">
      <c r="A59">
        <f>IF(Table_1211[[#This Row],[Complex Name]]=0,"",Table_1211[[#This Row],[Complex Name]])</f>
        <v/>
      </c>
      <c r="I59" s="21" t="n"/>
      <c r="J59" s="21">
        <f>IF($B59="","FALSE","TRUE")</f>
        <v/>
      </c>
      <c r="K59">
        <f t="array" ref="K59">IsURL(Table_121215[[#This Row],[Data Source]])</f>
        <v/>
      </c>
      <c r="L59">
        <f t="array" ref="L59">IsURL(Table_121215[[#This Row],[DOI]])</f>
        <v/>
      </c>
      <c r="M59">
        <f t="array" ref="M59">IsURL(Table_121215[[#This Row],[Data Source]])</f>
        <v/>
      </c>
      <c r="N59">
        <f t="array" ref="N59">IsURL(Table_121215[[#This Row],[Data Source]])</f>
        <v/>
      </c>
    </row>
    <row r="60" ht="15.75" customHeight="1">
      <c r="A60">
        <f>IF(Table_1211[[#This Row],[Complex Name]]=0,"",Table_1211[[#This Row],[Complex Name]])</f>
        <v/>
      </c>
      <c r="I60" s="21" t="n"/>
      <c r="J60" s="21">
        <f>IF($B60="","FALSE","TRUE")</f>
        <v/>
      </c>
      <c r="K60">
        <f t="array" ref="K60">IsURL(Table_121215[[#This Row],[Data Source]])</f>
        <v/>
      </c>
      <c r="L60">
        <f t="array" ref="L60">IsURL(Table_121215[[#This Row],[DOI]])</f>
        <v/>
      </c>
      <c r="M60">
        <f t="array" ref="M60">IsURL(Table_121215[[#This Row],[Data Source]])</f>
        <v/>
      </c>
      <c r="N60">
        <f t="array" ref="N60">IsURL(Table_121215[[#This Row],[Data Source]])</f>
        <v/>
      </c>
    </row>
    <row r="61" ht="15.75" customHeight="1">
      <c r="A61">
        <f>IF(Table_1211[[#This Row],[Complex Name]]=0,"",Table_1211[[#This Row],[Complex Name]])</f>
        <v/>
      </c>
      <c r="I61" s="21" t="n"/>
      <c r="J61" s="21">
        <f>IF($B61="","FALSE","TRUE")</f>
        <v/>
      </c>
      <c r="K61">
        <f t="array" ref="K61">IsURL(Table_121215[[#This Row],[Data Source]])</f>
        <v/>
      </c>
      <c r="L61">
        <f t="array" ref="L61">IsURL(Table_121215[[#This Row],[DOI]])</f>
        <v/>
      </c>
      <c r="M61">
        <f t="array" ref="M61">IsURL(Table_121215[[#This Row],[Data Source]])</f>
        <v/>
      </c>
      <c r="N61">
        <f t="array" ref="N61">IsURL(Table_121215[[#This Row],[Data Source]])</f>
        <v/>
      </c>
    </row>
    <row r="62" ht="15.75" customHeight="1">
      <c r="A62">
        <f>IF(Table_1211[[#This Row],[Complex Name]]=0,"",Table_1211[[#This Row],[Complex Name]])</f>
        <v/>
      </c>
      <c r="I62" s="21" t="n"/>
      <c r="J62" s="21">
        <f>IF($B62="","FALSE","TRUE")</f>
        <v/>
      </c>
      <c r="K62">
        <f t="array" ref="K62">IsURL(Table_121215[[#This Row],[Data Source]])</f>
        <v/>
      </c>
      <c r="L62">
        <f t="array" ref="L62">IsURL(Table_121215[[#This Row],[DOI]])</f>
        <v/>
      </c>
      <c r="M62">
        <f t="array" ref="M62">IsURL(Table_121215[[#This Row],[Data Source]])</f>
        <v/>
      </c>
      <c r="N62">
        <f t="array" ref="N62">IsURL(Table_121215[[#This Row],[Data Source]])</f>
        <v/>
      </c>
    </row>
    <row r="63" ht="15.75" customHeight="1">
      <c r="A63">
        <f>IF(Table_1211[[#This Row],[Complex Name]]=0,"",Table_1211[[#This Row],[Complex Name]])</f>
        <v/>
      </c>
      <c r="I63" s="21" t="n"/>
      <c r="J63" s="21">
        <f>IF($B63="","FALSE","TRUE")</f>
        <v/>
      </c>
      <c r="K63">
        <f t="array" ref="K63">IsURL(Table_121215[[#This Row],[Data Source]])</f>
        <v/>
      </c>
      <c r="L63">
        <f t="array" ref="L63">IsURL(Table_121215[[#This Row],[DOI]])</f>
        <v/>
      </c>
      <c r="M63">
        <f t="array" ref="M63">IsURL(Table_121215[[#This Row],[Data Source]])</f>
        <v/>
      </c>
      <c r="N63">
        <f t="array" ref="N63">IsURL(Table_121215[[#This Row],[Data Source]])</f>
        <v/>
      </c>
    </row>
    <row r="64" ht="15.75" customHeight="1">
      <c r="A64">
        <f>IF(Table_1211[[#This Row],[Complex Name]]=0,"",Table_1211[[#This Row],[Complex Name]])</f>
        <v/>
      </c>
      <c r="I64" s="21" t="n"/>
      <c r="J64" s="21">
        <f>IF($B64="","FALSE","TRUE")</f>
        <v/>
      </c>
      <c r="K64">
        <f t="array" ref="K64">IsURL(Table_121215[[#This Row],[Data Source]])</f>
        <v/>
      </c>
      <c r="L64">
        <f t="array" ref="L64">IsURL(Table_121215[[#This Row],[DOI]])</f>
        <v/>
      </c>
      <c r="M64">
        <f t="array" ref="M64">IsURL(Table_121215[[#This Row],[Data Source]])</f>
        <v/>
      </c>
      <c r="N64">
        <f t="array" ref="N64">IsURL(Table_121215[[#This Row],[Data Source]])</f>
        <v/>
      </c>
    </row>
    <row r="65" ht="15.75" customHeight="1">
      <c r="A65">
        <f>IF(Table_1211[[#This Row],[Complex Name]]=0,"",Table_1211[[#This Row],[Complex Name]])</f>
        <v/>
      </c>
      <c r="I65" s="21" t="n"/>
      <c r="J65" s="21">
        <f>IF($B65="","FALSE","TRUE")</f>
        <v/>
      </c>
      <c r="K65">
        <f t="array" ref="K65">IsURL(Table_121215[[#This Row],[Data Source]])</f>
        <v/>
      </c>
      <c r="L65">
        <f t="array" ref="L65">IsURL(Table_121215[[#This Row],[DOI]])</f>
        <v/>
      </c>
      <c r="M65">
        <f t="array" ref="M65">IsURL(Table_121215[[#This Row],[Data Source]])</f>
        <v/>
      </c>
      <c r="N65">
        <f t="array" ref="N65">IsURL(Table_121215[[#This Row],[Data Source]])</f>
        <v/>
      </c>
    </row>
    <row r="66" ht="15.75" customHeight="1">
      <c r="A66">
        <f>IF(Table_1211[[#This Row],[Complex Name]]=0,"",Table_1211[[#This Row],[Complex Name]])</f>
        <v/>
      </c>
      <c r="I66" s="21" t="n"/>
      <c r="J66" s="21">
        <f>IF($B66="","FALSE","TRUE")</f>
        <v/>
      </c>
      <c r="K66">
        <f t="array" ref="K66">IsURL(Table_121215[[#This Row],[Data Source]])</f>
        <v/>
      </c>
      <c r="L66">
        <f t="array" ref="L66">IsURL(Table_121215[[#This Row],[DOI]])</f>
        <v/>
      </c>
      <c r="M66">
        <f t="array" ref="M66">IsURL(Table_121215[[#This Row],[Data Source]])</f>
        <v/>
      </c>
      <c r="N66">
        <f t="array" ref="N66">IsURL(Table_121215[[#This Row],[Data Source]])</f>
        <v/>
      </c>
    </row>
    <row r="67" ht="15.75" customHeight="1">
      <c r="A67">
        <f>IF(Table_1211[[#This Row],[Complex Name]]=0,"",Table_1211[[#This Row],[Complex Name]])</f>
        <v/>
      </c>
      <c r="I67" s="21" t="n"/>
      <c r="J67" s="21">
        <f>IF($B67="","FALSE","TRUE")</f>
        <v/>
      </c>
      <c r="K67">
        <f t="array" ref="K67">IsURL(Table_121215[[#This Row],[Data Source]])</f>
        <v/>
      </c>
      <c r="L67">
        <f t="array" ref="L67">IsURL(Table_121215[[#This Row],[DOI]])</f>
        <v/>
      </c>
      <c r="M67">
        <f t="array" ref="M67">IsURL(Table_121215[[#This Row],[Data Source]])</f>
        <v/>
      </c>
      <c r="N67">
        <f t="array" ref="N67">IsURL(Table_121215[[#This Row],[Data Source]])</f>
        <v/>
      </c>
    </row>
    <row r="68" ht="15.75" customHeight="1">
      <c r="A68">
        <f>IF(Table_1211[[#This Row],[Complex Name]]=0,"",Table_1211[[#This Row],[Complex Name]])</f>
        <v/>
      </c>
      <c r="I68" s="21" t="n"/>
      <c r="J68" s="21">
        <f>IF($B68="","FALSE","TRUE")</f>
        <v/>
      </c>
      <c r="K68">
        <f t="array" ref="K68">IsURL(Table_121215[[#This Row],[Data Source]])</f>
        <v/>
      </c>
      <c r="L68">
        <f t="array" ref="L68">IsURL(Table_121215[[#This Row],[DOI]])</f>
        <v/>
      </c>
      <c r="M68">
        <f t="array" ref="M68">IsURL(Table_121215[[#This Row],[Data Source]])</f>
        <v/>
      </c>
      <c r="N68">
        <f t="array" ref="N68">IsURL(Table_121215[[#This Row],[Data Source]])</f>
        <v/>
      </c>
    </row>
    <row r="69" ht="15.75" customHeight="1">
      <c r="A69">
        <f>IF(Table_1211[[#This Row],[Complex Name]]=0,"",Table_1211[[#This Row],[Complex Name]])</f>
        <v/>
      </c>
      <c r="I69" s="21" t="n"/>
      <c r="J69" s="21">
        <f>IF($B69="","FALSE","TRUE")</f>
        <v/>
      </c>
      <c r="K69">
        <f t="array" ref="K69">IsURL(Table_121215[[#This Row],[Data Source]])</f>
        <v/>
      </c>
      <c r="L69">
        <f t="array" ref="L69">IsURL(Table_121215[[#This Row],[DOI]])</f>
        <v/>
      </c>
      <c r="M69">
        <f t="array" ref="M69">IsURL(Table_121215[[#This Row],[Data Source]])</f>
        <v/>
      </c>
      <c r="N69">
        <f t="array" ref="N69">IsURL(Table_121215[[#This Row],[Data Source]])</f>
        <v/>
      </c>
    </row>
    <row r="70" ht="15.75" customHeight="1">
      <c r="A70">
        <f>IF(Table_1211[[#This Row],[Complex Name]]=0,"",Table_1211[[#This Row],[Complex Name]])</f>
        <v/>
      </c>
      <c r="I70" s="21" t="n"/>
      <c r="J70" s="21">
        <f>IF($B70="","FALSE","TRUE")</f>
        <v/>
      </c>
      <c r="K70">
        <f t="array" ref="K70">IsURL(Table_121215[[#This Row],[Data Source]])</f>
        <v/>
      </c>
      <c r="L70">
        <f t="array" ref="L70">IsURL(Table_121215[[#This Row],[DOI]])</f>
        <v/>
      </c>
      <c r="M70">
        <f t="array" ref="M70">IsURL(Table_121215[[#This Row],[Data Source]])</f>
        <v/>
      </c>
      <c r="N70">
        <f t="array" ref="N70">IsURL(Table_121215[[#This Row],[Data Source]])</f>
        <v/>
      </c>
    </row>
    <row r="71" ht="15.75" customHeight="1">
      <c r="A71">
        <f>IF(Table_1211[[#This Row],[Complex Name]]=0,"",Table_1211[[#This Row],[Complex Name]])</f>
        <v/>
      </c>
      <c r="I71" s="21" t="n"/>
      <c r="J71" s="21">
        <f>IF($B71="","FALSE","TRUE")</f>
        <v/>
      </c>
      <c r="K71">
        <f t="array" ref="K71">IsURL(Table_121215[[#This Row],[Data Source]])</f>
        <v/>
      </c>
      <c r="L71">
        <f t="array" ref="L71">IsURL(Table_121215[[#This Row],[DOI]])</f>
        <v/>
      </c>
      <c r="M71">
        <f t="array" ref="M71">IsURL(Table_121215[[#This Row],[Data Source]])</f>
        <v/>
      </c>
      <c r="N71">
        <f t="array" ref="N71">IsURL(Table_121215[[#This Row],[Data Source]])</f>
        <v/>
      </c>
    </row>
    <row r="72" ht="15.75" customHeight="1">
      <c r="A72">
        <f>IF(Table_1211[[#This Row],[Complex Name]]=0,"",Table_1211[[#This Row],[Complex Name]])</f>
        <v/>
      </c>
      <c r="I72" s="21" t="n"/>
      <c r="J72" s="21">
        <f>IF($B72="","FALSE","TRUE")</f>
        <v/>
      </c>
      <c r="K72">
        <f t="array" ref="K72">IsURL(Table_121215[[#This Row],[Data Source]])</f>
        <v/>
      </c>
      <c r="L72">
        <f t="array" ref="L72">IsURL(Table_121215[[#This Row],[DOI]])</f>
        <v/>
      </c>
      <c r="M72">
        <f t="array" ref="M72">IsURL(Table_121215[[#This Row],[Data Source]])</f>
        <v/>
      </c>
      <c r="N72">
        <f t="array" ref="N72">IsURL(Table_121215[[#This Row],[Data Source]])</f>
        <v/>
      </c>
    </row>
    <row r="73" ht="15.75" customHeight="1">
      <c r="A73">
        <f>IF(Table_1211[[#This Row],[Complex Name]]=0,"",Table_1211[[#This Row],[Complex Name]])</f>
        <v/>
      </c>
      <c r="I73" s="21" t="n"/>
      <c r="J73" s="21">
        <f>IF($B73="","FALSE","TRUE")</f>
        <v/>
      </c>
      <c r="K73">
        <f t="array" ref="K73">IsURL(Table_121215[[#This Row],[Data Source]])</f>
        <v/>
      </c>
      <c r="L73">
        <f t="array" ref="L73">IsURL(Table_121215[[#This Row],[DOI]])</f>
        <v/>
      </c>
      <c r="M73">
        <f t="array" ref="M73">IsURL(Table_121215[[#This Row],[Data Source]])</f>
        <v/>
      </c>
      <c r="N73">
        <f t="array" ref="N73">IsURL(Table_121215[[#This Row],[Data Source]])</f>
        <v/>
      </c>
    </row>
    <row r="74" ht="15.75" customHeight="1">
      <c r="A74">
        <f>IF(Table_1211[[#This Row],[Complex Name]]=0,"",Table_1211[[#This Row],[Complex Name]])</f>
        <v/>
      </c>
      <c r="I74" s="21" t="n"/>
      <c r="J74" s="21">
        <f>IF($B74="","FALSE","TRUE")</f>
        <v/>
      </c>
      <c r="K74">
        <f t="array" ref="K74">IsURL(Table_121215[[#This Row],[Data Source]])</f>
        <v/>
      </c>
      <c r="L74">
        <f t="array" ref="L74">IsURL(Table_121215[[#This Row],[DOI]])</f>
        <v/>
      </c>
      <c r="M74">
        <f t="array" ref="M74">IsURL(Table_121215[[#This Row],[Data Source]])</f>
        <v/>
      </c>
      <c r="N74">
        <f t="array" ref="N74">IsURL(Table_121215[[#This Row],[Data Source]])</f>
        <v/>
      </c>
    </row>
    <row r="75" ht="15.75" customHeight="1">
      <c r="A75">
        <f>IF(Table_1211[[#This Row],[Complex Name]]=0,"",Table_1211[[#This Row],[Complex Name]])</f>
        <v/>
      </c>
      <c r="I75" s="21" t="n"/>
      <c r="J75" s="21">
        <f>IF($B75="","FALSE","TRUE")</f>
        <v/>
      </c>
      <c r="K75">
        <f t="array" ref="K75">IsURL(Table_121215[[#This Row],[Data Source]])</f>
        <v/>
      </c>
      <c r="L75">
        <f t="array" ref="L75">IsURL(Table_121215[[#This Row],[DOI]])</f>
        <v/>
      </c>
      <c r="M75">
        <f t="array" ref="M75">IsURL(Table_121215[[#This Row],[Data Source]])</f>
        <v/>
      </c>
      <c r="N75">
        <f t="array" ref="N75">IsURL(Table_121215[[#This Row],[Data Source]])</f>
        <v/>
      </c>
    </row>
    <row r="76" ht="15.75" customHeight="1">
      <c r="A76">
        <f>IF(Table_1211[[#This Row],[Complex Name]]=0,"",Table_1211[[#This Row],[Complex Name]])</f>
        <v/>
      </c>
      <c r="I76" s="21" t="n"/>
      <c r="J76" s="21">
        <f>IF($B76="","FALSE","TRUE")</f>
        <v/>
      </c>
      <c r="K76">
        <f t="array" ref="K76">IsURL(Table_121215[[#This Row],[Data Source]])</f>
        <v/>
      </c>
      <c r="L76">
        <f t="array" ref="L76">IsURL(Table_121215[[#This Row],[DOI]])</f>
        <v/>
      </c>
      <c r="M76">
        <f t="array" ref="M76">IsURL(Table_121215[[#This Row],[Data Source]])</f>
        <v/>
      </c>
      <c r="N76">
        <f t="array" ref="N76">IsURL(Table_121215[[#This Row],[Data Source]])</f>
        <v/>
      </c>
    </row>
    <row r="77" ht="15.75" customHeight="1">
      <c r="A77">
        <f>IF(Table_1211[[#This Row],[Complex Name]]=0,"",Table_1211[[#This Row],[Complex Name]])</f>
        <v/>
      </c>
      <c r="I77" s="21" t="n"/>
      <c r="J77" s="21">
        <f>IF($B77="","FALSE","TRUE")</f>
        <v/>
      </c>
      <c r="K77">
        <f t="array" ref="K77">IsURL(Table_121215[[#This Row],[Data Source]])</f>
        <v/>
      </c>
      <c r="L77">
        <f t="array" ref="L77">IsURL(Table_121215[[#This Row],[DOI]])</f>
        <v/>
      </c>
      <c r="M77">
        <f t="array" ref="M77">IsURL(Table_121215[[#This Row],[Data Source]])</f>
        <v/>
      </c>
      <c r="N77">
        <f t="array" ref="N77">IsURL(Table_121215[[#This Row],[Data Source]])</f>
        <v/>
      </c>
    </row>
    <row r="78" ht="15.75" customHeight="1">
      <c r="A78">
        <f>IF(Table_1211[[#This Row],[Complex Name]]=0,"",Table_1211[[#This Row],[Complex Name]])</f>
        <v/>
      </c>
      <c r="I78" s="21" t="n"/>
      <c r="J78" s="21">
        <f>IF($B78="","FALSE","TRUE")</f>
        <v/>
      </c>
      <c r="K78">
        <f t="array" ref="K78">IsURL(Table_121215[[#This Row],[Data Source]])</f>
        <v/>
      </c>
      <c r="L78">
        <f t="array" ref="L78">IsURL(Table_121215[[#This Row],[DOI]])</f>
        <v/>
      </c>
      <c r="M78">
        <f t="array" ref="M78">IsURL(Table_121215[[#This Row],[Data Source]])</f>
        <v/>
      </c>
      <c r="N78">
        <f t="array" ref="N78">IsURL(Table_121215[[#This Row],[Data Source]])</f>
        <v/>
      </c>
    </row>
    <row r="79" ht="15.75" customHeight="1">
      <c r="A79">
        <f>IF(Table_1211[[#This Row],[Complex Name]]=0,"",Table_1211[[#This Row],[Complex Name]])</f>
        <v/>
      </c>
      <c r="I79" s="21" t="n"/>
      <c r="J79" s="21">
        <f>IF($B79="","FALSE","TRUE")</f>
        <v/>
      </c>
      <c r="K79">
        <f t="array" ref="K79">IsURL(Table_121215[[#This Row],[Data Source]])</f>
        <v/>
      </c>
      <c r="L79">
        <f t="array" ref="L79">IsURL(Table_121215[[#This Row],[DOI]])</f>
        <v/>
      </c>
      <c r="M79">
        <f t="array" ref="M79">IsURL(Table_121215[[#This Row],[Data Source]])</f>
        <v/>
      </c>
      <c r="N79">
        <f t="array" ref="N79">IsURL(Table_121215[[#This Row],[Data Source]])</f>
        <v/>
      </c>
    </row>
    <row r="80" ht="15.75" customHeight="1">
      <c r="A80">
        <f>IF(Table_1211[[#This Row],[Complex Name]]=0,"",Table_1211[[#This Row],[Complex Name]])</f>
        <v/>
      </c>
      <c r="I80" s="21" t="n"/>
      <c r="J80" s="21">
        <f>IF($B80="","FALSE","TRUE")</f>
        <v/>
      </c>
      <c r="K80">
        <f t="array" ref="K80">IsURL(Table_121215[[#This Row],[Data Source]])</f>
        <v/>
      </c>
      <c r="L80">
        <f t="array" ref="L80">IsURL(Table_121215[[#This Row],[DOI]])</f>
        <v/>
      </c>
      <c r="M80">
        <f t="array" ref="M80">IsURL(Table_121215[[#This Row],[Data Source]])</f>
        <v/>
      </c>
      <c r="N80">
        <f t="array" ref="N80">IsURL(Table_121215[[#This Row],[Data Source]])</f>
        <v/>
      </c>
    </row>
    <row r="81" ht="15.75" customHeight="1">
      <c r="A81">
        <f>IF(Table_1211[[#This Row],[Complex Name]]=0,"",Table_1211[[#This Row],[Complex Name]])</f>
        <v/>
      </c>
      <c r="I81" s="21" t="n"/>
      <c r="J81" s="21">
        <f>IF($B81="","FALSE","TRUE")</f>
        <v/>
      </c>
      <c r="K81">
        <f t="array" ref="K81">IsURL(Table_121215[[#This Row],[Data Source]])</f>
        <v/>
      </c>
      <c r="L81">
        <f t="array" ref="L81">IsURL(Table_121215[[#This Row],[DOI]])</f>
        <v/>
      </c>
      <c r="M81">
        <f t="array" ref="M81">IsURL(Table_121215[[#This Row],[Data Source]])</f>
        <v/>
      </c>
      <c r="N81">
        <f t="array" ref="N81">IsURL(Table_121215[[#This Row],[Data Source]])</f>
        <v/>
      </c>
    </row>
    <row r="82" ht="15.75" customHeight="1">
      <c r="A82">
        <f>IF(Table_1211[[#This Row],[Complex Name]]=0,"",Table_1211[[#This Row],[Complex Name]])</f>
        <v/>
      </c>
      <c r="I82" s="21" t="n"/>
      <c r="J82" s="21">
        <f>IF($B82="","FALSE","TRUE")</f>
        <v/>
      </c>
      <c r="K82">
        <f t="array" ref="K82">IsURL(Table_121215[[#This Row],[Data Source]])</f>
        <v/>
      </c>
      <c r="L82">
        <f t="array" ref="L82">IsURL(Table_121215[[#This Row],[DOI]])</f>
        <v/>
      </c>
      <c r="M82">
        <f t="array" ref="M82">IsURL(Table_121215[[#This Row],[Data Source]])</f>
        <v/>
      </c>
      <c r="N82">
        <f t="array" ref="N82">IsURL(Table_121215[[#This Row],[Data Source]])</f>
        <v/>
      </c>
    </row>
    <row r="83" ht="15.75" customHeight="1">
      <c r="A83">
        <f>IF(Table_1211[[#This Row],[Complex Name]]=0,"",Table_1211[[#This Row],[Complex Name]])</f>
        <v/>
      </c>
      <c r="I83" s="21" t="n"/>
      <c r="J83" s="21">
        <f>IF($B83="","FALSE","TRUE")</f>
        <v/>
      </c>
      <c r="K83">
        <f t="array" ref="K83">IsURL(Table_121215[[#This Row],[Data Source]])</f>
        <v/>
      </c>
      <c r="L83">
        <f t="array" ref="L83">IsURL(Table_121215[[#This Row],[DOI]])</f>
        <v/>
      </c>
      <c r="M83">
        <f t="array" ref="M83">IsURL(Table_121215[[#This Row],[Data Source]])</f>
        <v/>
      </c>
      <c r="N83">
        <f t="array" ref="N83">IsURL(Table_121215[[#This Row],[Data Source]])</f>
        <v/>
      </c>
    </row>
    <row r="84" ht="15.75" customHeight="1">
      <c r="A84">
        <f>IF(Table_1211[[#This Row],[Complex Name]]=0,"",Table_1211[[#This Row],[Complex Name]])</f>
        <v/>
      </c>
      <c r="I84" s="21" t="n"/>
      <c r="J84" s="21">
        <f>IF($B84="","FALSE","TRUE")</f>
        <v/>
      </c>
      <c r="K84">
        <f t="array" ref="K84">IsURL(Table_121215[[#This Row],[Data Source]])</f>
        <v/>
      </c>
      <c r="L84">
        <f t="array" ref="L84">IsURL(Table_121215[[#This Row],[DOI]])</f>
        <v/>
      </c>
      <c r="M84">
        <f t="array" ref="M84">IsURL(Table_121215[[#This Row],[Data Source]])</f>
        <v/>
      </c>
      <c r="N84">
        <f t="array" ref="N84">IsURL(Table_121215[[#This Row],[Data Source]])</f>
        <v/>
      </c>
    </row>
    <row r="85" ht="15.75" customHeight="1">
      <c r="A85">
        <f>IF(Table_1211[[#This Row],[Complex Name]]=0,"",Table_1211[[#This Row],[Complex Name]])</f>
        <v/>
      </c>
      <c r="I85" s="21" t="n"/>
      <c r="J85" s="21">
        <f>IF($B85="","FALSE","TRUE")</f>
        <v/>
      </c>
      <c r="K85">
        <f t="array" ref="K85">IsURL(Table_121215[[#This Row],[Data Source]])</f>
        <v/>
      </c>
      <c r="L85">
        <f t="array" ref="L85">IsURL(Table_121215[[#This Row],[DOI]])</f>
        <v/>
      </c>
      <c r="M85">
        <f t="array" ref="M85">IsURL(Table_121215[[#This Row],[Data Source]])</f>
        <v/>
      </c>
      <c r="N85">
        <f t="array" ref="N85">IsURL(Table_121215[[#This Row],[Data Source]])</f>
        <v/>
      </c>
    </row>
    <row r="86" ht="15.75" customHeight="1">
      <c r="A86">
        <f>IF(Table_1211[[#This Row],[Complex Name]]=0,"",Table_1211[[#This Row],[Complex Name]])</f>
        <v/>
      </c>
      <c r="I86" s="21" t="n"/>
      <c r="J86" s="21">
        <f>IF($B86="","FALSE","TRUE")</f>
        <v/>
      </c>
      <c r="K86">
        <f t="array" ref="K86">IsURL(Table_121215[[#This Row],[Data Source]])</f>
        <v/>
      </c>
      <c r="L86">
        <f t="array" ref="L86">IsURL(Table_121215[[#This Row],[DOI]])</f>
        <v/>
      </c>
      <c r="M86">
        <f t="array" ref="M86">IsURL(Table_121215[[#This Row],[Data Source]])</f>
        <v/>
      </c>
      <c r="N86">
        <f t="array" ref="N86">IsURL(Table_121215[[#This Row],[Data Source]])</f>
        <v/>
      </c>
    </row>
    <row r="87" ht="15.75" customHeight="1">
      <c r="A87">
        <f>IF(Table_1211[[#This Row],[Complex Name]]=0,"",Table_1211[[#This Row],[Complex Name]])</f>
        <v/>
      </c>
      <c r="I87" s="21" t="n"/>
      <c r="J87" s="21">
        <f>IF($B87="","FALSE","TRUE")</f>
        <v/>
      </c>
      <c r="K87">
        <f t="array" ref="K87">IsURL(Table_121215[[#This Row],[Data Source]])</f>
        <v/>
      </c>
      <c r="L87">
        <f t="array" ref="L87">IsURL(Table_121215[[#This Row],[DOI]])</f>
        <v/>
      </c>
      <c r="M87">
        <f t="array" ref="M87">IsURL(Table_121215[[#This Row],[Data Source]])</f>
        <v/>
      </c>
      <c r="N87">
        <f t="array" ref="N87">IsURL(Table_121215[[#This Row],[Data Source]])</f>
        <v/>
      </c>
    </row>
    <row r="88" ht="15.75" customHeight="1">
      <c r="A88">
        <f>IF(Table_1211[[#This Row],[Complex Name]]=0,"",Table_1211[[#This Row],[Complex Name]])</f>
        <v/>
      </c>
      <c r="I88" s="21" t="n"/>
      <c r="J88" s="21">
        <f>IF($B88="","FALSE","TRUE")</f>
        <v/>
      </c>
      <c r="K88">
        <f t="array" ref="K88">IsURL(Table_121215[[#This Row],[Data Source]])</f>
        <v/>
      </c>
      <c r="L88">
        <f t="array" ref="L88">IsURL(Table_121215[[#This Row],[DOI]])</f>
        <v/>
      </c>
      <c r="M88">
        <f t="array" ref="M88">IsURL(Table_121215[[#This Row],[Data Source]])</f>
        <v/>
      </c>
      <c r="N88">
        <f t="array" ref="N88">IsURL(Table_121215[[#This Row],[Data Source]])</f>
        <v/>
      </c>
    </row>
    <row r="89" ht="15.75" customHeight="1">
      <c r="A89">
        <f>IF(Table_1211[[#This Row],[Complex Name]]=0,"",Table_1211[[#This Row],[Complex Name]])</f>
        <v/>
      </c>
      <c r="I89" s="21" t="n"/>
      <c r="J89" s="21">
        <f>IF($B89="","FALSE","TRUE")</f>
        <v/>
      </c>
      <c r="K89">
        <f t="array" ref="K89">IsURL(Table_121215[[#This Row],[Data Source]])</f>
        <v/>
      </c>
      <c r="L89">
        <f t="array" ref="L89">IsURL(Table_121215[[#This Row],[DOI]])</f>
        <v/>
      </c>
      <c r="M89">
        <f t="array" ref="M89">IsURL(Table_121215[[#This Row],[Data Source]])</f>
        <v/>
      </c>
      <c r="N89">
        <f t="array" ref="N89">IsURL(Table_121215[[#This Row],[Data Source]])</f>
        <v/>
      </c>
    </row>
    <row r="90" ht="15.75" customHeight="1">
      <c r="A90">
        <f>IF(Table_1211[[#This Row],[Complex Name]]=0,"",Table_1211[[#This Row],[Complex Name]])</f>
        <v/>
      </c>
      <c r="I90" s="21" t="n"/>
      <c r="J90" s="21">
        <f>IF($B90="","FALSE","TRUE")</f>
        <v/>
      </c>
      <c r="K90">
        <f t="array" ref="K90">IsURL(Table_121215[[#This Row],[Data Source]])</f>
        <v/>
      </c>
      <c r="L90">
        <f t="array" ref="L90">IsURL(Table_121215[[#This Row],[DOI]])</f>
        <v/>
      </c>
      <c r="M90">
        <f t="array" ref="M90">IsURL(Table_121215[[#This Row],[Data Source]])</f>
        <v/>
      </c>
      <c r="N90">
        <f t="array" ref="N90">IsURL(Table_121215[[#This Row],[Data Source]])</f>
        <v/>
      </c>
    </row>
    <row r="91" ht="15.75" customHeight="1">
      <c r="A91">
        <f>IF(Table_1211[[#This Row],[Complex Name]]=0,"",Table_1211[[#This Row],[Complex Name]])</f>
        <v/>
      </c>
      <c r="I91" s="21" t="n"/>
      <c r="J91" s="21">
        <f>IF($B91="","FALSE","TRUE")</f>
        <v/>
      </c>
      <c r="K91">
        <f t="array" ref="K91">IsURL(Table_121215[[#This Row],[Data Source]])</f>
        <v/>
      </c>
      <c r="L91">
        <f t="array" ref="L91">IsURL(Table_121215[[#This Row],[DOI]])</f>
        <v/>
      </c>
      <c r="M91">
        <f t="array" ref="M91">IsURL(Table_121215[[#This Row],[Data Source]])</f>
        <v/>
      </c>
      <c r="N91">
        <f t="array" ref="N91">IsURL(Table_121215[[#This Row],[Data Source]])</f>
        <v/>
      </c>
    </row>
    <row r="92" ht="15.75" customHeight="1">
      <c r="A92">
        <f>IF(Table_1211[[#This Row],[Complex Name]]=0,"",Table_1211[[#This Row],[Complex Name]])</f>
        <v/>
      </c>
      <c r="I92" s="21" t="n"/>
      <c r="J92" s="21">
        <f>IF($B92="","FALSE","TRUE")</f>
        <v/>
      </c>
      <c r="K92">
        <f t="array" ref="K92">IsURL(Table_121215[[#This Row],[Data Source]])</f>
        <v/>
      </c>
      <c r="L92">
        <f t="array" ref="L92">IsURL(Table_121215[[#This Row],[DOI]])</f>
        <v/>
      </c>
      <c r="M92">
        <f t="array" ref="M92">IsURL(Table_121215[[#This Row],[Data Source]])</f>
        <v/>
      </c>
      <c r="N92">
        <f t="array" ref="N92">IsURL(Table_121215[[#This Row],[Data Source]])</f>
        <v/>
      </c>
    </row>
    <row r="93" ht="15.75" customHeight="1">
      <c r="A93">
        <f>IF(Table_1211[[#This Row],[Complex Name]]=0,"",Table_1211[[#This Row],[Complex Name]])</f>
        <v/>
      </c>
      <c r="I93" s="21" t="n"/>
      <c r="J93" s="21">
        <f>IF($B93="","FALSE","TRUE")</f>
        <v/>
      </c>
      <c r="K93">
        <f t="array" ref="K93">IsURL(Table_121215[[#This Row],[Data Source]])</f>
        <v/>
      </c>
      <c r="L93">
        <f t="array" ref="L93">IsURL(Table_121215[[#This Row],[DOI]])</f>
        <v/>
      </c>
      <c r="M93">
        <f t="array" ref="M93">IsURL(Table_121215[[#This Row],[Data Source]])</f>
        <v/>
      </c>
      <c r="N93">
        <f t="array" ref="N93">IsURL(Table_121215[[#This Row],[Data Source]])</f>
        <v/>
      </c>
    </row>
    <row r="94" ht="15.75" customHeight="1">
      <c r="A94">
        <f>IF(Table_1211[[#This Row],[Complex Name]]=0,"",Table_1211[[#This Row],[Complex Name]])</f>
        <v/>
      </c>
      <c r="I94" s="21" t="n"/>
      <c r="J94" s="21">
        <f>IF($B94="","FALSE","TRUE")</f>
        <v/>
      </c>
      <c r="K94">
        <f t="array" ref="K94">IsURL(Table_121215[[#This Row],[Data Source]])</f>
        <v/>
      </c>
      <c r="L94">
        <f t="array" ref="L94">IsURL(Table_121215[[#This Row],[DOI]])</f>
        <v/>
      </c>
      <c r="M94">
        <f t="array" ref="M94">IsURL(Table_121215[[#This Row],[Data Source]])</f>
        <v/>
      </c>
      <c r="N94">
        <f t="array" ref="N94">IsURL(Table_121215[[#This Row],[Data Source]])</f>
        <v/>
      </c>
    </row>
    <row r="95" ht="15.75" customHeight="1">
      <c r="A95">
        <f>IF(Table_1211[[#This Row],[Complex Name]]=0,"",Table_1211[[#This Row],[Complex Name]])</f>
        <v/>
      </c>
      <c r="I95" s="21" t="n"/>
      <c r="J95" s="21">
        <f>IF($B95="","FALSE","TRUE")</f>
        <v/>
      </c>
      <c r="K95">
        <f t="array" ref="K95">IsURL(Table_121215[[#This Row],[Data Source]])</f>
        <v/>
      </c>
      <c r="L95">
        <f t="array" ref="L95">IsURL(Table_121215[[#This Row],[DOI]])</f>
        <v/>
      </c>
      <c r="M95">
        <f t="array" ref="M95">IsURL(Table_121215[[#This Row],[Data Source]])</f>
        <v/>
      </c>
      <c r="N95">
        <f t="array" ref="N95">IsURL(Table_121215[[#This Row],[Data Source]])</f>
        <v/>
      </c>
    </row>
    <row r="96" ht="15.75" customHeight="1">
      <c r="A96">
        <f>IF(Table_1211[[#This Row],[Complex Name]]=0,"",Table_1211[[#This Row],[Complex Name]])</f>
        <v/>
      </c>
      <c r="I96" s="21" t="n"/>
      <c r="J96" s="21">
        <f>IF($B96="","FALSE","TRUE")</f>
        <v/>
      </c>
      <c r="K96">
        <f t="array" ref="K96">IsURL(Table_121215[[#This Row],[Data Source]])</f>
        <v/>
      </c>
      <c r="L96">
        <f t="array" ref="L96">IsURL(Table_121215[[#This Row],[DOI]])</f>
        <v/>
      </c>
      <c r="M96">
        <f t="array" ref="M96">IsURL(Table_121215[[#This Row],[Data Source]])</f>
        <v/>
      </c>
      <c r="N96">
        <f t="array" ref="N96">IsURL(Table_121215[[#This Row],[Data Source]])</f>
        <v/>
      </c>
    </row>
    <row r="97" ht="15.75" customHeight="1">
      <c r="A97">
        <f>IF(Table_1211[[#This Row],[Complex Name]]=0,"",Table_1211[[#This Row],[Complex Name]])</f>
        <v/>
      </c>
      <c r="I97" s="21" t="n"/>
      <c r="J97" s="21">
        <f>IF($B97="","FALSE","TRUE")</f>
        <v/>
      </c>
      <c r="K97">
        <f t="array" ref="K97">IsURL(Table_121215[[#This Row],[Data Source]])</f>
        <v/>
      </c>
      <c r="L97">
        <f t="array" ref="L97">IsURL(Table_121215[[#This Row],[DOI]])</f>
        <v/>
      </c>
      <c r="M97">
        <f t="array" ref="M97">IsURL(Table_121215[[#This Row],[Data Source]])</f>
        <v/>
      </c>
      <c r="N97">
        <f t="array" ref="N97">IsURL(Table_121215[[#This Row],[Data Source]])</f>
        <v/>
      </c>
    </row>
    <row r="98" ht="15.75" customHeight="1">
      <c r="A98">
        <f>IF(Table_1211[[#This Row],[Complex Name]]=0,"",Table_1211[[#This Row],[Complex Name]])</f>
        <v/>
      </c>
      <c r="I98" s="21" t="n"/>
      <c r="J98" s="21">
        <f>IF($B98="","FALSE","TRUE")</f>
        <v/>
      </c>
      <c r="K98">
        <f t="array" ref="K98">IsURL(Table_121215[[#This Row],[Data Source]])</f>
        <v/>
      </c>
      <c r="L98">
        <f t="array" ref="L98">IsURL(Table_121215[[#This Row],[DOI]])</f>
        <v/>
      </c>
      <c r="M98">
        <f t="array" ref="M98">IsURL(Table_121215[[#This Row],[Data Source]])</f>
        <v/>
      </c>
      <c r="N98">
        <f t="array" ref="N98">IsURL(Table_121215[[#This Row],[Data Source]])</f>
        <v/>
      </c>
    </row>
    <row r="99" ht="15.75" customHeight="1">
      <c r="A99">
        <f>IF(Table_1211[[#This Row],[Complex Name]]=0,"",Table_1211[[#This Row],[Complex Name]])</f>
        <v/>
      </c>
      <c r="I99" s="21" t="n"/>
      <c r="J99" s="21">
        <f>IF($B99="","FALSE","TRUE")</f>
        <v/>
      </c>
      <c r="K99">
        <f t="array" ref="K99">IsURL(Table_121215[[#This Row],[Data Source]])</f>
        <v/>
      </c>
      <c r="L99">
        <f t="array" ref="L99">IsURL(Table_121215[[#This Row],[DOI]])</f>
        <v/>
      </c>
      <c r="M99">
        <f t="array" ref="M99">IsURL(Table_121215[[#This Row],[Data Source]])</f>
        <v/>
      </c>
      <c r="N99">
        <f t="array" ref="N99">IsURL(Table_121215[[#This Row],[Data Source]])</f>
        <v/>
      </c>
    </row>
    <row r="100" ht="15.75" customHeight="1">
      <c r="A100">
        <f>IF(Table_1211[[#This Row],[Complex Name]]=0,"",Table_1211[[#This Row],[Complex Name]])</f>
        <v/>
      </c>
      <c r="I100" s="21" t="n"/>
      <c r="J100" s="21">
        <f>IF($B100="","FALSE","TRUE")</f>
        <v/>
      </c>
      <c r="K100">
        <f t="array" ref="K100">IsURL(Table_121215[[#This Row],[Data Source]])</f>
        <v/>
      </c>
      <c r="L100">
        <f t="array" ref="L100">IsURL(Table_121215[[#This Row],[DOI]])</f>
        <v/>
      </c>
      <c r="M100">
        <f t="array" ref="M100">IsURL(Table_121215[[#This Row],[Data Source]])</f>
        <v/>
      </c>
      <c r="N100">
        <f t="array" ref="N100">IsURL(Table_121215[[#This Row],[Data Source]])</f>
        <v/>
      </c>
    </row>
    <row r="101" ht="15.75" customHeight="1">
      <c r="A101">
        <f>IF(Table_1211[[#This Row],[Complex Name]]=0,"",Table_1211[[#This Row],[Complex Name]])</f>
        <v/>
      </c>
      <c r="I101" s="21" t="n"/>
      <c r="J101" s="21">
        <f>IF($B101="","FALSE","TRUE")</f>
        <v/>
      </c>
      <c r="K101">
        <f t="array" ref="K101">IsURL(Table_121215[[#This Row],[Data Source]])</f>
        <v/>
      </c>
      <c r="L101">
        <f t="array" ref="L101">IsURL(Table_121215[[#This Row],[DOI]])</f>
        <v/>
      </c>
      <c r="M101">
        <f t="array" ref="M101">IsURL(Table_121215[[#This Row],[Data Source]])</f>
        <v/>
      </c>
      <c r="N101">
        <f t="array" ref="N101">IsURL(Table_121215[[#This Row],[Data Source]])</f>
        <v/>
      </c>
    </row>
    <row r="102" ht="15.75" customHeight="1">
      <c r="A102">
        <f>IF(Table_1211[[#This Row],[Complex Name]]=0,"",Table_1211[[#This Row],[Complex Name]])</f>
        <v/>
      </c>
      <c r="I102" s="21" t="n"/>
      <c r="J102" s="21">
        <f>IF($B102="","FALSE","TRUE")</f>
        <v/>
      </c>
      <c r="K102">
        <f t="array" ref="K102">IsURL(Table_121215[[#This Row],[Data Source]])</f>
        <v/>
      </c>
      <c r="L102">
        <f t="array" ref="L102">IsURL(Table_121215[[#This Row],[DOI]])</f>
        <v/>
      </c>
      <c r="M102">
        <f t="array" ref="M102">IsURL(Table_121215[[#This Row],[Data Source]])</f>
        <v/>
      </c>
      <c r="N102">
        <f t="array" ref="N102">IsURL(Table_121215[[#This Row],[Data Source]])</f>
        <v/>
      </c>
    </row>
    <row r="103" ht="15.75" customHeight="1">
      <c r="A103">
        <f>IF(Table_1211[[#This Row],[Complex Name]]=0,"",Table_1211[[#This Row],[Complex Name]])</f>
        <v/>
      </c>
      <c r="I103" s="21" t="n"/>
      <c r="J103" s="21">
        <f>IF($B103="","FALSE","TRUE")</f>
        <v/>
      </c>
      <c r="K103">
        <f t="array" ref="K103">IsURL(Table_121215[[#This Row],[Data Source]])</f>
        <v/>
      </c>
      <c r="L103">
        <f t="array" ref="L103">IsURL(Table_121215[[#This Row],[DOI]])</f>
        <v/>
      </c>
      <c r="M103">
        <f t="array" ref="M103">IsURL(Table_121215[[#This Row],[Data Source]])</f>
        <v/>
      </c>
      <c r="N103">
        <f t="array" ref="N103">IsURL(Table_121215[[#This Row],[Data Source]])</f>
        <v/>
      </c>
    </row>
    <row r="104" ht="15.75" customHeight="1">
      <c r="A104">
        <f>IF(Table_1211[[#This Row],[Complex Name]]=0,"",Table_1211[[#This Row],[Complex Name]])</f>
        <v/>
      </c>
      <c r="I104" s="21" t="n"/>
      <c r="J104" s="21">
        <f>IF($B104="","FALSE","TRUE")</f>
        <v/>
      </c>
      <c r="K104">
        <f t="array" ref="K104">IsURL(Table_121215[[#This Row],[Data Source]])</f>
        <v/>
      </c>
      <c r="L104">
        <f t="array" ref="L104">IsURL(Table_121215[[#This Row],[DOI]])</f>
        <v/>
      </c>
      <c r="M104">
        <f t="array" ref="M104">IsURL(Table_121215[[#This Row],[Data Source]])</f>
        <v/>
      </c>
      <c r="N104">
        <f t="array" ref="N104">IsURL(Table_121215[[#This Row],[Data Source]])</f>
        <v/>
      </c>
    </row>
    <row r="105" ht="15.75" customHeight="1">
      <c r="A105">
        <f>IF(Table_1211[[#This Row],[Complex Name]]=0,"",Table_1211[[#This Row],[Complex Name]])</f>
        <v/>
      </c>
      <c r="I105" s="21" t="n"/>
      <c r="J105" s="21">
        <f>IF($B105="","FALSE","TRUE")</f>
        <v/>
      </c>
      <c r="K105">
        <f t="array" ref="K105">IsURL(Table_121215[[#This Row],[Data Source]])</f>
        <v/>
      </c>
      <c r="L105">
        <f t="array" ref="L105">IsURL(Table_121215[[#This Row],[DOI]])</f>
        <v/>
      </c>
      <c r="M105">
        <f t="array" ref="M105">IsURL(Table_121215[[#This Row],[Data Source]])</f>
        <v/>
      </c>
      <c r="N105">
        <f t="array" ref="N105">IsURL(Table_121215[[#This Row],[Data Source]])</f>
        <v/>
      </c>
    </row>
    <row r="106" ht="15.75" customHeight="1">
      <c r="A106">
        <f>IF(Table_1211[[#This Row],[Complex Name]]=0,"",Table_1211[[#This Row],[Complex Name]])</f>
        <v/>
      </c>
      <c r="I106" s="21" t="n"/>
      <c r="J106" s="21">
        <f>IF($B106="","FALSE","TRUE")</f>
        <v/>
      </c>
      <c r="K106">
        <f t="array" ref="K106">IsURL(Table_121215[[#This Row],[Data Source]])</f>
        <v/>
      </c>
      <c r="L106">
        <f t="array" ref="L106">IsURL(Table_121215[[#This Row],[DOI]])</f>
        <v/>
      </c>
      <c r="M106">
        <f t="array" ref="M106">IsURL(Table_121215[[#This Row],[Data Source]])</f>
        <v/>
      </c>
      <c r="N106">
        <f t="array" ref="N106">IsURL(Table_121215[[#This Row],[Data Source]])</f>
        <v/>
      </c>
    </row>
    <row r="107" ht="15.75" customHeight="1">
      <c r="A107">
        <f>IF(Table_1211[[#This Row],[Complex Name]]=0,"",Table_1211[[#This Row],[Complex Name]])</f>
        <v/>
      </c>
      <c r="I107" s="21" t="n"/>
      <c r="J107" s="21">
        <f>IF($B107="","FALSE","TRUE")</f>
        <v/>
      </c>
      <c r="K107">
        <f t="array" ref="K107">IsURL(Table_121215[[#This Row],[Data Source]])</f>
        <v/>
      </c>
      <c r="L107">
        <f t="array" ref="L107">IsURL(Table_121215[[#This Row],[DOI]])</f>
        <v/>
      </c>
      <c r="M107">
        <f t="array" ref="M107">IsURL(Table_121215[[#This Row],[Data Source]])</f>
        <v/>
      </c>
      <c r="N107">
        <f t="array" ref="N107">IsURL(Table_121215[[#This Row],[Data Source]])</f>
        <v/>
      </c>
    </row>
    <row r="108" ht="15.75" customHeight="1">
      <c r="A108">
        <f>IF(Table_1211[[#This Row],[Complex Name]]=0,"",Table_1211[[#This Row],[Complex Name]])</f>
        <v/>
      </c>
      <c r="I108" s="21" t="n"/>
      <c r="J108" s="21">
        <f>IF($B108="","FALSE","TRUE")</f>
        <v/>
      </c>
      <c r="K108">
        <f t="array" ref="K108">IsURL(Table_121215[[#This Row],[Data Source]])</f>
        <v/>
      </c>
      <c r="L108">
        <f t="array" ref="L108">IsURL(Table_121215[[#This Row],[DOI]])</f>
        <v/>
      </c>
      <c r="M108">
        <f t="array" ref="M108">IsURL(Table_121215[[#This Row],[Data Source]])</f>
        <v/>
      </c>
      <c r="N108">
        <f t="array" ref="N108">IsURL(Table_121215[[#This Row],[Data Source]])</f>
        <v/>
      </c>
    </row>
    <row r="109" ht="15.75" customHeight="1">
      <c r="A109">
        <f>IF(Table_1211[[#This Row],[Complex Name]]=0,"",Table_1211[[#This Row],[Complex Name]])</f>
        <v/>
      </c>
      <c r="I109" s="21" t="n"/>
      <c r="J109" s="21">
        <f>IF($B109="","FALSE","TRUE")</f>
        <v/>
      </c>
      <c r="K109">
        <f t="array" ref="K109">IsURL(Table_121215[[#This Row],[Data Source]])</f>
        <v/>
      </c>
      <c r="L109">
        <f t="array" ref="L109">IsURL(Table_121215[[#This Row],[DOI]])</f>
        <v/>
      </c>
      <c r="M109">
        <f t="array" ref="M109">IsURL(Table_121215[[#This Row],[Data Source]])</f>
        <v/>
      </c>
      <c r="N109">
        <f t="array" ref="N109">IsURL(Table_121215[[#This Row],[Data Source]])</f>
        <v/>
      </c>
    </row>
    <row r="110" ht="15.75" customHeight="1">
      <c r="A110">
        <f>IF(Table_1211[[#This Row],[Complex Name]]=0,"",Table_1211[[#This Row],[Complex Name]])</f>
        <v/>
      </c>
      <c r="I110" s="21" t="n"/>
      <c r="J110" s="21">
        <f>IF($B110="","FALSE","TRUE")</f>
        <v/>
      </c>
      <c r="K110">
        <f t="array" ref="K110">IsURL(Table_121215[[#This Row],[Data Source]])</f>
        <v/>
      </c>
      <c r="L110">
        <f t="array" ref="L110">IsURL(Table_121215[[#This Row],[DOI]])</f>
        <v/>
      </c>
      <c r="M110">
        <f t="array" ref="M110">IsURL(Table_121215[[#This Row],[Data Source]])</f>
        <v/>
      </c>
      <c r="N110">
        <f t="array" ref="N110">IsURL(Table_121215[[#This Row],[Data Source]])</f>
        <v/>
      </c>
    </row>
    <row r="111" ht="15.75" customHeight="1">
      <c r="A111">
        <f>IF(Table_1211[[#This Row],[Complex Name]]=0,"",Table_1211[[#This Row],[Complex Name]])</f>
        <v/>
      </c>
      <c r="I111" s="21" t="n"/>
      <c r="J111" s="21">
        <f>IF($B111="","FALSE","TRUE")</f>
        <v/>
      </c>
      <c r="K111">
        <f t="array" ref="K111">IsURL(Table_121215[[#This Row],[Data Source]])</f>
        <v/>
      </c>
      <c r="L111">
        <f t="array" ref="L111">IsURL(Table_121215[[#This Row],[DOI]])</f>
        <v/>
      </c>
      <c r="M111">
        <f t="array" ref="M111">IsURL(Table_121215[[#This Row],[Data Source]])</f>
        <v/>
      </c>
      <c r="N111">
        <f t="array" ref="N111">IsURL(Table_121215[[#This Row],[Data Source]])</f>
        <v/>
      </c>
    </row>
    <row r="112" ht="15.75" customHeight="1">
      <c r="A112">
        <f>IF(Table_1211[[#This Row],[Complex Name]]=0,"",Table_1211[[#This Row],[Complex Name]])</f>
        <v/>
      </c>
      <c r="I112" s="21" t="n"/>
      <c r="J112" s="21">
        <f>IF($B112="","FALSE","TRUE")</f>
        <v/>
      </c>
      <c r="K112">
        <f t="array" ref="K112">IsURL(Table_121215[[#This Row],[Data Source]])</f>
        <v/>
      </c>
      <c r="L112">
        <f t="array" ref="L112">IsURL(Table_121215[[#This Row],[DOI]])</f>
        <v/>
      </c>
      <c r="M112">
        <f t="array" ref="M112">IsURL(Table_121215[[#This Row],[Data Source]])</f>
        <v/>
      </c>
      <c r="N112">
        <f t="array" ref="N112">IsURL(Table_121215[[#This Row],[Data Source]])</f>
        <v/>
      </c>
    </row>
    <row r="113" ht="15.75" customHeight="1">
      <c r="A113">
        <f>IF(Table_1211[[#This Row],[Complex Name]]=0,"",Table_1211[[#This Row],[Complex Name]])</f>
        <v/>
      </c>
      <c r="I113" s="21" t="n"/>
      <c r="J113" s="21">
        <f>IF($B113="","FALSE","TRUE")</f>
        <v/>
      </c>
      <c r="K113">
        <f t="array" ref="K113">IsURL(Table_121215[[#This Row],[Data Source]])</f>
        <v/>
      </c>
      <c r="L113">
        <f t="array" ref="L113">IsURL(Table_121215[[#This Row],[DOI]])</f>
        <v/>
      </c>
      <c r="M113">
        <f t="array" ref="M113">IsURL(Table_121215[[#This Row],[Data Source]])</f>
        <v/>
      </c>
      <c r="N113">
        <f t="array" ref="N113">IsURL(Table_121215[[#This Row],[Data Source]])</f>
        <v/>
      </c>
    </row>
    <row r="114" ht="15.75" customHeight="1">
      <c r="A114">
        <f>IF(Table_1211[[#This Row],[Complex Name]]=0,"",Table_1211[[#This Row],[Complex Name]])</f>
        <v/>
      </c>
      <c r="I114" s="21" t="n"/>
      <c r="J114" s="21">
        <f>IF($B114="","FALSE","TRUE")</f>
        <v/>
      </c>
      <c r="K114">
        <f t="array" ref="K114">IsURL(Table_121215[[#This Row],[Data Source]])</f>
        <v/>
      </c>
      <c r="L114">
        <f t="array" ref="L114">IsURL(Table_121215[[#This Row],[DOI]])</f>
        <v/>
      </c>
      <c r="M114">
        <f t="array" ref="M114">IsURL(Table_121215[[#This Row],[Data Source]])</f>
        <v/>
      </c>
      <c r="N114">
        <f t="array" ref="N114">IsURL(Table_121215[[#This Row],[Data Source]])</f>
        <v/>
      </c>
    </row>
    <row r="115" ht="15.75" customHeight="1">
      <c r="A115">
        <f>IF(Table_1211[[#This Row],[Complex Name]]=0,"",Table_1211[[#This Row],[Complex Name]])</f>
        <v/>
      </c>
      <c r="I115" s="21" t="n"/>
      <c r="J115" s="21">
        <f>IF($B115="","FALSE","TRUE")</f>
        <v/>
      </c>
      <c r="K115">
        <f t="array" ref="K115">IsURL(Table_121215[[#This Row],[Data Source]])</f>
        <v/>
      </c>
      <c r="L115">
        <f t="array" ref="L115">IsURL(Table_121215[[#This Row],[DOI]])</f>
        <v/>
      </c>
      <c r="M115">
        <f t="array" ref="M115">IsURL(Table_121215[[#This Row],[Data Source]])</f>
        <v/>
      </c>
      <c r="N115">
        <f t="array" ref="N115">IsURL(Table_121215[[#This Row],[Data Source]])</f>
        <v/>
      </c>
    </row>
    <row r="116" ht="15.75" customHeight="1">
      <c r="A116">
        <f>IF(Table_1211[[#This Row],[Complex Name]]=0,"",Table_1211[[#This Row],[Complex Name]])</f>
        <v/>
      </c>
      <c r="I116" s="21" t="n"/>
      <c r="J116" s="21">
        <f>IF($B116="","FALSE","TRUE")</f>
        <v/>
      </c>
      <c r="K116">
        <f t="array" ref="K116">IsURL(Table_121215[[#This Row],[Data Source]])</f>
        <v/>
      </c>
      <c r="L116">
        <f t="array" ref="L116">IsURL(Table_121215[[#This Row],[DOI]])</f>
        <v/>
      </c>
      <c r="M116">
        <f t="array" ref="M116">IsURL(Table_121215[[#This Row],[Data Source]])</f>
        <v/>
      </c>
      <c r="N116">
        <f t="array" ref="N116">IsURL(Table_121215[[#This Row],[Data Source]])</f>
        <v/>
      </c>
    </row>
    <row r="117" ht="15.75" customHeight="1">
      <c r="A117">
        <f>IF(Table_1211[[#This Row],[Complex Name]]=0,"",Table_1211[[#This Row],[Complex Name]])</f>
        <v/>
      </c>
      <c r="I117" s="21" t="n"/>
      <c r="J117" s="21">
        <f>IF($B117="","FALSE","TRUE")</f>
        <v/>
      </c>
      <c r="K117">
        <f t="array" ref="K117">IsURL(Table_121215[[#This Row],[Data Source]])</f>
        <v/>
      </c>
      <c r="L117">
        <f t="array" ref="L117">IsURL(Table_121215[[#This Row],[DOI]])</f>
        <v/>
      </c>
      <c r="M117">
        <f t="array" ref="M117">IsURL(Table_121215[[#This Row],[Data Source]])</f>
        <v/>
      </c>
      <c r="N117">
        <f t="array" ref="N117">IsURL(Table_121215[[#This Row],[Data Source]])</f>
        <v/>
      </c>
    </row>
    <row r="118" ht="15.75" customHeight="1">
      <c r="A118">
        <f>IF(Table_1211[[#This Row],[Complex Name]]=0,"",Table_1211[[#This Row],[Complex Name]])</f>
        <v/>
      </c>
      <c r="I118" s="21" t="n"/>
      <c r="J118" s="21">
        <f>IF($B118="","FALSE","TRUE")</f>
        <v/>
      </c>
      <c r="K118">
        <f t="array" ref="K118">IsURL(Table_121215[[#This Row],[Data Source]])</f>
        <v/>
      </c>
      <c r="L118">
        <f t="array" ref="L118">IsURL(Table_121215[[#This Row],[DOI]])</f>
        <v/>
      </c>
      <c r="M118">
        <f t="array" ref="M118">IsURL(Table_121215[[#This Row],[Data Source]])</f>
        <v/>
      </c>
      <c r="N118">
        <f t="array" ref="N118">IsURL(Table_121215[[#This Row],[Data Source]])</f>
        <v/>
      </c>
    </row>
    <row r="119" ht="15.75" customHeight="1">
      <c r="A119">
        <f>IF(Table_1211[[#This Row],[Complex Name]]=0,"",Table_1211[[#This Row],[Complex Name]])</f>
        <v/>
      </c>
      <c r="I119" s="21" t="n"/>
      <c r="J119" s="21">
        <f>IF($B119="","FALSE","TRUE")</f>
        <v/>
      </c>
      <c r="K119">
        <f t="array" ref="K119">IsURL(Table_121215[[#This Row],[Data Source]])</f>
        <v/>
      </c>
      <c r="L119">
        <f t="array" ref="L119">IsURL(Table_121215[[#This Row],[DOI]])</f>
        <v/>
      </c>
      <c r="M119">
        <f t="array" ref="M119">IsURL(Table_121215[[#This Row],[Data Source]])</f>
        <v/>
      </c>
      <c r="N119">
        <f t="array" ref="N119">IsURL(Table_121215[[#This Row],[Data Source]])</f>
        <v/>
      </c>
    </row>
    <row r="120" ht="15.75" customHeight="1">
      <c r="A120">
        <f>IF(Table_1211[[#This Row],[Complex Name]]=0,"",Table_1211[[#This Row],[Complex Name]])</f>
        <v/>
      </c>
      <c r="I120" s="21" t="n"/>
      <c r="J120" s="21">
        <f>IF($B120="","FALSE","TRUE")</f>
        <v/>
      </c>
      <c r="K120">
        <f t="array" ref="K120">IsURL(Table_121215[[#This Row],[Data Source]])</f>
        <v/>
      </c>
      <c r="L120">
        <f t="array" ref="L120">IsURL(Table_121215[[#This Row],[DOI]])</f>
        <v/>
      </c>
      <c r="M120">
        <f t="array" ref="M120">IsURL(Table_121215[[#This Row],[Data Source]])</f>
        <v/>
      </c>
      <c r="N120">
        <f t="array" ref="N120">IsURL(Table_121215[[#This Row],[Data Source]])</f>
        <v/>
      </c>
    </row>
    <row r="121" ht="15.75" customHeight="1">
      <c r="A121">
        <f>IF(Table_1211[[#This Row],[Complex Name]]=0,"",Table_1211[[#This Row],[Complex Name]])</f>
        <v/>
      </c>
      <c r="I121" s="21" t="n"/>
      <c r="J121" s="21">
        <f>IF($B121="","FALSE","TRUE")</f>
        <v/>
      </c>
      <c r="K121">
        <f t="array" ref="K121">IsURL(Table_121215[[#This Row],[Data Source]])</f>
        <v/>
      </c>
      <c r="L121">
        <f t="array" ref="L121">IsURL(Table_121215[[#This Row],[DOI]])</f>
        <v/>
      </c>
      <c r="M121">
        <f t="array" ref="M121">IsURL(Table_121215[[#This Row],[Data Source]])</f>
        <v/>
      </c>
      <c r="N121">
        <f t="array" ref="N121">IsURL(Table_121215[[#This Row],[Data Source]])</f>
        <v/>
      </c>
    </row>
    <row r="122" ht="15.75" customHeight="1">
      <c r="A122">
        <f>IF(Table_1211[[#This Row],[Complex Name]]=0,"",Table_1211[[#This Row],[Complex Name]])</f>
        <v/>
      </c>
      <c r="I122" s="21" t="n"/>
      <c r="J122" s="21">
        <f>IF($B122="","FALSE","TRUE")</f>
        <v/>
      </c>
      <c r="K122">
        <f t="array" ref="K122">IsURL(Table_121215[[#This Row],[Data Source]])</f>
        <v/>
      </c>
      <c r="L122">
        <f t="array" ref="L122">IsURL(Table_121215[[#This Row],[DOI]])</f>
        <v/>
      </c>
      <c r="M122">
        <f t="array" ref="M122">IsURL(Table_121215[[#This Row],[Data Source]])</f>
        <v/>
      </c>
      <c r="N122">
        <f t="array" ref="N122">IsURL(Table_121215[[#This Row],[Data Source]])</f>
        <v/>
      </c>
    </row>
    <row r="123" ht="15.75" customHeight="1">
      <c r="A123">
        <f>IF(Table_1211[[#This Row],[Complex Name]]=0,"",Table_1211[[#This Row],[Complex Name]])</f>
        <v/>
      </c>
      <c r="I123" s="21" t="n"/>
      <c r="J123" s="21">
        <f>IF($B123="","FALSE","TRUE")</f>
        <v/>
      </c>
      <c r="K123">
        <f t="array" ref="K123">IsURL(Table_121215[[#This Row],[Data Source]])</f>
        <v/>
      </c>
      <c r="L123">
        <f t="array" ref="L123">IsURL(Table_121215[[#This Row],[DOI]])</f>
        <v/>
      </c>
      <c r="M123">
        <f t="array" ref="M123">IsURL(Table_121215[[#This Row],[Data Source]])</f>
        <v/>
      </c>
      <c r="N123">
        <f t="array" ref="N123">IsURL(Table_121215[[#This Row],[Data Source]])</f>
        <v/>
      </c>
    </row>
    <row r="124" ht="15.75" customHeight="1">
      <c r="A124">
        <f>IF(Table_1211[[#This Row],[Complex Name]]=0,"",Table_1211[[#This Row],[Complex Name]])</f>
        <v/>
      </c>
      <c r="I124" s="21" t="n"/>
      <c r="J124" s="21">
        <f>IF($B124="","FALSE","TRUE")</f>
        <v/>
      </c>
      <c r="K124">
        <f t="array" ref="K124">IsURL(Table_121215[[#This Row],[Data Source]])</f>
        <v/>
      </c>
      <c r="L124">
        <f t="array" ref="L124">IsURL(Table_121215[[#This Row],[DOI]])</f>
        <v/>
      </c>
      <c r="M124">
        <f t="array" ref="M124">IsURL(Table_121215[[#This Row],[Data Source]])</f>
        <v/>
      </c>
      <c r="N124">
        <f t="array" ref="N124">IsURL(Table_121215[[#This Row],[Data Source]])</f>
        <v/>
      </c>
    </row>
    <row r="125" ht="15.75" customHeight="1">
      <c r="A125">
        <f>IF(Table_1211[[#This Row],[Complex Name]]=0,"",Table_1211[[#This Row],[Complex Name]])</f>
        <v/>
      </c>
      <c r="I125" s="21" t="n"/>
      <c r="J125" s="21">
        <f>IF($B125="","FALSE","TRUE")</f>
        <v/>
      </c>
      <c r="K125">
        <f t="array" ref="K125">IsURL(Table_121215[[#This Row],[Data Source]])</f>
        <v/>
      </c>
      <c r="L125">
        <f t="array" ref="L125">IsURL(Table_121215[[#This Row],[DOI]])</f>
        <v/>
      </c>
      <c r="M125">
        <f t="array" ref="M125">IsURL(Table_121215[[#This Row],[Data Source]])</f>
        <v/>
      </c>
      <c r="N125">
        <f t="array" ref="N125">IsURL(Table_121215[[#This Row],[Data Source]])</f>
        <v/>
      </c>
    </row>
    <row r="126" ht="15.75" customHeight="1">
      <c r="A126">
        <f>IF(Table_1211[[#This Row],[Complex Name]]=0,"",Table_1211[[#This Row],[Complex Name]])</f>
        <v/>
      </c>
      <c r="I126" s="21" t="n"/>
      <c r="J126" s="21">
        <f>IF($B126="","FALSE","TRUE")</f>
        <v/>
      </c>
      <c r="K126">
        <f t="array" ref="K126">IsURL(Table_121215[[#This Row],[Data Source]])</f>
        <v/>
      </c>
      <c r="L126">
        <f t="array" ref="L126">IsURL(Table_121215[[#This Row],[DOI]])</f>
        <v/>
      </c>
      <c r="M126">
        <f t="array" ref="M126">IsURL(Table_121215[[#This Row],[Data Source]])</f>
        <v/>
      </c>
      <c r="N126">
        <f t="array" ref="N126">IsURL(Table_121215[[#This Row],[Data Source]])</f>
        <v/>
      </c>
    </row>
    <row r="127" ht="15.75" customHeight="1">
      <c r="A127">
        <f>IF(Table_1211[[#This Row],[Complex Name]]=0,"",Table_1211[[#This Row],[Complex Name]])</f>
        <v/>
      </c>
      <c r="I127" s="21" t="n"/>
      <c r="J127" s="21">
        <f>IF($B127="","FALSE","TRUE")</f>
        <v/>
      </c>
      <c r="K127">
        <f t="array" ref="K127">IsURL(Table_121215[[#This Row],[Data Source]])</f>
        <v/>
      </c>
      <c r="L127">
        <f t="array" ref="L127">IsURL(Table_121215[[#This Row],[DOI]])</f>
        <v/>
      </c>
      <c r="M127">
        <f t="array" ref="M127">IsURL(Table_121215[[#This Row],[Data Source]])</f>
        <v/>
      </c>
      <c r="N127">
        <f t="array" ref="N127">IsURL(Table_121215[[#This Row],[Data Source]])</f>
        <v/>
      </c>
    </row>
    <row r="128" ht="15.75" customHeight="1">
      <c r="A128">
        <f>IF(Table_1211[[#This Row],[Complex Name]]=0,"",Table_1211[[#This Row],[Complex Name]])</f>
        <v/>
      </c>
      <c r="I128" s="21" t="n"/>
      <c r="J128" s="21">
        <f>IF($B128="","FALSE","TRUE")</f>
        <v/>
      </c>
      <c r="K128">
        <f t="array" ref="K128">IsURL(Table_121215[[#This Row],[Data Source]])</f>
        <v/>
      </c>
      <c r="L128">
        <f t="array" ref="L128">IsURL(Table_121215[[#This Row],[DOI]])</f>
        <v/>
      </c>
      <c r="M128">
        <f t="array" ref="M128">IsURL(Table_121215[[#This Row],[Data Source]])</f>
        <v/>
      </c>
      <c r="N128">
        <f t="array" ref="N128">IsURL(Table_121215[[#This Row],[Data Source]])</f>
        <v/>
      </c>
    </row>
    <row r="129" ht="15.75" customHeight="1">
      <c r="A129">
        <f>IF(Table_1211[[#This Row],[Complex Name]]=0,"",Table_1211[[#This Row],[Complex Name]])</f>
        <v/>
      </c>
      <c r="I129" s="21" t="n"/>
      <c r="J129" s="21">
        <f>IF($B129="","FALSE","TRUE")</f>
        <v/>
      </c>
      <c r="K129">
        <f t="array" ref="K129">IsURL(Table_121215[[#This Row],[Data Source]])</f>
        <v/>
      </c>
      <c r="L129">
        <f t="array" ref="L129">IsURL(Table_121215[[#This Row],[DOI]])</f>
        <v/>
      </c>
      <c r="M129">
        <f t="array" ref="M129">IsURL(Table_121215[[#This Row],[Data Source]])</f>
        <v/>
      </c>
      <c r="N129">
        <f t="array" ref="N129">IsURL(Table_121215[[#This Row],[Data Source]])</f>
        <v/>
      </c>
    </row>
    <row r="130" ht="15.75" customHeight="1">
      <c r="A130">
        <f>IF(Table_1211[[#This Row],[Complex Name]]=0,"",Table_1211[[#This Row],[Complex Name]])</f>
        <v/>
      </c>
      <c r="I130" s="21" t="n"/>
      <c r="J130" s="21">
        <f>IF($B130="","FALSE","TRUE")</f>
        <v/>
      </c>
      <c r="K130">
        <f t="array" ref="K130">IsURL(Table_121215[[#This Row],[Data Source]])</f>
        <v/>
      </c>
      <c r="L130">
        <f t="array" ref="L130">IsURL(Table_121215[[#This Row],[DOI]])</f>
        <v/>
      </c>
      <c r="M130">
        <f t="array" ref="M130">IsURL(Table_121215[[#This Row],[Data Source]])</f>
        <v/>
      </c>
      <c r="N130">
        <f t="array" ref="N130">IsURL(Table_121215[[#This Row],[Data Source]])</f>
        <v/>
      </c>
    </row>
    <row r="131" ht="15.75" customHeight="1">
      <c r="A131">
        <f>IF(Table_1211[[#This Row],[Complex Name]]=0,"",Table_1211[[#This Row],[Complex Name]])</f>
        <v/>
      </c>
      <c r="I131" s="21" t="n"/>
      <c r="J131" s="21">
        <f>IF($B131="","FALSE","TRUE")</f>
        <v/>
      </c>
      <c r="K131">
        <f t="array" ref="K131">IsURL(Table_121215[[#This Row],[Data Source]])</f>
        <v/>
      </c>
      <c r="L131">
        <f t="array" ref="L131">IsURL(Table_121215[[#This Row],[DOI]])</f>
        <v/>
      </c>
      <c r="M131">
        <f t="array" ref="M131">IsURL(Table_121215[[#This Row],[Data Source]])</f>
        <v/>
      </c>
      <c r="N131">
        <f t="array" ref="N131">IsURL(Table_121215[[#This Row],[Data Source]])</f>
        <v/>
      </c>
    </row>
    <row r="132" ht="15.75" customHeight="1">
      <c r="A132">
        <f>IF(Table_1211[[#This Row],[Complex Name]]=0,"",Table_1211[[#This Row],[Complex Name]])</f>
        <v/>
      </c>
      <c r="I132" s="21" t="n"/>
      <c r="J132" s="21">
        <f>IF($B132="","FALSE","TRUE")</f>
        <v/>
      </c>
      <c r="K132">
        <f t="array" ref="K132">IsURL(Table_121215[[#This Row],[Data Source]])</f>
        <v/>
      </c>
      <c r="L132">
        <f t="array" ref="L132">IsURL(Table_121215[[#This Row],[DOI]])</f>
        <v/>
      </c>
      <c r="M132">
        <f t="array" ref="M132">IsURL(Table_121215[[#This Row],[Data Source]])</f>
        <v/>
      </c>
      <c r="N132">
        <f t="array" ref="N132">IsURL(Table_121215[[#This Row],[Data Source]])</f>
        <v/>
      </c>
    </row>
    <row r="133" ht="15.75" customHeight="1">
      <c r="A133">
        <f>IF(Table_1211[[#This Row],[Complex Name]]=0,"",Table_1211[[#This Row],[Complex Name]])</f>
        <v/>
      </c>
      <c r="I133" s="21" t="n"/>
      <c r="J133" s="21">
        <f>IF($B133="","FALSE","TRUE")</f>
        <v/>
      </c>
      <c r="K133">
        <f t="array" ref="K133">IsURL(Table_121215[[#This Row],[Data Source]])</f>
        <v/>
      </c>
      <c r="L133">
        <f t="array" ref="L133">IsURL(Table_121215[[#This Row],[DOI]])</f>
        <v/>
      </c>
      <c r="M133">
        <f t="array" ref="M133">IsURL(Table_121215[[#This Row],[Data Source]])</f>
        <v/>
      </c>
      <c r="N133">
        <f t="array" ref="N133">IsURL(Table_121215[[#This Row],[Data Source]])</f>
        <v/>
      </c>
    </row>
    <row r="134" ht="15.75" customHeight="1">
      <c r="A134">
        <f>IF(Table_1211[[#This Row],[Complex Name]]=0,"",Table_1211[[#This Row],[Complex Name]])</f>
        <v/>
      </c>
      <c r="I134" s="21" t="n"/>
      <c r="J134" s="21">
        <f>IF($B134="","FALSE","TRUE")</f>
        <v/>
      </c>
      <c r="K134">
        <f t="array" ref="K134">IsURL(Table_121215[[#This Row],[Data Source]])</f>
        <v/>
      </c>
      <c r="L134">
        <f t="array" ref="L134">IsURL(Table_121215[[#This Row],[DOI]])</f>
        <v/>
      </c>
      <c r="M134">
        <f t="array" ref="M134">IsURL(Table_121215[[#This Row],[Data Source]])</f>
        <v/>
      </c>
      <c r="N134">
        <f t="array" ref="N134">IsURL(Table_121215[[#This Row],[Data Source]])</f>
        <v/>
      </c>
    </row>
    <row r="135" ht="15.75" customHeight="1">
      <c r="A135">
        <f>IF(Table_1211[[#This Row],[Complex Name]]=0,"",Table_1211[[#This Row],[Complex Name]])</f>
        <v/>
      </c>
      <c r="I135" s="21" t="n"/>
      <c r="J135" s="21">
        <f>IF($B135="","FALSE","TRUE")</f>
        <v/>
      </c>
      <c r="K135">
        <f t="array" ref="K135">IsURL(Table_121215[[#This Row],[Data Source]])</f>
        <v/>
      </c>
      <c r="L135">
        <f t="array" ref="L135">IsURL(Table_121215[[#This Row],[DOI]])</f>
        <v/>
      </c>
      <c r="M135">
        <f t="array" ref="M135">IsURL(Table_121215[[#This Row],[Data Source]])</f>
        <v/>
      </c>
      <c r="N135">
        <f t="array" ref="N135">IsURL(Table_121215[[#This Row],[Data Source]])</f>
        <v/>
      </c>
    </row>
    <row r="136" ht="15.75" customHeight="1">
      <c r="A136">
        <f>IF(Table_1211[[#This Row],[Complex Name]]=0,"",Table_1211[[#This Row],[Complex Name]])</f>
        <v/>
      </c>
      <c r="I136" s="21" t="n"/>
      <c r="J136" s="21">
        <f>IF($B136="","FALSE","TRUE")</f>
        <v/>
      </c>
      <c r="K136">
        <f t="array" ref="K136">IsURL(Table_121215[[#This Row],[Data Source]])</f>
        <v/>
      </c>
      <c r="L136">
        <f t="array" ref="L136">IsURL(Table_121215[[#This Row],[DOI]])</f>
        <v/>
      </c>
      <c r="M136">
        <f t="array" ref="M136">IsURL(Table_121215[[#This Row],[Data Source]])</f>
        <v/>
      </c>
      <c r="N136">
        <f t="array" ref="N136">IsURL(Table_121215[[#This Row],[Data Source]])</f>
        <v/>
      </c>
    </row>
    <row r="137" ht="15.75" customHeight="1">
      <c r="A137">
        <f>IF(Table_1211[[#This Row],[Complex Name]]=0,"",Table_1211[[#This Row],[Complex Name]])</f>
        <v/>
      </c>
      <c r="I137" s="21" t="n"/>
      <c r="J137" s="21">
        <f>IF($B137="","FALSE","TRUE")</f>
        <v/>
      </c>
      <c r="K137">
        <f t="array" ref="K137">IsURL(Table_121215[[#This Row],[Data Source]])</f>
        <v/>
      </c>
      <c r="L137">
        <f t="array" ref="L137">IsURL(Table_121215[[#This Row],[DOI]])</f>
        <v/>
      </c>
      <c r="M137">
        <f t="array" ref="M137">IsURL(Table_121215[[#This Row],[Data Source]])</f>
        <v/>
      </c>
      <c r="N137">
        <f t="array" ref="N137">IsURL(Table_121215[[#This Row],[Data Source]])</f>
        <v/>
      </c>
    </row>
    <row r="138" ht="15.75" customHeight="1">
      <c r="A138">
        <f>IF(Table_1211[[#This Row],[Complex Name]]=0,"",Table_1211[[#This Row],[Complex Name]])</f>
        <v/>
      </c>
      <c r="I138" s="21" t="n"/>
      <c r="J138" s="21">
        <f>IF($B138="","FALSE","TRUE")</f>
        <v/>
      </c>
      <c r="K138">
        <f t="array" ref="K138">IsURL(Table_121215[[#This Row],[Data Source]])</f>
        <v/>
      </c>
      <c r="L138">
        <f t="array" ref="L138">IsURL(Table_121215[[#This Row],[DOI]])</f>
        <v/>
      </c>
      <c r="M138">
        <f t="array" ref="M138">IsURL(Table_121215[[#This Row],[Data Source]])</f>
        <v/>
      </c>
      <c r="N138">
        <f t="array" ref="N138">IsURL(Table_121215[[#This Row],[Data Source]])</f>
        <v/>
      </c>
    </row>
    <row r="139" ht="15.75" customHeight="1">
      <c r="A139">
        <f>IF(Table_1211[[#This Row],[Complex Name]]=0,"",Table_1211[[#This Row],[Complex Name]])</f>
        <v/>
      </c>
      <c r="I139" s="21" t="n"/>
      <c r="J139" s="21">
        <f>IF($B139="","FALSE","TRUE")</f>
        <v/>
      </c>
      <c r="K139">
        <f t="array" ref="K139">IsURL(Table_121215[[#This Row],[Data Source]])</f>
        <v/>
      </c>
      <c r="L139">
        <f t="array" ref="L139">IsURL(Table_121215[[#This Row],[DOI]])</f>
        <v/>
      </c>
      <c r="M139">
        <f t="array" ref="M139">IsURL(Table_121215[[#This Row],[Data Source]])</f>
        <v/>
      </c>
      <c r="N139">
        <f t="array" ref="N139">IsURL(Table_121215[[#This Row],[Data Source]])</f>
        <v/>
      </c>
    </row>
    <row r="140" ht="15.75" customHeight="1">
      <c r="A140">
        <f>IF(Table_1211[[#This Row],[Complex Name]]=0,"",Table_1211[[#This Row],[Complex Name]])</f>
        <v/>
      </c>
      <c r="I140" s="21" t="n"/>
      <c r="J140" s="21">
        <f>IF($B140="","FALSE","TRUE")</f>
        <v/>
      </c>
      <c r="K140">
        <f t="array" ref="K140">IsURL(Table_121215[[#This Row],[Data Source]])</f>
        <v/>
      </c>
      <c r="L140">
        <f t="array" ref="L140">IsURL(Table_121215[[#This Row],[DOI]])</f>
        <v/>
      </c>
      <c r="M140">
        <f t="array" ref="M140">IsURL(Table_121215[[#This Row],[Data Source]])</f>
        <v/>
      </c>
      <c r="N140">
        <f t="array" ref="N140">IsURL(Table_121215[[#This Row],[Data Source]])</f>
        <v/>
      </c>
    </row>
    <row r="141" ht="15.75" customHeight="1">
      <c r="A141">
        <f>IF(Table_1211[[#This Row],[Complex Name]]=0,"",Table_1211[[#This Row],[Complex Name]])</f>
        <v/>
      </c>
      <c r="I141" s="21" t="n"/>
      <c r="J141" s="21">
        <f>IF($B141="","FALSE","TRUE")</f>
        <v/>
      </c>
      <c r="K141">
        <f t="array" ref="K141">IsURL(Table_121215[[#This Row],[Data Source]])</f>
        <v/>
      </c>
      <c r="L141">
        <f t="array" ref="L141">IsURL(Table_121215[[#This Row],[DOI]])</f>
        <v/>
      </c>
      <c r="M141">
        <f t="array" ref="M141">IsURL(Table_121215[[#This Row],[Data Source]])</f>
        <v/>
      </c>
      <c r="N141">
        <f t="array" ref="N141">IsURL(Table_121215[[#This Row],[Data Source]])</f>
        <v/>
      </c>
    </row>
    <row r="142" ht="15.75" customHeight="1">
      <c r="A142">
        <f>IF(Table_1211[[#This Row],[Complex Name]]=0,"",Table_1211[[#This Row],[Complex Name]])</f>
        <v/>
      </c>
      <c r="I142" s="21" t="n"/>
      <c r="J142" s="21">
        <f>IF($B142="","FALSE","TRUE")</f>
        <v/>
      </c>
      <c r="K142">
        <f t="array" ref="K142">IsURL(Table_121215[[#This Row],[Data Source]])</f>
        <v/>
      </c>
      <c r="L142">
        <f t="array" ref="L142">IsURL(Table_121215[[#This Row],[DOI]])</f>
        <v/>
      </c>
      <c r="M142">
        <f t="array" ref="M142">IsURL(Table_121215[[#This Row],[Data Source]])</f>
        <v/>
      </c>
      <c r="N142">
        <f t="array" ref="N142">IsURL(Table_121215[[#This Row],[Data Source]])</f>
        <v/>
      </c>
    </row>
    <row r="143" ht="15.75" customHeight="1">
      <c r="A143">
        <f>IF(Table_1211[[#This Row],[Complex Name]]=0,"",Table_1211[[#This Row],[Complex Name]])</f>
        <v/>
      </c>
      <c r="I143" s="21" t="n"/>
      <c r="J143" s="21">
        <f>IF($B143="","FALSE","TRUE")</f>
        <v/>
      </c>
      <c r="K143">
        <f t="array" ref="K143">IsURL(Table_121215[[#This Row],[Data Source]])</f>
        <v/>
      </c>
      <c r="L143">
        <f t="array" ref="L143">IsURL(Table_121215[[#This Row],[DOI]])</f>
        <v/>
      </c>
      <c r="M143">
        <f t="array" ref="M143">IsURL(Table_121215[[#This Row],[Data Source]])</f>
        <v/>
      </c>
      <c r="N143">
        <f t="array" ref="N143">IsURL(Table_121215[[#This Row],[Data Source]])</f>
        <v/>
      </c>
    </row>
    <row r="144" ht="15.75" customHeight="1">
      <c r="A144">
        <f>IF(Table_1211[[#This Row],[Complex Name]]=0,"",Table_1211[[#This Row],[Complex Name]])</f>
        <v/>
      </c>
      <c r="I144" s="21" t="n"/>
      <c r="J144" s="21">
        <f>IF($B144="","FALSE","TRUE")</f>
        <v/>
      </c>
      <c r="K144">
        <f t="array" ref="K144">IsURL(Table_121215[[#This Row],[Data Source]])</f>
        <v/>
      </c>
      <c r="L144">
        <f t="array" ref="L144">IsURL(Table_121215[[#This Row],[DOI]])</f>
        <v/>
      </c>
      <c r="M144">
        <f t="array" ref="M144">IsURL(Table_121215[[#This Row],[Data Source]])</f>
        <v/>
      </c>
      <c r="N144">
        <f t="array" ref="N144">IsURL(Table_121215[[#This Row],[Data Source]])</f>
        <v/>
      </c>
    </row>
    <row r="145" ht="15.75" customHeight="1">
      <c r="A145">
        <f>IF(Table_1211[[#This Row],[Complex Name]]=0,"",Table_1211[[#This Row],[Complex Name]])</f>
        <v/>
      </c>
      <c r="I145" s="21" t="n"/>
      <c r="J145" s="21">
        <f>IF($B145="","FALSE","TRUE")</f>
        <v/>
      </c>
      <c r="K145">
        <f t="array" ref="K145">IsURL(Table_121215[[#This Row],[Data Source]])</f>
        <v/>
      </c>
      <c r="L145">
        <f t="array" ref="L145">IsURL(Table_121215[[#This Row],[DOI]])</f>
        <v/>
      </c>
      <c r="M145">
        <f t="array" ref="M145">IsURL(Table_121215[[#This Row],[Data Source]])</f>
        <v/>
      </c>
      <c r="N145">
        <f t="array" ref="N145">IsURL(Table_121215[[#This Row],[Data Source]])</f>
        <v/>
      </c>
    </row>
    <row r="146" ht="15.75" customHeight="1">
      <c r="A146">
        <f>IF(Table_1211[[#This Row],[Complex Name]]=0,"",Table_1211[[#This Row],[Complex Name]])</f>
        <v/>
      </c>
      <c r="I146" s="21" t="n"/>
      <c r="J146" s="21">
        <f>IF($B146="","FALSE","TRUE")</f>
        <v/>
      </c>
      <c r="K146">
        <f t="array" ref="K146">IsURL(Table_121215[[#This Row],[Data Source]])</f>
        <v/>
      </c>
      <c r="L146">
        <f t="array" ref="L146">IsURL(Table_121215[[#This Row],[DOI]])</f>
        <v/>
      </c>
      <c r="M146">
        <f t="array" ref="M146">IsURL(Table_121215[[#This Row],[Data Source]])</f>
        <v/>
      </c>
      <c r="N146">
        <f t="array" ref="N146">IsURL(Table_121215[[#This Row],[Data Source]])</f>
        <v/>
      </c>
    </row>
    <row r="147" ht="15.75" customHeight="1">
      <c r="A147">
        <f>IF(Table_1211[[#This Row],[Complex Name]]=0,"",Table_1211[[#This Row],[Complex Name]])</f>
        <v/>
      </c>
      <c r="I147" s="21" t="n"/>
      <c r="J147" s="21">
        <f>IF($B147="","FALSE","TRUE")</f>
        <v/>
      </c>
      <c r="K147">
        <f t="array" ref="K147">IsURL(Table_121215[[#This Row],[Data Source]])</f>
        <v/>
      </c>
      <c r="L147">
        <f t="array" ref="L147">IsURL(Table_121215[[#This Row],[DOI]])</f>
        <v/>
      </c>
      <c r="M147">
        <f t="array" ref="M147">IsURL(Table_121215[[#This Row],[Data Source]])</f>
        <v/>
      </c>
      <c r="N147">
        <f t="array" ref="N147">IsURL(Table_121215[[#This Row],[Data Source]])</f>
        <v/>
      </c>
    </row>
    <row r="148" ht="15.75" customHeight="1">
      <c r="A148">
        <f>IF(Table_1211[[#This Row],[Complex Name]]=0,"",Table_1211[[#This Row],[Complex Name]])</f>
        <v/>
      </c>
      <c r="I148" s="21" t="n"/>
      <c r="J148" s="21">
        <f>IF($B148="","FALSE","TRUE")</f>
        <v/>
      </c>
      <c r="K148">
        <f t="array" ref="K148">IsURL(Table_121215[[#This Row],[Data Source]])</f>
        <v/>
      </c>
      <c r="L148">
        <f t="array" ref="L148">IsURL(Table_121215[[#This Row],[DOI]])</f>
        <v/>
      </c>
      <c r="M148">
        <f t="array" ref="M148">IsURL(Table_121215[[#This Row],[Data Source]])</f>
        <v/>
      </c>
      <c r="N148">
        <f t="array" ref="N148">IsURL(Table_121215[[#This Row],[Data Source]])</f>
        <v/>
      </c>
    </row>
    <row r="149" ht="15.75" customHeight="1">
      <c r="A149">
        <f>IF(Table_1211[[#This Row],[Complex Name]]=0,"",Table_1211[[#This Row],[Complex Name]])</f>
        <v/>
      </c>
      <c r="I149" s="21" t="n"/>
      <c r="J149" s="21">
        <f>IF($B149="","FALSE","TRUE")</f>
        <v/>
      </c>
      <c r="K149">
        <f t="array" ref="K149">IsURL(Table_121215[[#This Row],[Data Source]])</f>
        <v/>
      </c>
      <c r="L149">
        <f t="array" ref="L149">IsURL(Table_121215[[#This Row],[DOI]])</f>
        <v/>
      </c>
      <c r="M149">
        <f t="array" ref="M149">IsURL(Table_121215[[#This Row],[Data Source]])</f>
        <v/>
      </c>
      <c r="N149">
        <f t="array" ref="N149">IsURL(Table_121215[[#This Row],[Data Source]])</f>
        <v/>
      </c>
    </row>
    <row r="150" ht="15.75" customHeight="1">
      <c r="A150">
        <f>IF(Table_1211[[#This Row],[Complex Name]]=0,"",Table_1211[[#This Row],[Complex Name]])</f>
        <v/>
      </c>
      <c r="I150" s="21" t="n"/>
      <c r="J150" s="21">
        <f>IF($B150="","FALSE","TRUE")</f>
        <v/>
      </c>
      <c r="K150">
        <f t="array" ref="K150">IsURL(Table_121215[[#This Row],[Data Source]])</f>
        <v/>
      </c>
      <c r="L150">
        <f t="array" ref="L150">IsURL(Table_121215[[#This Row],[DOI]])</f>
        <v/>
      </c>
      <c r="M150">
        <f t="array" ref="M150">IsURL(Table_121215[[#This Row],[Data Source]])</f>
        <v/>
      </c>
      <c r="N150">
        <f t="array" ref="N150">IsURL(Table_121215[[#This Row],[Data Source]])</f>
        <v/>
      </c>
    </row>
    <row r="151" ht="15.75" customHeight="1">
      <c r="A151">
        <f>IF(Table_1211[[#This Row],[Complex Name]]=0,"",Table_1211[[#This Row],[Complex Name]])</f>
        <v/>
      </c>
      <c r="I151" s="21" t="n"/>
      <c r="J151" s="21">
        <f>IF($B151="","FALSE","TRUE")</f>
        <v/>
      </c>
      <c r="K151">
        <f t="array" ref="K151">IsURL(Table_121215[[#This Row],[Data Source]])</f>
        <v/>
      </c>
      <c r="L151">
        <f t="array" ref="L151">IsURL(Table_121215[[#This Row],[DOI]])</f>
        <v/>
      </c>
      <c r="M151">
        <f t="array" ref="M151">IsURL(Table_121215[[#This Row],[Data Source]])</f>
        <v/>
      </c>
      <c r="N151">
        <f t="array" ref="N151">IsURL(Table_121215[[#This Row],[Data Source]])</f>
        <v/>
      </c>
    </row>
    <row r="152" ht="15.75" customHeight="1">
      <c r="A152">
        <f>IF(Table_1211[[#This Row],[Complex Name]]=0,"",Table_1211[[#This Row],[Complex Name]])</f>
        <v/>
      </c>
      <c r="I152" s="21" t="n"/>
      <c r="J152" s="21">
        <f>IF($B152="","FALSE","TRUE")</f>
        <v/>
      </c>
      <c r="K152">
        <f t="array" ref="K152">IsURL(Table_121215[[#This Row],[Data Source]])</f>
        <v/>
      </c>
      <c r="L152">
        <f t="array" ref="L152">IsURL(Table_121215[[#This Row],[DOI]])</f>
        <v/>
      </c>
      <c r="M152">
        <f t="array" ref="M152">IsURL(Table_121215[[#This Row],[Data Source]])</f>
        <v/>
      </c>
      <c r="N152">
        <f t="array" ref="N152">IsURL(Table_121215[[#This Row],[Data Source]])</f>
        <v/>
      </c>
    </row>
    <row r="153" ht="15.75" customHeight="1">
      <c r="A153">
        <f>IF(Table_1211[[#This Row],[Complex Name]]=0,"",Table_1211[[#This Row],[Complex Name]])</f>
        <v/>
      </c>
      <c r="I153" s="21" t="n"/>
      <c r="J153" s="21">
        <f>IF($B153="","FALSE","TRUE")</f>
        <v/>
      </c>
      <c r="K153">
        <f t="array" ref="K153">IsURL(Table_121215[[#This Row],[Data Source]])</f>
        <v/>
      </c>
      <c r="L153">
        <f t="array" ref="L153">IsURL(Table_121215[[#This Row],[DOI]])</f>
        <v/>
      </c>
      <c r="M153">
        <f t="array" ref="M153">IsURL(Table_121215[[#This Row],[Data Source]])</f>
        <v/>
      </c>
      <c r="N153">
        <f t="array" ref="N153">IsURL(Table_121215[[#This Row],[Data Source]])</f>
        <v/>
      </c>
    </row>
    <row r="154" ht="15.75" customHeight="1">
      <c r="A154">
        <f>IF(Table_1211[[#This Row],[Complex Name]]=0,"",Table_1211[[#This Row],[Complex Name]])</f>
        <v/>
      </c>
      <c r="I154" s="21" t="n"/>
      <c r="J154" s="21">
        <f>IF($B154="","FALSE","TRUE")</f>
        <v/>
      </c>
      <c r="K154">
        <f t="array" ref="K154">IsURL(Table_121215[[#This Row],[Data Source]])</f>
        <v/>
      </c>
      <c r="L154">
        <f t="array" ref="L154">IsURL(Table_121215[[#This Row],[DOI]])</f>
        <v/>
      </c>
      <c r="M154">
        <f t="array" ref="M154">IsURL(Table_121215[[#This Row],[Data Source]])</f>
        <v/>
      </c>
      <c r="N154">
        <f t="array" ref="N154">IsURL(Table_121215[[#This Row],[Data Source]])</f>
        <v/>
      </c>
    </row>
    <row r="155" ht="15.75" customHeight="1">
      <c r="A155">
        <f>IF(Table_1211[[#This Row],[Complex Name]]=0,"",Table_1211[[#This Row],[Complex Name]])</f>
        <v/>
      </c>
      <c r="I155" s="21" t="n"/>
      <c r="J155" s="21">
        <f>IF($B155="","FALSE","TRUE")</f>
        <v/>
      </c>
      <c r="K155">
        <f t="array" ref="K155">IsURL(Table_121215[[#This Row],[Data Source]])</f>
        <v/>
      </c>
      <c r="L155">
        <f t="array" ref="L155">IsURL(Table_121215[[#This Row],[DOI]])</f>
        <v/>
      </c>
      <c r="M155">
        <f t="array" ref="M155">IsURL(Table_121215[[#This Row],[Data Source]])</f>
        <v/>
      </c>
      <c r="N155">
        <f t="array" ref="N155">IsURL(Table_121215[[#This Row],[Data Source]])</f>
        <v/>
      </c>
    </row>
    <row r="156" ht="15.75" customHeight="1">
      <c r="A156">
        <f>IF(Table_1211[[#This Row],[Complex Name]]=0,"",Table_1211[[#This Row],[Complex Name]])</f>
        <v/>
      </c>
      <c r="I156" s="21" t="n"/>
      <c r="J156" s="21">
        <f>IF($B156="","FALSE","TRUE")</f>
        <v/>
      </c>
      <c r="K156">
        <f t="array" ref="K156">IsURL(Table_121215[[#This Row],[Data Source]])</f>
        <v/>
      </c>
      <c r="L156">
        <f t="array" ref="L156">IsURL(Table_121215[[#This Row],[DOI]])</f>
        <v/>
      </c>
      <c r="M156">
        <f t="array" ref="M156">IsURL(Table_121215[[#This Row],[Data Source]])</f>
        <v/>
      </c>
      <c r="N156">
        <f t="array" ref="N156">IsURL(Table_121215[[#This Row],[Data Source]])</f>
        <v/>
      </c>
    </row>
    <row r="157" ht="15.75" customHeight="1">
      <c r="A157">
        <f>IF(Table_1211[[#This Row],[Complex Name]]=0,"",Table_1211[[#This Row],[Complex Name]])</f>
        <v/>
      </c>
      <c r="I157" s="21" t="n"/>
      <c r="J157" s="21">
        <f>IF($B157="","FALSE","TRUE")</f>
        <v/>
      </c>
      <c r="K157">
        <f t="array" ref="K157">IsURL(Table_121215[[#This Row],[Data Source]])</f>
        <v/>
      </c>
      <c r="L157">
        <f t="array" ref="L157">IsURL(Table_121215[[#This Row],[DOI]])</f>
        <v/>
      </c>
      <c r="M157">
        <f t="array" ref="M157">IsURL(Table_121215[[#This Row],[Data Source]])</f>
        <v/>
      </c>
      <c r="N157">
        <f t="array" ref="N157">IsURL(Table_121215[[#This Row],[Data Source]])</f>
        <v/>
      </c>
    </row>
    <row r="158" ht="15.75" customHeight="1">
      <c r="A158">
        <f>IF(Table_1211[[#This Row],[Complex Name]]=0,"",Table_1211[[#This Row],[Complex Name]])</f>
        <v/>
      </c>
      <c r="I158" s="21" t="n"/>
      <c r="J158" s="21">
        <f>IF($B158="","FALSE","TRUE")</f>
        <v/>
      </c>
      <c r="K158">
        <f t="array" ref="K158">IsURL(Table_121215[[#This Row],[Data Source]])</f>
        <v/>
      </c>
      <c r="L158">
        <f t="array" ref="L158">IsURL(Table_121215[[#This Row],[DOI]])</f>
        <v/>
      </c>
      <c r="M158">
        <f t="array" ref="M158">IsURL(Table_121215[[#This Row],[Data Source]])</f>
        <v/>
      </c>
      <c r="N158">
        <f t="array" ref="N158">IsURL(Table_121215[[#This Row],[Data Source]])</f>
        <v/>
      </c>
    </row>
    <row r="159" ht="15.75" customHeight="1">
      <c r="A159">
        <f>IF(Table_1211[[#This Row],[Complex Name]]=0,"",Table_1211[[#This Row],[Complex Name]])</f>
        <v/>
      </c>
      <c r="I159" s="21" t="n"/>
      <c r="J159" s="21">
        <f>IF($B159="","FALSE","TRUE")</f>
        <v/>
      </c>
      <c r="K159">
        <f t="array" ref="K159">IsURL(Table_121215[[#This Row],[Data Source]])</f>
        <v/>
      </c>
      <c r="L159">
        <f t="array" ref="L159">IsURL(Table_121215[[#This Row],[DOI]])</f>
        <v/>
      </c>
      <c r="M159">
        <f t="array" ref="M159">IsURL(Table_121215[[#This Row],[Data Source]])</f>
        <v/>
      </c>
      <c r="N159">
        <f t="array" ref="N159">IsURL(Table_121215[[#This Row],[Data Source]])</f>
        <v/>
      </c>
    </row>
    <row r="160" ht="15.75" customHeight="1">
      <c r="A160">
        <f>IF(Table_1211[[#This Row],[Complex Name]]=0,"",Table_1211[[#This Row],[Complex Name]])</f>
        <v/>
      </c>
      <c r="I160" s="21" t="n"/>
      <c r="J160" s="21">
        <f>IF($B160="","FALSE","TRUE")</f>
        <v/>
      </c>
      <c r="K160">
        <f t="array" ref="K160">IsURL(Table_121215[[#This Row],[Data Source]])</f>
        <v/>
      </c>
      <c r="L160">
        <f t="array" ref="L160">IsURL(Table_121215[[#This Row],[DOI]])</f>
        <v/>
      </c>
      <c r="M160">
        <f t="array" ref="M160">IsURL(Table_121215[[#This Row],[Data Source]])</f>
        <v/>
      </c>
      <c r="N160">
        <f t="array" ref="N160">IsURL(Table_121215[[#This Row],[Data Source]])</f>
        <v/>
      </c>
    </row>
    <row r="161" ht="15.75" customHeight="1">
      <c r="A161">
        <f>IF(Table_1211[[#This Row],[Complex Name]]=0,"",Table_1211[[#This Row],[Complex Name]])</f>
        <v/>
      </c>
      <c r="I161" s="21" t="n"/>
      <c r="J161" s="21">
        <f>IF($B161="","FALSE","TRUE")</f>
        <v/>
      </c>
      <c r="K161">
        <f t="array" ref="K161">IsURL(Table_121215[[#This Row],[Data Source]])</f>
        <v/>
      </c>
      <c r="L161">
        <f t="array" ref="L161">IsURL(Table_121215[[#This Row],[DOI]])</f>
        <v/>
      </c>
      <c r="M161">
        <f t="array" ref="M161">IsURL(Table_121215[[#This Row],[Data Source]])</f>
        <v/>
      </c>
      <c r="N161">
        <f t="array" ref="N161">IsURL(Table_121215[[#This Row],[Data Source]])</f>
        <v/>
      </c>
    </row>
    <row r="162" ht="15.75" customHeight="1">
      <c r="A162">
        <f>IF(Table_1211[[#This Row],[Complex Name]]=0,"",Table_1211[[#This Row],[Complex Name]])</f>
        <v/>
      </c>
      <c r="I162" s="21" t="n"/>
      <c r="J162" s="21">
        <f>IF($B162="","FALSE","TRUE")</f>
        <v/>
      </c>
      <c r="K162">
        <f t="array" ref="K162">IsURL(Table_121215[[#This Row],[Data Source]])</f>
        <v/>
      </c>
      <c r="L162">
        <f t="array" ref="L162">IsURL(Table_121215[[#This Row],[DOI]])</f>
        <v/>
      </c>
      <c r="M162">
        <f t="array" ref="M162">IsURL(Table_121215[[#This Row],[Data Source]])</f>
        <v/>
      </c>
      <c r="N162">
        <f t="array" ref="N162">IsURL(Table_121215[[#This Row],[Data Source]])</f>
        <v/>
      </c>
    </row>
    <row r="163" ht="15.75" customHeight="1">
      <c r="A163">
        <f>IF(Table_1211[[#This Row],[Complex Name]]=0,"",Table_1211[[#This Row],[Complex Name]])</f>
        <v/>
      </c>
      <c r="I163" s="21" t="n"/>
      <c r="J163" s="21">
        <f>IF($B163="","FALSE","TRUE")</f>
        <v/>
      </c>
      <c r="K163">
        <f t="array" ref="K163">IsURL(Table_121215[[#This Row],[Data Source]])</f>
        <v/>
      </c>
      <c r="L163">
        <f t="array" ref="L163">IsURL(Table_121215[[#This Row],[DOI]])</f>
        <v/>
      </c>
      <c r="M163">
        <f t="array" ref="M163">IsURL(Table_121215[[#This Row],[Data Source]])</f>
        <v/>
      </c>
      <c r="N163">
        <f t="array" ref="N163">IsURL(Table_121215[[#This Row],[Data Source]])</f>
        <v/>
      </c>
    </row>
    <row r="164" ht="15.75" customHeight="1">
      <c r="A164">
        <f>IF(Table_1211[[#This Row],[Complex Name]]=0,"",Table_1211[[#This Row],[Complex Name]])</f>
        <v/>
      </c>
      <c r="I164" s="21" t="n"/>
      <c r="J164" s="21">
        <f>IF($B164="","FALSE","TRUE")</f>
        <v/>
      </c>
      <c r="K164">
        <f t="array" ref="K164">IsURL(Table_121215[[#This Row],[Data Source]])</f>
        <v/>
      </c>
      <c r="L164">
        <f t="array" ref="L164">IsURL(Table_121215[[#This Row],[DOI]])</f>
        <v/>
      </c>
      <c r="M164">
        <f t="array" ref="M164">IsURL(Table_121215[[#This Row],[Data Source]])</f>
        <v/>
      </c>
      <c r="N164">
        <f t="array" ref="N164">IsURL(Table_121215[[#This Row],[Data Source]])</f>
        <v/>
      </c>
    </row>
    <row r="165" ht="15.75" customHeight="1">
      <c r="A165">
        <f>IF(Table_1211[[#This Row],[Complex Name]]=0,"",Table_1211[[#This Row],[Complex Name]])</f>
        <v/>
      </c>
      <c r="I165" s="21" t="n"/>
      <c r="J165" s="21">
        <f>IF($B165="","FALSE","TRUE")</f>
        <v/>
      </c>
      <c r="K165">
        <f t="array" ref="K165">IsURL(Table_121215[[#This Row],[Data Source]])</f>
        <v/>
      </c>
      <c r="L165">
        <f t="array" ref="L165">IsURL(Table_121215[[#This Row],[DOI]])</f>
        <v/>
      </c>
      <c r="M165">
        <f t="array" ref="M165">IsURL(Table_121215[[#This Row],[Data Source]])</f>
        <v/>
      </c>
      <c r="N165">
        <f t="array" ref="N165">IsURL(Table_121215[[#This Row],[Data Source]])</f>
        <v/>
      </c>
    </row>
    <row r="166" ht="15.75" customHeight="1">
      <c r="A166">
        <f>IF(Table_1211[[#This Row],[Complex Name]]=0,"",Table_1211[[#This Row],[Complex Name]])</f>
        <v/>
      </c>
      <c r="I166" s="21" t="n"/>
      <c r="J166" s="21">
        <f>IF($B166="","FALSE","TRUE")</f>
        <v/>
      </c>
      <c r="K166">
        <f t="array" ref="K166">IsURL(Table_121215[[#This Row],[Data Source]])</f>
        <v/>
      </c>
      <c r="L166">
        <f t="array" ref="L166">IsURL(Table_121215[[#This Row],[DOI]])</f>
        <v/>
      </c>
      <c r="M166">
        <f t="array" ref="M166">IsURL(Table_121215[[#This Row],[Data Source]])</f>
        <v/>
      </c>
      <c r="N166">
        <f t="array" ref="N166">IsURL(Table_121215[[#This Row],[Data Source]])</f>
        <v/>
      </c>
    </row>
    <row r="167" ht="15.75" customHeight="1">
      <c r="A167">
        <f>IF(Table_1211[[#This Row],[Complex Name]]=0,"",Table_1211[[#This Row],[Complex Name]])</f>
        <v/>
      </c>
      <c r="I167" s="21" t="n"/>
      <c r="J167" s="21">
        <f>IF($B167="","FALSE","TRUE")</f>
        <v/>
      </c>
      <c r="K167">
        <f t="array" ref="K167">IsURL(Table_121215[[#This Row],[Data Source]])</f>
        <v/>
      </c>
      <c r="L167">
        <f t="array" ref="L167">IsURL(Table_121215[[#This Row],[DOI]])</f>
        <v/>
      </c>
      <c r="M167">
        <f t="array" ref="M167">IsURL(Table_121215[[#This Row],[Data Source]])</f>
        <v/>
      </c>
      <c r="N167">
        <f t="array" ref="N167">IsURL(Table_121215[[#This Row],[Data Source]])</f>
        <v/>
      </c>
    </row>
    <row r="168" ht="15.75" customHeight="1">
      <c r="A168">
        <f>IF(Table_1211[[#This Row],[Complex Name]]=0,"",Table_1211[[#This Row],[Complex Name]])</f>
        <v/>
      </c>
      <c r="I168" s="21" t="n"/>
      <c r="J168" s="21">
        <f>IF($B168="","FALSE","TRUE")</f>
        <v/>
      </c>
      <c r="K168">
        <f t="array" ref="K168">IsURL(Table_121215[[#This Row],[Data Source]])</f>
        <v/>
      </c>
      <c r="L168">
        <f t="array" ref="L168">IsURL(Table_121215[[#This Row],[DOI]])</f>
        <v/>
      </c>
      <c r="M168">
        <f t="array" ref="M168">IsURL(Table_121215[[#This Row],[Data Source]])</f>
        <v/>
      </c>
      <c r="N168">
        <f t="array" ref="N168">IsURL(Table_121215[[#This Row],[Data Source]])</f>
        <v/>
      </c>
    </row>
    <row r="169" ht="15.75" customHeight="1">
      <c r="A169">
        <f>IF(Table_1211[[#This Row],[Complex Name]]=0,"",Table_1211[[#This Row],[Complex Name]])</f>
        <v/>
      </c>
      <c r="I169" s="21" t="n"/>
      <c r="J169" s="21">
        <f>IF($B169="","FALSE","TRUE")</f>
        <v/>
      </c>
      <c r="K169">
        <f t="array" ref="K169">IsURL(Table_121215[[#This Row],[Data Source]])</f>
        <v/>
      </c>
      <c r="L169">
        <f t="array" ref="L169">IsURL(Table_121215[[#This Row],[DOI]])</f>
        <v/>
      </c>
      <c r="M169">
        <f t="array" ref="M169">IsURL(Table_121215[[#This Row],[Data Source]])</f>
        <v/>
      </c>
      <c r="N169">
        <f t="array" ref="N169">IsURL(Table_121215[[#This Row],[Data Source]])</f>
        <v/>
      </c>
    </row>
    <row r="170" ht="15.75" customHeight="1">
      <c r="A170">
        <f>IF(Table_1211[[#This Row],[Complex Name]]=0,"",Table_1211[[#This Row],[Complex Name]])</f>
        <v/>
      </c>
      <c r="I170" s="21" t="n"/>
      <c r="J170" s="21">
        <f>IF($B170="","FALSE","TRUE")</f>
        <v/>
      </c>
      <c r="K170">
        <f t="array" ref="K170">IsURL(Table_121215[[#This Row],[Data Source]])</f>
        <v/>
      </c>
      <c r="L170">
        <f t="array" ref="L170">IsURL(Table_121215[[#This Row],[DOI]])</f>
        <v/>
      </c>
      <c r="M170">
        <f t="array" ref="M170">IsURL(Table_121215[[#This Row],[Data Source]])</f>
        <v/>
      </c>
      <c r="N170">
        <f t="array" ref="N170">IsURL(Table_121215[[#This Row],[Data Source]])</f>
        <v/>
      </c>
    </row>
    <row r="171" ht="15.75" customHeight="1">
      <c r="A171">
        <f>IF(Table_1211[[#This Row],[Complex Name]]=0,"",Table_1211[[#This Row],[Complex Name]])</f>
        <v/>
      </c>
      <c r="I171" s="21" t="n"/>
      <c r="J171" s="21">
        <f>IF($B171="","FALSE","TRUE")</f>
        <v/>
      </c>
      <c r="K171">
        <f t="array" ref="K171">IsURL(Table_121215[[#This Row],[Data Source]])</f>
        <v/>
      </c>
      <c r="L171">
        <f t="array" ref="L171">IsURL(Table_121215[[#This Row],[DOI]])</f>
        <v/>
      </c>
      <c r="M171">
        <f t="array" ref="M171">IsURL(Table_121215[[#This Row],[Data Source]])</f>
        <v/>
      </c>
      <c r="N171">
        <f t="array" ref="N171">IsURL(Table_121215[[#This Row],[Data Source]])</f>
        <v/>
      </c>
    </row>
    <row r="172" ht="15.75" customHeight="1">
      <c r="A172">
        <f>IF(Table_1211[[#This Row],[Complex Name]]=0,"",Table_1211[[#This Row],[Complex Name]])</f>
        <v/>
      </c>
      <c r="I172" s="21" t="n"/>
      <c r="J172" s="21">
        <f>IF($B172="","FALSE","TRUE")</f>
        <v/>
      </c>
      <c r="K172">
        <f t="array" ref="K172">IsURL(Table_121215[[#This Row],[Data Source]])</f>
        <v/>
      </c>
      <c r="L172">
        <f t="array" ref="L172">IsURL(Table_121215[[#This Row],[DOI]])</f>
        <v/>
      </c>
      <c r="M172">
        <f t="array" ref="M172">IsURL(Table_121215[[#This Row],[Data Source]])</f>
        <v/>
      </c>
      <c r="N172">
        <f t="array" ref="N172">IsURL(Table_121215[[#This Row],[Data Source]])</f>
        <v/>
      </c>
    </row>
    <row r="173" ht="15.75" customHeight="1">
      <c r="A173">
        <f>IF(Table_1211[[#This Row],[Complex Name]]=0,"",Table_1211[[#This Row],[Complex Name]])</f>
        <v/>
      </c>
      <c r="I173" s="21" t="n"/>
      <c r="J173" s="21">
        <f>IF($B173="","FALSE","TRUE")</f>
        <v/>
      </c>
      <c r="K173">
        <f t="array" ref="K173">IsURL(Table_121215[[#This Row],[Data Source]])</f>
        <v/>
      </c>
      <c r="L173">
        <f t="array" ref="L173">IsURL(Table_121215[[#This Row],[DOI]])</f>
        <v/>
      </c>
      <c r="M173">
        <f t="array" ref="M173">IsURL(Table_121215[[#This Row],[Data Source]])</f>
        <v/>
      </c>
      <c r="N173">
        <f t="array" ref="N173">IsURL(Table_121215[[#This Row],[Data Source]])</f>
        <v/>
      </c>
    </row>
    <row r="174" ht="15.75" customHeight="1">
      <c r="A174">
        <f>IF(Table_1211[[#This Row],[Complex Name]]=0,"",Table_1211[[#This Row],[Complex Name]])</f>
        <v/>
      </c>
      <c r="I174" s="21" t="n"/>
      <c r="J174" s="21">
        <f>IF($B174="","FALSE","TRUE")</f>
        <v/>
      </c>
      <c r="K174">
        <f t="array" ref="K174">IsURL(Table_121215[[#This Row],[Data Source]])</f>
        <v/>
      </c>
      <c r="L174">
        <f t="array" ref="L174">IsURL(Table_121215[[#This Row],[DOI]])</f>
        <v/>
      </c>
      <c r="M174">
        <f t="array" ref="M174">IsURL(Table_121215[[#This Row],[Data Source]])</f>
        <v/>
      </c>
      <c r="N174">
        <f t="array" ref="N174">IsURL(Table_121215[[#This Row],[Data Source]])</f>
        <v/>
      </c>
    </row>
    <row r="175" ht="15.75" customHeight="1">
      <c r="A175">
        <f>IF(Table_1211[[#This Row],[Complex Name]]=0,"",Table_1211[[#This Row],[Complex Name]])</f>
        <v/>
      </c>
      <c r="I175" s="21" t="n"/>
      <c r="J175" s="21">
        <f>IF($B175="","FALSE","TRUE")</f>
        <v/>
      </c>
      <c r="K175">
        <f t="array" ref="K175">IsURL(Table_121215[[#This Row],[Data Source]])</f>
        <v/>
      </c>
      <c r="L175">
        <f t="array" ref="L175">IsURL(Table_121215[[#This Row],[DOI]])</f>
        <v/>
      </c>
      <c r="M175">
        <f t="array" ref="M175">IsURL(Table_121215[[#This Row],[Data Source]])</f>
        <v/>
      </c>
      <c r="N175">
        <f t="array" ref="N175">IsURL(Table_121215[[#This Row],[Data Source]])</f>
        <v/>
      </c>
    </row>
    <row r="176" ht="15.75" customHeight="1">
      <c r="A176">
        <f>IF(Table_1211[[#This Row],[Complex Name]]=0,"",Table_1211[[#This Row],[Complex Name]])</f>
        <v/>
      </c>
      <c r="I176" s="21" t="n"/>
      <c r="J176" s="21">
        <f>IF($B176="","FALSE","TRUE")</f>
        <v/>
      </c>
      <c r="K176">
        <f t="array" ref="K176">IsURL(Table_121215[[#This Row],[Data Source]])</f>
        <v/>
      </c>
      <c r="L176">
        <f t="array" ref="L176">IsURL(Table_121215[[#This Row],[DOI]])</f>
        <v/>
      </c>
      <c r="M176">
        <f t="array" ref="M176">IsURL(Table_121215[[#This Row],[Data Source]])</f>
        <v/>
      </c>
      <c r="N176">
        <f t="array" ref="N176">IsURL(Table_121215[[#This Row],[Data Source]])</f>
        <v/>
      </c>
    </row>
    <row r="177" ht="15.75" customHeight="1">
      <c r="A177">
        <f>IF(Table_1211[[#This Row],[Complex Name]]=0,"",Table_1211[[#This Row],[Complex Name]])</f>
        <v/>
      </c>
      <c r="I177" s="21" t="n"/>
      <c r="J177" s="21">
        <f>IF($B177="","FALSE","TRUE")</f>
        <v/>
      </c>
      <c r="K177">
        <f t="array" ref="K177">IsURL(Table_121215[[#This Row],[Data Source]])</f>
        <v/>
      </c>
      <c r="L177">
        <f t="array" ref="L177">IsURL(Table_121215[[#This Row],[DOI]])</f>
        <v/>
      </c>
      <c r="M177">
        <f t="array" ref="M177">IsURL(Table_121215[[#This Row],[Data Source]])</f>
        <v/>
      </c>
      <c r="N177">
        <f t="array" ref="N177">IsURL(Table_121215[[#This Row],[Data Source]])</f>
        <v/>
      </c>
    </row>
    <row r="178" ht="15.75" customHeight="1">
      <c r="A178">
        <f>IF(Table_1211[[#This Row],[Complex Name]]=0,"",Table_1211[[#This Row],[Complex Name]])</f>
        <v/>
      </c>
      <c r="I178" s="21" t="n"/>
      <c r="J178" s="21">
        <f>IF($B178="","FALSE","TRUE")</f>
        <v/>
      </c>
      <c r="K178">
        <f t="array" ref="K178">IsURL(Table_121215[[#This Row],[Data Source]])</f>
        <v/>
      </c>
      <c r="L178">
        <f t="array" ref="L178">IsURL(Table_121215[[#This Row],[DOI]])</f>
        <v/>
      </c>
      <c r="M178">
        <f t="array" ref="M178">IsURL(Table_121215[[#This Row],[Data Source]])</f>
        <v/>
      </c>
      <c r="N178">
        <f t="array" ref="N178">IsURL(Table_121215[[#This Row],[Data Source]])</f>
        <v/>
      </c>
    </row>
    <row r="179" ht="15.75" customHeight="1">
      <c r="A179">
        <f>IF(Table_1211[[#This Row],[Complex Name]]=0,"",Table_1211[[#This Row],[Complex Name]])</f>
        <v/>
      </c>
      <c r="I179" s="21" t="n"/>
      <c r="J179" s="21">
        <f>IF($B179="","FALSE","TRUE")</f>
        <v/>
      </c>
      <c r="K179">
        <f t="array" ref="K179">IsURL(Table_121215[[#This Row],[Data Source]])</f>
        <v/>
      </c>
      <c r="L179">
        <f t="array" ref="L179">IsURL(Table_121215[[#This Row],[DOI]])</f>
        <v/>
      </c>
      <c r="M179">
        <f t="array" ref="M179">IsURL(Table_121215[[#This Row],[Data Source]])</f>
        <v/>
      </c>
      <c r="N179">
        <f t="array" ref="N179">IsURL(Table_121215[[#This Row],[Data Source]])</f>
        <v/>
      </c>
    </row>
    <row r="180" ht="15.75" customHeight="1">
      <c r="A180">
        <f>IF(Table_1211[[#This Row],[Complex Name]]=0,"",Table_1211[[#This Row],[Complex Name]])</f>
        <v/>
      </c>
      <c r="I180" s="21" t="n"/>
      <c r="J180" s="21">
        <f>IF($B180="","FALSE","TRUE")</f>
        <v/>
      </c>
      <c r="K180">
        <f t="array" ref="K180">IsURL(Table_121215[[#This Row],[Data Source]])</f>
        <v/>
      </c>
      <c r="L180">
        <f t="array" ref="L180">IsURL(Table_121215[[#This Row],[DOI]])</f>
        <v/>
      </c>
      <c r="M180">
        <f t="array" ref="M180">IsURL(Table_121215[[#This Row],[Data Source]])</f>
        <v/>
      </c>
      <c r="N180">
        <f t="array" ref="N180">IsURL(Table_121215[[#This Row],[Data Source]])</f>
        <v/>
      </c>
    </row>
    <row r="181" ht="15.75" customHeight="1">
      <c r="A181">
        <f>IF(Table_1211[[#This Row],[Complex Name]]=0,"",Table_1211[[#This Row],[Complex Name]])</f>
        <v/>
      </c>
      <c r="I181" s="21" t="n"/>
      <c r="J181" s="21">
        <f>IF($B181="","FALSE","TRUE")</f>
        <v/>
      </c>
      <c r="K181">
        <f t="array" ref="K181">IsURL(Table_121215[[#This Row],[Data Source]])</f>
        <v/>
      </c>
      <c r="L181">
        <f t="array" ref="L181">IsURL(Table_121215[[#This Row],[DOI]])</f>
        <v/>
      </c>
      <c r="M181">
        <f t="array" ref="M181">IsURL(Table_121215[[#This Row],[Data Source]])</f>
        <v/>
      </c>
      <c r="N181">
        <f t="array" ref="N181">IsURL(Table_121215[[#This Row],[Data Source]])</f>
        <v/>
      </c>
    </row>
    <row r="182" ht="15.75" customHeight="1">
      <c r="A182">
        <f>IF(Table_1211[[#This Row],[Complex Name]]=0,"",Table_1211[[#This Row],[Complex Name]])</f>
        <v/>
      </c>
      <c r="I182" s="21" t="n"/>
      <c r="J182" s="21">
        <f>IF($B182="","FALSE","TRUE")</f>
        <v/>
      </c>
      <c r="K182">
        <f t="array" ref="K182">IsURL(Table_121215[[#This Row],[Data Source]])</f>
        <v/>
      </c>
      <c r="L182">
        <f t="array" ref="L182">IsURL(Table_121215[[#This Row],[DOI]])</f>
        <v/>
      </c>
      <c r="M182">
        <f t="array" ref="M182">IsURL(Table_121215[[#This Row],[Data Source]])</f>
        <v/>
      </c>
      <c r="N182">
        <f t="array" ref="N182">IsURL(Table_121215[[#This Row],[Data Source]])</f>
        <v/>
      </c>
    </row>
    <row r="183" ht="15.75" customHeight="1">
      <c r="A183">
        <f>IF(Table_1211[[#This Row],[Complex Name]]=0,"",Table_1211[[#This Row],[Complex Name]])</f>
        <v/>
      </c>
      <c r="I183" s="21" t="n"/>
      <c r="J183" s="21">
        <f>IF($B183="","FALSE","TRUE")</f>
        <v/>
      </c>
      <c r="K183">
        <f t="array" ref="K183">IsURL(Table_121215[[#This Row],[Data Source]])</f>
        <v/>
      </c>
      <c r="L183">
        <f t="array" ref="L183">IsURL(Table_121215[[#This Row],[DOI]])</f>
        <v/>
      </c>
      <c r="M183">
        <f t="array" ref="M183">IsURL(Table_121215[[#This Row],[Data Source]])</f>
        <v/>
      </c>
      <c r="N183">
        <f t="array" ref="N183">IsURL(Table_121215[[#This Row],[Data Source]])</f>
        <v/>
      </c>
    </row>
    <row r="184" ht="15.75" customHeight="1">
      <c r="A184">
        <f>IF(Table_1211[[#This Row],[Complex Name]]=0,"",Table_1211[[#This Row],[Complex Name]])</f>
        <v/>
      </c>
      <c r="I184" s="21" t="n"/>
      <c r="J184" s="21">
        <f>IF($B184="","FALSE","TRUE")</f>
        <v/>
      </c>
      <c r="K184">
        <f t="array" ref="K184">IsURL(Table_121215[[#This Row],[Data Source]])</f>
        <v/>
      </c>
      <c r="L184">
        <f t="array" ref="L184">IsURL(Table_121215[[#This Row],[DOI]])</f>
        <v/>
      </c>
      <c r="M184">
        <f t="array" ref="M184">IsURL(Table_121215[[#This Row],[Data Source]])</f>
        <v/>
      </c>
      <c r="N184">
        <f t="array" ref="N184">IsURL(Table_121215[[#This Row],[Data Source]])</f>
        <v/>
      </c>
    </row>
    <row r="185" ht="15.75" customHeight="1">
      <c r="A185">
        <f>IF(Table_1211[[#This Row],[Complex Name]]=0,"",Table_1211[[#This Row],[Complex Name]])</f>
        <v/>
      </c>
      <c r="I185" s="21" t="n"/>
      <c r="J185" s="21">
        <f>IF($B185="","FALSE","TRUE")</f>
        <v/>
      </c>
      <c r="K185">
        <f t="array" ref="K185">IsURL(Table_121215[[#This Row],[Data Source]])</f>
        <v/>
      </c>
      <c r="L185">
        <f t="array" ref="L185">IsURL(Table_121215[[#This Row],[DOI]])</f>
        <v/>
      </c>
      <c r="M185">
        <f t="array" ref="M185">IsURL(Table_121215[[#This Row],[Data Source]])</f>
        <v/>
      </c>
      <c r="N185">
        <f t="array" ref="N185">IsURL(Table_121215[[#This Row],[Data Source]])</f>
        <v/>
      </c>
    </row>
    <row r="186" ht="15.75" customHeight="1">
      <c r="A186">
        <f>IF(Table_1211[[#This Row],[Complex Name]]=0,"",Table_1211[[#This Row],[Complex Name]])</f>
        <v/>
      </c>
      <c r="I186" s="21" t="n"/>
      <c r="J186" s="21">
        <f>IF($B186="","FALSE","TRUE")</f>
        <v/>
      </c>
      <c r="K186">
        <f t="array" ref="K186">IsURL(Table_121215[[#This Row],[Data Source]])</f>
        <v/>
      </c>
      <c r="L186">
        <f t="array" ref="L186">IsURL(Table_121215[[#This Row],[DOI]])</f>
        <v/>
      </c>
      <c r="M186">
        <f t="array" ref="M186">IsURL(Table_121215[[#This Row],[Data Source]])</f>
        <v/>
      </c>
      <c r="N186">
        <f t="array" ref="N186">IsURL(Table_121215[[#This Row],[Data Source]])</f>
        <v/>
      </c>
    </row>
    <row r="187" ht="15.75" customHeight="1">
      <c r="A187">
        <f>IF(Table_1211[[#This Row],[Complex Name]]=0,"",Table_1211[[#This Row],[Complex Name]])</f>
        <v/>
      </c>
      <c r="I187" s="21" t="n"/>
      <c r="J187" s="21">
        <f>IF($B187="","FALSE","TRUE")</f>
        <v/>
      </c>
      <c r="K187">
        <f t="array" ref="K187">IsURL(Table_121215[[#This Row],[Data Source]])</f>
        <v/>
      </c>
      <c r="L187">
        <f t="array" ref="L187">IsURL(Table_121215[[#This Row],[DOI]])</f>
        <v/>
      </c>
      <c r="M187">
        <f t="array" ref="M187">IsURL(Table_121215[[#This Row],[Data Source]])</f>
        <v/>
      </c>
      <c r="N187">
        <f t="array" ref="N187">IsURL(Table_121215[[#This Row],[Data Source]])</f>
        <v/>
      </c>
    </row>
    <row r="188" ht="15.75" customHeight="1">
      <c r="A188">
        <f>IF(Table_1211[[#This Row],[Complex Name]]=0,"",Table_1211[[#This Row],[Complex Name]])</f>
        <v/>
      </c>
      <c r="I188" s="21" t="n"/>
      <c r="J188" s="21">
        <f>IF($B188="","FALSE","TRUE")</f>
        <v/>
      </c>
      <c r="K188">
        <f t="array" ref="K188">IsURL(Table_121215[[#This Row],[Data Source]])</f>
        <v/>
      </c>
      <c r="L188">
        <f t="array" ref="L188">IsURL(Table_121215[[#This Row],[DOI]])</f>
        <v/>
      </c>
      <c r="M188">
        <f t="array" ref="M188">IsURL(Table_121215[[#This Row],[Data Source]])</f>
        <v/>
      </c>
      <c r="N188">
        <f t="array" ref="N188">IsURL(Table_121215[[#This Row],[Data Source]])</f>
        <v/>
      </c>
    </row>
    <row r="189" ht="15.75" customHeight="1">
      <c r="A189">
        <f>IF(Table_1211[[#This Row],[Complex Name]]=0,"",Table_1211[[#This Row],[Complex Name]])</f>
        <v/>
      </c>
      <c r="I189" s="21" t="n"/>
      <c r="J189" s="21">
        <f>IF($B189="","FALSE","TRUE")</f>
        <v/>
      </c>
      <c r="K189">
        <f t="array" ref="K189">IsURL(Table_121215[[#This Row],[Data Source]])</f>
        <v/>
      </c>
      <c r="L189">
        <f t="array" ref="L189">IsURL(Table_121215[[#This Row],[DOI]])</f>
        <v/>
      </c>
      <c r="M189">
        <f t="array" ref="M189">IsURL(Table_121215[[#This Row],[Data Source]])</f>
        <v/>
      </c>
      <c r="N189">
        <f t="array" ref="N189">IsURL(Table_121215[[#This Row],[Data Source]])</f>
        <v/>
      </c>
    </row>
    <row r="190" ht="15.75" customHeight="1">
      <c r="A190">
        <f>IF(Table_1211[[#This Row],[Complex Name]]=0,"",Table_1211[[#This Row],[Complex Name]])</f>
        <v/>
      </c>
      <c r="I190" s="21" t="n"/>
      <c r="J190" s="21">
        <f>IF($B190="","FALSE","TRUE")</f>
        <v/>
      </c>
      <c r="K190">
        <f t="array" ref="K190">IsURL(Table_121215[[#This Row],[Data Source]])</f>
        <v/>
      </c>
      <c r="L190">
        <f t="array" ref="L190">IsURL(Table_121215[[#This Row],[DOI]])</f>
        <v/>
      </c>
      <c r="M190">
        <f t="array" ref="M190">IsURL(Table_121215[[#This Row],[Data Source]])</f>
        <v/>
      </c>
      <c r="N190">
        <f t="array" ref="N190">IsURL(Table_121215[[#This Row],[Data Source]])</f>
        <v/>
      </c>
    </row>
    <row r="191" ht="15.75" customHeight="1">
      <c r="A191">
        <f>IF(Table_1211[[#This Row],[Complex Name]]=0,"",Table_1211[[#This Row],[Complex Name]])</f>
        <v/>
      </c>
      <c r="I191" s="21" t="n"/>
      <c r="J191" s="21">
        <f>IF($B191="","FALSE","TRUE")</f>
        <v/>
      </c>
      <c r="K191">
        <f t="array" ref="K191">IsURL(Table_121215[[#This Row],[Data Source]])</f>
        <v/>
      </c>
      <c r="L191">
        <f t="array" ref="L191">IsURL(Table_121215[[#This Row],[DOI]])</f>
        <v/>
      </c>
      <c r="M191">
        <f t="array" ref="M191">IsURL(Table_121215[[#This Row],[Data Source]])</f>
        <v/>
      </c>
      <c r="N191">
        <f t="array" ref="N191">IsURL(Table_121215[[#This Row],[Data Source]])</f>
        <v/>
      </c>
    </row>
    <row r="192" ht="15.75" customHeight="1">
      <c r="A192">
        <f>IF(Table_1211[[#This Row],[Complex Name]]=0,"",Table_1211[[#This Row],[Complex Name]])</f>
        <v/>
      </c>
      <c r="I192" s="21" t="n"/>
      <c r="J192" s="21">
        <f>IF($B192="","FALSE","TRUE")</f>
        <v/>
      </c>
      <c r="K192">
        <f t="array" ref="K192">IsURL(Table_121215[[#This Row],[Data Source]])</f>
        <v/>
      </c>
      <c r="L192">
        <f t="array" ref="L192">IsURL(Table_121215[[#This Row],[DOI]])</f>
        <v/>
      </c>
      <c r="M192">
        <f t="array" ref="M192">IsURL(Table_121215[[#This Row],[Data Source]])</f>
        <v/>
      </c>
      <c r="N192">
        <f t="array" ref="N192">IsURL(Table_121215[[#This Row],[Data Source]])</f>
        <v/>
      </c>
    </row>
    <row r="193" ht="15.75" customHeight="1">
      <c r="A193">
        <f>IF(Table_1211[[#This Row],[Complex Name]]=0,"",Table_1211[[#This Row],[Complex Name]])</f>
        <v/>
      </c>
      <c r="I193" s="21" t="n"/>
      <c r="J193" s="21">
        <f>IF($B193="","FALSE","TRUE")</f>
        <v/>
      </c>
      <c r="K193">
        <f t="array" ref="K193">IsURL(Table_121215[[#This Row],[Data Source]])</f>
        <v/>
      </c>
      <c r="L193">
        <f t="array" ref="L193">IsURL(Table_121215[[#This Row],[DOI]])</f>
        <v/>
      </c>
      <c r="M193">
        <f t="array" ref="M193">IsURL(Table_121215[[#This Row],[Data Source]])</f>
        <v/>
      </c>
      <c r="N193">
        <f t="array" ref="N193">IsURL(Table_121215[[#This Row],[Data Source]])</f>
        <v/>
      </c>
    </row>
    <row r="194" ht="15.75" customHeight="1">
      <c r="A194">
        <f>IF(Table_1211[[#This Row],[Complex Name]]=0,"",Table_1211[[#This Row],[Complex Name]])</f>
        <v/>
      </c>
      <c r="I194" s="21" t="n"/>
      <c r="J194" s="21">
        <f>IF($B194="","FALSE","TRUE")</f>
        <v/>
      </c>
      <c r="K194">
        <f t="array" ref="K194">IsURL(Table_121215[[#This Row],[Data Source]])</f>
        <v/>
      </c>
      <c r="L194">
        <f t="array" ref="L194">IsURL(Table_121215[[#This Row],[DOI]])</f>
        <v/>
      </c>
      <c r="M194">
        <f t="array" ref="M194">IsURL(Table_121215[[#This Row],[Data Source]])</f>
        <v/>
      </c>
      <c r="N194">
        <f t="array" ref="N194">IsURL(Table_121215[[#This Row],[Data Source]])</f>
        <v/>
      </c>
    </row>
    <row r="195" ht="15.75" customHeight="1">
      <c r="A195">
        <f>IF(Table_1211[[#This Row],[Complex Name]]=0,"",Table_1211[[#This Row],[Complex Name]])</f>
        <v/>
      </c>
      <c r="I195" s="21" t="n"/>
      <c r="J195" s="21">
        <f>IF($B195="","FALSE","TRUE")</f>
        <v/>
      </c>
      <c r="K195">
        <f t="array" ref="K195">IsURL(Table_121215[[#This Row],[Data Source]])</f>
        <v/>
      </c>
      <c r="L195">
        <f t="array" ref="L195">IsURL(Table_121215[[#This Row],[DOI]])</f>
        <v/>
      </c>
      <c r="M195">
        <f t="array" ref="M195">IsURL(Table_121215[[#This Row],[Data Source]])</f>
        <v/>
      </c>
      <c r="N195">
        <f t="array" ref="N195">IsURL(Table_121215[[#This Row],[Data Source]])</f>
        <v/>
      </c>
    </row>
    <row r="196" ht="15.75" customHeight="1">
      <c r="A196">
        <f>IF(Table_1211[[#This Row],[Complex Name]]=0,"",Table_1211[[#This Row],[Complex Name]])</f>
        <v/>
      </c>
      <c r="I196" s="21" t="n"/>
      <c r="J196" s="21">
        <f>IF($B196="","FALSE","TRUE")</f>
        <v/>
      </c>
      <c r="K196">
        <f t="array" ref="K196">IsURL(Table_121215[[#This Row],[Data Source]])</f>
        <v/>
      </c>
      <c r="L196">
        <f t="array" ref="L196">IsURL(Table_121215[[#This Row],[DOI]])</f>
        <v/>
      </c>
      <c r="M196">
        <f t="array" ref="M196">IsURL(Table_121215[[#This Row],[Data Source]])</f>
        <v/>
      </c>
      <c r="N196">
        <f t="array" ref="N196">IsURL(Table_121215[[#This Row],[Data Source]])</f>
        <v/>
      </c>
    </row>
    <row r="197" ht="15.75" customHeight="1">
      <c r="A197">
        <f>IF(Table_1211[[#This Row],[Complex Name]]=0,"",Table_1211[[#This Row],[Complex Name]])</f>
        <v/>
      </c>
      <c r="I197" s="21" t="n"/>
      <c r="J197" s="21">
        <f>IF($B197="","FALSE","TRUE")</f>
        <v/>
      </c>
      <c r="K197">
        <f t="array" ref="K197">IsURL(Table_121215[[#This Row],[Data Source]])</f>
        <v/>
      </c>
      <c r="L197">
        <f t="array" ref="L197">IsURL(Table_121215[[#This Row],[DOI]])</f>
        <v/>
      </c>
      <c r="M197">
        <f t="array" ref="M197">IsURL(Table_121215[[#This Row],[Data Source]])</f>
        <v/>
      </c>
      <c r="N197">
        <f t="array" ref="N197">IsURL(Table_121215[[#This Row],[Data Source]])</f>
        <v/>
      </c>
    </row>
    <row r="198" ht="15.75" customHeight="1">
      <c r="A198">
        <f>IF(Table_1211[[#This Row],[Complex Name]]=0,"",Table_1211[[#This Row],[Complex Name]])</f>
        <v/>
      </c>
      <c r="I198" s="21" t="n"/>
      <c r="J198" s="21">
        <f>IF($B198="","FALSE","TRUE")</f>
        <v/>
      </c>
      <c r="K198">
        <f t="array" ref="K198">IsURL(Table_121215[[#This Row],[Data Source]])</f>
        <v/>
      </c>
      <c r="L198">
        <f t="array" ref="L198">IsURL(Table_121215[[#This Row],[DOI]])</f>
        <v/>
      </c>
      <c r="M198">
        <f t="array" ref="M198">IsURL(Table_121215[[#This Row],[Data Source]])</f>
        <v/>
      </c>
      <c r="N198">
        <f t="array" ref="N198">IsURL(Table_121215[[#This Row],[Data Source]])</f>
        <v/>
      </c>
    </row>
    <row r="199" ht="15.75" customHeight="1">
      <c r="A199">
        <f>IF(Table_1211[[#This Row],[Complex Name]]=0,"",Table_1211[[#This Row],[Complex Name]])</f>
        <v/>
      </c>
      <c r="I199" s="21" t="n"/>
      <c r="J199" s="21">
        <f>IF($B199="","FALSE","TRUE")</f>
        <v/>
      </c>
      <c r="K199">
        <f t="array" ref="K199">IsURL(Table_121215[[#This Row],[Data Source]])</f>
        <v/>
      </c>
      <c r="L199">
        <f t="array" ref="L199">IsURL(Table_121215[[#This Row],[DOI]])</f>
        <v/>
      </c>
      <c r="M199">
        <f t="array" ref="M199">IsURL(Table_121215[[#This Row],[Data Source]])</f>
        <v/>
      </c>
      <c r="N199">
        <f t="array" ref="N199">IsURL(Table_121215[[#This Row],[Data Source]])</f>
        <v/>
      </c>
    </row>
    <row r="200" ht="15.75" customHeight="1">
      <c r="A200">
        <f>IF(Table_1211[[#This Row],[Complex Name]]=0,"",Table_1211[[#This Row],[Complex Name]])</f>
        <v/>
      </c>
      <c r="I200" s="21" t="n"/>
      <c r="J200" s="21">
        <f>IF($B200="","FALSE","TRUE")</f>
        <v/>
      </c>
      <c r="K200">
        <f t="array" ref="K200">IsURL(Table_121215[[#This Row],[Data Source]])</f>
        <v/>
      </c>
      <c r="L200">
        <f t="array" ref="L200">IsURL(Table_121215[[#This Row],[DOI]])</f>
        <v/>
      </c>
      <c r="M200">
        <f t="array" ref="M200">IsURL(Table_121215[[#This Row],[Data Source]])</f>
        <v/>
      </c>
      <c r="N200">
        <f t="array" ref="N200">IsURL(Table_121215[[#This Row],[Data Source]])</f>
        <v/>
      </c>
    </row>
    <row r="201" ht="15.75" customHeight="1">
      <c r="A201">
        <f>IF(Table_1211[[#This Row],[Complex Name]]=0,"",Table_1211[[#This Row],[Complex Name]])</f>
        <v/>
      </c>
      <c r="I201" s="21" t="n"/>
      <c r="J201" s="21">
        <f>IF($B201="","FALSE","TRUE")</f>
        <v/>
      </c>
      <c r="K201">
        <f t="array" ref="K201">IsURL(Table_121215[[#This Row],[Data Source]])</f>
        <v/>
      </c>
      <c r="L201">
        <f t="array" ref="L201">IsURL(Table_121215[[#This Row],[DOI]])</f>
        <v/>
      </c>
      <c r="M201">
        <f t="array" ref="M201">IsURL(Table_121215[[#This Row],[Data Source]])</f>
        <v/>
      </c>
      <c r="N201">
        <f t="array" ref="N201">IsURL(Table_121215[[#This Row],[Data Source]])</f>
        <v/>
      </c>
    </row>
    <row r="202" ht="15.75" customHeight="1">
      <c r="A202">
        <f>IF(Table_1211[[#This Row],[Complex Name]]=0,"",Table_1211[[#This Row],[Complex Name]])</f>
        <v/>
      </c>
      <c r="I202" s="21" t="n"/>
      <c r="J202" s="21">
        <f>IF($B202="","FALSE","TRUE")</f>
        <v/>
      </c>
      <c r="K202">
        <f t="array" ref="K202">IsURL(Table_121215[[#This Row],[Data Source]])</f>
        <v/>
      </c>
      <c r="L202">
        <f t="array" ref="L202">IsURL(Table_121215[[#This Row],[DOI]])</f>
        <v/>
      </c>
      <c r="M202">
        <f t="array" ref="M202">IsURL(Table_121215[[#This Row],[Data Source]])</f>
        <v/>
      </c>
      <c r="N202">
        <f t="array" ref="N202">IsURL(Table_121215[[#This Row],[Data Source]])</f>
        <v/>
      </c>
    </row>
    <row r="203" ht="15.75" customHeight="1">
      <c r="A203">
        <f>IF(Table_1211[[#This Row],[Complex Name]]=0,"",Table_1211[[#This Row],[Complex Name]])</f>
        <v/>
      </c>
      <c r="I203" s="21" t="n"/>
      <c r="J203" s="21">
        <f>IF($B203="","FALSE","TRUE")</f>
        <v/>
      </c>
      <c r="K203">
        <f t="array" ref="K203">IsURL(Table_121215[[#This Row],[Data Source]])</f>
        <v/>
      </c>
      <c r="L203">
        <f t="array" ref="L203">IsURL(Table_121215[[#This Row],[DOI]])</f>
        <v/>
      </c>
      <c r="M203">
        <f t="array" ref="M203">IsURL(Table_121215[[#This Row],[Data Source]])</f>
        <v/>
      </c>
      <c r="N203">
        <f t="array" ref="N203">IsURL(Table_121215[[#This Row],[Data Source]])</f>
        <v/>
      </c>
    </row>
    <row r="204" ht="15.75" customHeight="1">
      <c r="A204">
        <f>IF(Table_1211[[#This Row],[Complex Name]]=0,"",Table_1211[[#This Row],[Complex Name]])</f>
        <v/>
      </c>
      <c r="I204" s="21" t="n"/>
      <c r="J204" s="21">
        <f>IF($B204="","FALSE","TRUE")</f>
        <v/>
      </c>
      <c r="K204">
        <f t="array" ref="K204">IsURL(Table_121215[[#This Row],[Data Source]])</f>
        <v/>
      </c>
      <c r="L204">
        <f t="array" ref="L204">IsURL(Table_121215[[#This Row],[DOI]])</f>
        <v/>
      </c>
      <c r="M204">
        <f t="array" ref="M204">IsURL(Table_121215[[#This Row],[Data Source]])</f>
        <v/>
      </c>
      <c r="N204">
        <f t="array" ref="N204">IsURL(Table_121215[[#This Row],[Data Source]])</f>
        <v/>
      </c>
    </row>
    <row r="205" ht="15.75" customHeight="1">
      <c r="A205">
        <f>IF(Table_1211[[#This Row],[Complex Name]]=0,"",Table_1211[[#This Row],[Complex Name]])</f>
        <v/>
      </c>
      <c r="I205" s="21" t="n"/>
      <c r="J205" s="21">
        <f>IF($B205="","FALSE","TRUE")</f>
        <v/>
      </c>
      <c r="K205">
        <f t="array" ref="K205">IsURL(Table_121215[[#This Row],[Data Source]])</f>
        <v/>
      </c>
      <c r="L205">
        <f t="array" ref="L205">IsURL(Table_121215[[#This Row],[DOI]])</f>
        <v/>
      </c>
      <c r="M205">
        <f t="array" ref="M205">IsURL(Table_121215[[#This Row],[Data Source]])</f>
        <v/>
      </c>
      <c r="N205">
        <f t="array" ref="N205">IsURL(Table_121215[[#This Row],[Data Source]])</f>
        <v/>
      </c>
    </row>
    <row r="206" ht="15.75" customHeight="1">
      <c r="A206">
        <f>IF(Table_1211[[#This Row],[Complex Name]]=0,"",Table_1211[[#This Row],[Complex Name]])</f>
        <v/>
      </c>
      <c r="I206" s="21" t="n"/>
      <c r="J206" s="21">
        <f>IF($B206="","FALSE","TRUE")</f>
        <v/>
      </c>
      <c r="K206">
        <f t="array" ref="K206">IsURL(Table_121215[[#This Row],[Data Source]])</f>
        <v/>
      </c>
      <c r="L206">
        <f t="array" ref="L206">IsURL(Table_121215[[#This Row],[DOI]])</f>
        <v/>
      </c>
      <c r="M206">
        <f t="array" ref="M206">IsURL(Table_121215[[#This Row],[Data Source]])</f>
        <v/>
      </c>
      <c r="N206">
        <f t="array" ref="N206">IsURL(Table_121215[[#This Row],[Data Source]])</f>
        <v/>
      </c>
    </row>
    <row r="207" ht="15.75" customHeight="1">
      <c r="A207">
        <f>IF(Table_1211[[#This Row],[Complex Name]]=0,"",Table_1211[[#This Row],[Complex Name]])</f>
        <v/>
      </c>
      <c r="I207" s="21" t="n"/>
      <c r="J207" s="21">
        <f>IF($B207="","FALSE","TRUE")</f>
        <v/>
      </c>
      <c r="K207">
        <f t="array" ref="K207">IsURL(Table_121215[[#This Row],[Data Source]])</f>
        <v/>
      </c>
      <c r="L207">
        <f t="array" ref="L207">IsURL(Table_121215[[#This Row],[DOI]])</f>
        <v/>
      </c>
      <c r="M207">
        <f t="array" ref="M207">IsURL(Table_121215[[#This Row],[Data Source]])</f>
        <v/>
      </c>
      <c r="N207">
        <f t="array" ref="N207">IsURL(Table_121215[[#This Row],[Data Source]])</f>
        <v/>
      </c>
    </row>
    <row r="208" ht="15.75" customHeight="1">
      <c r="A208">
        <f>IF(Table_1211[[#This Row],[Complex Name]]=0,"",Table_1211[[#This Row],[Complex Name]])</f>
        <v/>
      </c>
      <c r="I208" s="21" t="n"/>
      <c r="J208" s="21">
        <f>IF($B208="","FALSE","TRUE")</f>
        <v/>
      </c>
      <c r="K208">
        <f t="array" ref="K208">IsURL(Table_121215[[#This Row],[Data Source]])</f>
        <v/>
      </c>
      <c r="L208">
        <f t="array" ref="L208">IsURL(Table_121215[[#This Row],[DOI]])</f>
        <v/>
      </c>
      <c r="M208">
        <f t="array" ref="M208">IsURL(Table_121215[[#This Row],[Data Source]])</f>
        <v/>
      </c>
      <c r="N208">
        <f t="array" ref="N208">IsURL(Table_121215[[#This Row],[Data Source]])</f>
        <v/>
      </c>
    </row>
    <row r="209" ht="15.75" customHeight="1">
      <c r="A209">
        <f>IF(Table_1211[[#This Row],[Complex Name]]=0,"",Table_1211[[#This Row],[Complex Name]])</f>
        <v/>
      </c>
      <c r="I209" s="21" t="n"/>
      <c r="J209" s="21">
        <f>IF($B209="","FALSE","TRUE")</f>
        <v/>
      </c>
      <c r="K209">
        <f t="array" ref="K209">IsURL(Table_121215[[#This Row],[Data Source]])</f>
        <v/>
      </c>
      <c r="L209">
        <f t="array" ref="L209">IsURL(Table_121215[[#This Row],[DOI]])</f>
        <v/>
      </c>
      <c r="M209">
        <f t="array" ref="M209">IsURL(Table_121215[[#This Row],[Data Source]])</f>
        <v/>
      </c>
      <c r="N209">
        <f t="array" ref="N209">IsURL(Table_121215[[#This Row],[Data Source]])</f>
        <v/>
      </c>
    </row>
    <row r="210" ht="15.75" customHeight="1">
      <c r="A210">
        <f>IF(Table_1211[[#This Row],[Complex Name]]=0,"",Table_1211[[#This Row],[Complex Name]])</f>
        <v/>
      </c>
      <c r="I210" s="21" t="n"/>
      <c r="J210" s="21">
        <f>IF($B210="","FALSE","TRUE")</f>
        <v/>
      </c>
      <c r="K210">
        <f t="array" ref="K210">IsURL(Table_121215[[#This Row],[Data Source]])</f>
        <v/>
      </c>
      <c r="L210">
        <f t="array" ref="L210">IsURL(Table_121215[[#This Row],[DOI]])</f>
        <v/>
      </c>
      <c r="M210">
        <f t="array" ref="M210">IsURL(Table_121215[[#This Row],[Data Source]])</f>
        <v/>
      </c>
      <c r="N210">
        <f t="array" ref="N210">IsURL(Table_121215[[#This Row],[Data Source]])</f>
        <v/>
      </c>
    </row>
    <row r="211" ht="15.75" customHeight="1">
      <c r="A211">
        <f>IF(Table_1211[[#This Row],[Complex Name]]=0,"",Table_1211[[#This Row],[Complex Name]])</f>
        <v/>
      </c>
      <c r="I211" s="21" t="n"/>
      <c r="J211" s="21">
        <f>IF($B211="","FALSE","TRUE")</f>
        <v/>
      </c>
      <c r="K211">
        <f t="array" ref="K211">IsURL(Table_121215[[#This Row],[Data Source]])</f>
        <v/>
      </c>
      <c r="L211">
        <f t="array" ref="L211">IsURL(Table_121215[[#This Row],[DOI]])</f>
        <v/>
      </c>
      <c r="M211">
        <f t="array" ref="M211">IsURL(Table_121215[[#This Row],[Data Source]])</f>
        <v/>
      </c>
      <c r="N211">
        <f t="array" ref="N211">IsURL(Table_121215[[#This Row],[Data Source]])</f>
        <v/>
      </c>
    </row>
    <row r="212" ht="15.75" customHeight="1">
      <c r="A212">
        <f>IF(Table_1211[[#This Row],[Complex Name]]=0,"",Table_1211[[#This Row],[Complex Name]])</f>
        <v/>
      </c>
      <c r="I212" s="21" t="n"/>
      <c r="J212" s="21">
        <f>IF($B212="","FALSE","TRUE")</f>
        <v/>
      </c>
      <c r="K212">
        <f t="array" ref="K212">IsURL(Table_121215[[#This Row],[Data Source]])</f>
        <v/>
      </c>
      <c r="L212">
        <f t="array" ref="L212">IsURL(Table_121215[[#This Row],[DOI]])</f>
        <v/>
      </c>
      <c r="M212">
        <f t="array" ref="M212">IsURL(Table_121215[[#This Row],[Data Source]])</f>
        <v/>
      </c>
      <c r="N212">
        <f t="array" ref="N212">IsURL(Table_121215[[#This Row],[Data Source]])</f>
        <v/>
      </c>
    </row>
    <row r="213" ht="15.75" customHeight="1">
      <c r="A213">
        <f>IF(Table_1211[[#This Row],[Complex Name]]=0,"",Table_1211[[#This Row],[Complex Name]])</f>
        <v/>
      </c>
      <c r="I213" s="21" t="n"/>
      <c r="J213" s="21">
        <f>IF($B213="","FALSE","TRUE")</f>
        <v/>
      </c>
      <c r="K213">
        <f t="array" ref="K213">IsURL(Table_121215[[#This Row],[Data Source]])</f>
        <v/>
      </c>
      <c r="L213">
        <f t="array" ref="L213">IsURL(Table_121215[[#This Row],[DOI]])</f>
        <v/>
      </c>
      <c r="M213">
        <f t="array" ref="M213">IsURL(Table_121215[[#This Row],[Data Source]])</f>
        <v/>
      </c>
      <c r="N213">
        <f t="array" ref="N213">IsURL(Table_121215[[#This Row],[Data Source]])</f>
        <v/>
      </c>
    </row>
    <row r="214" ht="15.75" customHeight="1">
      <c r="A214">
        <f>IF(Table_1211[[#This Row],[Complex Name]]=0,"",Table_1211[[#This Row],[Complex Name]])</f>
        <v/>
      </c>
      <c r="I214" s="21" t="n"/>
      <c r="J214" s="21">
        <f>IF($B214="","FALSE","TRUE")</f>
        <v/>
      </c>
      <c r="K214">
        <f t="array" ref="K214">IsURL(Table_121215[[#This Row],[Data Source]])</f>
        <v/>
      </c>
      <c r="L214">
        <f t="array" ref="L214">IsURL(Table_121215[[#This Row],[DOI]])</f>
        <v/>
      </c>
      <c r="M214">
        <f t="array" ref="M214">IsURL(Table_121215[[#This Row],[Data Source]])</f>
        <v/>
      </c>
      <c r="N214">
        <f t="array" ref="N214">IsURL(Table_121215[[#This Row],[Data Source]])</f>
        <v/>
      </c>
    </row>
    <row r="215" ht="15.75" customHeight="1">
      <c r="A215">
        <f>IF(Table_1211[[#This Row],[Complex Name]]=0,"",Table_1211[[#This Row],[Complex Name]])</f>
        <v/>
      </c>
      <c r="I215" s="21" t="n"/>
      <c r="J215" s="21">
        <f>IF($B215="","FALSE","TRUE")</f>
        <v/>
      </c>
      <c r="K215">
        <f t="array" ref="K215">IsURL(Table_121215[[#This Row],[Data Source]])</f>
        <v/>
      </c>
      <c r="L215">
        <f t="array" ref="L215">IsURL(Table_121215[[#This Row],[DOI]])</f>
        <v/>
      </c>
      <c r="M215">
        <f t="array" ref="M215">IsURL(Table_121215[[#This Row],[Data Source]])</f>
        <v/>
      </c>
      <c r="N215">
        <f t="array" ref="N215">IsURL(Table_121215[[#This Row],[Data Source]])</f>
        <v/>
      </c>
    </row>
    <row r="216" ht="15.75" customHeight="1">
      <c r="A216">
        <f>IF(Table_1211[[#This Row],[Complex Name]]=0,"",Table_1211[[#This Row],[Complex Name]])</f>
        <v/>
      </c>
      <c r="I216" s="21" t="n"/>
      <c r="J216" s="21">
        <f>IF($B216="","FALSE","TRUE")</f>
        <v/>
      </c>
      <c r="K216">
        <f t="array" ref="K216">IsURL(Table_121215[[#This Row],[Data Source]])</f>
        <v/>
      </c>
      <c r="L216">
        <f t="array" ref="L216">IsURL(Table_121215[[#This Row],[DOI]])</f>
        <v/>
      </c>
      <c r="M216">
        <f t="array" ref="M216">IsURL(Table_121215[[#This Row],[Data Source]])</f>
        <v/>
      </c>
      <c r="N216">
        <f t="array" ref="N216">IsURL(Table_121215[[#This Row],[Data Source]])</f>
        <v/>
      </c>
    </row>
    <row r="217" ht="15.75" customHeight="1">
      <c r="A217">
        <f>IF(Table_1211[[#This Row],[Complex Name]]=0,"",Table_1211[[#This Row],[Complex Name]])</f>
        <v/>
      </c>
      <c r="I217" s="21" t="n"/>
      <c r="J217" s="21">
        <f>IF($B217="","FALSE","TRUE")</f>
        <v/>
      </c>
      <c r="K217">
        <f t="array" ref="K217">IsURL(Table_121215[[#This Row],[Data Source]])</f>
        <v/>
      </c>
      <c r="L217">
        <f t="array" ref="L217">IsURL(Table_121215[[#This Row],[DOI]])</f>
        <v/>
      </c>
      <c r="M217">
        <f t="array" ref="M217">IsURL(Table_121215[[#This Row],[Data Source]])</f>
        <v/>
      </c>
      <c r="N217">
        <f t="array" ref="N217">IsURL(Table_121215[[#This Row],[Data Source]])</f>
        <v/>
      </c>
    </row>
    <row r="218" ht="15.75" customHeight="1">
      <c r="A218">
        <f>IF(Table_1211[[#This Row],[Complex Name]]=0,"",Table_1211[[#This Row],[Complex Name]])</f>
        <v/>
      </c>
      <c r="I218" s="21" t="n"/>
      <c r="J218" s="21">
        <f>IF($B218="","FALSE","TRUE")</f>
        <v/>
      </c>
      <c r="K218">
        <f t="array" ref="K218">IsURL(Table_121215[[#This Row],[Data Source]])</f>
        <v/>
      </c>
      <c r="L218">
        <f t="array" ref="L218">IsURL(Table_121215[[#This Row],[DOI]])</f>
        <v/>
      </c>
      <c r="M218">
        <f t="array" ref="M218">IsURL(Table_121215[[#This Row],[Data Source]])</f>
        <v/>
      </c>
      <c r="N218">
        <f t="array" ref="N218">IsURL(Table_121215[[#This Row],[Data Source]])</f>
        <v/>
      </c>
    </row>
    <row r="219" ht="15.75" customHeight="1">
      <c r="A219">
        <f>IF(Table_1211[[#This Row],[Complex Name]]=0,"",Table_1211[[#This Row],[Complex Name]])</f>
        <v/>
      </c>
      <c r="I219" s="21" t="n"/>
      <c r="J219" s="21">
        <f>IF($B219="","FALSE","TRUE")</f>
        <v/>
      </c>
      <c r="K219">
        <f t="array" ref="K219">IsURL(Table_121215[[#This Row],[Data Source]])</f>
        <v/>
      </c>
      <c r="L219">
        <f t="array" ref="L219">IsURL(Table_121215[[#This Row],[DOI]])</f>
        <v/>
      </c>
      <c r="M219">
        <f t="array" ref="M219">IsURL(Table_121215[[#This Row],[Data Source]])</f>
        <v/>
      </c>
      <c r="N219">
        <f t="array" ref="N219">IsURL(Table_121215[[#This Row],[Data Source]])</f>
        <v/>
      </c>
    </row>
    <row r="220" ht="15.75" customHeight="1">
      <c r="A220">
        <f>IF(Table_1211[[#This Row],[Complex Name]]=0,"",Table_1211[[#This Row],[Complex Name]])</f>
        <v/>
      </c>
      <c r="I220" s="21" t="n"/>
      <c r="J220" s="21">
        <f>IF($B220="","FALSE","TRUE")</f>
        <v/>
      </c>
      <c r="K220">
        <f t="array" ref="K220">IsURL(Table_121215[[#This Row],[Data Source]])</f>
        <v/>
      </c>
      <c r="L220">
        <f t="array" ref="L220">IsURL(Table_121215[[#This Row],[DOI]])</f>
        <v/>
      </c>
      <c r="M220">
        <f t="array" ref="M220">IsURL(Table_121215[[#This Row],[Data Source]])</f>
        <v/>
      </c>
      <c r="N220">
        <f t="array" ref="N220">IsURL(Table_121215[[#This Row],[Data Source]])</f>
        <v/>
      </c>
    </row>
    <row r="221" ht="15.75" customHeight="1">
      <c r="A221">
        <f>IF(Table_1211[[#This Row],[Complex Name]]=0,"",Table_1211[[#This Row],[Complex Name]])</f>
        <v/>
      </c>
      <c r="I221" s="21" t="n"/>
      <c r="J221" s="21">
        <f>IF($B221="","FALSE","TRUE")</f>
        <v/>
      </c>
      <c r="K221">
        <f t="array" ref="K221">IsURL(Table_121215[[#This Row],[Data Source]])</f>
        <v/>
      </c>
      <c r="L221">
        <f t="array" ref="L221">IsURL(Table_121215[[#This Row],[DOI]])</f>
        <v/>
      </c>
      <c r="M221">
        <f t="array" ref="M221">IsURL(Table_121215[[#This Row],[Data Source]])</f>
        <v/>
      </c>
      <c r="N221">
        <f t="array" ref="N221">IsURL(Table_121215[[#This Row],[Data Source]])</f>
        <v/>
      </c>
    </row>
    <row r="222" ht="15.75" customHeight="1">
      <c r="A222">
        <f>IF(Table_1211[[#This Row],[Complex Name]]=0,"",Table_1211[[#This Row],[Complex Name]])</f>
        <v/>
      </c>
      <c r="I222" s="21" t="n"/>
      <c r="J222" s="21">
        <f>IF($B222="","FALSE","TRUE")</f>
        <v/>
      </c>
      <c r="K222">
        <f t="array" ref="K222">IsURL(Table_121215[[#This Row],[Data Source]])</f>
        <v/>
      </c>
      <c r="L222">
        <f t="array" ref="L222">IsURL(Table_121215[[#This Row],[DOI]])</f>
        <v/>
      </c>
      <c r="M222">
        <f t="array" ref="M222">IsURL(Table_121215[[#This Row],[Data Source]])</f>
        <v/>
      </c>
      <c r="N222">
        <f t="array" ref="N222">IsURL(Table_121215[[#This Row],[Data Source]])</f>
        <v/>
      </c>
    </row>
    <row r="223" ht="15.75" customHeight="1">
      <c r="A223">
        <f>IF(Table_1211[[#This Row],[Complex Name]]=0,"",Table_1211[[#This Row],[Complex Name]])</f>
        <v/>
      </c>
      <c r="I223" s="21" t="n"/>
      <c r="J223" s="21">
        <f>IF($B223="","FALSE","TRUE")</f>
        <v/>
      </c>
      <c r="K223">
        <f t="array" ref="K223">IsURL(Table_121215[[#This Row],[Data Source]])</f>
        <v/>
      </c>
      <c r="L223">
        <f t="array" ref="L223">IsURL(Table_121215[[#This Row],[DOI]])</f>
        <v/>
      </c>
      <c r="M223">
        <f t="array" ref="M223">IsURL(Table_121215[[#This Row],[Data Source]])</f>
        <v/>
      </c>
      <c r="N223">
        <f t="array" ref="N223">IsURL(Table_121215[[#This Row],[Data Source]])</f>
        <v/>
      </c>
    </row>
    <row r="224" ht="15.75" customHeight="1">
      <c r="A224">
        <f>IF(Table_1211[[#This Row],[Complex Name]]=0,"",Table_1211[[#This Row],[Complex Name]])</f>
        <v/>
      </c>
      <c r="I224" s="21" t="n"/>
      <c r="J224" s="21">
        <f>IF($B224="","FALSE","TRUE")</f>
        <v/>
      </c>
      <c r="K224">
        <f t="array" ref="K224">IsURL(Table_121215[[#This Row],[Data Source]])</f>
        <v/>
      </c>
      <c r="L224">
        <f t="array" ref="L224">IsURL(Table_121215[[#This Row],[DOI]])</f>
        <v/>
      </c>
      <c r="M224">
        <f t="array" ref="M224">IsURL(Table_121215[[#This Row],[Data Source]])</f>
        <v/>
      </c>
      <c r="N224">
        <f t="array" ref="N224">IsURL(Table_121215[[#This Row],[Data Source]])</f>
        <v/>
      </c>
    </row>
    <row r="225" ht="15.75" customHeight="1">
      <c r="A225">
        <f>IF(Table_1211[[#This Row],[Complex Name]]=0,"",Table_1211[[#This Row],[Complex Name]])</f>
        <v/>
      </c>
      <c r="I225" s="21" t="n"/>
      <c r="J225" s="21">
        <f>IF($B225="","FALSE","TRUE")</f>
        <v/>
      </c>
      <c r="K225">
        <f t="array" ref="K225">IsURL(Table_121215[[#This Row],[Data Source]])</f>
        <v/>
      </c>
      <c r="L225">
        <f t="array" ref="L225">IsURL(Table_121215[[#This Row],[DOI]])</f>
        <v/>
      </c>
      <c r="M225">
        <f t="array" ref="M225">IsURL(Table_121215[[#This Row],[Data Source]])</f>
        <v/>
      </c>
      <c r="N225">
        <f t="array" ref="N225">IsURL(Table_121215[[#This Row],[Data Source]])</f>
        <v/>
      </c>
    </row>
    <row r="226" ht="15.75" customHeight="1">
      <c r="A226">
        <f>IF(Table_1211[[#This Row],[Complex Name]]=0,"",Table_1211[[#This Row],[Complex Name]])</f>
        <v/>
      </c>
      <c r="I226" s="21" t="n"/>
      <c r="J226" s="21">
        <f>IF($B226="","FALSE","TRUE")</f>
        <v/>
      </c>
      <c r="K226">
        <f t="array" ref="K226">IsURL(Table_121215[[#This Row],[Data Source]])</f>
        <v/>
      </c>
      <c r="L226">
        <f t="array" ref="L226">IsURL(Table_121215[[#This Row],[DOI]])</f>
        <v/>
      </c>
      <c r="M226">
        <f t="array" ref="M226">IsURL(Table_121215[[#This Row],[Data Source]])</f>
        <v/>
      </c>
      <c r="N226">
        <f t="array" ref="N226">IsURL(Table_121215[[#This Row],[Data Source]])</f>
        <v/>
      </c>
    </row>
    <row r="227" ht="15.75" customHeight="1">
      <c r="A227">
        <f>IF(Table_1211[[#This Row],[Complex Name]]=0,"",Table_1211[[#This Row],[Complex Name]])</f>
        <v/>
      </c>
      <c r="I227" s="21" t="n"/>
      <c r="J227" s="21">
        <f>IF($B227="","FALSE","TRUE")</f>
        <v/>
      </c>
      <c r="K227">
        <f t="array" ref="K227">IsURL(Table_121215[[#This Row],[Data Source]])</f>
        <v/>
      </c>
      <c r="L227">
        <f t="array" ref="L227">IsURL(Table_121215[[#This Row],[DOI]])</f>
        <v/>
      </c>
      <c r="M227">
        <f t="array" ref="M227">IsURL(Table_121215[[#This Row],[Data Source]])</f>
        <v/>
      </c>
      <c r="N227">
        <f t="array" ref="N227">IsURL(Table_121215[[#This Row],[Data Source]])</f>
        <v/>
      </c>
    </row>
    <row r="228" ht="15.75" customHeight="1">
      <c r="A228">
        <f>IF(Table_1211[[#This Row],[Complex Name]]=0,"",Table_1211[[#This Row],[Complex Name]])</f>
        <v/>
      </c>
      <c r="I228" s="21" t="n"/>
      <c r="J228" s="21">
        <f>IF($B228="","FALSE","TRUE")</f>
        <v/>
      </c>
      <c r="K228">
        <f t="array" ref="K228">IsURL(Table_121215[[#This Row],[Data Source]])</f>
        <v/>
      </c>
      <c r="L228">
        <f t="array" ref="L228">IsURL(Table_121215[[#This Row],[DOI]])</f>
        <v/>
      </c>
      <c r="M228">
        <f t="array" ref="M228">IsURL(Table_121215[[#This Row],[Data Source]])</f>
        <v/>
      </c>
      <c r="N228">
        <f t="array" ref="N228">IsURL(Table_121215[[#This Row],[Data Source]])</f>
        <v/>
      </c>
    </row>
    <row r="229" ht="15.75" customHeight="1">
      <c r="A229">
        <f>IF(Table_1211[[#This Row],[Complex Name]]=0,"",Table_1211[[#This Row],[Complex Name]])</f>
        <v/>
      </c>
      <c r="I229" s="21" t="n"/>
      <c r="J229" s="21">
        <f>IF($B229="","FALSE","TRUE")</f>
        <v/>
      </c>
      <c r="K229">
        <f t="array" ref="K229">IsURL(Table_121215[[#This Row],[Data Source]])</f>
        <v/>
      </c>
      <c r="L229">
        <f t="array" ref="L229">IsURL(Table_121215[[#This Row],[DOI]])</f>
        <v/>
      </c>
      <c r="M229">
        <f t="array" ref="M229">IsURL(Table_121215[[#This Row],[Data Source]])</f>
        <v/>
      </c>
      <c r="N229">
        <f t="array" ref="N229">IsURL(Table_121215[[#This Row],[Data Source]])</f>
        <v/>
      </c>
    </row>
    <row r="230" ht="15.75" customHeight="1">
      <c r="A230">
        <f>IF(Table_1211[[#This Row],[Complex Name]]=0,"",Table_1211[[#This Row],[Complex Name]])</f>
        <v/>
      </c>
      <c r="I230" s="21" t="n"/>
      <c r="J230" s="21">
        <f>IF($B230="","FALSE","TRUE")</f>
        <v/>
      </c>
      <c r="K230">
        <f t="array" ref="K230">IsURL(Table_121215[[#This Row],[Data Source]])</f>
        <v/>
      </c>
      <c r="L230">
        <f t="array" ref="L230">IsURL(Table_121215[[#This Row],[DOI]])</f>
        <v/>
      </c>
      <c r="M230">
        <f t="array" ref="M230">IsURL(Table_121215[[#This Row],[Data Source]])</f>
        <v/>
      </c>
      <c r="N230">
        <f t="array" ref="N230">IsURL(Table_121215[[#This Row],[Data Source]])</f>
        <v/>
      </c>
    </row>
    <row r="231" ht="15.75" customHeight="1">
      <c r="A231">
        <f>IF(Table_1211[[#This Row],[Complex Name]]=0,"",Table_1211[[#This Row],[Complex Name]])</f>
        <v/>
      </c>
      <c r="I231" s="21" t="n"/>
      <c r="J231" s="21">
        <f>IF($B231="","FALSE","TRUE")</f>
        <v/>
      </c>
      <c r="K231">
        <f t="array" ref="K231">IsURL(Table_121215[[#This Row],[Data Source]])</f>
        <v/>
      </c>
      <c r="L231">
        <f t="array" ref="L231">IsURL(Table_121215[[#This Row],[DOI]])</f>
        <v/>
      </c>
      <c r="M231">
        <f t="array" ref="M231">IsURL(Table_121215[[#This Row],[Data Source]])</f>
        <v/>
      </c>
      <c r="N231">
        <f t="array" ref="N231">IsURL(Table_121215[[#This Row],[Data Source]])</f>
        <v/>
      </c>
    </row>
    <row r="232" ht="15.75" customHeight="1">
      <c r="A232">
        <f>IF(Table_1211[[#This Row],[Complex Name]]=0,"",Table_1211[[#This Row],[Complex Name]])</f>
        <v/>
      </c>
      <c r="I232" s="21" t="n"/>
      <c r="J232" s="21">
        <f>IF($B232="","FALSE","TRUE")</f>
        <v/>
      </c>
      <c r="K232">
        <f t="array" ref="K232">IsURL(Table_121215[[#This Row],[Data Source]])</f>
        <v/>
      </c>
      <c r="L232">
        <f t="array" ref="L232">IsURL(Table_121215[[#This Row],[DOI]])</f>
        <v/>
      </c>
      <c r="M232">
        <f t="array" ref="M232">IsURL(Table_121215[[#This Row],[Data Source]])</f>
        <v/>
      </c>
      <c r="N232">
        <f t="array" ref="N232">IsURL(Table_121215[[#This Row],[Data Source]])</f>
        <v/>
      </c>
    </row>
    <row r="233" ht="15.75" customHeight="1">
      <c r="A233">
        <f>IF(Table_1211[[#This Row],[Complex Name]]=0,"",Table_1211[[#This Row],[Complex Name]])</f>
        <v/>
      </c>
      <c r="I233" s="21" t="n"/>
      <c r="J233" s="21">
        <f>IF($B233="","FALSE","TRUE")</f>
        <v/>
      </c>
      <c r="K233">
        <f t="array" ref="K233">IsURL(Table_121215[[#This Row],[Data Source]])</f>
        <v/>
      </c>
      <c r="L233">
        <f t="array" ref="L233">IsURL(Table_121215[[#This Row],[DOI]])</f>
        <v/>
      </c>
      <c r="M233">
        <f t="array" ref="M233">IsURL(Table_121215[[#This Row],[Data Source]])</f>
        <v/>
      </c>
      <c r="N233">
        <f t="array" ref="N233">IsURL(Table_121215[[#This Row],[Data Source]])</f>
        <v/>
      </c>
    </row>
    <row r="234" ht="15.75" customHeight="1">
      <c r="A234">
        <f>IF(Table_1211[[#This Row],[Complex Name]]=0,"",Table_1211[[#This Row],[Complex Name]])</f>
        <v/>
      </c>
      <c r="I234" s="21" t="n"/>
      <c r="J234" s="21">
        <f>IF($B234="","FALSE","TRUE")</f>
        <v/>
      </c>
      <c r="K234">
        <f t="array" ref="K234">IsURL(Table_121215[[#This Row],[Data Source]])</f>
        <v/>
      </c>
      <c r="L234">
        <f t="array" ref="L234">IsURL(Table_121215[[#This Row],[DOI]])</f>
        <v/>
      </c>
      <c r="M234">
        <f t="array" ref="M234">IsURL(Table_121215[[#This Row],[Data Source]])</f>
        <v/>
      </c>
      <c r="N234">
        <f t="array" ref="N234">IsURL(Table_121215[[#This Row],[Data Source]])</f>
        <v/>
      </c>
    </row>
    <row r="235" ht="15.75" customHeight="1">
      <c r="A235">
        <f>IF(Table_1211[[#This Row],[Complex Name]]=0,"",Table_1211[[#This Row],[Complex Name]])</f>
        <v/>
      </c>
      <c r="I235" s="21" t="n"/>
      <c r="J235" s="21">
        <f>IF($B235="","FALSE","TRUE")</f>
        <v/>
      </c>
      <c r="K235">
        <f t="array" ref="K235">IsURL(Table_121215[[#This Row],[Data Source]])</f>
        <v/>
      </c>
      <c r="L235">
        <f t="array" ref="L235">IsURL(Table_121215[[#This Row],[DOI]])</f>
        <v/>
      </c>
      <c r="M235">
        <f t="array" ref="M235">IsURL(Table_121215[[#This Row],[Data Source]])</f>
        <v/>
      </c>
      <c r="N235">
        <f t="array" ref="N235">IsURL(Table_121215[[#This Row],[Data Source]])</f>
        <v/>
      </c>
    </row>
    <row r="236" ht="15.75" customHeight="1">
      <c r="A236">
        <f>IF(Table_1211[[#This Row],[Complex Name]]=0,"",Table_1211[[#This Row],[Complex Name]])</f>
        <v/>
      </c>
      <c r="I236" s="21" t="n"/>
      <c r="J236" s="21">
        <f>IF($B236="","FALSE","TRUE")</f>
        <v/>
      </c>
      <c r="K236">
        <f t="array" ref="K236">IsURL(Table_121215[[#This Row],[Data Source]])</f>
        <v/>
      </c>
      <c r="L236">
        <f t="array" ref="L236">IsURL(Table_121215[[#This Row],[DOI]])</f>
        <v/>
      </c>
      <c r="M236">
        <f t="array" ref="M236">IsURL(Table_121215[[#This Row],[Data Source]])</f>
        <v/>
      </c>
      <c r="N236">
        <f t="array" ref="N236">IsURL(Table_121215[[#This Row],[Data Source]])</f>
        <v/>
      </c>
    </row>
    <row r="237" ht="15.75" customHeight="1">
      <c r="A237">
        <f>IF(Table_1211[[#This Row],[Complex Name]]=0,"",Table_1211[[#This Row],[Complex Name]])</f>
        <v/>
      </c>
      <c r="I237" s="21" t="n"/>
      <c r="J237" s="21">
        <f>IF($B237="","FALSE","TRUE")</f>
        <v/>
      </c>
      <c r="K237">
        <f t="array" ref="K237">IsURL(Table_121215[[#This Row],[Data Source]])</f>
        <v/>
      </c>
      <c r="L237">
        <f t="array" ref="L237">IsURL(Table_121215[[#This Row],[DOI]])</f>
        <v/>
      </c>
      <c r="M237">
        <f t="array" ref="M237">IsURL(Table_121215[[#This Row],[Data Source]])</f>
        <v/>
      </c>
      <c r="N237">
        <f t="array" ref="N237">IsURL(Table_121215[[#This Row],[Data Source]])</f>
        <v/>
      </c>
    </row>
    <row r="238" ht="15.75" customHeight="1">
      <c r="A238">
        <f>IF(Table_1211[[#This Row],[Complex Name]]=0,"",Table_1211[[#This Row],[Complex Name]])</f>
        <v/>
      </c>
      <c r="I238" s="21" t="n"/>
      <c r="J238" s="21">
        <f>IF($B238="","FALSE","TRUE")</f>
        <v/>
      </c>
      <c r="K238">
        <f t="array" ref="K238">IsURL(Table_121215[[#This Row],[Data Source]])</f>
        <v/>
      </c>
      <c r="L238">
        <f t="array" ref="L238">IsURL(Table_121215[[#This Row],[DOI]])</f>
        <v/>
      </c>
      <c r="M238">
        <f t="array" ref="M238">IsURL(Table_121215[[#This Row],[Data Source]])</f>
        <v/>
      </c>
      <c r="N238">
        <f t="array" ref="N238">IsURL(Table_121215[[#This Row],[Data Source]])</f>
        <v/>
      </c>
    </row>
    <row r="239" ht="15.75" customHeight="1">
      <c r="A239">
        <f>IF(Table_1211[[#This Row],[Complex Name]]=0,"",Table_1211[[#This Row],[Complex Name]])</f>
        <v/>
      </c>
      <c r="I239" s="21" t="n"/>
      <c r="J239" s="21">
        <f>IF($B239="","FALSE","TRUE")</f>
        <v/>
      </c>
      <c r="K239">
        <f t="array" ref="K239">IsURL(Table_121215[[#This Row],[Data Source]])</f>
        <v/>
      </c>
      <c r="L239">
        <f t="array" ref="L239">IsURL(Table_121215[[#This Row],[DOI]])</f>
        <v/>
      </c>
      <c r="M239">
        <f t="array" ref="M239">IsURL(Table_121215[[#This Row],[Data Source]])</f>
        <v/>
      </c>
      <c r="N239">
        <f t="array" ref="N239">IsURL(Table_121215[[#This Row],[Data Source]])</f>
        <v/>
      </c>
    </row>
    <row r="240" ht="15.75" customHeight="1">
      <c r="A240">
        <f>IF(Table_1211[[#This Row],[Complex Name]]=0,"",Table_1211[[#This Row],[Complex Name]])</f>
        <v/>
      </c>
      <c r="I240" s="21" t="n"/>
      <c r="J240" s="21">
        <f>IF($B240="","FALSE","TRUE")</f>
        <v/>
      </c>
      <c r="K240">
        <f t="array" ref="K240">IsURL(Table_121215[[#This Row],[Data Source]])</f>
        <v/>
      </c>
      <c r="L240">
        <f t="array" ref="L240">IsURL(Table_121215[[#This Row],[DOI]])</f>
        <v/>
      </c>
      <c r="M240">
        <f t="array" ref="M240">IsURL(Table_121215[[#This Row],[Data Source]])</f>
        <v/>
      </c>
      <c r="N240">
        <f t="array" ref="N240">IsURL(Table_121215[[#This Row],[Data Source]])</f>
        <v/>
      </c>
    </row>
    <row r="241" ht="15.75" customHeight="1">
      <c r="A241">
        <f>IF(Table_1211[[#This Row],[Complex Name]]=0,"",Table_1211[[#This Row],[Complex Name]])</f>
        <v/>
      </c>
      <c r="I241" s="21" t="n"/>
      <c r="J241" s="21">
        <f>IF($B241="","FALSE","TRUE")</f>
        <v/>
      </c>
      <c r="K241">
        <f t="array" ref="K241">IsURL(Table_121215[[#This Row],[Data Source]])</f>
        <v/>
      </c>
      <c r="L241">
        <f t="array" ref="L241">IsURL(Table_121215[[#This Row],[DOI]])</f>
        <v/>
      </c>
      <c r="M241">
        <f t="array" ref="M241">IsURL(Table_121215[[#This Row],[Data Source]])</f>
        <v/>
      </c>
      <c r="N241">
        <f t="array" ref="N241">IsURL(Table_121215[[#This Row],[Data Source]])</f>
        <v/>
      </c>
    </row>
    <row r="242" ht="15.75" customHeight="1">
      <c r="A242">
        <f>IF(Table_1211[[#This Row],[Complex Name]]=0,"",Table_1211[[#This Row],[Complex Name]])</f>
        <v/>
      </c>
      <c r="I242" s="21" t="n"/>
      <c r="J242" s="21">
        <f>IF($B242="","FALSE","TRUE")</f>
        <v/>
      </c>
      <c r="K242">
        <f t="array" ref="K242">IsURL(Table_121215[[#This Row],[Data Source]])</f>
        <v/>
      </c>
      <c r="L242">
        <f t="array" ref="L242">IsURL(Table_121215[[#This Row],[DOI]])</f>
        <v/>
      </c>
      <c r="M242">
        <f t="array" ref="M242">IsURL(Table_121215[[#This Row],[Data Source]])</f>
        <v/>
      </c>
      <c r="N242">
        <f t="array" ref="N242">IsURL(Table_121215[[#This Row],[Data Source]])</f>
        <v/>
      </c>
    </row>
    <row r="243" ht="15.75" customHeight="1">
      <c r="A243">
        <f>IF(Table_1211[[#This Row],[Complex Name]]=0,"",Table_1211[[#This Row],[Complex Name]])</f>
        <v/>
      </c>
      <c r="I243" s="21" t="n"/>
      <c r="J243" s="21">
        <f>IF($B243="","FALSE","TRUE")</f>
        <v/>
      </c>
      <c r="K243">
        <f t="array" ref="K243">IsURL(Table_121215[[#This Row],[Data Source]])</f>
        <v/>
      </c>
      <c r="L243">
        <f t="array" ref="L243">IsURL(Table_121215[[#This Row],[DOI]])</f>
        <v/>
      </c>
      <c r="M243">
        <f t="array" ref="M243">IsURL(Table_121215[[#This Row],[Data Source]])</f>
        <v/>
      </c>
      <c r="N243">
        <f t="array" ref="N243">IsURL(Table_121215[[#This Row],[Data Source]])</f>
        <v/>
      </c>
    </row>
    <row r="244" ht="15.75" customHeight="1">
      <c r="A244">
        <f>IF(Table_1211[[#This Row],[Complex Name]]=0,"",Table_1211[[#This Row],[Complex Name]])</f>
        <v/>
      </c>
      <c r="I244" s="21" t="n"/>
      <c r="J244" s="21">
        <f>IF($B244="","FALSE","TRUE")</f>
        <v/>
      </c>
      <c r="K244">
        <f t="array" ref="K244">IsURL(Table_121215[[#This Row],[Data Source]])</f>
        <v/>
      </c>
      <c r="L244">
        <f t="array" ref="L244">IsURL(Table_121215[[#This Row],[DOI]])</f>
        <v/>
      </c>
      <c r="M244">
        <f t="array" ref="M244">IsURL(Table_121215[[#This Row],[Data Source]])</f>
        <v/>
      </c>
      <c r="N244">
        <f t="array" ref="N244">IsURL(Table_121215[[#This Row],[Data Source]])</f>
        <v/>
      </c>
    </row>
    <row r="245" ht="15.75" customHeight="1">
      <c r="A245">
        <f>IF(Table_1211[[#This Row],[Complex Name]]=0,"",Table_1211[[#This Row],[Complex Name]])</f>
        <v/>
      </c>
      <c r="I245" s="21" t="n"/>
      <c r="J245" s="21">
        <f>IF($B245="","FALSE","TRUE")</f>
        <v/>
      </c>
      <c r="K245">
        <f t="array" ref="K245">IsURL(Table_121215[[#This Row],[Data Source]])</f>
        <v/>
      </c>
      <c r="L245">
        <f t="array" ref="L245">IsURL(Table_121215[[#This Row],[DOI]])</f>
        <v/>
      </c>
      <c r="M245">
        <f t="array" ref="M245">IsURL(Table_121215[[#This Row],[Data Source]])</f>
        <v/>
      </c>
      <c r="N245">
        <f t="array" ref="N245">IsURL(Table_121215[[#This Row],[Data Source]])</f>
        <v/>
      </c>
    </row>
    <row r="246" ht="15.75" customHeight="1">
      <c r="A246">
        <f>IF(Table_1211[[#This Row],[Complex Name]]=0,"",Table_1211[[#This Row],[Complex Name]])</f>
        <v/>
      </c>
      <c r="I246" s="21" t="n"/>
      <c r="J246" s="21">
        <f>IF($B246="","FALSE","TRUE")</f>
        <v/>
      </c>
      <c r="K246">
        <f t="array" ref="K246">IsURL(Table_121215[[#This Row],[Data Source]])</f>
        <v/>
      </c>
      <c r="L246">
        <f t="array" ref="L246">IsURL(Table_121215[[#This Row],[DOI]])</f>
        <v/>
      </c>
      <c r="M246">
        <f t="array" ref="M246">IsURL(Table_121215[[#This Row],[Data Source]])</f>
        <v/>
      </c>
      <c r="N246">
        <f t="array" ref="N246">IsURL(Table_121215[[#This Row],[Data Source]])</f>
        <v/>
      </c>
    </row>
    <row r="247" ht="15.75" customHeight="1">
      <c r="A247">
        <f>IF(Table_1211[[#This Row],[Complex Name]]=0,"",Table_1211[[#This Row],[Complex Name]])</f>
        <v/>
      </c>
      <c r="I247" s="21" t="n"/>
      <c r="J247" s="21">
        <f>IF($B247="","FALSE","TRUE")</f>
        <v/>
      </c>
      <c r="K247">
        <f t="array" ref="K247">IsURL(Table_121215[[#This Row],[Data Source]])</f>
        <v/>
      </c>
      <c r="L247">
        <f t="array" ref="L247">IsURL(Table_121215[[#This Row],[DOI]])</f>
        <v/>
      </c>
      <c r="M247">
        <f t="array" ref="M247">IsURL(Table_121215[[#This Row],[Data Source]])</f>
        <v/>
      </c>
      <c r="N247">
        <f t="array" ref="N247">IsURL(Table_121215[[#This Row],[Data Source]])</f>
        <v/>
      </c>
    </row>
    <row r="248" ht="15.75" customHeight="1">
      <c r="A248">
        <f>IF(Table_1211[[#This Row],[Complex Name]]=0,"",Table_1211[[#This Row],[Complex Name]])</f>
        <v/>
      </c>
      <c r="I248" s="21" t="n"/>
      <c r="J248" s="21">
        <f>IF($B248="","FALSE","TRUE")</f>
        <v/>
      </c>
      <c r="K248">
        <f t="array" ref="K248">IsURL(Table_121215[[#This Row],[Data Source]])</f>
        <v/>
      </c>
      <c r="L248">
        <f t="array" ref="L248">IsURL(Table_121215[[#This Row],[DOI]])</f>
        <v/>
      </c>
      <c r="M248">
        <f t="array" ref="M248">IsURL(Table_121215[[#This Row],[Data Source]])</f>
        <v/>
      </c>
      <c r="N248">
        <f t="array" ref="N248">IsURL(Table_121215[[#This Row],[Data Source]])</f>
        <v/>
      </c>
    </row>
    <row r="249" ht="15.75" customHeight="1">
      <c r="A249">
        <f>IF(Table_1211[[#This Row],[Complex Name]]=0,"",Table_1211[[#This Row],[Complex Name]])</f>
        <v/>
      </c>
      <c r="I249" s="21" t="n"/>
      <c r="J249" s="21">
        <f>IF($B249="","FALSE","TRUE")</f>
        <v/>
      </c>
      <c r="K249">
        <f t="array" ref="K249">IsURL(Table_121215[[#This Row],[Data Source]])</f>
        <v/>
      </c>
      <c r="L249">
        <f t="array" ref="L249">IsURL(Table_121215[[#This Row],[DOI]])</f>
        <v/>
      </c>
      <c r="M249">
        <f t="array" ref="M249">IsURL(Table_121215[[#This Row],[Data Source]])</f>
        <v/>
      </c>
      <c r="N249">
        <f t="array" ref="N249">IsURL(Table_121215[[#This Row],[Data Source]])</f>
        <v/>
      </c>
    </row>
    <row r="250" ht="15.75" customHeight="1">
      <c r="A250">
        <f>IF(Table_1211[[#This Row],[Complex Name]]=0,"",Table_1211[[#This Row],[Complex Name]])</f>
        <v/>
      </c>
      <c r="I250" s="21" t="n"/>
      <c r="J250" s="21">
        <f>IF($B250="","FALSE","TRUE")</f>
        <v/>
      </c>
      <c r="K250">
        <f t="array" ref="K250">IsURL(Table_121215[[#This Row],[Data Source]])</f>
        <v/>
      </c>
      <c r="L250">
        <f t="array" ref="L250">IsURL(Table_121215[[#This Row],[DOI]])</f>
        <v/>
      </c>
      <c r="M250">
        <f t="array" ref="M250">IsURL(Table_121215[[#This Row],[Data Source]])</f>
        <v/>
      </c>
      <c r="N250">
        <f t="array" ref="N250">IsURL(Table_121215[[#This Row],[Data Source]])</f>
        <v/>
      </c>
    </row>
    <row r="251" ht="15.75" customHeight="1">
      <c r="A251">
        <f>IF(Table_1211[[#This Row],[Complex Name]]=0,"",Table_1211[[#This Row],[Complex Name]])</f>
        <v/>
      </c>
      <c r="I251" s="21" t="n"/>
      <c r="J251" s="21">
        <f>IF($B251="","FALSE","TRUE")</f>
        <v/>
      </c>
      <c r="K251">
        <f t="array" ref="K251">IsURL(Table_121215[[#This Row],[Data Source]])</f>
        <v/>
      </c>
      <c r="L251">
        <f t="array" ref="L251">IsURL(Table_121215[[#This Row],[DOI]])</f>
        <v/>
      </c>
      <c r="M251">
        <f t="array" ref="M251">IsURL(Table_121215[[#This Row],[Data Source]])</f>
        <v/>
      </c>
      <c r="N251">
        <f t="array" ref="N251">IsURL(Table_121215[[#This Row],[Data Source]])</f>
        <v/>
      </c>
    </row>
    <row r="252" ht="15.75" customHeight="1">
      <c r="A252">
        <f>IF(Table_1211[[#This Row],[Complex Name]]=0,"",Table_1211[[#This Row],[Complex Name]])</f>
        <v/>
      </c>
      <c r="I252" s="21" t="n"/>
      <c r="J252" s="21">
        <f>IF($B252="","FALSE","TRUE")</f>
        <v/>
      </c>
      <c r="K252">
        <f t="array" ref="K252">IsURL(Table_121215[[#This Row],[Data Source]])</f>
        <v/>
      </c>
      <c r="L252">
        <f t="array" ref="L252">IsURL(Table_121215[[#This Row],[DOI]])</f>
        <v/>
      </c>
      <c r="M252">
        <f t="array" ref="M252">IsURL(Table_121215[[#This Row],[Data Source]])</f>
        <v/>
      </c>
      <c r="N252">
        <f t="array" ref="N252">IsURL(Table_121215[[#This Row],[Data Source]])</f>
        <v/>
      </c>
    </row>
    <row r="253" ht="15.75" customHeight="1">
      <c r="A253">
        <f>IF(Table_1211[[#This Row],[Complex Name]]=0,"",Table_1211[[#This Row],[Complex Name]])</f>
        <v/>
      </c>
      <c r="I253" s="21" t="n"/>
      <c r="J253" s="21">
        <f>IF($B253="","FALSE","TRUE")</f>
        <v/>
      </c>
      <c r="K253">
        <f t="array" ref="K253">IsURL(Table_121215[[#This Row],[Data Source]])</f>
        <v/>
      </c>
      <c r="L253">
        <f t="array" ref="L253">IsURL(Table_121215[[#This Row],[DOI]])</f>
        <v/>
      </c>
      <c r="M253">
        <f t="array" ref="M253">IsURL(Table_121215[[#This Row],[Data Source]])</f>
        <v/>
      </c>
      <c r="N253">
        <f t="array" ref="N253">IsURL(Table_121215[[#This Row],[Data Source]])</f>
        <v/>
      </c>
    </row>
    <row r="254" ht="15.75" customHeight="1">
      <c r="A254">
        <f>IF(Table_1211[[#This Row],[Complex Name]]=0,"",Table_1211[[#This Row],[Complex Name]])</f>
        <v/>
      </c>
      <c r="I254" s="21" t="n"/>
      <c r="J254" s="21">
        <f>IF($B254="","FALSE","TRUE")</f>
        <v/>
      </c>
      <c r="K254">
        <f t="array" ref="K254">IsURL(Table_121215[[#This Row],[Data Source]])</f>
        <v/>
      </c>
      <c r="L254">
        <f t="array" ref="L254">IsURL(Table_121215[[#This Row],[DOI]])</f>
        <v/>
      </c>
      <c r="M254">
        <f t="array" ref="M254">IsURL(Table_121215[[#This Row],[Data Source]])</f>
        <v/>
      </c>
      <c r="N254">
        <f t="array" ref="N254">IsURL(Table_121215[[#This Row],[Data Source]])</f>
        <v/>
      </c>
    </row>
    <row r="255" ht="15.75" customHeight="1">
      <c r="A255">
        <f>IF(Table_1211[[#This Row],[Complex Name]]=0,"",Table_1211[[#This Row],[Complex Name]])</f>
        <v/>
      </c>
      <c r="I255" s="21" t="n"/>
      <c r="J255" s="21">
        <f>IF($B255="","FALSE","TRUE")</f>
        <v/>
      </c>
      <c r="K255">
        <f t="array" ref="K255">IsURL(Table_121215[[#This Row],[Data Source]])</f>
        <v/>
      </c>
      <c r="L255">
        <f t="array" ref="L255">IsURL(Table_121215[[#This Row],[DOI]])</f>
        <v/>
      </c>
      <c r="M255">
        <f t="array" ref="M255">IsURL(Table_121215[[#This Row],[Data Source]])</f>
        <v/>
      </c>
      <c r="N255">
        <f t="array" ref="N255">IsURL(Table_121215[[#This Row],[Data Source]])</f>
        <v/>
      </c>
    </row>
    <row r="256" ht="15.75" customHeight="1">
      <c r="A256">
        <f>IF(Table_1211[[#This Row],[Complex Name]]=0,"",Table_1211[[#This Row],[Complex Name]])</f>
        <v/>
      </c>
      <c r="I256" s="21" t="n"/>
      <c r="J256" s="21">
        <f>IF($B256="","FALSE","TRUE")</f>
        <v/>
      </c>
      <c r="K256">
        <f t="array" ref="K256">IsURL(Table_121215[[#This Row],[Data Source]])</f>
        <v/>
      </c>
      <c r="L256">
        <f t="array" ref="L256">IsURL(Table_121215[[#This Row],[DOI]])</f>
        <v/>
      </c>
      <c r="M256">
        <f t="array" ref="M256">IsURL(Table_121215[[#This Row],[Data Source]])</f>
        <v/>
      </c>
      <c r="N256">
        <f t="array" ref="N256">IsURL(Table_121215[[#This Row],[Data Source]])</f>
        <v/>
      </c>
    </row>
    <row r="257" ht="15.75" customHeight="1">
      <c r="A257">
        <f>IF(Table_1211[[#This Row],[Complex Name]]=0,"",Table_1211[[#This Row],[Complex Name]])</f>
        <v/>
      </c>
      <c r="I257" s="21" t="n"/>
      <c r="J257" s="21">
        <f>IF($B257="","FALSE","TRUE")</f>
        <v/>
      </c>
      <c r="K257">
        <f t="array" ref="K257">IsURL(Table_121215[[#This Row],[Data Source]])</f>
        <v/>
      </c>
      <c r="L257">
        <f t="array" ref="L257">IsURL(Table_121215[[#This Row],[DOI]])</f>
        <v/>
      </c>
      <c r="M257">
        <f t="array" ref="M257">IsURL(Table_121215[[#This Row],[Data Source]])</f>
        <v/>
      </c>
      <c r="N257">
        <f t="array" ref="N257">IsURL(Table_121215[[#This Row],[Data Source]])</f>
        <v/>
      </c>
    </row>
    <row r="258" ht="15.75" customHeight="1">
      <c r="A258">
        <f>IF(Table_1211[[#This Row],[Complex Name]]=0,"",Table_1211[[#This Row],[Complex Name]])</f>
        <v/>
      </c>
      <c r="I258" s="21" t="n"/>
      <c r="J258" s="21">
        <f>IF($B258="","FALSE","TRUE")</f>
        <v/>
      </c>
      <c r="K258">
        <f t="array" ref="K258">IsURL(Table_121215[[#This Row],[Data Source]])</f>
        <v/>
      </c>
      <c r="L258">
        <f t="array" ref="L258">IsURL(Table_121215[[#This Row],[DOI]])</f>
        <v/>
      </c>
      <c r="M258">
        <f t="array" ref="M258">IsURL(Table_121215[[#This Row],[Data Source]])</f>
        <v/>
      </c>
      <c r="N258">
        <f t="array" ref="N258">IsURL(Table_121215[[#This Row],[Data Source]])</f>
        <v/>
      </c>
    </row>
    <row r="259" ht="15.75" customHeight="1">
      <c r="A259">
        <f>IF(Table_1211[[#This Row],[Complex Name]]=0,"",Table_1211[[#This Row],[Complex Name]])</f>
        <v/>
      </c>
      <c r="I259" s="21" t="n"/>
      <c r="J259" s="21">
        <f>IF($B259="","FALSE","TRUE")</f>
        <v/>
      </c>
      <c r="K259">
        <f t="array" ref="K259">IsURL(Table_121215[[#This Row],[Data Source]])</f>
        <v/>
      </c>
      <c r="L259">
        <f t="array" ref="L259">IsURL(Table_121215[[#This Row],[DOI]])</f>
        <v/>
      </c>
      <c r="M259">
        <f t="array" ref="M259">IsURL(Table_121215[[#This Row],[Data Source]])</f>
        <v/>
      </c>
      <c r="N259">
        <f t="array" ref="N259">IsURL(Table_121215[[#This Row],[Data Source]])</f>
        <v/>
      </c>
    </row>
    <row r="260" ht="15.75" customHeight="1">
      <c r="A260">
        <f>IF(Table_1211[[#This Row],[Complex Name]]=0,"",Table_1211[[#This Row],[Complex Name]])</f>
        <v/>
      </c>
      <c r="I260" s="21" t="n"/>
      <c r="J260" s="21">
        <f>IF($B260="","FALSE","TRUE")</f>
        <v/>
      </c>
      <c r="K260">
        <f t="array" ref="K260">IsURL(Table_121215[[#This Row],[Data Source]])</f>
        <v/>
      </c>
      <c r="L260">
        <f t="array" ref="L260">IsURL(Table_121215[[#This Row],[DOI]])</f>
        <v/>
      </c>
      <c r="M260">
        <f t="array" ref="M260">IsURL(Table_121215[[#This Row],[Data Source]])</f>
        <v/>
      </c>
      <c r="N260">
        <f t="array" ref="N260">IsURL(Table_121215[[#This Row],[Data Source]])</f>
        <v/>
      </c>
    </row>
    <row r="261" ht="15.75" customHeight="1">
      <c r="A261">
        <f>IF(Table_1211[[#This Row],[Complex Name]]=0,"",Table_1211[[#This Row],[Complex Name]])</f>
        <v/>
      </c>
      <c r="I261" s="21" t="n"/>
      <c r="J261" s="21">
        <f>IF($B261="","FALSE","TRUE")</f>
        <v/>
      </c>
      <c r="K261">
        <f t="array" ref="K261">IsURL(Table_121215[[#This Row],[Data Source]])</f>
        <v/>
      </c>
      <c r="L261">
        <f t="array" ref="L261">IsURL(Table_121215[[#This Row],[DOI]])</f>
        <v/>
      </c>
      <c r="M261">
        <f t="array" ref="M261">IsURL(Table_121215[[#This Row],[Data Source]])</f>
        <v/>
      </c>
      <c r="N261">
        <f t="array" ref="N261">IsURL(Table_121215[[#This Row],[Data Source]])</f>
        <v/>
      </c>
    </row>
    <row r="262" ht="15.75" customHeight="1">
      <c r="A262">
        <f>IF(Table_1211[[#This Row],[Complex Name]]=0,"",Table_1211[[#This Row],[Complex Name]])</f>
        <v/>
      </c>
      <c r="I262" s="21" t="n"/>
      <c r="J262" s="21">
        <f>IF($B262="","FALSE","TRUE")</f>
        <v/>
      </c>
      <c r="K262">
        <f t="array" ref="K262">IsURL(Table_121215[[#This Row],[Data Source]])</f>
        <v/>
      </c>
      <c r="L262">
        <f t="array" ref="L262">IsURL(Table_121215[[#This Row],[DOI]])</f>
        <v/>
      </c>
      <c r="M262">
        <f t="array" ref="M262">IsURL(Table_121215[[#This Row],[Data Source]])</f>
        <v/>
      </c>
      <c r="N262">
        <f t="array" ref="N262">IsURL(Table_121215[[#This Row],[Data Source]])</f>
        <v/>
      </c>
    </row>
    <row r="263" ht="15.75" customHeight="1">
      <c r="A263">
        <f>IF(Table_1211[[#This Row],[Complex Name]]=0,"",Table_1211[[#This Row],[Complex Name]])</f>
        <v/>
      </c>
      <c r="I263" s="21" t="n"/>
      <c r="J263" s="21">
        <f>IF($B263="","FALSE","TRUE")</f>
        <v/>
      </c>
      <c r="K263">
        <f t="array" ref="K263">IsURL(Table_121215[[#This Row],[Data Source]])</f>
        <v/>
      </c>
      <c r="L263">
        <f t="array" ref="L263">IsURL(Table_121215[[#This Row],[DOI]])</f>
        <v/>
      </c>
      <c r="M263">
        <f t="array" ref="M263">IsURL(Table_121215[[#This Row],[Data Source]])</f>
        <v/>
      </c>
      <c r="N263">
        <f t="array" ref="N263">IsURL(Table_121215[[#This Row],[Data Source]])</f>
        <v/>
      </c>
    </row>
    <row r="264" ht="15.75" customHeight="1">
      <c r="A264">
        <f>IF(Table_1211[[#This Row],[Complex Name]]=0,"",Table_1211[[#This Row],[Complex Name]])</f>
        <v/>
      </c>
      <c r="I264" s="21" t="n"/>
      <c r="J264" s="21">
        <f>IF($B264="","FALSE","TRUE")</f>
        <v/>
      </c>
      <c r="K264">
        <f t="array" ref="K264">IsURL(Table_121215[[#This Row],[Data Source]])</f>
        <v/>
      </c>
      <c r="L264">
        <f t="array" ref="L264">IsURL(Table_121215[[#This Row],[DOI]])</f>
        <v/>
      </c>
      <c r="M264">
        <f t="array" ref="M264">IsURL(Table_121215[[#This Row],[Data Source]])</f>
        <v/>
      </c>
      <c r="N264">
        <f t="array" ref="N264">IsURL(Table_121215[[#This Row],[Data Source]])</f>
        <v/>
      </c>
    </row>
    <row r="265" ht="15.75" customHeight="1">
      <c r="A265">
        <f>IF(Table_1211[[#This Row],[Complex Name]]=0,"",Table_1211[[#This Row],[Complex Name]])</f>
        <v/>
      </c>
      <c r="I265" s="21" t="n"/>
      <c r="J265" s="21">
        <f>IF($B265="","FALSE","TRUE")</f>
        <v/>
      </c>
      <c r="K265">
        <f t="array" ref="K265">IsURL(Table_121215[[#This Row],[Data Source]])</f>
        <v/>
      </c>
      <c r="L265">
        <f t="array" ref="L265">IsURL(Table_121215[[#This Row],[DOI]])</f>
        <v/>
      </c>
      <c r="M265">
        <f t="array" ref="M265">IsURL(Table_121215[[#This Row],[Data Source]])</f>
        <v/>
      </c>
      <c r="N265">
        <f t="array" ref="N265">IsURL(Table_121215[[#This Row],[Data Source]])</f>
        <v/>
      </c>
    </row>
    <row r="266" ht="15.75" customHeight="1">
      <c r="A266">
        <f>IF(Table_1211[[#This Row],[Complex Name]]=0,"",Table_1211[[#This Row],[Complex Name]])</f>
        <v/>
      </c>
      <c r="I266" s="21" t="n"/>
      <c r="J266" s="21">
        <f>IF($B266="","FALSE","TRUE")</f>
        <v/>
      </c>
      <c r="K266">
        <f t="array" ref="K266">IsURL(Table_121215[[#This Row],[Data Source]])</f>
        <v/>
      </c>
      <c r="L266">
        <f t="array" ref="L266">IsURL(Table_121215[[#This Row],[DOI]])</f>
        <v/>
      </c>
      <c r="M266">
        <f t="array" ref="M266">IsURL(Table_121215[[#This Row],[Data Source]])</f>
        <v/>
      </c>
      <c r="N266">
        <f t="array" ref="N266">IsURL(Table_121215[[#This Row],[Data Source]])</f>
        <v/>
      </c>
    </row>
    <row r="267" ht="15.75" customHeight="1">
      <c r="A267">
        <f>IF(Table_1211[[#This Row],[Complex Name]]=0,"",Table_1211[[#This Row],[Complex Name]])</f>
        <v/>
      </c>
      <c r="I267" s="21" t="n"/>
      <c r="J267" s="21">
        <f>IF($B267="","FALSE","TRUE")</f>
        <v/>
      </c>
      <c r="K267">
        <f t="array" ref="K267">IsURL(Table_121215[[#This Row],[Data Source]])</f>
        <v/>
      </c>
      <c r="L267">
        <f t="array" ref="L267">IsURL(Table_121215[[#This Row],[DOI]])</f>
        <v/>
      </c>
      <c r="M267">
        <f t="array" ref="M267">IsURL(Table_121215[[#This Row],[Data Source]])</f>
        <v/>
      </c>
      <c r="N267">
        <f t="array" ref="N267">IsURL(Table_121215[[#This Row],[Data Source]])</f>
        <v/>
      </c>
    </row>
    <row r="268" ht="15.75" customHeight="1">
      <c r="A268">
        <f>IF(Table_1211[[#This Row],[Complex Name]]=0,"",Table_1211[[#This Row],[Complex Name]])</f>
        <v/>
      </c>
      <c r="I268" s="21" t="n"/>
      <c r="J268" s="21">
        <f>IF($B268="","FALSE","TRUE")</f>
        <v/>
      </c>
      <c r="K268">
        <f t="array" ref="K268">IsURL(Table_121215[[#This Row],[Data Source]])</f>
        <v/>
      </c>
      <c r="L268">
        <f t="array" ref="L268">IsURL(Table_121215[[#This Row],[DOI]])</f>
        <v/>
      </c>
      <c r="M268">
        <f t="array" ref="M268">IsURL(Table_121215[[#This Row],[Data Source]])</f>
        <v/>
      </c>
      <c r="N268">
        <f t="array" ref="N268">IsURL(Table_121215[[#This Row],[Data Source]])</f>
        <v/>
      </c>
    </row>
    <row r="269" ht="15.75" customHeight="1">
      <c r="A269">
        <f>IF(Table_1211[[#This Row],[Complex Name]]=0,"",Table_1211[[#This Row],[Complex Name]])</f>
        <v/>
      </c>
      <c r="I269" s="21" t="n"/>
      <c r="J269" s="21">
        <f>IF($B269="","FALSE","TRUE")</f>
        <v/>
      </c>
      <c r="K269">
        <f t="array" ref="K269">IsURL(Table_121215[[#This Row],[Data Source]])</f>
        <v/>
      </c>
      <c r="L269">
        <f t="array" ref="L269">IsURL(Table_121215[[#This Row],[DOI]])</f>
        <v/>
      </c>
      <c r="M269">
        <f t="array" ref="M269">IsURL(Table_121215[[#This Row],[Data Source]])</f>
        <v/>
      </c>
      <c r="N269">
        <f t="array" ref="N269">IsURL(Table_121215[[#This Row],[Data Source]])</f>
        <v/>
      </c>
    </row>
    <row r="270" ht="15.75" customHeight="1">
      <c r="A270">
        <f>IF(Table_1211[[#This Row],[Complex Name]]=0,"",Table_1211[[#This Row],[Complex Name]])</f>
        <v/>
      </c>
      <c r="I270" s="21" t="n"/>
      <c r="J270" s="21">
        <f>IF($B270="","FALSE","TRUE")</f>
        <v/>
      </c>
      <c r="K270">
        <f t="array" ref="K270">IsURL(Table_121215[[#This Row],[Data Source]])</f>
        <v/>
      </c>
      <c r="L270">
        <f t="array" ref="L270">IsURL(Table_121215[[#This Row],[DOI]])</f>
        <v/>
      </c>
      <c r="M270">
        <f t="array" ref="M270">IsURL(Table_121215[[#This Row],[Data Source]])</f>
        <v/>
      </c>
      <c r="N270">
        <f t="array" ref="N270">IsURL(Table_121215[[#This Row],[Data Source]])</f>
        <v/>
      </c>
    </row>
    <row r="271" ht="15.75" customHeight="1">
      <c r="A271">
        <f>IF(Table_1211[[#This Row],[Complex Name]]=0,"",Table_1211[[#This Row],[Complex Name]])</f>
        <v/>
      </c>
      <c r="I271" s="21" t="n"/>
      <c r="J271" s="21">
        <f>IF($B271="","FALSE","TRUE")</f>
        <v/>
      </c>
      <c r="K271">
        <f t="array" ref="K271">IsURL(Table_121215[[#This Row],[Data Source]])</f>
        <v/>
      </c>
      <c r="L271">
        <f t="array" ref="L271">IsURL(Table_121215[[#This Row],[DOI]])</f>
        <v/>
      </c>
      <c r="M271">
        <f t="array" ref="M271">IsURL(Table_121215[[#This Row],[Data Source]])</f>
        <v/>
      </c>
      <c r="N271">
        <f t="array" ref="N271">IsURL(Table_121215[[#This Row],[Data Source]])</f>
        <v/>
      </c>
    </row>
    <row r="272" ht="15.75" customHeight="1">
      <c r="A272">
        <f>IF(Table_1211[[#This Row],[Complex Name]]=0,"",Table_1211[[#This Row],[Complex Name]])</f>
        <v/>
      </c>
      <c r="I272" s="21" t="n"/>
      <c r="J272" s="21">
        <f>IF($B272="","FALSE","TRUE")</f>
        <v/>
      </c>
      <c r="K272">
        <f t="array" ref="K272">IsURL(Table_121215[[#This Row],[Data Source]])</f>
        <v/>
      </c>
      <c r="L272">
        <f t="array" ref="L272">IsURL(Table_121215[[#This Row],[DOI]])</f>
        <v/>
      </c>
      <c r="M272">
        <f t="array" ref="M272">IsURL(Table_121215[[#This Row],[Data Source]])</f>
        <v/>
      </c>
      <c r="N272">
        <f t="array" ref="N272">IsURL(Table_121215[[#This Row],[Data Source]])</f>
        <v/>
      </c>
    </row>
    <row r="273" ht="15.75" customHeight="1">
      <c r="A273">
        <f>IF(Table_1211[[#This Row],[Complex Name]]=0,"",Table_1211[[#This Row],[Complex Name]])</f>
        <v/>
      </c>
      <c r="I273" s="21" t="n"/>
      <c r="J273" s="21">
        <f>IF($B273="","FALSE","TRUE")</f>
        <v/>
      </c>
      <c r="K273">
        <f t="array" ref="K273">IsURL(Table_121215[[#This Row],[Data Source]])</f>
        <v/>
      </c>
      <c r="L273">
        <f t="array" ref="L273">IsURL(Table_121215[[#This Row],[DOI]])</f>
        <v/>
      </c>
      <c r="M273">
        <f t="array" ref="M273">IsURL(Table_121215[[#This Row],[Data Source]])</f>
        <v/>
      </c>
      <c r="N273">
        <f t="array" ref="N273">IsURL(Table_121215[[#This Row],[Data Source]])</f>
        <v/>
      </c>
    </row>
    <row r="274" ht="15.75" customHeight="1">
      <c r="A274">
        <f>IF(Table_1211[[#This Row],[Complex Name]]=0,"",Table_1211[[#This Row],[Complex Name]])</f>
        <v/>
      </c>
      <c r="I274" s="21" t="n"/>
      <c r="J274" s="21">
        <f>IF($B274="","FALSE","TRUE")</f>
        <v/>
      </c>
      <c r="K274">
        <f t="array" ref="K274">IsURL(Table_121215[[#This Row],[Data Source]])</f>
        <v/>
      </c>
      <c r="L274">
        <f t="array" ref="L274">IsURL(Table_121215[[#This Row],[DOI]])</f>
        <v/>
      </c>
      <c r="M274">
        <f t="array" ref="M274">IsURL(Table_121215[[#This Row],[Data Source]])</f>
        <v/>
      </c>
      <c r="N274">
        <f t="array" ref="N274">IsURL(Table_121215[[#This Row],[Data Source]])</f>
        <v/>
      </c>
    </row>
    <row r="275" ht="15.75" customHeight="1">
      <c r="A275">
        <f>IF(Table_1211[[#This Row],[Complex Name]]=0,"",Table_1211[[#This Row],[Complex Name]])</f>
        <v/>
      </c>
      <c r="I275" s="21" t="n"/>
      <c r="J275" s="21">
        <f>IF($B275="","FALSE","TRUE")</f>
        <v/>
      </c>
      <c r="K275">
        <f t="array" ref="K275">IsURL(Table_121215[[#This Row],[Data Source]])</f>
        <v/>
      </c>
      <c r="L275">
        <f t="array" ref="L275">IsURL(Table_121215[[#This Row],[DOI]])</f>
        <v/>
      </c>
      <c r="M275">
        <f t="array" ref="M275">IsURL(Table_121215[[#This Row],[Data Source]])</f>
        <v/>
      </c>
      <c r="N275">
        <f t="array" ref="N275">IsURL(Table_121215[[#This Row],[Data Source]])</f>
        <v/>
      </c>
    </row>
    <row r="276" ht="15.75" customHeight="1">
      <c r="A276">
        <f>IF(Table_1211[[#This Row],[Complex Name]]=0,"",Table_1211[[#This Row],[Complex Name]])</f>
        <v/>
      </c>
      <c r="I276" s="21" t="n"/>
      <c r="J276" s="21">
        <f>IF($B276="","FALSE","TRUE")</f>
        <v/>
      </c>
      <c r="K276">
        <f t="array" ref="K276">IsURL(Table_121215[[#This Row],[Data Source]])</f>
        <v/>
      </c>
      <c r="L276">
        <f t="array" ref="L276">IsURL(Table_121215[[#This Row],[DOI]])</f>
        <v/>
      </c>
      <c r="M276">
        <f t="array" ref="M276">IsURL(Table_121215[[#This Row],[Data Source]])</f>
        <v/>
      </c>
      <c r="N276">
        <f t="array" ref="N276">IsURL(Table_121215[[#This Row],[Data Source]])</f>
        <v/>
      </c>
    </row>
    <row r="277" ht="15.75" customHeight="1">
      <c r="A277">
        <f>IF(Table_1211[[#This Row],[Complex Name]]=0,"",Table_1211[[#This Row],[Complex Name]])</f>
        <v/>
      </c>
      <c r="I277" s="21" t="n"/>
      <c r="J277" s="21">
        <f>IF($B277="","FALSE","TRUE")</f>
        <v/>
      </c>
      <c r="K277">
        <f t="array" ref="K277">IsURL(Table_121215[[#This Row],[Data Source]])</f>
        <v/>
      </c>
      <c r="L277">
        <f t="array" ref="L277">IsURL(Table_121215[[#This Row],[DOI]])</f>
        <v/>
      </c>
      <c r="M277">
        <f t="array" ref="M277">IsURL(Table_121215[[#This Row],[Data Source]])</f>
        <v/>
      </c>
      <c r="N277">
        <f t="array" ref="N277">IsURL(Table_121215[[#This Row],[Data Source]])</f>
        <v/>
      </c>
    </row>
    <row r="278" ht="15.75" customHeight="1">
      <c r="A278">
        <f>IF(Table_1211[[#This Row],[Complex Name]]=0,"",Table_1211[[#This Row],[Complex Name]])</f>
        <v/>
      </c>
      <c r="I278" s="21" t="n"/>
      <c r="J278" s="21">
        <f>IF($B278="","FALSE","TRUE")</f>
        <v/>
      </c>
      <c r="K278">
        <f t="array" ref="K278">IsURL(Table_121215[[#This Row],[Data Source]])</f>
        <v/>
      </c>
      <c r="L278">
        <f t="array" ref="L278">IsURL(Table_121215[[#This Row],[DOI]])</f>
        <v/>
      </c>
      <c r="M278">
        <f t="array" ref="M278">IsURL(Table_121215[[#This Row],[Data Source]])</f>
        <v/>
      </c>
      <c r="N278">
        <f t="array" ref="N278">IsURL(Table_121215[[#This Row],[Data Source]])</f>
        <v/>
      </c>
    </row>
    <row r="279" ht="15.75" customHeight="1">
      <c r="A279">
        <f>IF(Table_1211[[#This Row],[Complex Name]]=0,"",Table_1211[[#This Row],[Complex Name]])</f>
        <v/>
      </c>
      <c r="I279" s="21" t="n"/>
      <c r="J279" s="21">
        <f>IF($B279="","FALSE","TRUE")</f>
        <v/>
      </c>
      <c r="K279">
        <f t="array" ref="K279">IsURL(Table_121215[[#This Row],[Data Source]])</f>
        <v/>
      </c>
      <c r="L279">
        <f t="array" ref="L279">IsURL(Table_121215[[#This Row],[DOI]])</f>
        <v/>
      </c>
      <c r="M279">
        <f t="array" ref="M279">IsURL(Table_121215[[#This Row],[Data Source]])</f>
        <v/>
      </c>
      <c r="N279">
        <f t="array" ref="N279">IsURL(Table_121215[[#This Row],[Data Source]])</f>
        <v/>
      </c>
    </row>
    <row r="280" ht="15.75" customHeight="1">
      <c r="A280">
        <f>IF(Table_1211[[#This Row],[Complex Name]]=0,"",Table_1211[[#This Row],[Complex Name]])</f>
        <v/>
      </c>
      <c r="I280" s="21" t="n"/>
      <c r="J280" s="21">
        <f>IF($B280="","FALSE","TRUE")</f>
        <v/>
      </c>
      <c r="K280">
        <f t="array" ref="K280">IsURL(Table_121215[[#This Row],[Data Source]])</f>
        <v/>
      </c>
      <c r="L280">
        <f t="array" ref="L280">IsURL(Table_121215[[#This Row],[DOI]])</f>
        <v/>
      </c>
      <c r="M280">
        <f t="array" ref="M280">IsURL(Table_121215[[#This Row],[Data Source]])</f>
        <v/>
      </c>
      <c r="N280">
        <f t="array" ref="N280">IsURL(Table_121215[[#This Row],[Data Source]])</f>
        <v/>
      </c>
    </row>
    <row r="281" ht="15.75" customHeight="1">
      <c r="A281">
        <f>IF(Table_1211[[#This Row],[Complex Name]]=0,"",Table_1211[[#This Row],[Complex Name]])</f>
        <v/>
      </c>
      <c r="I281" s="21" t="n"/>
      <c r="J281" s="21">
        <f>IF($B281="","FALSE","TRUE")</f>
        <v/>
      </c>
      <c r="K281">
        <f t="array" ref="K281">IsURL(Table_121215[[#This Row],[Data Source]])</f>
        <v/>
      </c>
      <c r="L281">
        <f t="array" ref="L281">IsURL(Table_121215[[#This Row],[DOI]])</f>
        <v/>
      </c>
      <c r="M281">
        <f t="array" ref="M281">IsURL(Table_121215[[#This Row],[Data Source]])</f>
        <v/>
      </c>
      <c r="N281">
        <f t="array" ref="N281">IsURL(Table_121215[[#This Row],[Data Source]])</f>
        <v/>
      </c>
    </row>
    <row r="282" ht="15.75" customHeight="1">
      <c r="A282">
        <f>IF(Table_1211[[#This Row],[Complex Name]]=0,"",Table_1211[[#This Row],[Complex Name]])</f>
        <v/>
      </c>
      <c r="I282" s="21" t="n"/>
      <c r="J282" s="21">
        <f>IF($B282="","FALSE","TRUE")</f>
        <v/>
      </c>
      <c r="K282">
        <f t="array" ref="K282">IsURL(Table_121215[[#This Row],[Data Source]])</f>
        <v/>
      </c>
      <c r="L282">
        <f t="array" ref="L282">IsURL(Table_121215[[#This Row],[DOI]])</f>
        <v/>
      </c>
      <c r="M282">
        <f t="array" ref="M282">IsURL(Table_121215[[#This Row],[Data Source]])</f>
        <v/>
      </c>
      <c r="N282">
        <f t="array" ref="N282">IsURL(Table_121215[[#This Row],[Data Source]])</f>
        <v/>
      </c>
    </row>
    <row r="283" ht="15.75" customHeight="1">
      <c r="A283">
        <f>IF(Table_1211[[#This Row],[Complex Name]]=0,"",Table_1211[[#This Row],[Complex Name]])</f>
        <v/>
      </c>
      <c r="I283" s="21" t="n"/>
      <c r="J283" s="21">
        <f>IF($B283="","FALSE","TRUE")</f>
        <v/>
      </c>
      <c r="K283">
        <f t="array" ref="K283">IsURL(Table_121215[[#This Row],[Data Source]])</f>
        <v/>
      </c>
      <c r="L283">
        <f t="array" ref="L283">IsURL(Table_121215[[#This Row],[DOI]])</f>
        <v/>
      </c>
      <c r="M283">
        <f t="array" ref="M283">IsURL(Table_121215[[#This Row],[Data Source]])</f>
        <v/>
      </c>
      <c r="N283">
        <f t="array" ref="N283">IsURL(Table_121215[[#This Row],[Data Source]])</f>
        <v/>
      </c>
    </row>
    <row r="284" ht="15.75" customHeight="1">
      <c r="A284">
        <f>IF(Table_1211[[#This Row],[Complex Name]]=0,"",Table_1211[[#This Row],[Complex Name]])</f>
        <v/>
      </c>
      <c r="I284" s="21" t="n"/>
      <c r="J284" s="21">
        <f>IF($B284="","FALSE","TRUE")</f>
        <v/>
      </c>
      <c r="K284">
        <f t="array" ref="K284">IsURL(Table_121215[[#This Row],[Data Source]])</f>
        <v/>
      </c>
      <c r="L284">
        <f t="array" ref="L284">IsURL(Table_121215[[#This Row],[DOI]])</f>
        <v/>
      </c>
      <c r="M284">
        <f t="array" ref="M284">IsURL(Table_121215[[#This Row],[Data Source]])</f>
        <v/>
      </c>
      <c r="N284">
        <f t="array" ref="N284">IsURL(Table_121215[[#This Row],[Data Source]])</f>
        <v/>
      </c>
    </row>
    <row r="285" ht="15.75" customHeight="1">
      <c r="A285">
        <f>IF(Table_1211[[#This Row],[Complex Name]]=0,"",Table_1211[[#This Row],[Complex Name]])</f>
        <v/>
      </c>
      <c r="I285" s="21" t="n"/>
      <c r="J285" s="21">
        <f>IF($B285="","FALSE","TRUE")</f>
        <v/>
      </c>
      <c r="K285">
        <f t="array" ref="K285">IsURL(Table_121215[[#This Row],[Data Source]])</f>
        <v/>
      </c>
      <c r="L285">
        <f t="array" ref="L285">IsURL(Table_121215[[#This Row],[DOI]])</f>
        <v/>
      </c>
      <c r="M285">
        <f t="array" ref="M285">IsURL(Table_121215[[#This Row],[Data Source]])</f>
        <v/>
      </c>
      <c r="N285">
        <f t="array" ref="N285">IsURL(Table_121215[[#This Row],[Data Source]])</f>
        <v/>
      </c>
    </row>
    <row r="286" ht="15.75" customHeight="1">
      <c r="A286">
        <f>IF(Table_1211[[#This Row],[Complex Name]]=0,"",Table_1211[[#This Row],[Complex Name]])</f>
        <v/>
      </c>
      <c r="I286" s="21" t="n"/>
      <c r="J286" s="21">
        <f>IF($B286="","FALSE","TRUE")</f>
        <v/>
      </c>
      <c r="K286">
        <f t="array" ref="K286">IsURL(Table_121215[[#This Row],[Data Source]])</f>
        <v/>
      </c>
      <c r="L286">
        <f t="array" ref="L286">IsURL(Table_121215[[#This Row],[DOI]])</f>
        <v/>
      </c>
      <c r="M286">
        <f t="array" ref="M286">IsURL(Table_121215[[#This Row],[Data Source]])</f>
        <v/>
      </c>
      <c r="N286">
        <f t="array" ref="N286">IsURL(Table_121215[[#This Row],[Data Source]])</f>
        <v/>
      </c>
    </row>
    <row r="287" ht="15.75" customHeight="1">
      <c r="A287">
        <f>IF(Table_1211[[#This Row],[Complex Name]]=0,"",Table_1211[[#This Row],[Complex Name]])</f>
        <v/>
      </c>
      <c r="I287" s="21" t="n"/>
      <c r="J287" s="21">
        <f>IF($B287="","FALSE","TRUE")</f>
        <v/>
      </c>
      <c r="K287">
        <f t="array" ref="K287">IsURL(Table_121215[[#This Row],[Data Source]])</f>
        <v/>
      </c>
      <c r="L287">
        <f t="array" ref="L287">IsURL(Table_121215[[#This Row],[DOI]])</f>
        <v/>
      </c>
      <c r="M287">
        <f t="array" ref="M287">IsURL(Table_121215[[#This Row],[Data Source]])</f>
        <v/>
      </c>
      <c r="N287">
        <f t="array" ref="N287">IsURL(Table_121215[[#This Row],[Data Source]])</f>
        <v/>
      </c>
    </row>
    <row r="288" ht="15.75" customHeight="1">
      <c r="A288">
        <f>IF(Table_1211[[#This Row],[Complex Name]]=0,"",Table_1211[[#This Row],[Complex Name]])</f>
        <v/>
      </c>
      <c r="I288" s="21" t="n"/>
      <c r="J288" s="21">
        <f>IF($B288="","FALSE","TRUE")</f>
        <v/>
      </c>
      <c r="K288">
        <f t="array" ref="K288">IsURL(Table_121215[[#This Row],[Data Source]])</f>
        <v/>
      </c>
      <c r="L288">
        <f t="array" ref="L288">IsURL(Table_121215[[#This Row],[DOI]])</f>
        <v/>
      </c>
      <c r="M288">
        <f t="array" ref="M288">IsURL(Table_121215[[#This Row],[Data Source]])</f>
        <v/>
      </c>
      <c r="N288">
        <f t="array" ref="N288">IsURL(Table_121215[[#This Row],[Data Source]])</f>
        <v/>
      </c>
    </row>
    <row r="289" ht="15.75" customHeight="1">
      <c r="A289">
        <f>IF(Table_1211[[#This Row],[Complex Name]]=0,"",Table_1211[[#This Row],[Complex Name]])</f>
        <v/>
      </c>
      <c r="I289" s="21" t="n"/>
      <c r="J289" s="21">
        <f>IF($B289="","FALSE","TRUE")</f>
        <v/>
      </c>
      <c r="K289">
        <f t="array" ref="K289">IsURL(Table_121215[[#This Row],[Data Source]])</f>
        <v/>
      </c>
      <c r="L289">
        <f t="array" ref="L289">IsURL(Table_121215[[#This Row],[DOI]])</f>
        <v/>
      </c>
      <c r="M289">
        <f t="array" ref="M289">IsURL(Table_121215[[#This Row],[Data Source]])</f>
        <v/>
      </c>
      <c r="N289">
        <f t="array" ref="N289">IsURL(Table_121215[[#This Row],[Data Source]])</f>
        <v/>
      </c>
    </row>
    <row r="290" ht="15.75" customHeight="1">
      <c r="A290">
        <f>IF(Table_1211[[#This Row],[Complex Name]]=0,"",Table_1211[[#This Row],[Complex Name]])</f>
        <v/>
      </c>
      <c r="I290" s="21" t="n"/>
      <c r="J290" s="21">
        <f>IF($B290="","FALSE","TRUE")</f>
        <v/>
      </c>
      <c r="K290">
        <f t="array" ref="K290">IsURL(Table_121215[[#This Row],[Data Source]])</f>
        <v/>
      </c>
      <c r="L290">
        <f t="array" ref="L290">IsURL(Table_121215[[#This Row],[DOI]])</f>
        <v/>
      </c>
      <c r="M290">
        <f t="array" ref="M290">IsURL(Table_121215[[#This Row],[Data Source]])</f>
        <v/>
      </c>
      <c r="N290">
        <f t="array" ref="N290">IsURL(Table_121215[[#This Row],[Data Source]])</f>
        <v/>
      </c>
    </row>
    <row r="291" ht="15.75" customHeight="1">
      <c r="A291">
        <f>IF(Table_1211[[#This Row],[Complex Name]]=0,"",Table_1211[[#This Row],[Complex Name]])</f>
        <v/>
      </c>
      <c r="I291" s="21" t="n"/>
      <c r="J291" s="21">
        <f>IF($B291="","FALSE","TRUE")</f>
        <v/>
      </c>
      <c r="K291">
        <f t="array" ref="K291">IsURL(Table_121215[[#This Row],[Data Source]])</f>
        <v/>
      </c>
      <c r="L291">
        <f t="array" ref="L291">IsURL(Table_121215[[#This Row],[DOI]])</f>
        <v/>
      </c>
      <c r="M291">
        <f t="array" ref="M291">IsURL(Table_121215[[#This Row],[Data Source]])</f>
        <v/>
      </c>
      <c r="N291">
        <f t="array" ref="N291">IsURL(Table_121215[[#This Row],[Data Source]])</f>
        <v/>
      </c>
    </row>
    <row r="292" ht="15.75" customHeight="1">
      <c r="A292">
        <f>IF(Table_1211[[#This Row],[Complex Name]]=0,"",Table_1211[[#This Row],[Complex Name]])</f>
        <v/>
      </c>
      <c r="I292" s="21" t="n"/>
      <c r="J292" s="21">
        <f>IF($B292="","FALSE","TRUE")</f>
        <v/>
      </c>
      <c r="K292">
        <f t="array" ref="K292">IsURL(Table_121215[[#This Row],[Data Source]])</f>
        <v/>
      </c>
      <c r="L292">
        <f t="array" ref="L292">IsURL(Table_121215[[#This Row],[DOI]])</f>
        <v/>
      </c>
      <c r="M292">
        <f t="array" ref="M292">IsURL(Table_121215[[#This Row],[Data Source]])</f>
        <v/>
      </c>
      <c r="N292">
        <f t="array" ref="N292">IsURL(Table_121215[[#This Row],[Data Source]])</f>
        <v/>
      </c>
    </row>
    <row r="293" ht="15.75" customHeight="1">
      <c r="A293">
        <f>IF(Table_1211[[#This Row],[Complex Name]]=0,"",Table_1211[[#This Row],[Complex Name]])</f>
        <v/>
      </c>
      <c r="I293" s="21" t="n"/>
      <c r="J293" s="21">
        <f>IF($B293="","FALSE","TRUE")</f>
        <v/>
      </c>
      <c r="K293">
        <f t="array" ref="K293">IsURL(Table_121215[[#This Row],[Data Source]])</f>
        <v/>
      </c>
      <c r="L293">
        <f t="array" ref="L293">IsURL(Table_121215[[#This Row],[DOI]])</f>
        <v/>
      </c>
      <c r="M293">
        <f t="array" ref="M293">IsURL(Table_121215[[#This Row],[Data Source]])</f>
        <v/>
      </c>
      <c r="N293">
        <f t="array" ref="N293">IsURL(Table_121215[[#This Row],[Data Source]])</f>
        <v/>
      </c>
    </row>
    <row r="294" ht="15.75" customHeight="1">
      <c r="A294">
        <f>IF(Table_1211[[#This Row],[Complex Name]]=0,"",Table_1211[[#This Row],[Complex Name]])</f>
        <v/>
      </c>
      <c r="I294" s="21" t="n"/>
      <c r="J294" s="21">
        <f>IF($B294="","FALSE","TRUE")</f>
        <v/>
      </c>
      <c r="K294">
        <f t="array" ref="K294">IsURL(Table_121215[[#This Row],[Data Source]])</f>
        <v/>
      </c>
      <c r="L294">
        <f t="array" ref="L294">IsURL(Table_121215[[#This Row],[DOI]])</f>
        <v/>
      </c>
      <c r="M294">
        <f t="array" ref="M294">IsURL(Table_121215[[#This Row],[Data Source]])</f>
        <v/>
      </c>
      <c r="N294">
        <f t="array" ref="N294">IsURL(Table_121215[[#This Row],[Data Source]])</f>
        <v/>
      </c>
    </row>
    <row r="295" ht="15.75" customHeight="1">
      <c r="A295">
        <f>IF(Table_1211[[#This Row],[Complex Name]]=0,"",Table_1211[[#This Row],[Complex Name]])</f>
        <v/>
      </c>
      <c r="I295" s="21" t="n"/>
      <c r="J295" s="21">
        <f>IF($B295="","FALSE","TRUE")</f>
        <v/>
      </c>
      <c r="K295">
        <f t="array" ref="K295">IsURL(Table_121215[[#This Row],[Data Source]])</f>
        <v/>
      </c>
      <c r="L295">
        <f t="array" ref="L295">IsURL(Table_121215[[#This Row],[DOI]])</f>
        <v/>
      </c>
      <c r="M295">
        <f t="array" ref="M295">IsURL(Table_121215[[#This Row],[Data Source]])</f>
        <v/>
      </c>
      <c r="N295">
        <f t="array" ref="N295">IsURL(Table_121215[[#This Row],[Data Source]])</f>
        <v/>
      </c>
    </row>
    <row r="296" ht="15.75" customHeight="1">
      <c r="A296">
        <f>IF(Table_1211[[#This Row],[Complex Name]]=0,"",Table_1211[[#This Row],[Complex Name]])</f>
        <v/>
      </c>
      <c r="I296" s="21" t="n"/>
      <c r="J296" s="21">
        <f>IF($B296="","FALSE","TRUE")</f>
        <v/>
      </c>
      <c r="K296">
        <f t="array" ref="K296">IsURL(Table_121215[[#This Row],[Data Source]])</f>
        <v/>
      </c>
      <c r="L296">
        <f t="array" ref="L296">IsURL(Table_121215[[#This Row],[DOI]])</f>
        <v/>
      </c>
      <c r="M296">
        <f t="array" ref="M296">IsURL(Table_121215[[#This Row],[Data Source]])</f>
        <v/>
      </c>
      <c r="N296">
        <f t="array" ref="N296">IsURL(Table_121215[[#This Row],[Data Source]])</f>
        <v/>
      </c>
    </row>
    <row r="297" ht="15.75" customHeight="1">
      <c r="A297">
        <f>IF(Table_1211[[#This Row],[Complex Name]]=0,"",Table_1211[[#This Row],[Complex Name]])</f>
        <v/>
      </c>
      <c r="I297" s="21" t="n"/>
      <c r="J297" s="21">
        <f>IF($B297="","FALSE","TRUE")</f>
        <v/>
      </c>
      <c r="K297">
        <f t="array" ref="K297">IsURL(Table_121215[[#This Row],[Data Source]])</f>
        <v/>
      </c>
      <c r="L297">
        <f t="array" ref="L297">IsURL(Table_121215[[#This Row],[DOI]])</f>
        <v/>
      </c>
      <c r="M297">
        <f t="array" ref="M297">IsURL(Table_121215[[#This Row],[Data Source]])</f>
        <v/>
      </c>
      <c r="N297">
        <f t="array" ref="N297">IsURL(Table_121215[[#This Row],[Data Source]])</f>
        <v/>
      </c>
    </row>
    <row r="298" ht="15.75" customHeight="1">
      <c r="A298">
        <f>IF(Table_1211[[#This Row],[Complex Name]]=0,"",Table_1211[[#This Row],[Complex Name]])</f>
        <v/>
      </c>
      <c r="I298" s="21" t="n"/>
      <c r="J298" s="21">
        <f>IF($B298="","FALSE","TRUE")</f>
        <v/>
      </c>
      <c r="K298">
        <f t="array" ref="K298">IsURL(Table_121215[[#This Row],[Data Source]])</f>
        <v/>
      </c>
      <c r="L298">
        <f t="array" ref="L298">IsURL(Table_121215[[#This Row],[DOI]])</f>
        <v/>
      </c>
      <c r="M298">
        <f t="array" ref="M298">IsURL(Table_121215[[#This Row],[Data Source]])</f>
        <v/>
      </c>
      <c r="N298">
        <f t="array" ref="N298">IsURL(Table_121215[[#This Row],[Data Source]])</f>
        <v/>
      </c>
    </row>
    <row r="299" ht="15.75" customHeight="1">
      <c r="A299">
        <f>IF(Table_1211[[#This Row],[Complex Name]]=0,"",Table_1211[[#This Row],[Complex Name]])</f>
        <v/>
      </c>
      <c r="I299" s="21" t="n"/>
      <c r="J299" s="21">
        <f>IF($B299="","FALSE","TRUE")</f>
        <v/>
      </c>
      <c r="K299">
        <f t="array" ref="K299">IsURL(Table_121215[[#This Row],[Data Source]])</f>
        <v/>
      </c>
      <c r="L299">
        <f t="array" ref="L299">IsURL(Table_121215[[#This Row],[DOI]])</f>
        <v/>
      </c>
      <c r="M299">
        <f t="array" ref="M299">IsURL(Table_121215[[#This Row],[Data Source]])</f>
        <v/>
      </c>
      <c r="N299">
        <f t="array" ref="N299">IsURL(Table_121215[[#This Row],[Data Source]])</f>
        <v/>
      </c>
    </row>
    <row r="300" ht="15.75" customHeight="1">
      <c r="A300">
        <f>IF(Table_1211[[#This Row],[Complex Name]]=0,"",Table_1211[[#This Row],[Complex Name]])</f>
        <v/>
      </c>
      <c r="I300" s="21" t="n"/>
      <c r="J300" s="21">
        <f>IF($B300="","FALSE","TRUE")</f>
        <v/>
      </c>
      <c r="K300">
        <f t="array" ref="K300">IsURL(Table_121215[[#This Row],[Data Source]])</f>
        <v/>
      </c>
      <c r="L300">
        <f t="array" ref="L300">IsURL(Table_121215[[#This Row],[DOI]])</f>
        <v/>
      </c>
      <c r="M300">
        <f t="array" ref="M300">IsURL(Table_121215[[#This Row],[Data Source]])</f>
        <v/>
      </c>
      <c r="N300">
        <f t="array" ref="N300">IsURL(Table_121215[[#This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sheetData>
  <conditionalFormatting sqref="B5:B300">
    <cfRule type="expression" priority="3" dxfId="6" stopIfTrue="1">
      <formula>ISBLANK(B5)</formula>
    </cfRule>
  </conditionalFormatting>
  <dataValidations count="2">
    <dataValidation sqref="J5:J300" showErrorMessage="1" showInputMessage="1" allowBlank="0" type="list">
      <formula1>"TRUE, FALSE"</formula1>
    </dataValidation>
    <dataValidation sqref="E5:E300" showErrorMessage="1" showInputMessage="1" allowBlank="0" errorTitle="Invalid URL" error="The URL entered seems to be invalid, please check again." type="custom">
      <formula1>#REF!</formula1>
    </dataValidation>
  </dataValidations>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22">
    <outlinePr summaryBelow="1" summaryRight="1"/>
    <pageSetUpPr/>
  </sheetPr>
  <dimension ref="A3:N300"/>
  <sheetViews>
    <sheetView topLeftCell="B1" workbookViewId="0">
      <selection activeCell="T44" sqref="T44"/>
    </sheetView>
  </sheetViews>
  <sheetFormatPr baseColWidth="10" defaultColWidth="8.83203125" defaultRowHeight="15"/>
  <cols>
    <col hidden="1" width="12.6640625" customWidth="1" style="37" min="1" max="1"/>
    <col width="17" customWidth="1" style="37" min="2" max="2"/>
    <col width="23.6640625" bestFit="1" customWidth="1" style="37" min="3" max="3"/>
    <col width="21.33203125" customWidth="1" style="37" min="4" max="4"/>
    <col width="14.33203125" bestFit="1" customWidth="1" style="37" min="5" max="5"/>
    <col width="13.1640625" bestFit="1" customWidth="1" style="37" min="6" max="6"/>
    <col width="7" bestFit="1" customWidth="1" style="37" min="7" max="7"/>
    <col width="6.83203125" bestFit="1" customWidth="1" style="37" min="8" max="8"/>
    <col width="10" bestFit="1" customWidth="1" style="37" min="9" max="9"/>
    <col width="27.83203125" customWidth="1" style="37" min="10" max="10"/>
    <col hidden="1" width="20.33203125" customWidth="1" style="37" min="11" max="11"/>
    <col hidden="1" width="27.83203125" customWidth="1" style="37" min="12" max="13"/>
    <col hidden="1" width="8.5" customWidth="1" style="37" min="14" max="14"/>
    <col width="8.5" bestFit="1" customWidth="1" style="37" min="15" max="24"/>
    <col width="12.5" bestFit="1" customWidth="1" style="37" min="25" max="25"/>
    <col width="8.83203125" customWidth="1" style="37" min="26" max="26"/>
    <col width="8.83203125" customWidth="1" style="37" min="27" max="16384"/>
  </cols>
  <sheetData>
    <row r="1" ht="15.75" customHeight="1"/>
    <row r="2" ht="15.75" customHeight="1"/>
    <row r="3" ht="15.75" customHeight="1">
      <c r="A3" s="37" t="inlineStr">
        <is>
          <t>This ID is used to reference the proteins in the other sheets.</t>
        </is>
      </c>
      <c r="B3" s="37" t="inlineStr">
        <is>
          <t>This is the name shown in the display id once uploaded to SynBioHub. Choose something human friendly. E.g. GFP Reporter</t>
        </is>
      </c>
      <c r="D3" s="37" t="inlineStr">
        <is>
          <t>A description of how the part is meant to function and any information about the part that is not to do with how it was designed.</t>
        </is>
      </c>
      <c r="E3" s="37" t="inlineStr">
        <is>
          <t>Where is the information about this part coming from? Provide a direct link to the part. This field has priority 1, and is preferred over PubMed Id and DOI, but feel free to add them if you have the information</t>
        </is>
      </c>
      <c r="F3" s="37" t="inlineStr">
        <is>
          <t>Provide a PubMed Id for the part. This field has priority 2, and is preferred over DOI, but feel free to add it if you have the information</t>
        </is>
      </c>
      <c r="G3" s="37" t="inlineStr">
        <is>
          <t>Provide a DOI for the part. This field has priority 2, and is preferred over DOI, but feel free to add it if you have the information</t>
        </is>
      </c>
      <c r="K3" s="38" t="inlineStr">
        <is>
          <t>DO NOT CHANGE</t>
        </is>
      </c>
      <c r="L3" s="38" t="inlineStr">
        <is>
          <t>DO NOT CHANGE</t>
        </is>
      </c>
      <c r="M3" s="38" t="inlineStr">
        <is>
          <t>DO NOT CHANGE</t>
        </is>
      </c>
    </row>
    <row r="4" ht="15.75" customHeight="1">
      <c r="A4" s="37" t="inlineStr">
        <is>
          <t>Signal ID</t>
        </is>
      </c>
      <c r="B4" s="37" t="inlineStr">
        <is>
          <t>Signal Name</t>
        </is>
      </c>
      <c r="C4" s="37" t="inlineStr">
        <is>
          <t>Previous Version (URI)</t>
        </is>
      </c>
      <c r="D4" s="37" t="inlineStr">
        <is>
          <t>Signal Description</t>
        </is>
      </c>
      <c r="E4" s="37" t="inlineStr">
        <is>
          <t>Signal Color</t>
        </is>
      </c>
      <c r="F4" s="37" t="inlineStr">
        <is>
          <t>Data Source</t>
        </is>
      </c>
      <c r="G4" s="37" t="inlineStr">
        <is>
          <t>PubMed ID</t>
        </is>
      </c>
      <c r="H4" s="37" t="inlineStr">
        <is>
          <t>DOI</t>
        </is>
      </c>
      <c r="I4" s="39" t="inlineStr">
        <is>
          <t>URI</t>
        </is>
      </c>
      <c r="J4" s="39" t="inlineStr">
        <is>
          <t>Update</t>
        </is>
      </c>
      <c r="K4" s="40" t="inlineStr">
        <is>
          <t>URL Checker - Data Source</t>
        </is>
      </c>
      <c r="L4" s="41" t="inlineStr">
        <is>
          <t>URL Checker - DOI</t>
        </is>
      </c>
      <c r="M4" s="40" t="inlineStr">
        <is>
          <t>URL Checker - Previous Version</t>
        </is>
      </c>
      <c r="N4" s="40" t="inlineStr">
        <is>
          <t>URL Checker - URI</t>
        </is>
      </c>
    </row>
    <row r="5" ht="15.75" customHeight="1">
      <c r="A5" s="37">
        <f>IF(Table_1212151012[[#This Row],[Signal Name]]=0,"",Table_1212151012[[#This Row],[Signal Name]])</f>
        <v/>
      </c>
      <c r="D5" s="42" t="n"/>
      <c r="E5" s="42" t="n"/>
      <c r="G5" s="43" t="n"/>
      <c r="I5" s="44" t="n"/>
      <c r="J5" s="44">
        <f>IF($B5="","FALSE","TRUE")</f>
        <v/>
      </c>
      <c r="K5" s="37">
        <f t="array" ref="K5">IsURL(Table_1212151012[[#This Row],[Data Source]])</f>
        <v/>
      </c>
      <c r="L5" s="37">
        <f t="array" ref="L5">IsURL(Table_1212151012[[#This Row],[DOI]])</f>
        <v/>
      </c>
      <c r="M5" s="37">
        <f t="array" ref="M5">IsURL(Table_1212151012[[#This Row],[Data Source]])</f>
        <v/>
      </c>
      <c r="N5" s="37">
        <f t="array" ref="N5">IsURL(Table_1212151012[[#This Row],[Data Source]])</f>
        <v/>
      </c>
    </row>
    <row r="6" ht="15.75" customHeight="1">
      <c r="A6" s="37">
        <f>IF(Table_1212151012[[#This Row],[Signal Name]]=0,"",Table_1212151012[[#This Row],[Signal Name]])</f>
        <v/>
      </c>
      <c r="F6" s="36" t="n"/>
      <c r="G6" s="43" t="n"/>
      <c r="I6" s="44" t="n"/>
      <c r="J6" s="44">
        <f>IF($B6="","FALSE","TRUE")</f>
        <v/>
      </c>
      <c r="K6" s="37">
        <f t="array" ref="K6">IsURL(Table_1212151012[[#This Row],[Data Source]])</f>
        <v/>
      </c>
      <c r="L6" s="37">
        <f t="array" ref="L6">IsURL(Table_1212151012[[#This Row],[DOI]])</f>
        <v/>
      </c>
      <c r="M6" s="37">
        <f t="array" ref="M6">IsURL(Table_1212151012[[#This Row],[Data Source]])</f>
        <v/>
      </c>
      <c r="N6" s="37">
        <f t="array" ref="N6">IsURL(Table_1212151012[[#This Row],[Data Source]])</f>
        <v/>
      </c>
    </row>
    <row r="7" ht="15.75" customHeight="1">
      <c r="A7" s="37">
        <f>IF(Table_1212151012[[#This Row],[Signal Name]]=0,"",Table_1212151012[[#This Row],[Signal Name]])</f>
        <v/>
      </c>
      <c r="G7" s="43" t="n"/>
      <c r="J7" s="44">
        <f>IF($B7="","FALSE","TRUE")</f>
        <v/>
      </c>
      <c r="K7" s="37">
        <f t="array" ref="K7">IsURL(Table_1212151012[[#This Row],[Data Source]])</f>
        <v/>
      </c>
      <c r="L7" s="37">
        <f t="array" ref="L7">IsURL(Table_1212151012[[#This Row],[DOI]])</f>
        <v/>
      </c>
      <c r="M7" s="37">
        <f t="array" ref="M7">IsURL(Table_1212151012[[#This Row],[Data Source]])</f>
        <v/>
      </c>
      <c r="N7" s="37">
        <f t="array" ref="N7">IsURL(Table_1212151012[[#This Row],[Data Source]])</f>
        <v/>
      </c>
    </row>
    <row r="8" ht="15.75" customHeight="1">
      <c r="A8" s="37">
        <f>IF(Table_1212151012[[#This Row],[Signal Name]]=0,"",Table_1212151012[[#This Row],[Signal Name]])</f>
        <v/>
      </c>
      <c r="D8" s="42" t="n"/>
      <c r="E8" s="42" t="n"/>
      <c r="G8" s="45" t="n"/>
      <c r="J8" s="44">
        <f>IF($B8="","FALSE","TRUE")</f>
        <v/>
      </c>
      <c r="K8" s="37">
        <f t="array" ref="K8">IsURL(Table_1212151012[[#This Row],[Data Source]])</f>
        <v/>
      </c>
      <c r="L8" s="37">
        <f t="array" ref="L8">IsURL(Table_1212151012[[#This Row],[DOI]])</f>
        <v/>
      </c>
      <c r="M8" s="37">
        <f t="array" ref="M8">IsURL(Table_1212151012[[#This Row],[Data Source]])</f>
        <v/>
      </c>
      <c r="N8" s="37">
        <f t="array" ref="N8">IsURL(Table_1212151012[[#This Row],[Data Source]])</f>
        <v/>
      </c>
    </row>
    <row r="9" ht="15.75" customHeight="1">
      <c r="A9" s="37">
        <f>IF(Table_1212151012[[#This Row],[Signal Name]]=0,"",Table_1212151012[[#This Row],[Signal Name]])</f>
        <v/>
      </c>
      <c r="D9" s="42" t="n"/>
      <c r="E9" s="42" t="n"/>
      <c r="G9" s="45" t="n"/>
      <c r="J9" s="44">
        <f>IF($B9="","FALSE","TRUE")</f>
        <v/>
      </c>
      <c r="K9" s="37">
        <f t="array" ref="K9">IsURL(Table_1212151012[[#This Row],[Data Source]])</f>
        <v/>
      </c>
      <c r="L9" s="37">
        <f t="array" ref="L9">IsURL(Table_1212151012[[#This Row],[DOI]])</f>
        <v/>
      </c>
      <c r="M9" s="37">
        <f t="array" ref="M9">IsURL(Table_1212151012[[#This Row],[Data Source]])</f>
        <v/>
      </c>
      <c r="N9" s="37">
        <f t="array" ref="N9">IsURL(Table_1212151012[[#This Row],[Data Source]])</f>
        <v/>
      </c>
    </row>
    <row r="10" ht="15.75" customHeight="1">
      <c r="A10" s="37">
        <f>IF(Table_1212151012[[#This Row],[Signal Name]]=0,"",Table_1212151012[[#This Row],[Signal Name]])</f>
        <v/>
      </c>
      <c r="D10" s="42" t="n"/>
      <c r="E10" s="42" t="n"/>
      <c r="G10" s="45" t="n"/>
      <c r="J10" s="44">
        <f>IF($B10="","FALSE","TRUE")</f>
        <v/>
      </c>
      <c r="K10" s="37">
        <f t="array" ref="K10">IsURL(Table_1212151012[[#This Row],[Data Source]])</f>
        <v/>
      </c>
      <c r="L10" s="37">
        <f t="array" ref="L10">IsURL(Table_1212151012[[#This Row],[DOI]])</f>
        <v/>
      </c>
      <c r="M10" s="37">
        <f t="array" ref="M10">IsURL(Table_1212151012[[#This Row],[Data Source]])</f>
        <v/>
      </c>
      <c r="N10" s="37">
        <f t="array" ref="N10">IsURL(Table_1212151012[[#This Row],[Data Source]])</f>
        <v/>
      </c>
    </row>
    <row r="11" ht="15.75" customHeight="1">
      <c r="A11" s="37">
        <f>IF(Table_1212151012[[#This Row],[Signal Name]]=0,"",Table_1212151012[[#This Row],[Signal Name]])</f>
        <v/>
      </c>
      <c r="D11" s="42" t="n"/>
      <c r="E11" s="42" t="n"/>
      <c r="G11" s="45" t="n"/>
      <c r="J11" s="44">
        <f>IF($B11="","FALSE","TRUE")</f>
        <v/>
      </c>
      <c r="K11" s="37">
        <f t="array" ref="K11">IsURL(Table_1212151012[[#This Row],[Data Source]])</f>
        <v/>
      </c>
      <c r="L11" s="37">
        <f t="array" ref="L11">IsURL(Table_1212151012[[#This Row],[DOI]])</f>
        <v/>
      </c>
      <c r="M11" s="37">
        <f t="array" ref="M11">IsURL(Table_1212151012[[#This Row],[Data Source]])</f>
        <v/>
      </c>
      <c r="N11" s="37">
        <f t="array" ref="N11">IsURL(Table_1212151012[[#This Row],[Data Source]])</f>
        <v/>
      </c>
    </row>
    <row r="12" ht="15.75" customHeight="1">
      <c r="A12" s="37">
        <f>IF(Table_1212151012[[#This Row],[Signal Name]]=0,"",Table_1212151012[[#This Row],[Signal Name]])</f>
        <v/>
      </c>
      <c r="D12" s="42" t="n"/>
      <c r="E12" s="42" t="n"/>
      <c r="G12" s="45" t="n"/>
      <c r="J12" s="44">
        <f>IF($B12="","FALSE","TRUE")</f>
        <v/>
      </c>
      <c r="K12" s="37">
        <f t="array" ref="K12">IsURL(Table_1212151012[[#This Row],[Data Source]])</f>
        <v/>
      </c>
      <c r="L12" s="37">
        <f t="array" ref="L12">IsURL(Table_1212151012[[#This Row],[DOI]])</f>
        <v/>
      </c>
      <c r="M12" s="37">
        <f t="array" ref="M12">IsURL(Table_1212151012[[#This Row],[Data Source]])</f>
        <v/>
      </c>
      <c r="N12" s="37">
        <f t="array" ref="N12">IsURL(Table_1212151012[[#This Row],[Data Source]])</f>
        <v/>
      </c>
    </row>
    <row r="13" ht="15.75" customHeight="1">
      <c r="A13" s="37">
        <f>IF(Table_1212151012[[#This Row],[Signal Name]]=0,"",Table_1212151012[[#This Row],[Signal Name]])</f>
        <v/>
      </c>
      <c r="D13" s="42" t="n"/>
      <c r="E13" s="42" t="n"/>
      <c r="G13" s="45" t="n"/>
      <c r="J13" s="44">
        <f>IF($B13="","FALSE","TRUE")</f>
        <v/>
      </c>
      <c r="K13" s="37">
        <f t="array" ref="K13">IsURL(Table_1212151012[[#This Row],[Data Source]])</f>
        <v/>
      </c>
      <c r="L13" s="37">
        <f t="array" ref="L13">IsURL(Table_1212151012[[#This Row],[DOI]])</f>
        <v/>
      </c>
      <c r="M13" s="37">
        <f t="array" ref="M13">IsURL(Table_1212151012[[#This Row],[Data Source]])</f>
        <v/>
      </c>
      <c r="N13" s="37">
        <f t="array" ref="N13">IsURL(Table_1212151012[[#This Row],[Data Source]])</f>
        <v/>
      </c>
    </row>
    <row r="14" ht="15.75" customHeight="1">
      <c r="A14" s="37">
        <f>IF(Table_1212151012[[#This Row],[Signal Name]]=0,"",Table_1212151012[[#This Row],[Signal Name]])</f>
        <v/>
      </c>
      <c r="D14" s="42" t="n"/>
      <c r="E14" s="42" t="n"/>
      <c r="G14" s="45" t="n"/>
      <c r="J14" s="44">
        <f>IF($B14="","FALSE","TRUE")</f>
        <v/>
      </c>
      <c r="K14" s="37">
        <f t="array" ref="K14">IsURL(Table_1212151012[[#This Row],[Data Source]])</f>
        <v/>
      </c>
      <c r="L14" s="37">
        <f t="array" ref="L14">IsURL(Table_1212151012[[#This Row],[DOI]])</f>
        <v/>
      </c>
      <c r="M14" s="37">
        <f t="array" ref="M14">IsURL(Table_1212151012[[#This Row],[Data Source]])</f>
        <v/>
      </c>
      <c r="N14" s="37">
        <f t="array" ref="N14">IsURL(Table_1212151012[[#This Row],[Data Source]])</f>
        <v/>
      </c>
    </row>
    <row r="15" ht="15.75" customHeight="1">
      <c r="A15" s="37">
        <f>IF(Table_1212151012[[#This Row],[Signal Name]]=0,"",Table_1212151012[[#This Row],[Signal Name]])</f>
        <v/>
      </c>
      <c r="D15" s="42" t="n"/>
      <c r="E15" s="42" t="n"/>
      <c r="G15" s="45" t="n"/>
      <c r="J15" s="44">
        <f>IF($B15="","FALSE","TRUE")</f>
        <v/>
      </c>
      <c r="K15" s="37">
        <f t="array" ref="K15">IsURL(Table_1212151012[[#This Row],[Data Source]])</f>
        <v/>
      </c>
      <c r="L15" s="37">
        <f t="array" ref="L15">IsURL(Table_1212151012[[#This Row],[DOI]])</f>
        <v/>
      </c>
      <c r="M15" s="37">
        <f t="array" ref="M15">IsURL(Table_1212151012[[#This Row],[Data Source]])</f>
        <v/>
      </c>
      <c r="N15" s="37">
        <f t="array" ref="N15">IsURL(Table_1212151012[[#This Row],[Data Source]])</f>
        <v/>
      </c>
    </row>
    <row r="16" ht="15.75" customHeight="1">
      <c r="A16" s="37">
        <f>IF(Table_1212151012[[#This Row],[Signal Name]]=0,"",Table_1212151012[[#This Row],[Signal Name]])</f>
        <v/>
      </c>
      <c r="D16" s="42" t="n"/>
      <c r="E16" s="42" t="n"/>
      <c r="G16" s="45" t="n"/>
      <c r="J16" s="44">
        <f>IF($B16="","FALSE","TRUE")</f>
        <v/>
      </c>
      <c r="K16" s="37">
        <f t="array" ref="K16">IsURL(Table_1212151012[[#This Row],[Data Source]])</f>
        <v/>
      </c>
      <c r="L16" s="37">
        <f t="array" ref="L16">IsURL(Table_1212151012[[#This Row],[DOI]])</f>
        <v/>
      </c>
      <c r="M16" s="37">
        <f t="array" ref="M16">IsURL(Table_1212151012[[#This Row],[Data Source]])</f>
        <v/>
      </c>
      <c r="N16" s="37">
        <f t="array" ref="N16">IsURL(Table_1212151012[[#This Row],[Data Source]])</f>
        <v/>
      </c>
    </row>
    <row r="17" ht="15.75" customHeight="1">
      <c r="A17" s="37">
        <f>IF(Table_1212151012[[#This Row],[Signal Name]]=0,"",Table_1212151012[[#This Row],[Signal Name]])</f>
        <v/>
      </c>
      <c r="D17" s="42" t="n"/>
      <c r="E17" s="42" t="n"/>
      <c r="G17" s="45" t="n"/>
      <c r="J17" s="44">
        <f>IF($B17="","FALSE","TRUE")</f>
        <v/>
      </c>
      <c r="K17" s="37">
        <f t="array" ref="K17">IsURL(Table_1212151012[[#This Row],[Data Source]])</f>
        <v/>
      </c>
      <c r="L17" s="37">
        <f t="array" ref="L17">IsURL(Table_1212151012[[#This Row],[DOI]])</f>
        <v/>
      </c>
      <c r="M17" s="37">
        <f t="array" ref="M17">IsURL(Table_1212151012[[#This Row],[Data Source]])</f>
        <v/>
      </c>
      <c r="N17" s="37">
        <f t="array" ref="N17">IsURL(Table_1212151012[[#This Row],[Data Source]])</f>
        <v/>
      </c>
    </row>
    <row r="18" ht="15.75" customHeight="1">
      <c r="A18" s="37">
        <f>IF(Table_1212151012[[#This Row],[Signal Name]]=0,"",Table_1212151012[[#This Row],[Signal Name]])</f>
        <v/>
      </c>
      <c r="D18" s="42" t="n"/>
      <c r="E18" s="42" t="n"/>
      <c r="G18" s="45" t="n"/>
      <c r="J18" s="44">
        <f>IF($B18="","FALSE","TRUE")</f>
        <v/>
      </c>
      <c r="K18" s="37">
        <f t="array" ref="K18">IsURL(Table_1212151012[[#This Row],[Data Source]])</f>
        <v/>
      </c>
      <c r="L18" s="37">
        <f t="array" ref="L18">IsURL(Table_1212151012[[#This Row],[DOI]])</f>
        <v/>
      </c>
      <c r="M18" s="37">
        <f t="array" ref="M18">IsURL(Table_1212151012[[#This Row],[Data Source]])</f>
        <v/>
      </c>
      <c r="N18" s="37">
        <f t="array" ref="N18">IsURL(Table_1212151012[[#This Row],[Data Source]])</f>
        <v/>
      </c>
    </row>
    <row r="19" ht="15.75" customHeight="1">
      <c r="A19" s="37">
        <f>IF(Table_1212151012[[#This Row],[Signal Name]]=0,"",Table_1212151012[[#This Row],[Signal Name]])</f>
        <v/>
      </c>
      <c r="D19" s="42" t="n"/>
      <c r="E19" s="42" t="n"/>
      <c r="G19" s="45" t="n"/>
      <c r="J19" s="44">
        <f>IF($B19="","FALSE","TRUE")</f>
        <v/>
      </c>
      <c r="K19" s="37">
        <f t="array" ref="K19">IsURL(Table_1212151012[[#This Row],[Data Source]])</f>
        <v/>
      </c>
      <c r="L19" s="37">
        <f t="array" ref="L19">IsURL(Table_1212151012[[#This Row],[DOI]])</f>
        <v/>
      </c>
      <c r="M19" s="37">
        <f t="array" ref="M19">IsURL(Table_1212151012[[#This Row],[Data Source]])</f>
        <v/>
      </c>
      <c r="N19" s="37">
        <f t="array" ref="N19">IsURL(Table_1212151012[[#This Row],[Data Source]])</f>
        <v/>
      </c>
    </row>
    <row r="20" ht="15.75" customHeight="1">
      <c r="A20" s="37">
        <f>IF(Table_1212151012[[#This Row],[Signal Name]]=0,"",Table_1212151012[[#This Row],[Signal Name]])</f>
        <v/>
      </c>
      <c r="D20" s="42" t="n"/>
      <c r="E20" s="42" t="n"/>
      <c r="G20" s="45" t="n"/>
      <c r="J20" s="44">
        <f>IF($B20="","FALSE","TRUE")</f>
        <v/>
      </c>
      <c r="K20" s="37">
        <f t="array" ref="K20">IsURL(Table_1212151012[[#This Row],[Data Source]])</f>
        <v/>
      </c>
      <c r="L20" s="37">
        <f t="array" ref="L20">IsURL(Table_1212151012[[#This Row],[DOI]])</f>
        <v/>
      </c>
      <c r="M20" s="37">
        <f t="array" ref="M20">IsURL(Table_1212151012[[#This Row],[Data Source]])</f>
        <v/>
      </c>
      <c r="N20" s="37">
        <f t="array" ref="N20">IsURL(Table_1212151012[[#This Row],[Data Source]])</f>
        <v/>
      </c>
    </row>
    <row r="21" ht="15.75" customHeight="1">
      <c r="A21" s="37">
        <f>IF(Table_1212151012[[#This Row],[Signal Name]]=0,"",Table_1212151012[[#This Row],[Signal Name]])</f>
        <v/>
      </c>
      <c r="D21" s="42" t="n"/>
      <c r="E21" s="42" t="n"/>
      <c r="G21" s="45" t="n"/>
      <c r="J21" s="44">
        <f>IF($B21="","FALSE","TRUE")</f>
        <v/>
      </c>
      <c r="K21" s="37">
        <f t="array" ref="K21">IsURL(Table_1212151012[[#This Row],[Data Source]])</f>
        <v/>
      </c>
      <c r="L21" s="37">
        <f t="array" ref="L21">IsURL(Table_1212151012[[#This Row],[DOI]])</f>
        <v/>
      </c>
      <c r="M21" s="37">
        <f t="array" ref="M21">IsURL(Table_1212151012[[#This Row],[Data Source]])</f>
        <v/>
      </c>
      <c r="N21" s="37">
        <f t="array" ref="N21">IsURL(Table_1212151012[[#This Row],[Data Source]])</f>
        <v/>
      </c>
    </row>
    <row r="22" ht="15.75" customHeight="1">
      <c r="A22" s="37">
        <f>IF(Table_1212151012[[#This Row],[Signal Name]]=0,"",Table_1212151012[[#This Row],[Signal Name]])</f>
        <v/>
      </c>
      <c r="D22" s="42" t="n"/>
      <c r="E22" s="42" t="n"/>
      <c r="G22" s="45" t="n"/>
      <c r="J22" s="44">
        <f>IF($B22="","FALSE","TRUE")</f>
        <v/>
      </c>
      <c r="K22" s="37">
        <f t="array" ref="K22">IsURL(Table_1212151012[[#This Row],[Data Source]])</f>
        <v/>
      </c>
      <c r="L22" s="37">
        <f t="array" ref="L22">IsURL(Table_1212151012[[#This Row],[DOI]])</f>
        <v/>
      </c>
      <c r="M22" s="37">
        <f t="array" ref="M22">IsURL(Table_1212151012[[#This Row],[Data Source]])</f>
        <v/>
      </c>
      <c r="N22" s="37">
        <f t="array" ref="N22">IsURL(Table_1212151012[[#This Row],[Data Source]])</f>
        <v/>
      </c>
    </row>
    <row r="23" ht="15.75" customHeight="1">
      <c r="A23" s="37">
        <f>IF(Table_1212151012[[#This Row],[Signal Name]]=0,"",Table_1212151012[[#This Row],[Signal Name]])</f>
        <v/>
      </c>
      <c r="D23" s="42" t="n"/>
      <c r="E23" s="42" t="n"/>
      <c r="G23" s="45" t="n"/>
      <c r="J23" s="44">
        <f>IF($B23="","FALSE","TRUE")</f>
        <v/>
      </c>
      <c r="K23" s="37">
        <f t="array" ref="K23">IsURL(Table_1212151012[[#This Row],[Data Source]])</f>
        <v/>
      </c>
      <c r="L23" s="37">
        <f t="array" ref="L23">IsURL(Table_1212151012[[#This Row],[DOI]])</f>
        <v/>
      </c>
      <c r="M23" s="37">
        <f t="array" ref="M23">IsURL(Table_1212151012[[#This Row],[Data Source]])</f>
        <v/>
      </c>
      <c r="N23" s="37">
        <f t="array" ref="N23">IsURL(Table_1212151012[[#This Row],[Data Source]])</f>
        <v/>
      </c>
    </row>
    <row r="24" ht="15.75" customHeight="1">
      <c r="A24" s="37">
        <f>IF(Table_1212151012[[#This Row],[Signal Name]]=0,"",Table_1212151012[[#This Row],[Signal Name]])</f>
        <v/>
      </c>
      <c r="D24" s="42" t="n"/>
      <c r="E24" s="42" t="n"/>
      <c r="G24" s="45" t="n"/>
      <c r="J24" s="44">
        <f>IF($B24="","FALSE","TRUE")</f>
        <v/>
      </c>
      <c r="K24" s="37">
        <f t="array" ref="K24">IsURL(Table_1212151012[[#This Row],[Data Source]])</f>
        <v/>
      </c>
      <c r="L24" s="37">
        <f t="array" ref="L24">IsURL(Table_1212151012[[#This Row],[DOI]])</f>
        <v/>
      </c>
      <c r="M24" s="37">
        <f t="array" ref="M24">IsURL(Table_1212151012[[#This Row],[Data Source]])</f>
        <v/>
      </c>
      <c r="N24" s="37">
        <f t="array" ref="N24">IsURL(Table_1212151012[[#This Row],[Data Source]])</f>
        <v/>
      </c>
    </row>
    <row r="25" ht="15.75" customHeight="1">
      <c r="A25" s="37">
        <f>IF(Table_1212151012[[#This Row],[Signal Name]]=0,"",Table_1212151012[[#This Row],[Signal Name]])</f>
        <v/>
      </c>
      <c r="D25" s="42" t="n"/>
      <c r="E25" s="42" t="n"/>
      <c r="G25" s="45" t="n"/>
      <c r="J25" s="44">
        <f>IF($B25="","FALSE","TRUE")</f>
        <v/>
      </c>
      <c r="K25" s="37">
        <f t="array" ref="K25">IsURL(Table_1212151012[[#This Row],[Data Source]])</f>
        <v/>
      </c>
      <c r="L25" s="37">
        <f t="array" ref="L25">IsURL(Table_1212151012[[#This Row],[DOI]])</f>
        <v/>
      </c>
      <c r="M25" s="37">
        <f t="array" ref="M25">IsURL(Table_1212151012[[#This Row],[Data Source]])</f>
        <v/>
      </c>
      <c r="N25" s="37">
        <f t="array" ref="N25">IsURL(Table_1212151012[[#This Row],[Data Source]])</f>
        <v/>
      </c>
    </row>
    <row r="26" ht="15.75" customHeight="1">
      <c r="A26" s="37">
        <f>IF(Table_1212151012[[#This Row],[Signal Name]]=0,"",Table_1212151012[[#This Row],[Signal Name]])</f>
        <v/>
      </c>
      <c r="D26" s="42" t="n"/>
      <c r="E26" s="42" t="n"/>
      <c r="G26" s="45" t="n"/>
      <c r="J26" s="44">
        <f>IF($B26="","FALSE","TRUE")</f>
        <v/>
      </c>
      <c r="K26" s="37">
        <f t="array" ref="K26">IsURL(Table_1212151012[[#This Row],[Data Source]])</f>
        <v/>
      </c>
      <c r="L26" s="37">
        <f t="array" ref="L26">IsURL(Table_1212151012[[#This Row],[DOI]])</f>
        <v/>
      </c>
      <c r="M26" s="37">
        <f t="array" ref="M26">IsURL(Table_1212151012[[#This Row],[Data Source]])</f>
        <v/>
      </c>
      <c r="N26" s="37">
        <f t="array" ref="N26">IsURL(Table_1212151012[[#This Row],[Data Source]])</f>
        <v/>
      </c>
    </row>
    <row r="27" ht="15.75" customHeight="1">
      <c r="A27" s="37">
        <f>IF(Table_1212151012[[#This Row],[Signal Name]]=0,"",Table_1212151012[[#This Row],[Signal Name]])</f>
        <v/>
      </c>
      <c r="D27" s="42" t="n"/>
      <c r="E27" s="42" t="n"/>
      <c r="G27" s="45" t="n"/>
      <c r="J27" s="44">
        <f>IF($B27="","FALSE","TRUE")</f>
        <v/>
      </c>
      <c r="K27" s="37">
        <f t="array" ref="K27">IsURL(Table_1212151012[[#This Row],[Data Source]])</f>
        <v/>
      </c>
      <c r="L27" s="37">
        <f t="array" ref="L27">IsURL(Table_1212151012[[#This Row],[DOI]])</f>
        <v/>
      </c>
      <c r="M27" s="37">
        <f t="array" ref="M27">IsURL(Table_1212151012[[#This Row],[Data Source]])</f>
        <v/>
      </c>
      <c r="N27" s="37">
        <f t="array" ref="N27">IsURL(Table_1212151012[[#This Row],[Data Source]])</f>
        <v/>
      </c>
    </row>
    <row r="28" ht="15.75" customHeight="1">
      <c r="A28" s="37">
        <f>IF(Table_1212151012[[#This Row],[Signal Name]]=0,"",Table_1212151012[[#This Row],[Signal Name]])</f>
        <v/>
      </c>
      <c r="D28" s="42" t="n"/>
      <c r="E28" s="42" t="n"/>
      <c r="G28" s="45" t="n"/>
      <c r="J28" s="44">
        <f>IF($B28="","FALSE","TRUE")</f>
        <v/>
      </c>
      <c r="K28" s="37">
        <f t="array" ref="K28">IsURL(Table_1212151012[[#This Row],[Data Source]])</f>
        <v/>
      </c>
      <c r="L28" s="37">
        <f t="array" ref="L28">IsURL(Table_1212151012[[#This Row],[DOI]])</f>
        <v/>
      </c>
      <c r="M28" s="37">
        <f t="array" ref="M28">IsURL(Table_1212151012[[#This Row],[Data Source]])</f>
        <v/>
      </c>
      <c r="N28" s="37">
        <f t="array" ref="N28">IsURL(Table_1212151012[[#This Row],[Data Source]])</f>
        <v/>
      </c>
    </row>
    <row r="29" ht="15.75" customHeight="1">
      <c r="A29" s="37">
        <f>IF(Table_1212151012[[#This Row],[Signal Name]]=0,"",Table_1212151012[[#This Row],[Signal Name]])</f>
        <v/>
      </c>
      <c r="D29" s="42" t="n"/>
      <c r="E29" s="42" t="n"/>
      <c r="G29" s="45" t="n"/>
      <c r="J29" s="44">
        <f>IF($B29="","FALSE","TRUE")</f>
        <v/>
      </c>
      <c r="K29" s="37">
        <f t="array" ref="K29">IsURL(Table_1212151012[[#This Row],[Data Source]])</f>
        <v/>
      </c>
      <c r="L29" s="37">
        <f t="array" ref="L29">IsURL(Table_1212151012[[#This Row],[DOI]])</f>
        <v/>
      </c>
      <c r="M29" s="37">
        <f t="array" ref="M29">IsURL(Table_1212151012[[#This Row],[Data Source]])</f>
        <v/>
      </c>
      <c r="N29" s="37">
        <f t="array" ref="N29">IsURL(Table_1212151012[[#This Row],[Data Source]])</f>
        <v/>
      </c>
    </row>
    <row r="30" ht="15.75" customHeight="1">
      <c r="A30" s="37">
        <f>IF(Table_1212151012[[#This Row],[Signal Name]]=0,"",Table_1212151012[[#This Row],[Signal Name]])</f>
        <v/>
      </c>
      <c r="D30" s="42" t="n"/>
      <c r="E30" s="42" t="n"/>
      <c r="G30" s="45" t="n"/>
      <c r="J30" s="44">
        <f>IF($B30="","FALSE","TRUE")</f>
        <v/>
      </c>
      <c r="K30" s="37">
        <f t="array" ref="K30">IsURL(Table_1212151012[[#This Row],[Data Source]])</f>
        <v/>
      </c>
      <c r="L30" s="37">
        <f t="array" ref="L30">IsURL(Table_1212151012[[#This Row],[DOI]])</f>
        <v/>
      </c>
      <c r="M30" s="37">
        <f t="array" ref="M30">IsURL(Table_1212151012[[#This Row],[Data Source]])</f>
        <v/>
      </c>
      <c r="N30" s="37">
        <f t="array" ref="N30">IsURL(Table_1212151012[[#This Row],[Data Source]])</f>
        <v/>
      </c>
    </row>
    <row r="31" ht="15.75" customHeight="1">
      <c r="A31" s="37">
        <f>IF(Table_1212151012[[#This Row],[Signal Name]]=0,"",Table_1212151012[[#This Row],[Signal Name]])</f>
        <v/>
      </c>
      <c r="D31" s="42" t="n"/>
      <c r="E31" s="42" t="n"/>
      <c r="G31" s="45" t="n"/>
      <c r="J31" s="44">
        <f>IF($B31="","FALSE","TRUE")</f>
        <v/>
      </c>
      <c r="K31" s="37">
        <f t="array" ref="K31">IsURL(Table_1212151012[[#This Row],[Data Source]])</f>
        <v/>
      </c>
      <c r="L31" s="37">
        <f t="array" ref="L31">IsURL(Table_1212151012[[#This Row],[DOI]])</f>
        <v/>
      </c>
      <c r="M31" s="37">
        <f t="array" ref="M31">IsURL(Table_1212151012[[#This Row],[Data Source]])</f>
        <v/>
      </c>
      <c r="N31" s="37">
        <f t="array" ref="N31">IsURL(Table_1212151012[[#This Row],[Data Source]])</f>
        <v/>
      </c>
    </row>
    <row r="32" ht="15.75" customHeight="1">
      <c r="A32" s="37">
        <f>IF(Table_1212151012[[#This Row],[Signal Name]]=0,"",Table_1212151012[[#This Row],[Signal Name]])</f>
        <v/>
      </c>
      <c r="D32" s="42" t="n"/>
      <c r="E32" s="42" t="n"/>
      <c r="G32" s="45" t="n"/>
      <c r="J32" s="44">
        <f>IF($B32="","FALSE","TRUE")</f>
        <v/>
      </c>
      <c r="K32" s="37">
        <f t="array" ref="K32">IsURL(Table_1212151012[[#This Row],[Data Source]])</f>
        <v/>
      </c>
      <c r="L32" s="37">
        <f t="array" ref="L32">IsURL(Table_1212151012[[#This Row],[DOI]])</f>
        <v/>
      </c>
      <c r="M32" s="37">
        <f t="array" ref="M32">IsURL(Table_1212151012[[#This Row],[Data Source]])</f>
        <v/>
      </c>
      <c r="N32" s="37">
        <f t="array" ref="N32">IsURL(Table_1212151012[[#This Row],[Data Source]])</f>
        <v/>
      </c>
    </row>
    <row r="33" ht="15.75" customHeight="1">
      <c r="A33" s="37">
        <f>IF(Table_1212151012[[#This Row],[Signal Name]]=0,"",Table_1212151012[[#This Row],[Signal Name]])</f>
        <v/>
      </c>
      <c r="D33" s="42" t="n"/>
      <c r="E33" s="42" t="n"/>
      <c r="G33" s="45" t="n"/>
      <c r="J33" s="44">
        <f>IF($B33="","FALSE","TRUE")</f>
        <v/>
      </c>
      <c r="K33" s="37">
        <f t="array" ref="K33">IsURL(Table_1212151012[[#This Row],[Data Source]])</f>
        <v/>
      </c>
      <c r="L33" s="37">
        <f t="array" ref="L33">IsURL(Table_1212151012[[#This Row],[DOI]])</f>
        <v/>
      </c>
      <c r="M33" s="37">
        <f t="array" ref="M33">IsURL(Table_1212151012[[#This Row],[Data Source]])</f>
        <v/>
      </c>
      <c r="N33" s="37">
        <f t="array" ref="N33">IsURL(Table_1212151012[[#This Row],[Data Source]])</f>
        <v/>
      </c>
    </row>
    <row r="34" ht="15.75" customHeight="1">
      <c r="A34" s="37">
        <f>IF(Table_1212151012[[#This Row],[Signal Name]]=0,"",Table_1212151012[[#This Row],[Signal Name]])</f>
        <v/>
      </c>
      <c r="D34" s="42" t="n"/>
      <c r="E34" s="42" t="n"/>
      <c r="G34" s="45" t="n"/>
      <c r="J34" s="44">
        <f>IF($B34="","FALSE","TRUE")</f>
        <v/>
      </c>
      <c r="K34" s="37">
        <f t="array" ref="K34">IsURL(Table_1212151012[[#This Row],[Data Source]])</f>
        <v/>
      </c>
      <c r="L34" s="37">
        <f t="array" ref="L34">IsURL(Table_1212151012[[#This Row],[DOI]])</f>
        <v/>
      </c>
      <c r="M34" s="37">
        <f t="array" ref="M34">IsURL(Table_1212151012[[#This Row],[Data Source]])</f>
        <v/>
      </c>
      <c r="N34" s="37">
        <f t="array" ref="N34">IsURL(Table_1212151012[[#This Row],[Data Source]])</f>
        <v/>
      </c>
    </row>
    <row r="35" ht="15.75" customHeight="1">
      <c r="A35" s="37">
        <f>IF(Table_1212151012[[#This Row],[Signal Name]]=0,"",Table_1212151012[[#This Row],[Signal Name]])</f>
        <v/>
      </c>
      <c r="D35" s="42" t="n"/>
      <c r="E35" s="42" t="n"/>
      <c r="G35" s="45" t="n"/>
      <c r="J35" s="44">
        <f>IF($B35="","FALSE","TRUE")</f>
        <v/>
      </c>
      <c r="K35" s="37">
        <f t="array" ref="K35">IsURL(Table_1212151012[[#This Row],[Data Source]])</f>
        <v/>
      </c>
      <c r="L35" s="37">
        <f t="array" ref="L35">IsURL(Table_1212151012[[#This Row],[DOI]])</f>
        <v/>
      </c>
      <c r="M35" s="37">
        <f t="array" ref="M35">IsURL(Table_1212151012[[#This Row],[Data Source]])</f>
        <v/>
      </c>
      <c r="N35" s="37">
        <f t="array" ref="N35">IsURL(Table_1212151012[[#This Row],[Data Source]])</f>
        <v/>
      </c>
    </row>
    <row r="36" ht="15.75" customHeight="1">
      <c r="A36" s="37">
        <f>IF(Table_1212151012[[#This Row],[Signal Name]]=0,"",Table_1212151012[[#This Row],[Signal Name]])</f>
        <v/>
      </c>
      <c r="D36" s="42" t="n"/>
      <c r="E36" s="42" t="n"/>
      <c r="G36" s="45" t="n"/>
      <c r="J36" s="44">
        <f>IF($B36="","FALSE","TRUE")</f>
        <v/>
      </c>
      <c r="K36" s="37">
        <f t="array" ref="K36">IsURL(Table_1212151012[[#This Row],[Data Source]])</f>
        <v/>
      </c>
      <c r="L36" s="37">
        <f t="array" ref="L36">IsURL(Table_1212151012[[#This Row],[DOI]])</f>
        <v/>
      </c>
      <c r="M36" s="37">
        <f t="array" ref="M36">IsURL(Table_1212151012[[#This Row],[Data Source]])</f>
        <v/>
      </c>
      <c r="N36" s="37">
        <f t="array" ref="N36">IsURL(Table_1212151012[[#This Row],[Data Source]])</f>
        <v/>
      </c>
    </row>
    <row r="37" ht="15.75" customHeight="1">
      <c r="A37" s="37">
        <f>IF(Table_1212151012[[#This Row],[Signal Name]]=0,"",Table_1212151012[[#This Row],[Signal Name]])</f>
        <v/>
      </c>
      <c r="D37" s="42" t="n"/>
      <c r="E37" s="42" t="n"/>
      <c r="G37" s="45" t="n"/>
      <c r="J37" s="44">
        <f>IF($B37="","FALSE","TRUE")</f>
        <v/>
      </c>
      <c r="K37" s="37">
        <f t="array" ref="K37">IsURL(Table_1212151012[[#This Row],[Data Source]])</f>
        <v/>
      </c>
      <c r="L37" s="37">
        <f t="array" ref="L37">IsURL(Table_1212151012[[#This Row],[DOI]])</f>
        <v/>
      </c>
      <c r="M37" s="37">
        <f t="array" ref="M37">IsURL(Table_1212151012[[#This Row],[Data Source]])</f>
        <v/>
      </c>
      <c r="N37" s="37">
        <f t="array" ref="N37">IsURL(Table_1212151012[[#This Row],[Data Source]])</f>
        <v/>
      </c>
    </row>
    <row r="38" ht="15.75" customHeight="1">
      <c r="A38" s="37">
        <f>IF(Table_1212151012[[#This Row],[Signal Name]]=0,"",Table_1212151012[[#This Row],[Signal Name]])</f>
        <v/>
      </c>
      <c r="D38" s="42" t="n"/>
      <c r="E38" s="42" t="n"/>
      <c r="G38" s="45" t="n"/>
      <c r="J38" s="44">
        <f>IF($B38="","FALSE","TRUE")</f>
        <v/>
      </c>
      <c r="K38" s="37">
        <f t="array" ref="K38">IsURL(Table_1212151012[[#This Row],[Data Source]])</f>
        <v/>
      </c>
      <c r="L38" s="37">
        <f t="array" ref="L38">IsURL(Table_1212151012[[#This Row],[DOI]])</f>
        <v/>
      </c>
      <c r="M38" s="37">
        <f t="array" ref="M38">IsURL(Table_1212151012[[#This Row],[Data Source]])</f>
        <v/>
      </c>
      <c r="N38" s="37">
        <f t="array" ref="N38">IsURL(Table_1212151012[[#This Row],[Data Source]])</f>
        <v/>
      </c>
    </row>
    <row r="39" ht="15.75" customHeight="1">
      <c r="A39" s="37">
        <f>IF(Table_1212151012[[#This Row],[Signal Name]]=0,"",Table_1212151012[[#This Row],[Signal Name]])</f>
        <v/>
      </c>
      <c r="D39" s="42" t="n"/>
      <c r="E39" s="42" t="n"/>
      <c r="G39" s="45" t="n"/>
      <c r="J39" s="44">
        <f>IF($B39="","FALSE","TRUE")</f>
        <v/>
      </c>
      <c r="K39" s="37">
        <f t="array" ref="K39">IsURL(Table_1212151012[[#This Row],[Data Source]])</f>
        <v/>
      </c>
      <c r="L39" s="37">
        <f t="array" ref="L39">IsURL(Table_1212151012[[#This Row],[DOI]])</f>
        <v/>
      </c>
      <c r="M39" s="37">
        <f t="array" ref="M39">IsURL(Table_1212151012[[#This Row],[Data Source]])</f>
        <v/>
      </c>
      <c r="N39" s="37">
        <f t="array" ref="N39">IsURL(Table_1212151012[[#This Row],[Data Source]])</f>
        <v/>
      </c>
    </row>
    <row r="40" ht="15.75" customHeight="1">
      <c r="A40" s="37">
        <f>IF(Table_1212151012[[#This Row],[Signal Name]]=0,"",Table_1212151012[[#This Row],[Signal Name]])</f>
        <v/>
      </c>
      <c r="D40" s="42" t="n"/>
      <c r="E40" s="42" t="n"/>
      <c r="G40" s="45" t="n"/>
      <c r="J40" s="44">
        <f>IF($B40="","FALSE","TRUE")</f>
        <v/>
      </c>
      <c r="K40" s="37">
        <f t="array" ref="K40">IsURL(Table_1212151012[[#This Row],[Data Source]])</f>
        <v/>
      </c>
      <c r="L40" s="37">
        <f t="array" ref="L40">IsURL(Table_1212151012[[#This Row],[DOI]])</f>
        <v/>
      </c>
      <c r="M40" s="37">
        <f t="array" ref="M40">IsURL(Table_1212151012[[#This Row],[Data Source]])</f>
        <v/>
      </c>
      <c r="N40" s="37">
        <f t="array" ref="N40">IsURL(Table_1212151012[[#This Row],[Data Source]])</f>
        <v/>
      </c>
    </row>
    <row r="41" ht="15.75" customHeight="1">
      <c r="A41" s="37">
        <f>IF(Table_1212151012[[#This Row],[Signal Name]]=0,"",Table_1212151012[[#This Row],[Signal Name]])</f>
        <v/>
      </c>
      <c r="D41" s="42" t="n"/>
      <c r="E41" s="42" t="n"/>
      <c r="G41" s="45" t="n"/>
      <c r="J41" s="44">
        <f>IF($B41="","FALSE","TRUE")</f>
        <v/>
      </c>
      <c r="K41" s="37">
        <f t="array" ref="K41">IsURL(Table_1212151012[[#This Row],[Data Source]])</f>
        <v/>
      </c>
      <c r="L41" s="37">
        <f t="array" ref="L41">IsURL(Table_1212151012[[#This Row],[DOI]])</f>
        <v/>
      </c>
      <c r="M41" s="37">
        <f t="array" ref="M41">IsURL(Table_1212151012[[#This Row],[Data Source]])</f>
        <v/>
      </c>
      <c r="N41" s="37">
        <f t="array" ref="N41">IsURL(Table_1212151012[[#This Row],[Data Source]])</f>
        <v/>
      </c>
    </row>
    <row r="42" ht="15.75" customHeight="1">
      <c r="A42" s="37">
        <f>IF(Table_1212151012[[#This Row],[Signal Name]]=0,"",Table_1212151012[[#This Row],[Signal Name]])</f>
        <v/>
      </c>
      <c r="D42" s="42" t="n"/>
      <c r="E42" s="42" t="n"/>
      <c r="G42" s="45" t="n"/>
      <c r="J42" s="44">
        <f>IF($B42="","FALSE","TRUE")</f>
        <v/>
      </c>
      <c r="K42" s="37">
        <f t="array" ref="K42">IsURL(Table_1212151012[[#This Row],[Data Source]])</f>
        <v/>
      </c>
      <c r="L42" s="37">
        <f t="array" ref="L42">IsURL(Table_1212151012[[#This Row],[DOI]])</f>
        <v/>
      </c>
      <c r="M42" s="37">
        <f t="array" ref="M42">IsURL(Table_1212151012[[#This Row],[Data Source]])</f>
        <v/>
      </c>
      <c r="N42" s="37">
        <f t="array" ref="N42">IsURL(Table_1212151012[[#This Row],[Data Source]])</f>
        <v/>
      </c>
    </row>
    <row r="43" ht="15.75" customHeight="1">
      <c r="A43" s="37">
        <f>IF(Table_1212151012[[#This Row],[Signal Name]]=0,"",Table_1212151012[[#This Row],[Signal Name]])</f>
        <v/>
      </c>
      <c r="D43" s="42" t="n"/>
      <c r="E43" s="42" t="n"/>
      <c r="G43" s="45" t="n"/>
      <c r="J43" s="44">
        <f>IF($B43="","FALSE","TRUE")</f>
        <v/>
      </c>
      <c r="K43" s="37">
        <f t="array" ref="K43">IsURL(Table_1212151012[[#This Row],[Data Source]])</f>
        <v/>
      </c>
      <c r="L43" s="37">
        <f t="array" ref="L43">IsURL(Table_1212151012[[#This Row],[DOI]])</f>
        <v/>
      </c>
      <c r="M43" s="37">
        <f t="array" ref="M43">IsURL(Table_1212151012[[#This Row],[Data Source]])</f>
        <v/>
      </c>
      <c r="N43" s="37">
        <f t="array" ref="N43">IsURL(Table_1212151012[[#This Row],[Data Source]])</f>
        <v/>
      </c>
    </row>
    <row r="44" ht="15.75" customHeight="1">
      <c r="A44" s="37">
        <f>IF(Table_1212151012[[#This Row],[Signal Name]]=0,"",Table_1212151012[[#This Row],[Signal Name]])</f>
        <v/>
      </c>
      <c r="D44" s="42" t="n"/>
      <c r="E44" s="42" t="n"/>
      <c r="G44" s="45" t="n"/>
      <c r="J44" s="44">
        <f>IF($B44="","FALSE","TRUE")</f>
        <v/>
      </c>
      <c r="K44" s="37">
        <f t="array" ref="K44">IsURL(Table_1212151012[[#This Row],[Data Source]])</f>
        <v/>
      </c>
      <c r="L44" s="37">
        <f t="array" ref="L44">IsURL(Table_1212151012[[#This Row],[DOI]])</f>
        <v/>
      </c>
      <c r="M44" s="37">
        <f t="array" ref="M44">IsURL(Table_1212151012[[#This Row],[Data Source]])</f>
        <v/>
      </c>
      <c r="N44" s="37">
        <f t="array" ref="N44">IsURL(Table_1212151012[[#This Row],[Data Source]])</f>
        <v/>
      </c>
    </row>
    <row r="45" ht="15.75" customHeight="1">
      <c r="A45" s="37">
        <f>IF(Table_1212151012[[#This Row],[Signal Name]]=0,"",Table_1212151012[[#This Row],[Signal Name]])</f>
        <v/>
      </c>
      <c r="D45" s="42" t="n"/>
      <c r="E45" s="42" t="n"/>
      <c r="G45" s="45" t="n"/>
      <c r="J45" s="44">
        <f>IF($B45="","FALSE","TRUE")</f>
        <v/>
      </c>
      <c r="K45" s="37">
        <f t="array" ref="K45">IsURL(Table_1212151012[[#This Row],[Data Source]])</f>
        <v/>
      </c>
      <c r="L45" s="37">
        <f t="array" ref="L45">IsURL(Table_1212151012[[#This Row],[DOI]])</f>
        <v/>
      </c>
      <c r="M45" s="37">
        <f t="array" ref="M45">IsURL(Table_1212151012[[#This Row],[Data Source]])</f>
        <v/>
      </c>
      <c r="N45" s="37">
        <f t="array" ref="N45">IsURL(Table_1212151012[[#This Row],[Data Source]])</f>
        <v/>
      </c>
    </row>
    <row r="46" ht="15.75" customHeight="1">
      <c r="A46" s="37">
        <f>IF(Table_1212151012[[#This Row],[Signal Name]]=0,"",Table_1212151012[[#This Row],[Signal Name]])</f>
        <v/>
      </c>
      <c r="D46" s="42" t="n"/>
      <c r="E46" s="42" t="n"/>
      <c r="G46" s="45" t="n"/>
      <c r="J46" s="44">
        <f>IF($B46="","FALSE","TRUE")</f>
        <v/>
      </c>
      <c r="K46" s="37">
        <f t="array" ref="K46">IsURL(Table_1212151012[[#This Row],[Data Source]])</f>
        <v/>
      </c>
      <c r="L46" s="37">
        <f t="array" ref="L46">IsURL(Table_1212151012[[#This Row],[DOI]])</f>
        <v/>
      </c>
      <c r="M46" s="37">
        <f t="array" ref="M46">IsURL(Table_1212151012[[#This Row],[Data Source]])</f>
        <v/>
      </c>
      <c r="N46" s="37">
        <f t="array" ref="N46">IsURL(Table_1212151012[[#This Row],[Data Source]])</f>
        <v/>
      </c>
    </row>
    <row r="47" ht="15.75" customHeight="1">
      <c r="A47" s="37">
        <f>IF(Table_1212151012[[#This Row],[Signal Name]]=0,"",Table_1212151012[[#This Row],[Signal Name]])</f>
        <v/>
      </c>
      <c r="D47" s="42" t="n"/>
      <c r="E47" s="42" t="n"/>
      <c r="G47" s="45" t="n"/>
      <c r="J47" s="44">
        <f>IF($B47="","FALSE","TRUE")</f>
        <v/>
      </c>
      <c r="K47" s="37">
        <f t="array" ref="K47">IsURL(Table_1212151012[[#This Row],[Data Source]])</f>
        <v/>
      </c>
      <c r="L47" s="37">
        <f t="array" ref="L47">IsURL(Table_1212151012[[#This Row],[DOI]])</f>
        <v/>
      </c>
      <c r="M47" s="37">
        <f t="array" ref="M47">IsURL(Table_1212151012[[#This Row],[Data Source]])</f>
        <v/>
      </c>
      <c r="N47" s="37">
        <f t="array" ref="N47">IsURL(Table_1212151012[[#This Row],[Data Source]])</f>
        <v/>
      </c>
    </row>
    <row r="48" ht="15.75" customHeight="1">
      <c r="A48" s="37">
        <f>IF(Table_1212151012[[#This Row],[Signal Name]]=0,"",Table_1212151012[[#This Row],[Signal Name]])</f>
        <v/>
      </c>
      <c r="D48" s="42" t="n"/>
      <c r="E48" s="42" t="n"/>
      <c r="G48" s="45" t="n"/>
      <c r="J48" s="44">
        <f>IF($B48="","FALSE","TRUE")</f>
        <v/>
      </c>
      <c r="K48" s="37">
        <f t="array" ref="K48">IsURL(Table_1212151012[[#This Row],[Data Source]])</f>
        <v/>
      </c>
      <c r="L48" s="37">
        <f t="array" ref="L48">IsURL(Table_1212151012[[#This Row],[DOI]])</f>
        <v/>
      </c>
      <c r="M48" s="37">
        <f t="array" ref="M48">IsURL(Table_1212151012[[#This Row],[Data Source]])</f>
        <v/>
      </c>
      <c r="N48" s="37">
        <f t="array" ref="N48">IsURL(Table_1212151012[[#This Row],[Data Source]])</f>
        <v/>
      </c>
    </row>
    <row r="49" ht="15.75" customHeight="1">
      <c r="A49" s="37">
        <f>IF(Table_1212151012[[#This Row],[Signal Name]]=0,"",Table_1212151012[[#This Row],[Signal Name]])</f>
        <v/>
      </c>
      <c r="D49" s="42" t="n"/>
      <c r="E49" s="42" t="n"/>
      <c r="G49" s="45" t="n"/>
      <c r="J49" s="44">
        <f>IF($B49="","FALSE","TRUE")</f>
        <v/>
      </c>
      <c r="K49" s="37">
        <f t="array" ref="K49">IsURL(Table_1212151012[[#This Row],[Data Source]])</f>
        <v/>
      </c>
      <c r="L49" s="37">
        <f t="array" ref="L49">IsURL(Table_1212151012[[#This Row],[DOI]])</f>
        <v/>
      </c>
      <c r="M49" s="37">
        <f t="array" ref="M49">IsURL(Table_1212151012[[#This Row],[Data Source]])</f>
        <v/>
      </c>
      <c r="N49" s="37">
        <f t="array" ref="N49">IsURL(Table_1212151012[[#This Row],[Data Source]])</f>
        <v/>
      </c>
    </row>
    <row r="50" ht="15.75" customHeight="1">
      <c r="A50" s="37">
        <f>IF(Table_1212151012[[#This Row],[Signal Name]]=0,"",Table_1212151012[[#This Row],[Signal Name]])</f>
        <v/>
      </c>
      <c r="D50" s="42" t="n"/>
      <c r="E50" s="42" t="n"/>
      <c r="G50" s="45" t="n"/>
      <c r="J50" s="44">
        <f>IF($B50="","FALSE","TRUE")</f>
        <v/>
      </c>
      <c r="K50" s="37">
        <f t="array" ref="K50">IsURL(Table_1212151012[[#This Row],[Data Source]])</f>
        <v/>
      </c>
      <c r="L50" s="37">
        <f t="array" ref="L50">IsURL(Table_1212151012[[#This Row],[DOI]])</f>
        <v/>
      </c>
      <c r="M50" s="37">
        <f t="array" ref="M50">IsURL(Table_1212151012[[#This Row],[Data Source]])</f>
        <v/>
      </c>
      <c r="N50" s="37">
        <f t="array" ref="N50">IsURL(Table_1212151012[[#This Row],[Data Source]])</f>
        <v/>
      </c>
    </row>
    <row r="51" ht="15.75" customHeight="1">
      <c r="A51" s="37">
        <f>IF(Table_1212151012[[#This Row],[Signal Name]]=0,"",Table_1212151012[[#This Row],[Signal Name]])</f>
        <v/>
      </c>
      <c r="D51" s="42" t="n"/>
      <c r="E51" s="42" t="n"/>
      <c r="G51" s="45" t="n"/>
      <c r="J51" s="44">
        <f>IF($B51="","FALSE","TRUE")</f>
        <v/>
      </c>
      <c r="K51" s="37">
        <f t="array" ref="K51">IsURL(Table_1212151012[[#This Row],[Data Source]])</f>
        <v/>
      </c>
      <c r="L51" s="37">
        <f t="array" ref="L51">IsURL(Table_1212151012[[#This Row],[DOI]])</f>
        <v/>
      </c>
      <c r="M51" s="37">
        <f t="array" ref="M51">IsURL(Table_1212151012[[#This Row],[Data Source]])</f>
        <v/>
      </c>
      <c r="N51" s="37">
        <f t="array" ref="N51">IsURL(Table_1212151012[[#This Row],[Data Source]])</f>
        <v/>
      </c>
    </row>
    <row r="52" ht="15.75" customHeight="1">
      <c r="A52" s="37">
        <f>IF(Table_1212151012[[#This Row],[Signal Name]]=0,"",Table_1212151012[[#This Row],[Signal Name]])</f>
        <v/>
      </c>
      <c r="D52" s="42" t="n"/>
      <c r="E52" s="42" t="n"/>
      <c r="G52" s="45" t="n"/>
      <c r="J52" s="44">
        <f>IF($B52="","FALSE","TRUE")</f>
        <v/>
      </c>
      <c r="K52" s="37">
        <f t="array" ref="K52">IsURL(Table_1212151012[[#This Row],[Data Source]])</f>
        <v/>
      </c>
      <c r="L52" s="37">
        <f t="array" ref="L52">IsURL(Table_1212151012[[#This Row],[DOI]])</f>
        <v/>
      </c>
      <c r="M52" s="37">
        <f t="array" ref="M52">IsURL(Table_1212151012[[#This Row],[Data Source]])</f>
        <v/>
      </c>
      <c r="N52" s="37">
        <f t="array" ref="N52">IsURL(Table_1212151012[[#This Row],[Data Source]])</f>
        <v/>
      </c>
    </row>
    <row r="53" ht="15.75" customHeight="1">
      <c r="A53" s="37">
        <f>IF(Table_1212151012[[#This Row],[Signal Name]]=0,"",Table_1212151012[[#This Row],[Signal Name]])</f>
        <v/>
      </c>
      <c r="D53" s="42" t="n"/>
      <c r="E53" s="42" t="n"/>
      <c r="G53" s="45" t="n"/>
      <c r="J53" s="44">
        <f>IF($B53="","FALSE","TRUE")</f>
        <v/>
      </c>
      <c r="K53" s="37">
        <f t="array" ref="K53">IsURL(Table_1212151012[[#This Row],[Data Source]])</f>
        <v/>
      </c>
      <c r="L53" s="37">
        <f t="array" ref="L53">IsURL(Table_1212151012[[#This Row],[DOI]])</f>
        <v/>
      </c>
      <c r="M53" s="37">
        <f t="array" ref="M53">IsURL(Table_1212151012[[#This Row],[Data Source]])</f>
        <v/>
      </c>
      <c r="N53" s="37">
        <f t="array" ref="N53">IsURL(Table_1212151012[[#This Row],[Data Source]])</f>
        <v/>
      </c>
    </row>
    <row r="54" ht="15.75" customHeight="1">
      <c r="A54" s="37">
        <f>IF(Table_1212151012[[#This Row],[Signal Name]]=0,"",Table_1212151012[[#This Row],[Signal Name]])</f>
        <v/>
      </c>
      <c r="D54" s="42" t="n"/>
      <c r="E54" s="42" t="n"/>
      <c r="G54" s="45" t="n"/>
      <c r="J54" s="44">
        <f>IF($B54="","FALSE","TRUE")</f>
        <v/>
      </c>
      <c r="K54" s="37">
        <f t="array" ref="K54">IsURL(Table_1212151012[[#This Row],[Data Source]])</f>
        <v/>
      </c>
      <c r="L54" s="37">
        <f t="array" ref="L54">IsURL(Table_1212151012[[#This Row],[DOI]])</f>
        <v/>
      </c>
      <c r="M54" s="37">
        <f t="array" ref="M54">IsURL(Table_1212151012[[#This Row],[Data Source]])</f>
        <v/>
      </c>
      <c r="N54" s="37">
        <f t="array" ref="N54">IsURL(Table_1212151012[[#This Row],[Data Source]])</f>
        <v/>
      </c>
    </row>
    <row r="55" ht="15.75" customHeight="1">
      <c r="A55" s="37">
        <f>IF(Table_1212151012[[#This Row],[Signal Name]]=0,"",Table_1212151012[[#This Row],[Signal Name]])</f>
        <v/>
      </c>
      <c r="D55" s="42" t="n"/>
      <c r="E55" s="42" t="n"/>
      <c r="G55" s="45" t="n"/>
      <c r="J55" s="44">
        <f>IF($B55="","FALSE","TRUE")</f>
        <v/>
      </c>
      <c r="K55" s="37">
        <f t="array" ref="K55">IsURL(Table_1212151012[[#This Row],[Data Source]])</f>
        <v/>
      </c>
      <c r="L55" s="37">
        <f t="array" ref="L55">IsURL(Table_1212151012[[#This Row],[DOI]])</f>
        <v/>
      </c>
      <c r="M55" s="37">
        <f t="array" ref="M55">IsURL(Table_1212151012[[#This Row],[Data Source]])</f>
        <v/>
      </c>
      <c r="N55" s="37">
        <f t="array" ref="N55">IsURL(Table_1212151012[[#This Row],[Data Source]])</f>
        <v/>
      </c>
    </row>
    <row r="56" ht="15.75" customHeight="1">
      <c r="A56" s="37">
        <f>IF(Table_1212151012[[#This Row],[Signal Name]]=0,"",Table_1212151012[[#This Row],[Signal Name]])</f>
        <v/>
      </c>
      <c r="D56" s="42" t="n"/>
      <c r="E56" s="42" t="n"/>
      <c r="G56" s="45" t="n"/>
      <c r="J56" s="44">
        <f>IF($B56="","FALSE","TRUE")</f>
        <v/>
      </c>
      <c r="K56" s="37">
        <f t="array" ref="K56">IsURL(Table_1212151012[[#This Row],[Data Source]])</f>
        <v/>
      </c>
      <c r="L56" s="37">
        <f t="array" ref="L56">IsURL(Table_1212151012[[#This Row],[DOI]])</f>
        <v/>
      </c>
      <c r="M56" s="37">
        <f t="array" ref="M56">IsURL(Table_1212151012[[#This Row],[Data Source]])</f>
        <v/>
      </c>
      <c r="N56" s="37">
        <f t="array" ref="N56">IsURL(Table_1212151012[[#This Row],[Data Source]])</f>
        <v/>
      </c>
    </row>
    <row r="57" ht="15.75" customHeight="1">
      <c r="A57" s="37">
        <f>IF(Table_1212151012[[#This Row],[Signal Name]]=0,"",Table_1212151012[[#This Row],[Signal Name]])</f>
        <v/>
      </c>
      <c r="D57" s="42" t="n"/>
      <c r="E57" s="42" t="n"/>
      <c r="G57" s="45" t="n"/>
      <c r="J57" s="44">
        <f>IF($B57="","FALSE","TRUE")</f>
        <v/>
      </c>
      <c r="K57" s="37">
        <f t="array" ref="K57">IsURL(Table_1212151012[[#This Row],[Data Source]])</f>
        <v/>
      </c>
      <c r="L57" s="37">
        <f t="array" ref="L57">IsURL(Table_1212151012[[#This Row],[DOI]])</f>
        <v/>
      </c>
      <c r="M57" s="37">
        <f t="array" ref="M57">IsURL(Table_1212151012[[#This Row],[Data Source]])</f>
        <v/>
      </c>
      <c r="N57" s="37">
        <f t="array" ref="N57">IsURL(Table_1212151012[[#This Row],[Data Source]])</f>
        <v/>
      </c>
    </row>
    <row r="58" ht="15.75" customHeight="1">
      <c r="A58" s="37">
        <f>IF(Table_1212151012[[#This Row],[Signal Name]]=0,"",Table_1212151012[[#This Row],[Signal Name]])</f>
        <v/>
      </c>
      <c r="D58" s="42" t="n"/>
      <c r="E58" s="42" t="n"/>
      <c r="G58" s="45" t="n"/>
      <c r="J58" s="44">
        <f>IF($B58="","FALSE","TRUE")</f>
        <v/>
      </c>
      <c r="K58" s="37">
        <f t="array" ref="K58">IsURL(Table_1212151012[[#This Row],[Data Source]])</f>
        <v/>
      </c>
      <c r="L58" s="37">
        <f t="array" ref="L58">IsURL(Table_1212151012[[#This Row],[DOI]])</f>
        <v/>
      </c>
      <c r="M58" s="37">
        <f t="array" ref="M58">IsURL(Table_1212151012[[#This Row],[Data Source]])</f>
        <v/>
      </c>
      <c r="N58" s="37">
        <f t="array" ref="N58">IsURL(Table_1212151012[[#This Row],[Data Source]])</f>
        <v/>
      </c>
    </row>
    <row r="59" ht="15.75" customHeight="1">
      <c r="A59" s="37">
        <f>IF(Table_1212151012[[#This Row],[Signal Name]]=0,"",Table_1212151012[[#This Row],[Signal Name]])</f>
        <v/>
      </c>
      <c r="D59" s="42" t="n"/>
      <c r="E59" s="42" t="n"/>
      <c r="G59" s="45" t="n"/>
      <c r="J59" s="44">
        <f>IF($B59="","FALSE","TRUE")</f>
        <v/>
      </c>
      <c r="K59" s="37">
        <f t="array" ref="K59">IsURL(Table_1212151012[[#This Row],[Data Source]])</f>
        <v/>
      </c>
      <c r="L59" s="37">
        <f t="array" ref="L59">IsURL(Table_1212151012[[#This Row],[DOI]])</f>
        <v/>
      </c>
      <c r="M59" s="37">
        <f t="array" ref="M59">IsURL(Table_1212151012[[#This Row],[Data Source]])</f>
        <v/>
      </c>
      <c r="N59" s="37">
        <f t="array" ref="N59">IsURL(Table_1212151012[[#This Row],[Data Source]])</f>
        <v/>
      </c>
    </row>
    <row r="60" ht="15.75" customHeight="1">
      <c r="A60" s="37">
        <f>IF(Table_1212151012[[#This Row],[Signal Name]]=0,"",Table_1212151012[[#This Row],[Signal Name]])</f>
        <v/>
      </c>
      <c r="D60" s="42" t="n"/>
      <c r="E60" s="42" t="n"/>
      <c r="G60" s="45" t="n"/>
      <c r="J60" s="44">
        <f>IF($B60="","FALSE","TRUE")</f>
        <v/>
      </c>
      <c r="K60" s="37">
        <f t="array" ref="K60">IsURL(Table_1212151012[[#This Row],[Data Source]])</f>
        <v/>
      </c>
      <c r="L60" s="37">
        <f t="array" ref="L60">IsURL(Table_1212151012[[#This Row],[DOI]])</f>
        <v/>
      </c>
      <c r="M60" s="37">
        <f t="array" ref="M60">IsURL(Table_1212151012[[#This Row],[Data Source]])</f>
        <v/>
      </c>
      <c r="N60" s="37">
        <f t="array" ref="N60">IsURL(Table_1212151012[[#This Row],[Data Source]])</f>
        <v/>
      </c>
    </row>
    <row r="61" ht="15.75" customHeight="1">
      <c r="A61" s="37">
        <f>IF(Table_1212151012[[#This Row],[Signal Name]]=0,"",Table_1212151012[[#This Row],[Signal Name]])</f>
        <v/>
      </c>
      <c r="D61" s="42" t="n"/>
      <c r="E61" s="42" t="n"/>
      <c r="G61" s="45" t="n"/>
      <c r="J61" s="44">
        <f>IF($B61="","FALSE","TRUE")</f>
        <v/>
      </c>
      <c r="K61" s="37">
        <f t="array" ref="K61">IsURL(Table_1212151012[[#This Row],[Data Source]])</f>
        <v/>
      </c>
      <c r="L61" s="37">
        <f t="array" ref="L61">IsURL(Table_1212151012[[#This Row],[DOI]])</f>
        <v/>
      </c>
      <c r="M61" s="37">
        <f t="array" ref="M61">IsURL(Table_1212151012[[#This Row],[Data Source]])</f>
        <v/>
      </c>
      <c r="N61" s="37">
        <f t="array" ref="N61">IsURL(Table_1212151012[[#This Row],[Data Source]])</f>
        <v/>
      </c>
    </row>
    <row r="62" ht="15.75" customHeight="1">
      <c r="A62" s="37">
        <f>IF(Table_1212151012[[#This Row],[Signal Name]]=0,"",Table_1212151012[[#This Row],[Signal Name]])</f>
        <v/>
      </c>
      <c r="D62" s="42" t="n"/>
      <c r="E62" s="42" t="n"/>
      <c r="G62" s="45" t="n"/>
      <c r="J62" s="44">
        <f>IF($B62="","FALSE","TRUE")</f>
        <v/>
      </c>
      <c r="K62" s="37">
        <f t="array" ref="K62">IsURL(Table_1212151012[[#This Row],[Data Source]])</f>
        <v/>
      </c>
      <c r="L62" s="37">
        <f t="array" ref="L62">IsURL(Table_1212151012[[#This Row],[DOI]])</f>
        <v/>
      </c>
      <c r="M62" s="37">
        <f t="array" ref="M62">IsURL(Table_1212151012[[#This Row],[Data Source]])</f>
        <v/>
      </c>
      <c r="N62" s="37">
        <f t="array" ref="N62">IsURL(Table_1212151012[[#This Row],[Data Source]])</f>
        <v/>
      </c>
    </row>
    <row r="63" ht="15.75" customHeight="1">
      <c r="A63" s="37">
        <f>IF(Table_1212151012[[#This Row],[Signal Name]]=0,"",Table_1212151012[[#This Row],[Signal Name]])</f>
        <v/>
      </c>
      <c r="D63" s="42" t="n"/>
      <c r="E63" s="42" t="n"/>
      <c r="G63" s="45" t="n"/>
      <c r="J63" s="44">
        <f>IF($B63="","FALSE","TRUE")</f>
        <v/>
      </c>
      <c r="K63" s="37">
        <f t="array" ref="K63">IsURL(Table_1212151012[[#This Row],[Data Source]])</f>
        <v/>
      </c>
      <c r="L63" s="37">
        <f t="array" ref="L63">IsURL(Table_1212151012[[#This Row],[DOI]])</f>
        <v/>
      </c>
      <c r="M63" s="37">
        <f t="array" ref="M63">IsURL(Table_1212151012[[#This Row],[Data Source]])</f>
        <v/>
      </c>
      <c r="N63" s="37">
        <f t="array" ref="N63">IsURL(Table_1212151012[[#This Row],[Data Source]])</f>
        <v/>
      </c>
    </row>
    <row r="64" ht="15.75" customHeight="1">
      <c r="A64" s="37">
        <f>IF(Table_1212151012[[#This Row],[Signal Name]]=0,"",Table_1212151012[[#This Row],[Signal Name]])</f>
        <v/>
      </c>
      <c r="D64" s="42" t="n"/>
      <c r="E64" s="42" t="n"/>
      <c r="G64" s="45" t="n"/>
      <c r="J64" s="44">
        <f>IF($B64="","FALSE","TRUE")</f>
        <v/>
      </c>
      <c r="K64" s="37">
        <f t="array" ref="K64">IsURL(Table_1212151012[[#This Row],[Data Source]])</f>
        <v/>
      </c>
      <c r="L64" s="37">
        <f t="array" ref="L64">IsURL(Table_1212151012[[#This Row],[DOI]])</f>
        <v/>
      </c>
      <c r="M64" s="37">
        <f t="array" ref="M64">IsURL(Table_1212151012[[#This Row],[Data Source]])</f>
        <v/>
      </c>
      <c r="N64" s="37">
        <f t="array" ref="N64">IsURL(Table_1212151012[[#This Row],[Data Source]])</f>
        <v/>
      </c>
    </row>
    <row r="65" ht="15.75" customHeight="1">
      <c r="A65" s="37">
        <f>IF(Table_1212151012[[#This Row],[Signal Name]]=0,"",Table_1212151012[[#This Row],[Signal Name]])</f>
        <v/>
      </c>
      <c r="D65" s="42" t="n"/>
      <c r="E65" s="42" t="n"/>
      <c r="G65" s="45" t="n"/>
      <c r="J65" s="44">
        <f>IF($B65="","FALSE","TRUE")</f>
        <v/>
      </c>
      <c r="K65" s="37">
        <f t="array" ref="K65">IsURL(Table_1212151012[[#This Row],[Data Source]])</f>
        <v/>
      </c>
      <c r="L65" s="37">
        <f t="array" ref="L65">IsURL(Table_1212151012[[#This Row],[DOI]])</f>
        <v/>
      </c>
      <c r="M65" s="37">
        <f t="array" ref="M65">IsURL(Table_1212151012[[#This Row],[Data Source]])</f>
        <v/>
      </c>
      <c r="N65" s="37">
        <f t="array" ref="N65">IsURL(Table_1212151012[[#This Row],[Data Source]])</f>
        <v/>
      </c>
    </row>
    <row r="66" ht="15.75" customHeight="1">
      <c r="A66" s="37">
        <f>IF(Table_1212151012[[#This Row],[Signal Name]]=0,"",Table_1212151012[[#This Row],[Signal Name]])</f>
        <v/>
      </c>
      <c r="D66" s="42" t="n"/>
      <c r="E66" s="42" t="n"/>
      <c r="G66" s="45" t="n"/>
      <c r="J66" s="44">
        <f>IF($B66="","FALSE","TRUE")</f>
        <v/>
      </c>
      <c r="K66" s="37">
        <f t="array" ref="K66">IsURL(Table_1212151012[[#This Row],[Data Source]])</f>
        <v/>
      </c>
      <c r="L66" s="37">
        <f t="array" ref="L66">IsURL(Table_1212151012[[#This Row],[DOI]])</f>
        <v/>
      </c>
      <c r="M66" s="37">
        <f t="array" ref="M66">IsURL(Table_1212151012[[#This Row],[Data Source]])</f>
        <v/>
      </c>
      <c r="N66" s="37">
        <f t="array" ref="N66">IsURL(Table_1212151012[[#This Row],[Data Source]])</f>
        <v/>
      </c>
    </row>
    <row r="67" ht="15.75" customHeight="1">
      <c r="A67" s="37">
        <f>IF(Table_1212151012[[#This Row],[Signal Name]]=0,"",Table_1212151012[[#This Row],[Signal Name]])</f>
        <v/>
      </c>
      <c r="D67" s="42" t="n"/>
      <c r="E67" s="42" t="n"/>
      <c r="G67" s="45" t="n"/>
      <c r="J67" s="44">
        <f>IF($B67="","FALSE","TRUE")</f>
        <v/>
      </c>
      <c r="K67" s="37">
        <f t="array" ref="K67">IsURL(Table_1212151012[[#This Row],[Data Source]])</f>
        <v/>
      </c>
      <c r="L67" s="37">
        <f t="array" ref="L67">IsURL(Table_1212151012[[#This Row],[DOI]])</f>
        <v/>
      </c>
      <c r="M67" s="37">
        <f t="array" ref="M67">IsURL(Table_1212151012[[#This Row],[Data Source]])</f>
        <v/>
      </c>
      <c r="N67" s="37">
        <f t="array" ref="N67">IsURL(Table_1212151012[[#This Row],[Data Source]])</f>
        <v/>
      </c>
    </row>
    <row r="68" ht="15.75" customHeight="1">
      <c r="A68" s="37">
        <f>IF(Table_1212151012[[#This Row],[Signal Name]]=0,"",Table_1212151012[[#This Row],[Signal Name]])</f>
        <v/>
      </c>
      <c r="D68" s="42" t="n"/>
      <c r="E68" s="42" t="n"/>
      <c r="G68" s="45" t="n"/>
      <c r="J68" s="44">
        <f>IF($B68="","FALSE","TRUE")</f>
        <v/>
      </c>
      <c r="K68" s="37">
        <f t="array" ref="K68">IsURL(Table_1212151012[[#This Row],[Data Source]])</f>
        <v/>
      </c>
      <c r="L68" s="37">
        <f t="array" ref="L68">IsURL(Table_1212151012[[#This Row],[DOI]])</f>
        <v/>
      </c>
      <c r="M68" s="37">
        <f t="array" ref="M68">IsURL(Table_1212151012[[#This Row],[Data Source]])</f>
        <v/>
      </c>
      <c r="N68" s="37">
        <f t="array" ref="N68">IsURL(Table_1212151012[[#This Row],[Data Source]])</f>
        <v/>
      </c>
    </row>
    <row r="69" ht="15.75" customHeight="1">
      <c r="A69" s="37">
        <f>IF(Table_1212151012[[#This Row],[Signal Name]]=0,"",Table_1212151012[[#This Row],[Signal Name]])</f>
        <v/>
      </c>
      <c r="D69" s="42" t="n"/>
      <c r="E69" s="42" t="n"/>
      <c r="G69" s="45" t="n"/>
      <c r="J69" s="44">
        <f>IF($B69="","FALSE","TRUE")</f>
        <v/>
      </c>
      <c r="K69" s="37">
        <f t="array" ref="K69">IsURL(Table_1212151012[[#This Row],[Data Source]])</f>
        <v/>
      </c>
      <c r="L69" s="37">
        <f t="array" ref="L69">IsURL(Table_1212151012[[#This Row],[DOI]])</f>
        <v/>
      </c>
      <c r="M69" s="37">
        <f t="array" ref="M69">IsURL(Table_1212151012[[#This Row],[Data Source]])</f>
        <v/>
      </c>
      <c r="N69" s="37">
        <f t="array" ref="N69">IsURL(Table_1212151012[[#This Row],[Data Source]])</f>
        <v/>
      </c>
    </row>
    <row r="70" ht="15.75" customHeight="1">
      <c r="A70" s="37">
        <f>IF(Table_1212151012[[#This Row],[Signal Name]]=0,"",Table_1212151012[[#This Row],[Signal Name]])</f>
        <v/>
      </c>
      <c r="D70" s="42" t="n"/>
      <c r="E70" s="42" t="n"/>
      <c r="G70" s="45" t="n"/>
      <c r="J70" s="44">
        <f>IF($B70="","FALSE","TRUE")</f>
        <v/>
      </c>
      <c r="K70" s="37">
        <f t="array" ref="K70">IsURL(Table_1212151012[[#This Row],[Data Source]])</f>
        <v/>
      </c>
      <c r="L70" s="37">
        <f t="array" ref="L70">IsURL(Table_1212151012[[#This Row],[DOI]])</f>
        <v/>
      </c>
      <c r="M70" s="37">
        <f t="array" ref="M70">IsURL(Table_1212151012[[#This Row],[Data Source]])</f>
        <v/>
      </c>
      <c r="N70" s="37">
        <f t="array" ref="N70">IsURL(Table_1212151012[[#This Row],[Data Source]])</f>
        <v/>
      </c>
    </row>
    <row r="71" ht="15.75" customHeight="1">
      <c r="A71" s="37">
        <f>IF(Table_1212151012[[#This Row],[Signal Name]]=0,"",Table_1212151012[[#This Row],[Signal Name]])</f>
        <v/>
      </c>
      <c r="D71" s="42" t="n"/>
      <c r="E71" s="42" t="n"/>
      <c r="G71" s="45" t="n"/>
      <c r="J71" s="44">
        <f>IF($B71="","FALSE","TRUE")</f>
        <v/>
      </c>
      <c r="K71" s="37">
        <f t="array" ref="K71">IsURL(Table_1212151012[[#This Row],[Data Source]])</f>
        <v/>
      </c>
      <c r="L71" s="37">
        <f t="array" ref="L71">IsURL(Table_1212151012[[#This Row],[DOI]])</f>
        <v/>
      </c>
      <c r="M71" s="37">
        <f t="array" ref="M71">IsURL(Table_1212151012[[#This Row],[Data Source]])</f>
        <v/>
      </c>
      <c r="N71" s="37">
        <f t="array" ref="N71">IsURL(Table_1212151012[[#This Row],[Data Source]])</f>
        <v/>
      </c>
    </row>
    <row r="72" ht="15.75" customHeight="1">
      <c r="A72" s="37">
        <f>IF(Table_1212151012[[#This Row],[Signal Name]]=0,"",Table_1212151012[[#This Row],[Signal Name]])</f>
        <v/>
      </c>
      <c r="D72" s="42" t="n"/>
      <c r="E72" s="42" t="n"/>
      <c r="G72" s="45" t="n"/>
      <c r="J72" s="44">
        <f>IF($B72="","FALSE","TRUE")</f>
        <v/>
      </c>
      <c r="K72" s="37">
        <f t="array" ref="K72">IsURL(Table_1212151012[[#This Row],[Data Source]])</f>
        <v/>
      </c>
      <c r="L72" s="37">
        <f t="array" ref="L72">IsURL(Table_1212151012[[#This Row],[DOI]])</f>
        <v/>
      </c>
      <c r="M72" s="37">
        <f t="array" ref="M72">IsURL(Table_1212151012[[#This Row],[Data Source]])</f>
        <v/>
      </c>
      <c r="N72" s="37">
        <f t="array" ref="N72">IsURL(Table_1212151012[[#This Row],[Data Source]])</f>
        <v/>
      </c>
    </row>
    <row r="73" ht="15.75" customHeight="1">
      <c r="A73" s="37">
        <f>IF(Table_1212151012[[#This Row],[Signal Name]]=0,"",Table_1212151012[[#This Row],[Signal Name]])</f>
        <v/>
      </c>
      <c r="D73" s="42" t="n"/>
      <c r="E73" s="42" t="n"/>
      <c r="G73" s="45" t="n"/>
      <c r="J73" s="44">
        <f>IF($B73="","FALSE","TRUE")</f>
        <v/>
      </c>
      <c r="K73" s="37">
        <f t="array" ref="K73">IsURL(Table_1212151012[[#This Row],[Data Source]])</f>
        <v/>
      </c>
      <c r="L73" s="37">
        <f t="array" ref="L73">IsURL(Table_1212151012[[#This Row],[DOI]])</f>
        <v/>
      </c>
      <c r="M73" s="37">
        <f t="array" ref="M73">IsURL(Table_1212151012[[#This Row],[Data Source]])</f>
        <v/>
      </c>
      <c r="N73" s="37">
        <f t="array" ref="N73">IsURL(Table_1212151012[[#This Row],[Data Source]])</f>
        <v/>
      </c>
    </row>
    <row r="74" ht="15.75" customHeight="1">
      <c r="A74" s="37">
        <f>IF(Table_1212151012[[#This Row],[Signal Name]]=0,"",Table_1212151012[[#This Row],[Signal Name]])</f>
        <v/>
      </c>
      <c r="D74" s="42" t="n"/>
      <c r="E74" s="42" t="n"/>
      <c r="G74" s="45" t="n"/>
      <c r="J74" s="44">
        <f>IF($B74="","FALSE","TRUE")</f>
        <v/>
      </c>
      <c r="K74" s="37">
        <f t="array" ref="K74">IsURL(Table_1212151012[[#This Row],[Data Source]])</f>
        <v/>
      </c>
      <c r="L74" s="37">
        <f t="array" ref="L74">IsURL(Table_1212151012[[#This Row],[DOI]])</f>
        <v/>
      </c>
      <c r="M74" s="37">
        <f t="array" ref="M74">IsURL(Table_1212151012[[#This Row],[Data Source]])</f>
        <v/>
      </c>
      <c r="N74" s="37">
        <f t="array" ref="N74">IsURL(Table_1212151012[[#This Row],[Data Source]])</f>
        <v/>
      </c>
    </row>
    <row r="75" ht="15.75" customHeight="1">
      <c r="A75" s="37">
        <f>IF(Table_1212151012[[#This Row],[Signal Name]]=0,"",Table_1212151012[[#This Row],[Signal Name]])</f>
        <v/>
      </c>
      <c r="D75" s="42" t="n"/>
      <c r="E75" s="42" t="n"/>
      <c r="G75" s="45" t="n"/>
      <c r="J75" s="44">
        <f>IF($B75="","FALSE","TRUE")</f>
        <v/>
      </c>
      <c r="K75" s="37">
        <f t="array" ref="K75">IsURL(Table_1212151012[[#This Row],[Data Source]])</f>
        <v/>
      </c>
      <c r="L75" s="37">
        <f t="array" ref="L75">IsURL(Table_1212151012[[#This Row],[DOI]])</f>
        <v/>
      </c>
      <c r="M75" s="37">
        <f t="array" ref="M75">IsURL(Table_1212151012[[#This Row],[Data Source]])</f>
        <v/>
      </c>
      <c r="N75" s="37">
        <f t="array" ref="N75">IsURL(Table_1212151012[[#This Row],[Data Source]])</f>
        <v/>
      </c>
    </row>
    <row r="76" ht="15.75" customHeight="1">
      <c r="A76" s="37">
        <f>IF(Table_1212151012[[#This Row],[Signal Name]]=0,"",Table_1212151012[[#This Row],[Signal Name]])</f>
        <v/>
      </c>
      <c r="D76" s="42" t="n"/>
      <c r="E76" s="42" t="n"/>
      <c r="G76" s="45" t="n"/>
      <c r="J76" s="44">
        <f>IF($B76="","FALSE","TRUE")</f>
        <v/>
      </c>
      <c r="K76" s="37">
        <f t="array" ref="K76">IsURL(Table_1212151012[[#This Row],[Data Source]])</f>
        <v/>
      </c>
      <c r="L76" s="37">
        <f t="array" ref="L76">IsURL(Table_1212151012[[#This Row],[DOI]])</f>
        <v/>
      </c>
      <c r="M76" s="37">
        <f t="array" ref="M76">IsURL(Table_1212151012[[#This Row],[Data Source]])</f>
        <v/>
      </c>
      <c r="N76" s="37">
        <f t="array" ref="N76">IsURL(Table_1212151012[[#This Row],[Data Source]])</f>
        <v/>
      </c>
    </row>
    <row r="77" ht="15.75" customHeight="1">
      <c r="A77" s="37">
        <f>IF(Table_1212151012[[#This Row],[Signal Name]]=0,"",Table_1212151012[[#This Row],[Signal Name]])</f>
        <v/>
      </c>
      <c r="D77" s="42" t="n"/>
      <c r="E77" s="42" t="n"/>
      <c r="G77" s="45" t="n"/>
      <c r="J77" s="44">
        <f>IF($B77="","FALSE","TRUE")</f>
        <v/>
      </c>
      <c r="K77" s="37">
        <f t="array" ref="K77">IsURL(Table_1212151012[[#This Row],[Data Source]])</f>
        <v/>
      </c>
      <c r="L77" s="37">
        <f t="array" ref="L77">IsURL(Table_1212151012[[#This Row],[DOI]])</f>
        <v/>
      </c>
      <c r="M77" s="37">
        <f t="array" ref="M77">IsURL(Table_1212151012[[#This Row],[Data Source]])</f>
        <v/>
      </c>
      <c r="N77" s="37">
        <f t="array" ref="N77">IsURL(Table_1212151012[[#This Row],[Data Source]])</f>
        <v/>
      </c>
    </row>
    <row r="78" ht="15.75" customHeight="1">
      <c r="A78" s="37">
        <f>IF(Table_1212151012[[#This Row],[Signal Name]]=0,"",Table_1212151012[[#This Row],[Signal Name]])</f>
        <v/>
      </c>
      <c r="D78" s="42" t="n"/>
      <c r="E78" s="42" t="n"/>
      <c r="G78" s="45" t="n"/>
      <c r="J78" s="44">
        <f>IF($B78="","FALSE","TRUE")</f>
        <v/>
      </c>
      <c r="K78" s="37">
        <f t="array" ref="K78">IsURL(Table_1212151012[[#This Row],[Data Source]])</f>
        <v/>
      </c>
      <c r="L78" s="37">
        <f t="array" ref="L78">IsURL(Table_1212151012[[#This Row],[DOI]])</f>
        <v/>
      </c>
      <c r="M78" s="37">
        <f t="array" ref="M78">IsURL(Table_1212151012[[#This Row],[Data Source]])</f>
        <v/>
      </c>
      <c r="N78" s="37">
        <f t="array" ref="N78">IsURL(Table_1212151012[[#This Row],[Data Source]])</f>
        <v/>
      </c>
    </row>
    <row r="79" ht="15.75" customHeight="1">
      <c r="A79" s="37">
        <f>IF(Table_1212151012[[#This Row],[Signal Name]]=0,"",Table_1212151012[[#This Row],[Signal Name]])</f>
        <v/>
      </c>
      <c r="D79" s="42" t="n"/>
      <c r="E79" s="42" t="n"/>
      <c r="G79" s="45" t="n"/>
      <c r="J79" s="44">
        <f>IF($B79="","FALSE","TRUE")</f>
        <v/>
      </c>
      <c r="K79" s="37">
        <f t="array" ref="K79">IsURL(Table_1212151012[[#This Row],[Data Source]])</f>
        <v/>
      </c>
      <c r="L79" s="37">
        <f t="array" ref="L79">IsURL(Table_1212151012[[#This Row],[DOI]])</f>
        <v/>
      </c>
      <c r="M79" s="37">
        <f t="array" ref="M79">IsURL(Table_1212151012[[#This Row],[Data Source]])</f>
        <v/>
      </c>
      <c r="N79" s="37">
        <f t="array" ref="N79">IsURL(Table_1212151012[[#This Row],[Data Source]])</f>
        <v/>
      </c>
    </row>
    <row r="80" ht="15.75" customHeight="1">
      <c r="A80" s="37">
        <f>IF(Table_1212151012[[#This Row],[Signal Name]]=0,"",Table_1212151012[[#This Row],[Signal Name]])</f>
        <v/>
      </c>
      <c r="D80" s="42" t="n"/>
      <c r="E80" s="42" t="n"/>
      <c r="G80" s="45" t="n"/>
      <c r="J80" s="44">
        <f>IF($B80="","FALSE","TRUE")</f>
        <v/>
      </c>
      <c r="K80" s="37">
        <f t="array" ref="K80">IsURL(Table_1212151012[[#This Row],[Data Source]])</f>
        <v/>
      </c>
      <c r="L80" s="37">
        <f t="array" ref="L80">IsURL(Table_1212151012[[#This Row],[DOI]])</f>
        <v/>
      </c>
      <c r="M80" s="37">
        <f t="array" ref="M80">IsURL(Table_1212151012[[#This Row],[Data Source]])</f>
        <v/>
      </c>
      <c r="N80" s="37">
        <f t="array" ref="N80">IsURL(Table_1212151012[[#This Row],[Data Source]])</f>
        <v/>
      </c>
    </row>
    <row r="81" ht="15.75" customHeight="1">
      <c r="A81" s="37">
        <f>IF(Table_1212151012[[#This Row],[Signal Name]]=0,"",Table_1212151012[[#This Row],[Signal Name]])</f>
        <v/>
      </c>
      <c r="D81" s="42" t="n"/>
      <c r="E81" s="42" t="n"/>
      <c r="G81" s="45" t="n"/>
      <c r="J81" s="44">
        <f>IF($B81="","FALSE","TRUE")</f>
        <v/>
      </c>
      <c r="K81" s="37">
        <f t="array" ref="K81">IsURL(Table_1212151012[[#This Row],[Data Source]])</f>
        <v/>
      </c>
      <c r="L81" s="37">
        <f t="array" ref="L81">IsURL(Table_1212151012[[#This Row],[DOI]])</f>
        <v/>
      </c>
      <c r="M81" s="37">
        <f t="array" ref="M81">IsURL(Table_1212151012[[#This Row],[Data Source]])</f>
        <v/>
      </c>
      <c r="N81" s="37">
        <f t="array" ref="N81">IsURL(Table_1212151012[[#This Row],[Data Source]])</f>
        <v/>
      </c>
    </row>
    <row r="82" ht="15.75" customHeight="1">
      <c r="A82" s="37">
        <f>IF(Table_1212151012[[#This Row],[Signal Name]]=0,"",Table_1212151012[[#This Row],[Signal Name]])</f>
        <v/>
      </c>
      <c r="D82" s="42" t="n"/>
      <c r="E82" s="42" t="n"/>
      <c r="G82" s="45" t="n"/>
      <c r="J82" s="44">
        <f>IF($B82="","FALSE","TRUE")</f>
        <v/>
      </c>
      <c r="K82" s="37">
        <f t="array" ref="K82">IsURL(Table_1212151012[[#This Row],[Data Source]])</f>
        <v/>
      </c>
      <c r="L82" s="37">
        <f t="array" ref="L82">IsURL(Table_1212151012[[#This Row],[DOI]])</f>
        <v/>
      </c>
      <c r="M82" s="37">
        <f t="array" ref="M82">IsURL(Table_1212151012[[#This Row],[Data Source]])</f>
        <v/>
      </c>
      <c r="N82" s="37">
        <f t="array" ref="N82">IsURL(Table_1212151012[[#This Row],[Data Source]])</f>
        <v/>
      </c>
    </row>
    <row r="83" ht="15.75" customHeight="1">
      <c r="A83" s="37">
        <f>IF(Table_1212151012[[#This Row],[Signal Name]]=0,"",Table_1212151012[[#This Row],[Signal Name]])</f>
        <v/>
      </c>
      <c r="D83" s="42" t="n"/>
      <c r="E83" s="42" t="n"/>
      <c r="G83" s="45" t="n"/>
      <c r="J83" s="44">
        <f>IF($B83="","FALSE","TRUE")</f>
        <v/>
      </c>
      <c r="K83" s="37">
        <f t="array" ref="K83">IsURL(Table_1212151012[[#This Row],[Data Source]])</f>
        <v/>
      </c>
      <c r="L83" s="37">
        <f t="array" ref="L83">IsURL(Table_1212151012[[#This Row],[DOI]])</f>
        <v/>
      </c>
      <c r="M83" s="37">
        <f t="array" ref="M83">IsURL(Table_1212151012[[#This Row],[Data Source]])</f>
        <v/>
      </c>
      <c r="N83" s="37">
        <f t="array" ref="N83">IsURL(Table_1212151012[[#This Row],[Data Source]])</f>
        <v/>
      </c>
    </row>
    <row r="84" ht="15.75" customHeight="1">
      <c r="A84" s="37">
        <f>IF(Table_1212151012[[#This Row],[Signal Name]]=0,"",Table_1212151012[[#This Row],[Signal Name]])</f>
        <v/>
      </c>
      <c r="D84" s="42" t="n"/>
      <c r="E84" s="42" t="n"/>
      <c r="G84" s="45" t="n"/>
      <c r="J84" s="44">
        <f>IF($B84="","FALSE","TRUE")</f>
        <v/>
      </c>
      <c r="K84" s="37">
        <f t="array" ref="K84">IsURL(Table_1212151012[[#This Row],[Data Source]])</f>
        <v/>
      </c>
      <c r="L84" s="37">
        <f t="array" ref="L84">IsURL(Table_1212151012[[#This Row],[DOI]])</f>
        <v/>
      </c>
      <c r="M84" s="37">
        <f t="array" ref="M84">IsURL(Table_1212151012[[#This Row],[Data Source]])</f>
        <v/>
      </c>
      <c r="N84" s="37">
        <f t="array" ref="N84">IsURL(Table_1212151012[[#This Row],[Data Source]])</f>
        <v/>
      </c>
    </row>
    <row r="85" ht="15.75" customHeight="1">
      <c r="A85" s="37">
        <f>IF(Table_1212151012[[#This Row],[Signal Name]]=0,"",Table_1212151012[[#This Row],[Signal Name]])</f>
        <v/>
      </c>
      <c r="D85" s="42" t="n"/>
      <c r="E85" s="42" t="n"/>
      <c r="G85" s="45" t="n"/>
      <c r="J85" s="44">
        <f>IF($B85="","FALSE","TRUE")</f>
        <v/>
      </c>
      <c r="K85" s="37">
        <f t="array" ref="K85">IsURL(Table_1212151012[[#This Row],[Data Source]])</f>
        <v/>
      </c>
      <c r="L85" s="37">
        <f t="array" ref="L85">IsURL(Table_1212151012[[#This Row],[DOI]])</f>
        <v/>
      </c>
      <c r="M85" s="37">
        <f t="array" ref="M85">IsURL(Table_1212151012[[#This Row],[Data Source]])</f>
        <v/>
      </c>
      <c r="N85" s="37">
        <f t="array" ref="N85">IsURL(Table_1212151012[[#This Row],[Data Source]])</f>
        <v/>
      </c>
    </row>
    <row r="86" ht="15.75" customHeight="1">
      <c r="A86" s="37">
        <f>IF(Table_1212151012[[#This Row],[Signal Name]]=0,"",Table_1212151012[[#This Row],[Signal Name]])</f>
        <v/>
      </c>
      <c r="D86" s="42" t="n"/>
      <c r="E86" s="42" t="n"/>
      <c r="G86" s="45" t="n"/>
      <c r="J86" s="44">
        <f>IF($B86="","FALSE","TRUE")</f>
        <v/>
      </c>
      <c r="K86" s="37">
        <f t="array" ref="K86">IsURL(Table_1212151012[[#This Row],[Data Source]])</f>
        <v/>
      </c>
      <c r="L86" s="37">
        <f t="array" ref="L86">IsURL(Table_1212151012[[#This Row],[DOI]])</f>
        <v/>
      </c>
      <c r="M86" s="37">
        <f t="array" ref="M86">IsURL(Table_1212151012[[#This Row],[Data Source]])</f>
        <v/>
      </c>
      <c r="N86" s="37">
        <f t="array" ref="N86">IsURL(Table_1212151012[[#This Row],[Data Source]])</f>
        <v/>
      </c>
    </row>
    <row r="87" ht="15.75" customHeight="1">
      <c r="A87" s="37">
        <f>IF(Table_1212151012[[#This Row],[Signal Name]]=0,"",Table_1212151012[[#This Row],[Signal Name]])</f>
        <v/>
      </c>
      <c r="D87" s="42" t="n"/>
      <c r="E87" s="42" t="n"/>
      <c r="G87" s="45" t="n"/>
      <c r="J87" s="44">
        <f>IF($B87="","FALSE","TRUE")</f>
        <v/>
      </c>
      <c r="K87" s="37">
        <f t="array" ref="K87">IsURL(Table_1212151012[[#This Row],[Data Source]])</f>
        <v/>
      </c>
      <c r="L87" s="37">
        <f t="array" ref="L87">IsURL(Table_1212151012[[#This Row],[DOI]])</f>
        <v/>
      </c>
      <c r="M87" s="37">
        <f t="array" ref="M87">IsURL(Table_1212151012[[#This Row],[Data Source]])</f>
        <v/>
      </c>
      <c r="N87" s="37">
        <f t="array" ref="N87">IsURL(Table_1212151012[[#This Row],[Data Source]])</f>
        <v/>
      </c>
    </row>
    <row r="88" ht="15.75" customHeight="1">
      <c r="A88" s="37">
        <f>IF(Table_1212151012[[#This Row],[Signal Name]]=0,"",Table_1212151012[[#This Row],[Signal Name]])</f>
        <v/>
      </c>
      <c r="D88" s="42" t="n"/>
      <c r="E88" s="42" t="n"/>
      <c r="G88" s="45" t="n"/>
      <c r="J88" s="44">
        <f>IF($B88="","FALSE","TRUE")</f>
        <v/>
      </c>
      <c r="K88" s="37">
        <f t="array" ref="K88">IsURL(Table_1212151012[[#This Row],[Data Source]])</f>
        <v/>
      </c>
      <c r="L88" s="37">
        <f t="array" ref="L88">IsURL(Table_1212151012[[#This Row],[DOI]])</f>
        <v/>
      </c>
      <c r="M88" s="37">
        <f t="array" ref="M88">IsURL(Table_1212151012[[#This Row],[Data Source]])</f>
        <v/>
      </c>
      <c r="N88" s="37">
        <f t="array" ref="N88">IsURL(Table_1212151012[[#This Row],[Data Source]])</f>
        <v/>
      </c>
    </row>
    <row r="89" ht="15.75" customHeight="1">
      <c r="A89" s="37">
        <f>IF(Table_1212151012[[#This Row],[Signal Name]]=0,"",Table_1212151012[[#This Row],[Signal Name]])</f>
        <v/>
      </c>
      <c r="D89" s="42" t="n"/>
      <c r="E89" s="42" t="n"/>
      <c r="G89" s="45" t="n"/>
      <c r="J89" s="44">
        <f>IF($B89="","FALSE","TRUE")</f>
        <v/>
      </c>
      <c r="K89" s="37">
        <f t="array" ref="K89">IsURL(Table_1212151012[[#This Row],[Data Source]])</f>
        <v/>
      </c>
      <c r="L89" s="37">
        <f t="array" ref="L89">IsURL(Table_1212151012[[#This Row],[DOI]])</f>
        <v/>
      </c>
      <c r="M89" s="37">
        <f t="array" ref="M89">IsURL(Table_1212151012[[#This Row],[Data Source]])</f>
        <v/>
      </c>
      <c r="N89" s="37">
        <f t="array" ref="N89">IsURL(Table_1212151012[[#This Row],[Data Source]])</f>
        <v/>
      </c>
    </row>
    <row r="90" ht="15.75" customHeight="1">
      <c r="A90" s="37">
        <f>IF(Table_1212151012[[#This Row],[Signal Name]]=0,"",Table_1212151012[[#This Row],[Signal Name]])</f>
        <v/>
      </c>
      <c r="D90" s="42" t="n"/>
      <c r="E90" s="42" t="n"/>
      <c r="G90" s="45" t="n"/>
      <c r="J90" s="44">
        <f>IF($B90="","FALSE","TRUE")</f>
        <v/>
      </c>
      <c r="K90" s="37">
        <f t="array" ref="K90">IsURL(Table_1212151012[[#This Row],[Data Source]])</f>
        <v/>
      </c>
      <c r="L90" s="37">
        <f t="array" ref="L90">IsURL(Table_1212151012[[#This Row],[DOI]])</f>
        <v/>
      </c>
      <c r="M90" s="37">
        <f t="array" ref="M90">IsURL(Table_1212151012[[#This Row],[Data Source]])</f>
        <v/>
      </c>
      <c r="N90" s="37">
        <f t="array" ref="N90">IsURL(Table_1212151012[[#This Row],[Data Source]])</f>
        <v/>
      </c>
    </row>
    <row r="91" ht="15.75" customHeight="1">
      <c r="A91" s="37">
        <f>IF(Table_1212151012[[#This Row],[Signal Name]]=0,"",Table_1212151012[[#This Row],[Signal Name]])</f>
        <v/>
      </c>
      <c r="D91" s="42" t="n"/>
      <c r="E91" s="42" t="n"/>
      <c r="G91" s="45" t="n"/>
      <c r="J91" s="44">
        <f>IF($B91="","FALSE","TRUE")</f>
        <v/>
      </c>
      <c r="K91" s="37">
        <f t="array" ref="K91">IsURL(Table_1212151012[[#This Row],[Data Source]])</f>
        <v/>
      </c>
      <c r="L91" s="37">
        <f t="array" ref="L91">IsURL(Table_1212151012[[#This Row],[DOI]])</f>
        <v/>
      </c>
      <c r="M91" s="37">
        <f t="array" ref="M91">IsURL(Table_1212151012[[#This Row],[Data Source]])</f>
        <v/>
      </c>
      <c r="N91" s="37">
        <f t="array" ref="N91">IsURL(Table_1212151012[[#This Row],[Data Source]])</f>
        <v/>
      </c>
    </row>
    <row r="92" ht="15.75" customHeight="1">
      <c r="A92" s="37">
        <f>IF(Table_1212151012[[#This Row],[Signal Name]]=0,"",Table_1212151012[[#This Row],[Signal Name]])</f>
        <v/>
      </c>
      <c r="D92" s="42" t="n"/>
      <c r="E92" s="42" t="n"/>
      <c r="G92" s="45" t="n"/>
      <c r="J92" s="44">
        <f>IF($B92="","FALSE","TRUE")</f>
        <v/>
      </c>
      <c r="K92" s="37">
        <f t="array" ref="K92">IsURL(Table_1212151012[[#This Row],[Data Source]])</f>
        <v/>
      </c>
      <c r="L92" s="37">
        <f t="array" ref="L92">IsURL(Table_1212151012[[#This Row],[DOI]])</f>
        <v/>
      </c>
      <c r="M92" s="37">
        <f t="array" ref="M92">IsURL(Table_1212151012[[#This Row],[Data Source]])</f>
        <v/>
      </c>
      <c r="N92" s="37">
        <f t="array" ref="N92">IsURL(Table_1212151012[[#This Row],[Data Source]])</f>
        <v/>
      </c>
    </row>
    <row r="93" ht="15.75" customHeight="1">
      <c r="A93" s="37">
        <f>IF(Table_1212151012[[#This Row],[Signal Name]]=0,"",Table_1212151012[[#This Row],[Signal Name]])</f>
        <v/>
      </c>
      <c r="D93" s="42" t="n"/>
      <c r="E93" s="42" t="n"/>
      <c r="G93" s="45" t="n"/>
      <c r="J93" s="44">
        <f>IF($B93="","FALSE","TRUE")</f>
        <v/>
      </c>
      <c r="K93" s="37">
        <f t="array" ref="K93">IsURL(Table_1212151012[[#This Row],[Data Source]])</f>
        <v/>
      </c>
      <c r="L93" s="37">
        <f t="array" ref="L93">IsURL(Table_1212151012[[#This Row],[DOI]])</f>
        <v/>
      </c>
      <c r="M93" s="37">
        <f t="array" ref="M93">IsURL(Table_1212151012[[#This Row],[Data Source]])</f>
        <v/>
      </c>
      <c r="N93" s="37">
        <f t="array" ref="N93">IsURL(Table_1212151012[[#This Row],[Data Source]])</f>
        <v/>
      </c>
    </row>
    <row r="94" ht="15.75" customHeight="1">
      <c r="A94" s="37">
        <f>IF(Table_1212151012[[#This Row],[Signal Name]]=0,"",Table_1212151012[[#This Row],[Signal Name]])</f>
        <v/>
      </c>
      <c r="D94" s="42" t="n"/>
      <c r="E94" s="42" t="n"/>
      <c r="G94" s="45" t="n"/>
      <c r="J94" s="44">
        <f>IF($B94="","FALSE","TRUE")</f>
        <v/>
      </c>
      <c r="K94" s="37">
        <f t="array" ref="K94">IsURL(Table_1212151012[[#This Row],[Data Source]])</f>
        <v/>
      </c>
      <c r="L94" s="37">
        <f t="array" ref="L94">IsURL(Table_1212151012[[#This Row],[DOI]])</f>
        <v/>
      </c>
      <c r="M94" s="37">
        <f t="array" ref="M94">IsURL(Table_1212151012[[#This Row],[Data Source]])</f>
        <v/>
      </c>
      <c r="N94" s="37">
        <f t="array" ref="N94">IsURL(Table_1212151012[[#This Row],[Data Source]])</f>
        <v/>
      </c>
    </row>
    <row r="95" ht="15.75" customHeight="1">
      <c r="A95" s="37">
        <f>IF(Table_1212151012[[#This Row],[Signal Name]]=0,"",Table_1212151012[[#This Row],[Signal Name]])</f>
        <v/>
      </c>
      <c r="D95" s="42" t="n"/>
      <c r="E95" s="42" t="n"/>
      <c r="G95" s="45" t="n"/>
      <c r="J95" s="44">
        <f>IF($B95="","FALSE","TRUE")</f>
        <v/>
      </c>
      <c r="K95" s="37">
        <f t="array" ref="K95">IsURL(Table_1212151012[[#This Row],[Data Source]])</f>
        <v/>
      </c>
      <c r="L95" s="37">
        <f t="array" ref="L95">IsURL(Table_1212151012[[#This Row],[DOI]])</f>
        <v/>
      </c>
      <c r="M95" s="37">
        <f t="array" ref="M95">IsURL(Table_1212151012[[#This Row],[Data Source]])</f>
        <v/>
      </c>
      <c r="N95" s="37">
        <f t="array" ref="N95">IsURL(Table_1212151012[[#This Row],[Data Source]])</f>
        <v/>
      </c>
    </row>
    <row r="96" ht="15.75" customHeight="1">
      <c r="A96" s="37">
        <f>IF(Table_1212151012[[#This Row],[Signal Name]]=0,"",Table_1212151012[[#This Row],[Signal Name]])</f>
        <v/>
      </c>
      <c r="D96" s="42" t="n"/>
      <c r="E96" s="42" t="n"/>
      <c r="G96" s="45" t="n"/>
      <c r="J96" s="44">
        <f>IF($B96="","FALSE","TRUE")</f>
        <v/>
      </c>
      <c r="K96" s="37">
        <f t="array" ref="K96">IsURL(Table_1212151012[[#This Row],[Data Source]])</f>
        <v/>
      </c>
      <c r="L96" s="37">
        <f t="array" ref="L96">IsURL(Table_1212151012[[#This Row],[DOI]])</f>
        <v/>
      </c>
      <c r="M96" s="37">
        <f t="array" ref="M96">IsURL(Table_1212151012[[#This Row],[Data Source]])</f>
        <v/>
      </c>
      <c r="N96" s="37">
        <f t="array" ref="N96">IsURL(Table_1212151012[[#This Row],[Data Source]])</f>
        <v/>
      </c>
    </row>
    <row r="97" ht="15.75" customHeight="1">
      <c r="A97" s="37">
        <f>IF(Table_1212151012[[#This Row],[Signal Name]]=0,"",Table_1212151012[[#This Row],[Signal Name]])</f>
        <v/>
      </c>
      <c r="D97" s="42" t="n"/>
      <c r="E97" s="42" t="n"/>
      <c r="G97" s="45" t="n"/>
      <c r="J97" s="44">
        <f>IF($B97="","FALSE","TRUE")</f>
        <v/>
      </c>
      <c r="K97" s="37">
        <f t="array" ref="K97">IsURL(Table_1212151012[[#This Row],[Data Source]])</f>
        <v/>
      </c>
      <c r="L97" s="37">
        <f t="array" ref="L97">IsURL(Table_1212151012[[#This Row],[DOI]])</f>
        <v/>
      </c>
      <c r="M97" s="37">
        <f t="array" ref="M97">IsURL(Table_1212151012[[#This Row],[Data Source]])</f>
        <v/>
      </c>
      <c r="N97" s="37">
        <f t="array" ref="N97">IsURL(Table_1212151012[[#This Row],[Data Source]])</f>
        <v/>
      </c>
    </row>
    <row r="98" ht="15.75" customHeight="1">
      <c r="A98" s="37">
        <f>IF(Table_1212151012[[#This Row],[Signal Name]]=0,"",Table_1212151012[[#This Row],[Signal Name]])</f>
        <v/>
      </c>
      <c r="D98" s="42" t="n"/>
      <c r="E98" s="42" t="n"/>
      <c r="G98" s="45" t="n"/>
      <c r="J98" s="44">
        <f>IF($B98="","FALSE","TRUE")</f>
        <v/>
      </c>
      <c r="K98" s="37">
        <f t="array" ref="K98">IsURL(Table_1212151012[[#This Row],[Data Source]])</f>
        <v/>
      </c>
      <c r="L98" s="37">
        <f t="array" ref="L98">IsURL(Table_1212151012[[#This Row],[DOI]])</f>
        <v/>
      </c>
      <c r="M98" s="37">
        <f t="array" ref="M98">IsURL(Table_1212151012[[#This Row],[Data Source]])</f>
        <v/>
      </c>
      <c r="N98" s="37">
        <f t="array" ref="N98">IsURL(Table_1212151012[[#This Row],[Data Source]])</f>
        <v/>
      </c>
    </row>
    <row r="99" ht="15.75" customHeight="1">
      <c r="A99" s="37">
        <f>IF(Table_1212151012[[#This Row],[Signal Name]]=0,"",Table_1212151012[[#This Row],[Signal Name]])</f>
        <v/>
      </c>
      <c r="D99" s="42" t="n"/>
      <c r="E99" s="42" t="n"/>
      <c r="G99" s="45" t="n"/>
      <c r="J99" s="44">
        <f>IF($B99="","FALSE","TRUE")</f>
        <v/>
      </c>
      <c r="K99" s="37">
        <f t="array" ref="K99">IsURL(Table_1212151012[[#This Row],[Data Source]])</f>
        <v/>
      </c>
      <c r="L99" s="37">
        <f t="array" ref="L99">IsURL(Table_1212151012[[#This Row],[DOI]])</f>
        <v/>
      </c>
      <c r="M99" s="37">
        <f t="array" ref="M99">IsURL(Table_1212151012[[#This Row],[Data Source]])</f>
        <v/>
      </c>
      <c r="N99" s="37">
        <f t="array" ref="N99">IsURL(Table_1212151012[[#This Row],[Data Source]])</f>
        <v/>
      </c>
    </row>
    <row r="100" ht="15.75" customHeight="1">
      <c r="A100" s="37">
        <f>IF(Table_1212151012[[#This Row],[Signal Name]]=0,"",Table_1212151012[[#This Row],[Signal Name]])</f>
        <v/>
      </c>
      <c r="D100" s="42" t="n"/>
      <c r="E100" s="42" t="n"/>
      <c r="G100" s="45" t="n"/>
      <c r="J100" s="44">
        <f>IF($B100="","FALSE","TRUE")</f>
        <v/>
      </c>
      <c r="K100" s="37">
        <f t="array" ref="K100">IsURL(Table_1212151012[[#This Row],[Data Source]])</f>
        <v/>
      </c>
      <c r="L100" s="37">
        <f t="array" ref="L100">IsURL(Table_1212151012[[#This Row],[DOI]])</f>
        <v/>
      </c>
      <c r="M100" s="37">
        <f t="array" ref="M100">IsURL(Table_1212151012[[#This Row],[Data Source]])</f>
        <v/>
      </c>
      <c r="N100" s="37">
        <f t="array" ref="N100">IsURL(Table_1212151012[[#This Row],[Data Source]])</f>
        <v/>
      </c>
    </row>
    <row r="101" ht="15.75" customHeight="1">
      <c r="A101" s="37">
        <f>IF(Table_1212151012[[#This Row],[Signal Name]]=0,"",Table_1212151012[[#This Row],[Signal Name]])</f>
        <v/>
      </c>
      <c r="D101" s="42" t="n"/>
      <c r="E101" s="42" t="n"/>
      <c r="G101" s="45" t="n"/>
      <c r="J101" s="44">
        <f>IF($B101="","FALSE","TRUE")</f>
        <v/>
      </c>
      <c r="K101" s="37">
        <f t="array" ref="K101">IsURL(Table_1212151012[[#This Row],[Data Source]])</f>
        <v/>
      </c>
      <c r="L101" s="37">
        <f t="array" ref="L101">IsURL(Table_1212151012[[#This Row],[DOI]])</f>
        <v/>
      </c>
      <c r="M101" s="37">
        <f t="array" ref="M101">IsURL(Table_1212151012[[#This Row],[Data Source]])</f>
        <v/>
      </c>
      <c r="N101" s="37">
        <f t="array" ref="N101">IsURL(Table_1212151012[[#This Row],[Data Source]])</f>
        <v/>
      </c>
    </row>
    <row r="102" ht="15.75" customHeight="1">
      <c r="A102" s="37">
        <f>IF(Table_1212151012[[#This Row],[Signal Name]]=0,"",Table_1212151012[[#This Row],[Signal Name]])</f>
        <v/>
      </c>
      <c r="D102" s="42" t="n"/>
      <c r="E102" s="42" t="n"/>
      <c r="G102" s="45" t="n"/>
      <c r="J102" s="44">
        <f>IF($B102="","FALSE","TRUE")</f>
        <v/>
      </c>
      <c r="K102" s="37">
        <f t="array" ref="K102">IsURL(Table_1212151012[[#This Row],[Data Source]])</f>
        <v/>
      </c>
      <c r="L102" s="37">
        <f t="array" ref="L102">IsURL(Table_1212151012[[#This Row],[DOI]])</f>
        <v/>
      </c>
      <c r="M102" s="37">
        <f t="array" ref="M102">IsURL(Table_1212151012[[#This Row],[Data Source]])</f>
        <v/>
      </c>
      <c r="N102" s="37">
        <f t="array" ref="N102">IsURL(Table_1212151012[[#This Row],[Data Source]])</f>
        <v/>
      </c>
    </row>
    <row r="103" ht="15.75" customHeight="1">
      <c r="A103" s="37">
        <f>IF(Table_1212151012[[#This Row],[Signal Name]]=0,"",Table_1212151012[[#This Row],[Signal Name]])</f>
        <v/>
      </c>
      <c r="D103" s="42" t="n"/>
      <c r="E103" s="42" t="n"/>
      <c r="G103" s="45" t="n"/>
      <c r="J103" s="44">
        <f>IF($B103="","FALSE","TRUE")</f>
        <v/>
      </c>
      <c r="K103" s="37">
        <f t="array" ref="K103">IsURL(Table_1212151012[[#This Row],[Data Source]])</f>
        <v/>
      </c>
      <c r="L103" s="37">
        <f t="array" ref="L103">IsURL(Table_1212151012[[#This Row],[DOI]])</f>
        <v/>
      </c>
      <c r="M103" s="37">
        <f t="array" ref="M103">IsURL(Table_1212151012[[#This Row],[Data Source]])</f>
        <v/>
      </c>
      <c r="N103" s="37">
        <f t="array" ref="N103">IsURL(Table_1212151012[[#This Row],[Data Source]])</f>
        <v/>
      </c>
    </row>
    <row r="104" ht="15.75" customHeight="1">
      <c r="A104" s="37">
        <f>IF(Table_1212151012[[#This Row],[Signal Name]]=0,"",Table_1212151012[[#This Row],[Signal Name]])</f>
        <v/>
      </c>
      <c r="D104" s="42" t="n"/>
      <c r="E104" s="42" t="n"/>
      <c r="G104" s="45" t="n"/>
      <c r="J104" s="44">
        <f>IF($B104="","FALSE","TRUE")</f>
        <v/>
      </c>
      <c r="K104" s="37">
        <f t="array" ref="K104">IsURL(Table_1212151012[[#This Row],[Data Source]])</f>
        <v/>
      </c>
      <c r="L104" s="37">
        <f t="array" ref="L104">IsURL(Table_1212151012[[#This Row],[DOI]])</f>
        <v/>
      </c>
      <c r="M104" s="37">
        <f t="array" ref="M104">IsURL(Table_1212151012[[#This Row],[Data Source]])</f>
        <v/>
      </c>
      <c r="N104" s="37">
        <f t="array" ref="N104">IsURL(Table_1212151012[[#This Row],[Data Source]])</f>
        <v/>
      </c>
    </row>
    <row r="105" ht="15.75" customHeight="1">
      <c r="A105" s="37">
        <f>IF(Table_1212151012[[#This Row],[Signal Name]]=0,"",Table_1212151012[[#This Row],[Signal Name]])</f>
        <v/>
      </c>
      <c r="D105" s="42" t="n"/>
      <c r="E105" s="42" t="n"/>
      <c r="G105" s="45" t="n"/>
      <c r="J105" s="44">
        <f>IF($B105="","FALSE","TRUE")</f>
        <v/>
      </c>
      <c r="K105" s="37">
        <f t="array" ref="K105">IsURL(Table_1212151012[[#This Row],[Data Source]])</f>
        <v/>
      </c>
      <c r="L105" s="37">
        <f t="array" ref="L105">IsURL(Table_1212151012[[#This Row],[DOI]])</f>
        <v/>
      </c>
      <c r="M105" s="37">
        <f t="array" ref="M105">IsURL(Table_1212151012[[#This Row],[Data Source]])</f>
        <v/>
      </c>
      <c r="N105" s="37">
        <f t="array" ref="N105">IsURL(Table_1212151012[[#This Row],[Data Source]])</f>
        <v/>
      </c>
    </row>
    <row r="106" ht="15.75" customHeight="1">
      <c r="A106" s="37">
        <f>IF(Table_1212151012[[#This Row],[Signal Name]]=0,"",Table_1212151012[[#This Row],[Signal Name]])</f>
        <v/>
      </c>
      <c r="D106" s="42" t="n"/>
      <c r="E106" s="42" t="n"/>
      <c r="G106" s="45" t="n"/>
      <c r="J106" s="44">
        <f>IF($B106="","FALSE","TRUE")</f>
        <v/>
      </c>
      <c r="K106" s="37">
        <f t="array" ref="K106">IsURL(Table_1212151012[[#This Row],[Data Source]])</f>
        <v/>
      </c>
      <c r="L106" s="37">
        <f t="array" ref="L106">IsURL(Table_1212151012[[#This Row],[DOI]])</f>
        <v/>
      </c>
      <c r="M106" s="37">
        <f t="array" ref="M106">IsURL(Table_1212151012[[#This Row],[Data Source]])</f>
        <v/>
      </c>
      <c r="N106" s="37">
        <f t="array" ref="N106">IsURL(Table_1212151012[[#This Row],[Data Source]])</f>
        <v/>
      </c>
    </row>
    <row r="107" ht="15.75" customHeight="1">
      <c r="A107" s="37">
        <f>IF(Table_1212151012[[#This Row],[Signal Name]]=0,"",Table_1212151012[[#This Row],[Signal Name]])</f>
        <v/>
      </c>
      <c r="D107" s="42" t="n"/>
      <c r="E107" s="42" t="n"/>
      <c r="G107" s="45" t="n"/>
      <c r="J107" s="44">
        <f>IF($B107="","FALSE","TRUE")</f>
        <v/>
      </c>
      <c r="K107" s="37">
        <f t="array" ref="K107">IsURL(Table_1212151012[[#This Row],[Data Source]])</f>
        <v/>
      </c>
      <c r="L107" s="37">
        <f t="array" ref="L107">IsURL(Table_1212151012[[#This Row],[DOI]])</f>
        <v/>
      </c>
      <c r="M107" s="37">
        <f t="array" ref="M107">IsURL(Table_1212151012[[#This Row],[Data Source]])</f>
        <v/>
      </c>
      <c r="N107" s="37">
        <f t="array" ref="N107">IsURL(Table_1212151012[[#This Row],[Data Source]])</f>
        <v/>
      </c>
    </row>
    <row r="108" ht="15.75" customHeight="1">
      <c r="A108" s="37">
        <f>IF(Table_1212151012[[#This Row],[Signal Name]]=0,"",Table_1212151012[[#This Row],[Signal Name]])</f>
        <v/>
      </c>
      <c r="D108" s="42" t="n"/>
      <c r="E108" s="42" t="n"/>
      <c r="G108" s="45" t="n"/>
      <c r="J108" s="44">
        <f>IF($B108="","FALSE","TRUE")</f>
        <v/>
      </c>
      <c r="K108" s="37">
        <f t="array" ref="K108">IsURL(Table_1212151012[[#This Row],[Data Source]])</f>
        <v/>
      </c>
      <c r="L108" s="37">
        <f t="array" ref="L108">IsURL(Table_1212151012[[#This Row],[DOI]])</f>
        <v/>
      </c>
      <c r="M108" s="37">
        <f t="array" ref="M108">IsURL(Table_1212151012[[#This Row],[Data Source]])</f>
        <v/>
      </c>
      <c r="N108" s="37">
        <f t="array" ref="N108">IsURL(Table_1212151012[[#This Row],[Data Source]])</f>
        <v/>
      </c>
    </row>
    <row r="109" ht="15.75" customHeight="1">
      <c r="A109" s="37">
        <f>IF(Table_1212151012[[#This Row],[Signal Name]]=0,"",Table_1212151012[[#This Row],[Signal Name]])</f>
        <v/>
      </c>
      <c r="D109" s="42" t="n"/>
      <c r="E109" s="42" t="n"/>
      <c r="G109" s="45" t="n"/>
      <c r="J109" s="44">
        <f>IF($B109="","FALSE","TRUE")</f>
        <v/>
      </c>
      <c r="K109" s="37">
        <f t="array" ref="K109">IsURL(Table_1212151012[[#This Row],[Data Source]])</f>
        <v/>
      </c>
      <c r="L109" s="37">
        <f t="array" ref="L109">IsURL(Table_1212151012[[#This Row],[DOI]])</f>
        <v/>
      </c>
      <c r="M109" s="37">
        <f t="array" ref="M109">IsURL(Table_1212151012[[#This Row],[Data Source]])</f>
        <v/>
      </c>
      <c r="N109" s="37">
        <f t="array" ref="N109">IsURL(Table_1212151012[[#This Row],[Data Source]])</f>
        <v/>
      </c>
    </row>
    <row r="110" ht="15.75" customHeight="1">
      <c r="A110" s="37">
        <f>IF(Table_1212151012[[#This Row],[Signal Name]]=0,"",Table_1212151012[[#This Row],[Signal Name]])</f>
        <v/>
      </c>
      <c r="D110" s="42" t="n"/>
      <c r="E110" s="42" t="n"/>
      <c r="G110" s="45" t="n"/>
      <c r="J110" s="44">
        <f>IF($B110="","FALSE","TRUE")</f>
        <v/>
      </c>
      <c r="K110" s="37">
        <f t="array" ref="K110">IsURL(Table_1212151012[[#This Row],[Data Source]])</f>
        <v/>
      </c>
      <c r="L110" s="37">
        <f t="array" ref="L110">IsURL(Table_1212151012[[#This Row],[DOI]])</f>
        <v/>
      </c>
      <c r="M110" s="37">
        <f t="array" ref="M110">IsURL(Table_1212151012[[#This Row],[Data Source]])</f>
        <v/>
      </c>
      <c r="N110" s="37">
        <f t="array" ref="N110">IsURL(Table_1212151012[[#This Row],[Data Source]])</f>
        <v/>
      </c>
    </row>
    <row r="111" ht="15.75" customHeight="1">
      <c r="A111" s="37">
        <f>IF(Table_1212151012[[#This Row],[Signal Name]]=0,"",Table_1212151012[[#This Row],[Signal Name]])</f>
        <v/>
      </c>
      <c r="D111" s="42" t="n"/>
      <c r="E111" s="42" t="n"/>
      <c r="G111" s="45" t="n"/>
      <c r="J111" s="44">
        <f>IF($B111="","FALSE","TRUE")</f>
        <v/>
      </c>
      <c r="K111" s="37">
        <f t="array" ref="K111">IsURL(Table_1212151012[[#This Row],[Data Source]])</f>
        <v/>
      </c>
      <c r="L111" s="37">
        <f t="array" ref="L111">IsURL(Table_1212151012[[#This Row],[DOI]])</f>
        <v/>
      </c>
      <c r="M111" s="37">
        <f t="array" ref="M111">IsURL(Table_1212151012[[#This Row],[Data Source]])</f>
        <v/>
      </c>
      <c r="N111" s="37">
        <f t="array" ref="N111">IsURL(Table_1212151012[[#This Row],[Data Source]])</f>
        <v/>
      </c>
    </row>
    <row r="112" ht="15.75" customHeight="1">
      <c r="A112" s="37">
        <f>IF(Table_1212151012[[#This Row],[Signal Name]]=0,"",Table_1212151012[[#This Row],[Signal Name]])</f>
        <v/>
      </c>
      <c r="D112" s="42" t="n"/>
      <c r="E112" s="42" t="n"/>
      <c r="G112" s="45" t="n"/>
      <c r="J112" s="44">
        <f>IF($B112="","FALSE","TRUE")</f>
        <v/>
      </c>
      <c r="K112" s="37">
        <f t="array" ref="K112">IsURL(Table_1212151012[[#This Row],[Data Source]])</f>
        <v/>
      </c>
      <c r="L112" s="37">
        <f t="array" ref="L112">IsURL(Table_1212151012[[#This Row],[DOI]])</f>
        <v/>
      </c>
      <c r="M112" s="37">
        <f t="array" ref="M112">IsURL(Table_1212151012[[#This Row],[Data Source]])</f>
        <v/>
      </c>
      <c r="N112" s="37">
        <f t="array" ref="N112">IsURL(Table_1212151012[[#This Row],[Data Source]])</f>
        <v/>
      </c>
    </row>
    <row r="113" ht="15.75" customHeight="1">
      <c r="A113" s="37">
        <f>IF(Table_1212151012[[#This Row],[Signal Name]]=0,"",Table_1212151012[[#This Row],[Signal Name]])</f>
        <v/>
      </c>
      <c r="D113" s="42" t="n"/>
      <c r="E113" s="42" t="n"/>
      <c r="G113" s="45" t="n"/>
      <c r="J113" s="44">
        <f>IF($B113="","FALSE","TRUE")</f>
        <v/>
      </c>
      <c r="K113" s="37">
        <f t="array" ref="K113">IsURL(Table_1212151012[[#This Row],[Data Source]])</f>
        <v/>
      </c>
      <c r="L113" s="37">
        <f t="array" ref="L113">IsURL(Table_1212151012[[#This Row],[DOI]])</f>
        <v/>
      </c>
      <c r="M113" s="37">
        <f t="array" ref="M113">IsURL(Table_1212151012[[#This Row],[Data Source]])</f>
        <v/>
      </c>
      <c r="N113" s="37">
        <f t="array" ref="N113">IsURL(Table_1212151012[[#This Row],[Data Source]])</f>
        <v/>
      </c>
    </row>
    <row r="114" ht="15.75" customHeight="1">
      <c r="A114" s="37">
        <f>IF(Table_1212151012[[#This Row],[Signal Name]]=0,"",Table_1212151012[[#This Row],[Signal Name]])</f>
        <v/>
      </c>
      <c r="D114" s="42" t="n"/>
      <c r="E114" s="42" t="n"/>
      <c r="G114" s="45" t="n"/>
      <c r="J114" s="44">
        <f>IF($B114="","FALSE","TRUE")</f>
        <v/>
      </c>
      <c r="K114" s="37">
        <f t="array" ref="K114">IsURL(Table_1212151012[[#This Row],[Data Source]])</f>
        <v/>
      </c>
      <c r="L114" s="37">
        <f t="array" ref="L114">IsURL(Table_1212151012[[#This Row],[DOI]])</f>
        <v/>
      </c>
      <c r="M114" s="37">
        <f t="array" ref="M114">IsURL(Table_1212151012[[#This Row],[Data Source]])</f>
        <v/>
      </c>
      <c r="N114" s="37">
        <f t="array" ref="N114">IsURL(Table_1212151012[[#This Row],[Data Source]])</f>
        <v/>
      </c>
    </row>
    <row r="115" ht="15.75" customHeight="1">
      <c r="A115" s="37">
        <f>IF(Table_1212151012[[#This Row],[Signal Name]]=0,"",Table_1212151012[[#This Row],[Signal Name]])</f>
        <v/>
      </c>
      <c r="D115" s="42" t="n"/>
      <c r="E115" s="42" t="n"/>
      <c r="G115" s="45" t="n"/>
      <c r="J115" s="44">
        <f>IF($B115="","FALSE","TRUE")</f>
        <v/>
      </c>
      <c r="K115" s="37">
        <f t="array" ref="K115">IsURL(Table_1212151012[[#This Row],[Data Source]])</f>
        <v/>
      </c>
      <c r="L115" s="37">
        <f t="array" ref="L115">IsURL(Table_1212151012[[#This Row],[DOI]])</f>
        <v/>
      </c>
      <c r="M115" s="37">
        <f t="array" ref="M115">IsURL(Table_1212151012[[#This Row],[Data Source]])</f>
        <v/>
      </c>
      <c r="N115" s="37">
        <f t="array" ref="N115">IsURL(Table_1212151012[[#This Row],[Data Source]])</f>
        <v/>
      </c>
    </row>
    <row r="116" ht="15.75" customHeight="1">
      <c r="A116" s="37">
        <f>IF(Table_1212151012[[#This Row],[Signal Name]]=0,"",Table_1212151012[[#This Row],[Signal Name]])</f>
        <v/>
      </c>
      <c r="D116" s="42" t="n"/>
      <c r="E116" s="42" t="n"/>
      <c r="G116" s="45" t="n"/>
      <c r="J116" s="44">
        <f>IF($B116="","FALSE","TRUE")</f>
        <v/>
      </c>
      <c r="K116" s="37">
        <f t="array" ref="K116">IsURL(Table_1212151012[[#This Row],[Data Source]])</f>
        <v/>
      </c>
      <c r="L116" s="37">
        <f t="array" ref="L116">IsURL(Table_1212151012[[#This Row],[DOI]])</f>
        <v/>
      </c>
      <c r="M116" s="37">
        <f t="array" ref="M116">IsURL(Table_1212151012[[#This Row],[Data Source]])</f>
        <v/>
      </c>
      <c r="N116" s="37">
        <f t="array" ref="N116">IsURL(Table_1212151012[[#This Row],[Data Source]])</f>
        <v/>
      </c>
    </row>
    <row r="117" ht="15.75" customHeight="1">
      <c r="A117" s="37">
        <f>IF(Table_1212151012[[#This Row],[Signal Name]]=0,"",Table_1212151012[[#This Row],[Signal Name]])</f>
        <v/>
      </c>
      <c r="D117" s="42" t="n"/>
      <c r="E117" s="42" t="n"/>
      <c r="G117" s="45" t="n"/>
      <c r="J117" s="44">
        <f>IF($B117="","FALSE","TRUE")</f>
        <v/>
      </c>
      <c r="K117" s="37">
        <f t="array" ref="K117">IsURL(Table_1212151012[[#This Row],[Data Source]])</f>
        <v/>
      </c>
      <c r="L117" s="37">
        <f t="array" ref="L117">IsURL(Table_1212151012[[#This Row],[DOI]])</f>
        <v/>
      </c>
      <c r="M117" s="37">
        <f t="array" ref="M117">IsURL(Table_1212151012[[#This Row],[Data Source]])</f>
        <v/>
      </c>
      <c r="N117" s="37">
        <f t="array" ref="N117">IsURL(Table_1212151012[[#This Row],[Data Source]])</f>
        <v/>
      </c>
    </row>
    <row r="118" ht="15.75" customHeight="1">
      <c r="A118" s="37">
        <f>IF(Table_1212151012[[#This Row],[Signal Name]]=0,"",Table_1212151012[[#This Row],[Signal Name]])</f>
        <v/>
      </c>
      <c r="D118" s="42" t="n"/>
      <c r="E118" s="42" t="n"/>
      <c r="G118" s="45" t="n"/>
      <c r="J118" s="44">
        <f>IF($B118="","FALSE","TRUE")</f>
        <v/>
      </c>
      <c r="K118" s="37">
        <f t="array" ref="K118">IsURL(Table_1212151012[[#This Row],[Data Source]])</f>
        <v/>
      </c>
      <c r="L118" s="37">
        <f t="array" ref="L118">IsURL(Table_1212151012[[#This Row],[DOI]])</f>
        <v/>
      </c>
      <c r="M118" s="37">
        <f t="array" ref="M118">IsURL(Table_1212151012[[#This Row],[Data Source]])</f>
        <v/>
      </c>
      <c r="N118" s="37">
        <f t="array" ref="N118">IsURL(Table_1212151012[[#This Row],[Data Source]])</f>
        <v/>
      </c>
    </row>
    <row r="119" ht="15.75" customHeight="1">
      <c r="A119" s="37">
        <f>IF(Table_1212151012[[#This Row],[Signal Name]]=0,"",Table_1212151012[[#This Row],[Signal Name]])</f>
        <v/>
      </c>
      <c r="D119" s="42" t="n"/>
      <c r="E119" s="42" t="n"/>
      <c r="G119" s="45" t="n"/>
      <c r="J119" s="44">
        <f>IF($B119="","FALSE","TRUE")</f>
        <v/>
      </c>
      <c r="K119" s="37">
        <f t="array" ref="K119">IsURL(Table_1212151012[[#This Row],[Data Source]])</f>
        <v/>
      </c>
      <c r="L119" s="37">
        <f t="array" ref="L119">IsURL(Table_1212151012[[#This Row],[DOI]])</f>
        <v/>
      </c>
      <c r="M119" s="37">
        <f t="array" ref="M119">IsURL(Table_1212151012[[#This Row],[Data Source]])</f>
        <v/>
      </c>
      <c r="N119" s="37">
        <f t="array" ref="N119">IsURL(Table_1212151012[[#This Row],[Data Source]])</f>
        <v/>
      </c>
    </row>
    <row r="120" ht="15.75" customHeight="1">
      <c r="A120" s="37">
        <f>IF(Table_1212151012[[#This Row],[Signal Name]]=0,"",Table_1212151012[[#This Row],[Signal Name]])</f>
        <v/>
      </c>
      <c r="D120" s="42" t="n"/>
      <c r="E120" s="42" t="n"/>
      <c r="G120" s="45" t="n"/>
      <c r="J120" s="44">
        <f>IF($B120="","FALSE","TRUE")</f>
        <v/>
      </c>
      <c r="K120" s="37">
        <f t="array" ref="K120">IsURL(Table_1212151012[[#This Row],[Data Source]])</f>
        <v/>
      </c>
      <c r="L120" s="37">
        <f t="array" ref="L120">IsURL(Table_1212151012[[#This Row],[DOI]])</f>
        <v/>
      </c>
      <c r="M120" s="37">
        <f t="array" ref="M120">IsURL(Table_1212151012[[#This Row],[Data Source]])</f>
        <v/>
      </c>
      <c r="N120" s="37">
        <f t="array" ref="N120">IsURL(Table_1212151012[[#This Row],[Data Source]])</f>
        <v/>
      </c>
    </row>
    <row r="121" ht="15.75" customHeight="1">
      <c r="A121" s="37">
        <f>IF(Table_1212151012[[#This Row],[Signal Name]]=0,"",Table_1212151012[[#This Row],[Signal Name]])</f>
        <v/>
      </c>
      <c r="D121" s="42" t="n"/>
      <c r="E121" s="42" t="n"/>
      <c r="G121" s="45" t="n"/>
      <c r="J121" s="44">
        <f>IF($B121="","FALSE","TRUE")</f>
        <v/>
      </c>
      <c r="K121" s="37">
        <f t="array" ref="K121">IsURL(Table_1212151012[[#This Row],[Data Source]])</f>
        <v/>
      </c>
      <c r="L121" s="37">
        <f t="array" ref="L121">IsURL(Table_1212151012[[#This Row],[DOI]])</f>
        <v/>
      </c>
      <c r="M121" s="37">
        <f t="array" ref="M121">IsURL(Table_1212151012[[#This Row],[Data Source]])</f>
        <v/>
      </c>
      <c r="N121" s="37">
        <f t="array" ref="N121">IsURL(Table_1212151012[[#This Row],[Data Source]])</f>
        <v/>
      </c>
    </row>
    <row r="122" ht="15.75" customHeight="1">
      <c r="A122" s="37">
        <f>IF(Table_1212151012[[#This Row],[Signal Name]]=0,"",Table_1212151012[[#This Row],[Signal Name]])</f>
        <v/>
      </c>
      <c r="D122" s="42" t="n"/>
      <c r="E122" s="42" t="n"/>
      <c r="G122" s="45" t="n"/>
      <c r="J122" s="44">
        <f>IF($B122="","FALSE","TRUE")</f>
        <v/>
      </c>
      <c r="K122" s="37">
        <f t="array" ref="K122">IsURL(Table_1212151012[[#This Row],[Data Source]])</f>
        <v/>
      </c>
      <c r="L122" s="37">
        <f t="array" ref="L122">IsURL(Table_1212151012[[#This Row],[DOI]])</f>
        <v/>
      </c>
      <c r="M122" s="37">
        <f t="array" ref="M122">IsURL(Table_1212151012[[#This Row],[Data Source]])</f>
        <v/>
      </c>
      <c r="N122" s="37">
        <f t="array" ref="N122">IsURL(Table_1212151012[[#This Row],[Data Source]])</f>
        <v/>
      </c>
    </row>
    <row r="123" ht="15.75" customHeight="1">
      <c r="A123" s="37">
        <f>IF(Table_1212151012[[#This Row],[Signal Name]]=0,"",Table_1212151012[[#This Row],[Signal Name]])</f>
        <v/>
      </c>
      <c r="D123" s="42" t="n"/>
      <c r="E123" s="42" t="n"/>
      <c r="G123" s="45" t="n"/>
      <c r="J123" s="44">
        <f>IF($B123="","FALSE","TRUE")</f>
        <v/>
      </c>
      <c r="K123" s="37">
        <f t="array" ref="K123">IsURL(Table_1212151012[[#This Row],[Data Source]])</f>
        <v/>
      </c>
      <c r="L123" s="37">
        <f t="array" ref="L123">IsURL(Table_1212151012[[#This Row],[DOI]])</f>
        <v/>
      </c>
      <c r="M123" s="37">
        <f t="array" ref="M123">IsURL(Table_1212151012[[#This Row],[Data Source]])</f>
        <v/>
      </c>
      <c r="N123" s="37">
        <f t="array" ref="N123">IsURL(Table_1212151012[[#This Row],[Data Source]])</f>
        <v/>
      </c>
    </row>
    <row r="124" ht="15.75" customHeight="1">
      <c r="A124" s="37">
        <f>IF(Table_1212151012[[#This Row],[Signal Name]]=0,"",Table_1212151012[[#This Row],[Signal Name]])</f>
        <v/>
      </c>
      <c r="D124" s="42" t="n"/>
      <c r="E124" s="42" t="n"/>
      <c r="G124" s="45" t="n"/>
      <c r="J124" s="44">
        <f>IF($B124="","FALSE","TRUE")</f>
        <v/>
      </c>
      <c r="K124" s="37">
        <f t="array" ref="K124">IsURL(Table_1212151012[[#This Row],[Data Source]])</f>
        <v/>
      </c>
      <c r="L124" s="37">
        <f t="array" ref="L124">IsURL(Table_1212151012[[#This Row],[DOI]])</f>
        <v/>
      </c>
      <c r="M124" s="37">
        <f t="array" ref="M124">IsURL(Table_1212151012[[#This Row],[Data Source]])</f>
        <v/>
      </c>
      <c r="N124" s="37">
        <f t="array" ref="N124">IsURL(Table_1212151012[[#This Row],[Data Source]])</f>
        <v/>
      </c>
    </row>
    <row r="125" ht="15.75" customHeight="1">
      <c r="A125" s="37">
        <f>IF(Table_1212151012[[#This Row],[Signal Name]]=0,"",Table_1212151012[[#This Row],[Signal Name]])</f>
        <v/>
      </c>
      <c r="D125" s="42" t="n"/>
      <c r="E125" s="42" t="n"/>
      <c r="G125" s="45" t="n"/>
      <c r="J125" s="44">
        <f>IF($B125="","FALSE","TRUE")</f>
        <v/>
      </c>
      <c r="K125" s="37">
        <f t="array" ref="K125">IsURL(Table_1212151012[[#This Row],[Data Source]])</f>
        <v/>
      </c>
      <c r="L125" s="37">
        <f t="array" ref="L125">IsURL(Table_1212151012[[#This Row],[DOI]])</f>
        <v/>
      </c>
      <c r="M125" s="37">
        <f t="array" ref="M125">IsURL(Table_1212151012[[#This Row],[Data Source]])</f>
        <v/>
      </c>
      <c r="N125" s="37">
        <f t="array" ref="N125">IsURL(Table_1212151012[[#This Row],[Data Source]])</f>
        <v/>
      </c>
    </row>
    <row r="126" ht="15.75" customHeight="1">
      <c r="A126" s="37">
        <f>IF(Table_1212151012[[#This Row],[Signal Name]]=0,"",Table_1212151012[[#This Row],[Signal Name]])</f>
        <v/>
      </c>
      <c r="D126" s="42" t="n"/>
      <c r="E126" s="42" t="n"/>
      <c r="G126" s="45" t="n"/>
      <c r="J126" s="44">
        <f>IF($B126="","FALSE","TRUE")</f>
        <v/>
      </c>
      <c r="K126" s="37">
        <f t="array" ref="K126">IsURL(Table_1212151012[[#This Row],[Data Source]])</f>
        <v/>
      </c>
      <c r="L126" s="37">
        <f t="array" ref="L126">IsURL(Table_1212151012[[#This Row],[DOI]])</f>
        <v/>
      </c>
      <c r="M126" s="37">
        <f t="array" ref="M126">IsURL(Table_1212151012[[#This Row],[Data Source]])</f>
        <v/>
      </c>
      <c r="N126" s="37">
        <f t="array" ref="N126">IsURL(Table_1212151012[[#This Row],[Data Source]])</f>
        <v/>
      </c>
    </row>
    <row r="127" ht="15.75" customHeight="1">
      <c r="A127" s="37">
        <f>IF(Table_1212151012[[#This Row],[Signal Name]]=0,"",Table_1212151012[[#This Row],[Signal Name]])</f>
        <v/>
      </c>
      <c r="D127" s="42" t="n"/>
      <c r="E127" s="42" t="n"/>
      <c r="G127" s="45" t="n"/>
      <c r="J127" s="44">
        <f>IF($B127="","FALSE","TRUE")</f>
        <v/>
      </c>
      <c r="K127" s="37">
        <f t="array" ref="K127">IsURL(Table_1212151012[[#This Row],[Data Source]])</f>
        <v/>
      </c>
      <c r="L127" s="37">
        <f t="array" ref="L127">IsURL(Table_1212151012[[#This Row],[DOI]])</f>
        <v/>
      </c>
      <c r="M127" s="37">
        <f t="array" ref="M127">IsURL(Table_1212151012[[#This Row],[Data Source]])</f>
        <v/>
      </c>
      <c r="N127" s="37">
        <f t="array" ref="N127">IsURL(Table_1212151012[[#This Row],[Data Source]])</f>
        <v/>
      </c>
    </row>
    <row r="128" ht="15.75" customHeight="1">
      <c r="A128" s="37">
        <f>IF(Table_1212151012[[#This Row],[Signal Name]]=0,"",Table_1212151012[[#This Row],[Signal Name]])</f>
        <v/>
      </c>
      <c r="D128" s="42" t="n"/>
      <c r="E128" s="42" t="n"/>
      <c r="G128" s="45" t="n"/>
      <c r="J128" s="44">
        <f>IF($B128="","FALSE","TRUE")</f>
        <v/>
      </c>
      <c r="K128" s="37">
        <f t="array" ref="K128">IsURL(Table_1212151012[[#This Row],[Data Source]])</f>
        <v/>
      </c>
      <c r="L128" s="37">
        <f t="array" ref="L128">IsURL(Table_1212151012[[#This Row],[DOI]])</f>
        <v/>
      </c>
      <c r="M128" s="37">
        <f t="array" ref="M128">IsURL(Table_1212151012[[#This Row],[Data Source]])</f>
        <v/>
      </c>
      <c r="N128" s="37">
        <f t="array" ref="N128">IsURL(Table_1212151012[[#This Row],[Data Source]])</f>
        <v/>
      </c>
    </row>
    <row r="129" ht="15.75" customHeight="1">
      <c r="A129" s="37">
        <f>IF(Table_1212151012[[#This Row],[Signal Name]]=0,"",Table_1212151012[[#This Row],[Signal Name]])</f>
        <v/>
      </c>
      <c r="D129" s="42" t="n"/>
      <c r="E129" s="42" t="n"/>
      <c r="G129" s="45" t="n"/>
      <c r="J129" s="44">
        <f>IF($B129="","FALSE","TRUE")</f>
        <v/>
      </c>
      <c r="K129" s="37">
        <f t="array" ref="K129">IsURL(Table_1212151012[[#This Row],[Data Source]])</f>
        <v/>
      </c>
      <c r="L129" s="37">
        <f t="array" ref="L129">IsURL(Table_1212151012[[#This Row],[DOI]])</f>
        <v/>
      </c>
      <c r="M129" s="37">
        <f t="array" ref="M129">IsURL(Table_1212151012[[#This Row],[Data Source]])</f>
        <v/>
      </c>
      <c r="N129" s="37">
        <f t="array" ref="N129">IsURL(Table_1212151012[[#This Row],[Data Source]])</f>
        <v/>
      </c>
    </row>
    <row r="130" ht="15.75" customHeight="1">
      <c r="A130" s="37">
        <f>IF(Table_1212151012[[#This Row],[Signal Name]]=0,"",Table_1212151012[[#This Row],[Signal Name]])</f>
        <v/>
      </c>
      <c r="D130" s="42" t="n"/>
      <c r="E130" s="42" t="n"/>
      <c r="G130" s="45" t="n"/>
      <c r="J130" s="44">
        <f>IF($B130="","FALSE","TRUE")</f>
        <v/>
      </c>
      <c r="K130" s="37">
        <f t="array" ref="K130">IsURL(Table_1212151012[[#This Row],[Data Source]])</f>
        <v/>
      </c>
      <c r="L130" s="37">
        <f t="array" ref="L130">IsURL(Table_1212151012[[#This Row],[DOI]])</f>
        <v/>
      </c>
      <c r="M130" s="37">
        <f t="array" ref="M130">IsURL(Table_1212151012[[#This Row],[Data Source]])</f>
        <v/>
      </c>
      <c r="N130" s="37">
        <f t="array" ref="N130">IsURL(Table_1212151012[[#This Row],[Data Source]])</f>
        <v/>
      </c>
    </row>
    <row r="131" ht="15.75" customHeight="1">
      <c r="A131" s="37">
        <f>IF(Table_1212151012[[#This Row],[Signal Name]]=0,"",Table_1212151012[[#This Row],[Signal Name]])</f>
        <v/>
      </c>
      <c r="D131" s="42" t="n"/>
      <c r="E131" s="42" t="n"/>
      <c r="G131" s="45" t="n"/>
      <c r="J131" s="44">
        <f>IF($B131="","FALSE","TRUE")</f>
        <v/>
      </c>
      <c r="K131" s="37">
        <f t="array" ref="K131">IsURL(Table_1212151012[[#This Row],[Data Source]])</f>
        <v/>
      </c>
      <c r="L131" s="37">
        <f t="array" ref="L131">IsURL(Table_1212151012[[#This Row],[DOI]])</f>
        <v/>
      </c>
      <c r="M131" s="37">
        <f t="array" ref="M131">IsURL(Table_1212151012[[#This Row],[Data Source]])</f>
        <v/>
      </c>
      <c r="N131" s="37">
        <f t="array" ref="N131">IsURL(Table_1212151012[[#This Row],[Data Source]])</f>
        <v/>
      </c>
    </row>
    <row r="132" ht="15.75" customHeight="1">
      <c r="A132" s="37">
        <f>IF(Table_1212151012[[#This Row],[Signal Name]]=0,"",Table_1212151012[[#This Row],[Signal Name]])</f>
        <v/>
      </c>
      <c r="D132" s="42" t="n"/>
      <c r="E132" s="42" t="n"/>
      <c r="G132" s="45" t="n"/>
      <c r="J132" s="44">
        <f>IF($B132="","FALSE","TRUE")</f>
        <v/>
      </c>
      <c r="K132" s="37">
        <f t="array" ref="K132">IsURL(Table_1212151012[[#This Row],[Data Source]])</f>
        <v/>
      </c>
      <c r="L132" s="37">
        <f t="array" ref="L132">IsURL(Table_1212151012[[#This Row],[DOI]])</f>
        <v/>
      </c>
      <c r="M132" s="37">
        <f t="array" ref="M132">IsURL(Table_1212151012[[#This Row],[Data Source]])</f>
        <v/>
      </c>
      <c r="N132" s="37">
        <f t="array" ref="N132">IsURL(Table_1212151012[[#This Row],[Data Source]])</f>
        <v/>
      </c>
    </row>
    <row r="133" ht="15.75" customHeight="1">
      <c r="A133" s="37">
        <f>IF(Table_1212151012[[#This Row],[Signal Name]]=0,"",Table_1212151012[[#This Row],[Signal Name]])</f>
        <v/>
      </c>
      <c r="D133" s="42" t="n"/>
      <c r="E133" s="42" t="n"/>
      <c r="G133" s="45" t="n"/>
      <c r="J133" s="44">
        <f>IF($B133="","FALSE","TRUE")</f>
        <v/>
      </c>
      <c r="K133" s="37">
        <f t="array" ref="K133">IsURL(Table_1212151012[[#This Row],[Data Source]])</f>
        <v/>
      </c>
      <c r="L133" s="37">
        <f t="array" ref="L133">IsURL(Table_1212151012[[#This Row],[DOI]])</f>
        <v/>
      </c>
      <c r="M133" s="37">
        <f t="array" ref="M133">IsURL(Table_1212151012[[#This Row],[Data Source]])</f>
        <v/>
      </c>
      <c r="N133" s="37">
        <f t="array" ref="N133">IsURL(Table_1212151012[[#This Row],[Data Source]])</f>
        <v/>
      </c>
    </row>
    <row r="134" ht="15.75" customHeight="1">
      <c r="A134" s="37">
        <f>IF(Table_1212151012[[#This Row],[Signal Name]]=0,"",Table_1212151012[[#This Row],[Signal Name]])</f>
        <v/>
      </c>
      <c r="D134" s="42" t="n"/>
      <c r="E134" s="42" t="n"/>
      <c r="G134" s="45" t="n"/>
      <c r="J134" s="44">
        <f>IF($B134="","FALSE","TRUE")</f>
        <v/>
      </c>
      <c r="K134" s="37">
        <f t="array" ref="K134">IsURL(Table_1212151012[[#This Row],[Data Source]])</f>
        <v/>
      </c>
      <c r="L134" s="37">
        <f t="array" ref="L134">IsURL(Table_1212151012[[#This Row],[DOI]])</f>
        <v/>
      </c>
      <c r="M134" s="37">
        <f t="array" ref="M134">IsURL(Table_1212151012[[#This Row],[Data Source]])</f>
        <v/>
      </c>
      <c r="N134" s="37">
        <f t="array" ref="N134">IsURL(Table_1212151012[[#This Row],[Data Source]])</f>
        <v/>
      </c>
    </row>
    <row r="135" ht="15.75" customHeight="1">
      <c r="A135" s="37">
        <f>IF(Table_1212151012[[#This Row],[Signal Name]]=0,"",Table_1212151012[[#This Row],[Signal Name]])</f>
        <v/>
      </c>
      <c r="D135" s="42" t="n"/>
      <c r="E135" s="42" t="n"/>
      <c r="G135" s="45" t="n"/>
      <c r="J135" s="44">
        <f>IF($B135="","FALSE","TRUE")</f>
        <v/>
      </c>
      <c r="K135" s="37">
        <f t="array" ref="K135">IsURL(Table_1212151012[[#This Row],[Data Source]])</f>
        <v/>
      </c>
      <c r="L135" s="37">
        <f t="array" ref="L135">IsURL(Table_1212151012[[#This Row],[DOI]])</f>
        <v/>
      </c>
      <c r="M135" s="37">
        <f t="array" ref="M135">IsURL(Table_1212151012[[#This Row],[Data Source]])</f>
        <v/>
      </c>
      <c r="N135" s="37">
        <f t="array" ref="N135">IsURL(Table_1212151012[[#This Row],[Data Source]])</f>
        <v/>
      </c>
    </row>
    <row r="136" ht="15.75" customHeight="1">
      <c r="A136" s="37">
        <f>IF(Table_1212151012[[#This Row],[Signal Name]]=0,"",Table_1212151012[[#This Row],[Signal Name]])</f>
        <v/>
      </c>
      <c r="D136" s="42" t="n"/>
      <c r="E136" s="42" t="n"/>
      <c r="G136" s="45" t="n"/>
      <c r="J136" s="44">
        <f>IF($B136="","FALSE","TRUE")</f>
        <v/>
      </c>
      <c r="K136" s="37">
        <f t="array" ref="K136">IsURL(Table_1212151012[[#This Row],[Data Source]])</f>
        <v/>
      </c>
      <c r="L136" s="37">
        <f t="array" ref="L136">IsURL(Table_1212151012[[#This Row],[DOI]])</f>
        <v/>
      </c>
      <c r="M136" s="37">
        <f t="array" ref="M136">IsURL(Table_1212151012[[#This Row],[Data Source]])</f>
        <v/>
      </c>
      <c r="N136" s="37">
        <f t="array" ref="N136">IsURL(Table_1212151012[[#This Row],[Data Source]])</f>
        <v/>
      </c>
    </row>
    <row r="137" ht="15.75" customHeight="1">
      <c r="A137" s="37">
        <f>IF(Table_1212151012[[#This Row],[Signal Name]]=0,"",Table_1212151012[[#This Row],[Signal Name]])</f>
        <v/>
      </c>
      <c r="D137" s="42" t="n"/>
      <c r="E137" s="42" t="n"/>
      <c r="G137" s="45" t="n"/>
      <c r="J137" s="44">
        <f>IF($B137="","FALSE","TRUE")</f>
        <v/>
      </c>
      <c r="K137" s="37">
        <f t="array" ref="K137">IsURL(Table_1212151012[[#This Row],[Data Source]])</f>
        <v/>
      </c>
      <c r="L137" s="37">
        <f t="array" ref="L137">IsURL(Table_1212151012[[#This Row],[DOI]])</f>
        <v/>
      </c>
      <c r="M137" s="37">
        <f t="array" ref="M137">IsURL(Table_1212151012[[#This Row],[Data Source]])</f>
        <v/>
      </c>
      <c r="N137" s="37">
        <f t="array" ref="N137">IsURL(Table_1212151012[[#This Row],[Data Source]])</f>
        <v/>
      </c>
    </row>
    <row r="138" ht="15.75" customHeight="1">
      <c r="A138" s="37">
        <f>IF(Table_1212151012[[#This Row],[Signal Name]]=0,"",Table_1212151012[[#This Row],[Signal Name]])</f>
        <v/>
      </c>
      <c r="D138" s="42" t="n"/>
      <c r="E138" s="42" t="n"/>
      <c r="G138" s="45" t="n"/>
      <c r="J138" s="44">
        <f>IF($B138="","FALSE","TRUE")</f>
        <v/>
      </c>
      <c r="K138" s="37">
        <f t="array" ref="K138">IsURL(Table_1212151012[[#This Row],[Data Source]])</f>
        <v/>
      </c>
      <c r="L138" s="37">
        <f t="array" ref="L138">IsURL(Table_1212151012[[#This Row],[DOI]])</f>
        <v/>
      </c>
      <c r="M138" s="37">
        <f t="array" ref="M138">IsURL(Table_1212151012[[#This Row],[Data Source]])</f>
        <v/>
      </c>
      <c r="N138" s="37">
        <f t="array" ref="N138">IsURL(Table_1212151012[[#This Row],[Data Source]])</f>
        <v/>
      </c>
    </row>
    <row r="139" ht="15.75" customHeight="1">
      <c r="A139" s="37">
        <f>IF(Table_1212151012[[#This Row],[Signal Name]]=0,"",Table_1212151012[[#This Row],[Signal Name]])</f>
        <v/>
      </c>
      <c r="D139" s="42" t="n"/>
      <c r="E139" s="42" t="n"/>
      <c r="G139" s="45" t="n"/>
      <c r="J139" s="44">
        <f>IF($B139="","FALSE","TRUE")</f>
        <v/>
      </c>
      <c r="K139" s="37">
        <f t="array" ref="K139">IsURL(Table_1212151012[[#This Row],[Data Source]])</f>
        <v/>
      </c>
      <c r="L139" s="37">
        <f t="array" ref="L139">IsURL(Table_1212151012[[#This Row],[DOI]])</f>
        <v/>
      </c>
      <c r="M139" s="37">
        <f t="array" ref="M139">IsURL(Table_1212151012[[#This Row],[Data Source]])</f>
        <v/>
      </c>
      <c r="N139" s="37">
        <f t="array" ref="N139">IsURL(Table_1212151012[[#This Row],[Data Source]])</f>
        <v/>
      </c>
    </row>
    <row r="140" ht="15.75" customHeight="1">
      <c r="A140" s="37">
        <f>IF(Table_1212151012[[#This Row],[Signal Name]]=0,"",Table_1212151012[[#This Row],[Signal Name]])</f>
        <v/>
      </c>
      <c r="D140" s="42" t="n"/>
      <c r="E140" s="42" t="n"/>
      <c r="G140" s="45" t="n"/>
      <c r="J140" s="44">
        <f>IF($B140="","FALSE","TRUE")</f>
        <v/>
      </c>
      <c r="K140" s="37">
        <f t="array" ref="K140">IsURL(Table_1212151012[[#This Row],[Data Source]])</f>
        <v/>
      </c>
      <c r="L140" s="37">
        <f t="array" ref="L140">IsURL(Table_1212151012[[#This Row],[DOI]])</f>
        <v/>
      </c>
      <c r="M140" s="37">
        <f t="array" ref="M140">IsURL(Table_1212151012[[#This Row],[Data Source]])</f>
        <v/>
      </c>
      <c r="N140" s="37">
        <f t="array" ref="N140">IsURL(Table_1212151012[[#This Row],[Data Source]])</f>
        <v/>
      </c>
    </row>
    <row r="141" ht="15.75" customHeight="1">
      <c r="A141" s="37">
        <f>IF(Table_1212151012[[#This Row],[Signal Name]]=0,"",Table_1212151012[[#This Row],[Signal Name]])</f>
        <v/>
      </c>
      <c r="D141" s="42" t="n"/>
      <c r="E141" s="42" t="n"/>
      <c r="G141" s="45" t="n"/>
      <c r="J141" s="44">
        <f>IF($B141="","FALSE","TRUE")</f>
        <v/>
      </c>
      <c r="K141" s="37">
        <f t="array" ref="K141">IsURL(Table_1212151012[[#This Row],[Data Source]])</f>
        <v/>
      </c>
      <c r="L141" s="37">
        <f t="array" ref="L141">IsURL(Table_1212151012[[#This Row],[DOI]])</f>
        <v/>
      </c>
      <c r="M141" s="37">
        <f t="array" ref="M141">IsURL(Table_1212151012[[#This Row],[Data Source]])</f>
        <v/>
      </c>
      <c r="N141" s="37">
        <f t="array" ref="N141">IsURL(Table_1212151012[[#This Row],[Data Source]])</f>
        <v/>
      </c>
    </row>
    <row r="142" ht="15.75" customHeight="1">
      <c r="A142" s="37">
        <f>IF(Table_1212151012[[#This Row],[Signal Name]]=0,"",Table_1212151012[[#This Row],[Signal Name]])</f>
        <v/>
      </c>
      <c r="D142" s="42" t="n"/>
      <c r="E142" s="42" t="n"/>
      <c r="G142" s="45" t="n"/>
      <c r="J142" s="44">
        <f>IF($B142="","FALSE","TRUE")</f>
        <v/>
      </c>
      <c r="K142" s="37">
        <f t="array" ref="K142">IsURL(Table_1212151012[[#This Row],[Data Source]])</f>
        <v/>
      </c>
      <c r="L142" s="37">
        <f t="array" ref="L142">IsURL(Table_1212151012[[#This Row],[DOI]])</f>
        <v/>
      </c>
      <c r="M142" s="37">
        <f t="array" ref="M142">IsURL(Table_1212151012[[#This Row],[Data Source]])</f>
        <v/>
      </c>
      <c r="N142" s="37">
        <f t="array" ref="N142">IsURL(Table_1212151012[[#This Row],[Data Source]])</f>
        <v/>
      </c>
    </row>
    <row r="143" ht="15.75" customHeight="1">
      <c r="A143" s="37">
        <f>IF(Table_1212151012[[#This Row],[Signal Name]]=0,"",Table_1212151012[[#This Row],[Signal Name]])</f>
        <v/>
      </c>
      <c r="D143" s="42" t="n"/>
      <c r="E143" s="42" t="n"/>
      <c r="G143" s="45" t="n"/>
      <c r="J143" s="44">
        <f>IF($B143="","FALSE","TRUE")</f>
        <v/>
      </c>
      <c r="K143" s="37">
        <f t="array" ref="K143">IsURL(Table_1212151012[[#This Row],[Data Source]])</f>
        <v/>
      </c>
      <c r="L143" s="37">
        <f t="array" ref="L143">IsURL(Table_1212151012[[#This Row],[DOI]])</f>
        <v/>
      </c>
      <c r="M143" s="37">
        <f t="array" ref="M143">IsURL(Table_1212151012[[#This Row],[Data Source]])</f>
        <v/>
      </c>
      <c r="N143" s="37">
        <f t="array" ref="N143">IsURL(Table_1212151012[[#This Row],[Data Source]])</f>
        <v/>
      </c>
    </row>
    <row r="144" ht="15.75" customHeight="1">
      <c r="A144" s="37">
        <f>IF(Table_1212151012[[#This Row],[Signal Name]]=0,"",Table_1212151012[[#This Row],[Signal Name]])</f>
        <v/>
      </c>
      <c r="D144" s="42" t="n"/>
      <c r="E144" s="42" t="n"/>
      <c r="G144" s="45" t="n"/>
      <c r="J144" s="44">
        <f>IF($B144="","FALSE","TRUE")</f>
        <v/>
      </c>
      <c r="K144" s="37">
        <f t="array" ref="K144">IsURL(Table_1212151012[[#This Row],[Data Source]])</f>
        <v/>
      </c>
      <c r="L144" s="37">
        <f t="array" ref="L144">IsURL(Table_1212151012[[#This Row],[DOI]])</f>
        <v/>
      </c>
      <c r="M144" s="37">
        <f t="array" ref="M144">IsURL(Table_1212151012[[#This Row],[Data Source]])</f>
        <v/>
      </c>
      <c r="N144" s="37">
        <f t="array" ref="N144">IsURL(Table_1212151012[[#This Row],[Data Source]])</f>
        <v/>
      </c>
    </row>
    <row r="145" ht="15.75" customHeight="1">
      <c r="A145" s="37">
        <f>IF(Table_1212151012[[#This Row],[Signal Name]]=0,"",Table_1212151012[[#This Row],[Signal Name]])</f>
        <v/>
      </c>
      <c r="D145" s="42" t="n"/>
      <c r="E145" s="42" t="n"/>
      <c r="G145" s="45" t="n"/>
      <c r="J145" s="44">
        <f>IF($B145="","FALSE","TRUE")</f>
        <v/>
      </c>
      <c r="K145" s="37">
        <f t="array" ref="K145">IsURL(Table_1212151012[[#This Row],[Data Source]])</f>
        <v/>
      </c>
      <c r="L145" s="37">
        <f t="array" ref="L145">IsURL(Table_1212151012[[#This Row],[DOI]])</f>
        <v/>
      </c>
      <c r="M145" s="37">
        <f t="array" ref="M145">IsURL(Table_1212151012[[#This Row],[Data Source]])</f>
        <v/>
      </c>
      <c r="N145" s="37">
        <f t="array" ref="N145">IsURL(Table_1212151012[[#This Row],[Data Source]])</f>
        <v/>
      </c>
    </row>
    <row r="146" ht="15.75" customHeight="1">
      <c r="A146" s="37">
        <f>IF(Table_1212151012[[#This Row],[Signal Name]]=0,"",Table_1212151012[[#This Row],[Signal Name]])</f>
        <v/>
      </c>
      <c r="D146" s="42" t="n"/>
      <c r="E146" s="42" t="n"/>
      <c r="G146" s="45" t="n"/>
      <c r="J146" s="44">
        <f>IF($B146="","FALSE","TRUE")</f>
        <v/>
      </c>
      <c r="K146" s="37">
        <f t="array" ref="K146">IsURL(Table_1212151012[[#This Row],[Data Source]])</f>
        <v/>
      </c>
      <c r="L146" s="37">
        <f t="array" ref="L146">IsURL(Table_1212151012[[#This Row],[DOI]])</f>
        <v/>
      </c>
      <c r="M146" s="37">
        <f t="array" ref="M146">IsURL(Table_1212151012[[#This Row],[Data Source]])</f>
        <v/>
      </c>
      <c r="N146" s="37">
        <f t="array" ref="N146">IsURL(Table_1212151012[[#This Row],[Data Source]])</f>
        <v/>
      </c>
    </row>
    <row r="147" ht="15.75" customHeight="1">
      <c r="A147" s="37">
        <f>IF(Table_1212151012[[#This Row],[Signal Name]]=0,"",Table_1212151012[[#This Row],[Signal Name]])</f>
        <v/>
      </c>
      <c r="D147" s="42" t="n"/>
      <c r="E147" s="42" t="n"/>
      <c r="G147" s="45" t="n"/>
      <c r="J147" s="44">
        <f>IF($B147="","FALSE","TRUE")</f>
        <v/>
      </c>
      <c r="K147" s="37">
        <f t="array" ref="K147">IsURL(Table_1212151012[[#This Row],[Data Source]])</f>
        <v/>
      </c>
      <c r="L147" s="37">
        <f t="array" ref="L147">IsURL(Table_1212151012[[#This Row],[DOI]])</f>
        <v/>
      </c>
      <c r="M147" s="37">
        <f t="array" ref="M147">IsURL(Table_1212151012[[#This Row],[Data Source]])</f>
        <v/>
      </c>
      <c r="N147" s="37">
        <f t="array" ref="N147">IsURL(Table_1212151012[[#This Row],[Data Source]])</f>
        <v/>
      </c>
    </row>
    <row r="148" ht="15.75" customHeight="1">
      <c r="A148" s="37">
        <f>IF(Table_1212151012[[#This Row],[Signal Name]]=0,"",Table_1212151012[[#This Row],[Signal Name]])</f>
        <v/>
      </c>
      <c r="D148" s="42" t="n"/>
      <c r="E148" s="42" t="n"/>
      <c r="G148" s="45" t="n"/>
      <c r="J148" s="44">
        <f>IF($B148="","FALSE","TRUE")</f>
        <v/>
      </c>
      <c r="K148" s="37">
        <f t="array" ref="K148">IsURL(Table_1212151012[[#This Row],[Data Source]])</f>
        <v/>
      </c>
      <c r="L148" s="37">
        <f t="array" ref="L148">IsURL(Table_1212151012[[#This Row],[DOI]])</f>
        <v/>
      </c>
      <c r="M148" s="37">
        <f t="array" ref="M148">IsURL(Table_1212151012[[#This Row],[Data Source]])</f>
        <v/>
      </c>
      <c r="N148" s="37">
        <f t="array" ref="N148">IsURL(Table_1212151012[[#This Row],[Data Source]])</f>
        <v/>
      </c>
    </row>
    <row r="149" ht="15.75" customHeight="1">
      <c r="A149" s="37">
        <f>IF(Table_1212151012[[#This Row],[Signal Name]]=0,"",Table_1212151012[[#This Row],[Signal Name]])</f>
        <v/>
      </c>
      <c r="D149" s="42" t="n"/>
      <c r="E149" s="42" t="n"/>
      <c r="G149" s="45" t="n"/>
      <c r="J149" s="44">
        <f>IF($B149="","FALSE","TRUE")</f>
        <v/>
      </c>
      <c r="K149" s="37">
        <f t="array" ref="K149">IsURL(Table_1212151012[[#This Row],[Data Source]])</f>
        <v/>
      </c>
      <c r="L149" s="37">
        <f t="array" ref="L149">IsURL(Table_1212151012[[#This Row],[DOI]])</f>
        <v/>
      </c>
      <c r="M149" s="37">
        <f t="array" ref="M149">IsURL(Table_1212151012[[#This Row],[Data Source]])</f>
        <v/>
      </c>
      <c r="N149" s="37">
        <f t="array" ref="N149">IsURL(Table_1212151012[[#This Row],[Data Source]])</f>
        <v/>
      </c>
    </row>
    <row r="150" ht="15.75" customHeight="1">
      <c r="A150" s="37">
        <f>IF(Table_1212151012[[#This Row],[Signal Name]]=0,"",Table_1212151012[[#This Row],[Signal Name]])</f>
        <v/>
      </c>
      <c r="D150" s="42" t="n"/>
      <c r="E150" s="42" t="n"/>
      <c r="G150" s="45" t="n"/>
      <c r="J150" s="44">
        <f>IF($B150="","FALSE","TRUE")</f>
        <v/>
      </c>
      <c r="K150" s="37">
        <f t="array" ref="K150">IsURL(Table_1212151012[[#This Row],[Data Source]])</f>
        <v/>
      </c>
      <c r="L150" s="37">
        <f t="array" ref="L150">IsURL(Table_1212151012[[#This Row],[DOI]])</f>
        <v/>
      </c>
      <c r="M150" s="37">
        <f t="array" ref="M150">IsURL(Table_1212151012[[#This Row],[Data Source]])</f>
        <v/>
      </c>
      <c r="N150" s="37">
        <f t="array" ref="N150">IsURL(Table_1212151012[[#This Row],[Data Source]])</f>
        <v/>
      </c>
    </row>
    <row r="151" ht="15.75" customHeight="1">
      <c r="A151" s="37">
        <f>IF(Table_1212151012[[#This Row],[Signal Name]]=0,"",Table_1212151012[[#This Row],[Signal Name]])</f>
        <v/>
      </c>
      <c r="D151" s="42" t="n"/>
      <c r="E151" s="42" t="n"/>
      <c r="G151" s="45" t="n"/>
      <c r="J151" s="44">
        <f>IF($B151="","FALSE","TRUE")</f>
        <v/>
      </c>
      <c r="K151" s="37">
        <f t="array" ref="K151">IsURL(Table_1212151012[[#This Row],[Data Source]])</f>
        <v/>
      </c>
      <c r="L151" s="37">
        <f t="array" ref="L151">IsURL(Table_1212151012[[#This Row],[DOI]])</f>
        <v/>
      </c>
      <c r="M151" s="37">
        <f t="array" ref="M151">IsURL(Table_1212151012[[#This Row],[Data Source]])</f>
        <v/>
      </c>
      <c r="N151" s="37">
        <f t="array" ref="N151">IsURL(Table_1212151012[[#This Row],[Data Source]])</f>
        <v/>
      </c>
    </row>
    <row r="152" ht="15.75" customHeight="1">
      <c r="A152" s="37">
        <f>IF(Table_1212151012[[#This Row],[Signal Name]]=0,"",Table_1212151012[[#This Row],[Signal Name]])</f>
        <v/>
      </c>
      <c r="D152" s="42" t="n"/>
      <c r="E152" s="42" t="n"/>
      <c r="G152" s="45" t="n"/>
      <c r="J152" s="44">
        <f>IF($B152="","FALSE","TRUE")</f>
        <v/>
      </c>
      <c r="K152" s="37">
        <f t="array" ref="K152">IsURL(Table_1212151012[[#This Row],[Data Source]])</f>
        <v/>
      </c>
      <c r="L152" s="37">
        <f t="array" ref="L152">IsURL(Table_1212151012[[#This Row],[DOI]])</f>
        <v/>
      </c>
      <c r="M152" s="37">
        <f t="array" ref="M152">IsURL(Table_1212151012[[#This Row],[Data Source]])</f>
        <v/>
      </c>
      <c r="N152" s="37">
        <f t="array" ref="N152">IsURL(Table_1212151012[[#This Row],[Data Source]])</f>
        <v/>
      </c>
    </row>
    <row r="153" ht="15.75" customHeight="1">
      <c r="A153" s="37">
        <f>IF(Table_1212151012[[#This Row],[Signal Name]]=0,"",Table_1212151012[[#This Row],[Signal Name]])</f>
        <v/>
      </c>
      <c r="D153" s="42" t="n"/>
      <c r="E153" s="42" t="n"/>
      <c r="G153" s="45" t="n"/>
      <c r="J153" s="44">
        <f>IF($B153="","FALSE","TRUE")</f>
        <v/>
      </c>
      <c r="K153" s="37">
        <f t="array" ref="K153">IsURL(Table_1212151012[[#This Row],[Data Source]])</f>
        <v/>
      </c>
      <c r="L153" s="37">
        <f t="array" ref="L153">IsURL(Table_1212151012[[#This Row],[DOI]])</f>
        <v/>
      </c>
      <c r="M153" s="37">
        <f t="array" ref="M153">IsURL(Table_1212151012[[#This Row],[Data Source]])</f>
        <v/>
      </c>
      <c r="N153" s="37">
        <f t="array" ref="N153">IsURL(Table_1212151012[[#This Row],[Data Source]])</f>
        <v/>
      </c>
    </row>
    <row r="154" ht="15.75" customHeight="1">
      <c r="A154" s="37">
        <f>IF(Table_1212151012[[#This Row],[Signal Name]]=0,"",Table_1212151012[[#This Row],[Signal Name]])</f>
        <v/>
      </c>
      <c r="D154" s="42" t="n"/>
      <c r="E154" s="42" t="n"/>
      <c r="G154" s="45" t="n"/>
      <c r="J154" s="44">
        <f>IF($B154="","FALSE","TRUE")</f>
        <v/>
      </c>
      <c r="K154" s="37">
        <f t="array" ref="K154">IsURL(Table_1212151012[[#This Row],[Data Source]])</f>
        <v/>
      </c>
      <c r="L154" s="37">
        <f t="array" ref="L154">IsURL(Table_1212151012[[#This Row],[DOI]])</f>
        <v/>
      </c>
      <c r="M154" s="37">
        <f t="array" ref="M154">IsURL(Table_1212151012[[#This Row],[Data Source]])</f>
        <v/>
      </c>
      <c r="N154" s="37">
        <f t="array" ref="N154">IsURL(Table_1212151012[[#This Row],[Data Source]])</f>
        <v/>
      </c>
    </row>
    <row r="155" ht="15.75" customHeight="1">
      <c r="A155" s="37">
        <f>IF(Table_1212151012[[#This Row],[Signal Name]]=0,"",Table_1212151012[[#This Row],[Signal Name]])</f>
        <v/>
      </c>
      <c r="D155" s="42" t="n"/>
      <c r="E155" s="42" t="n"/>
      <c r="G155" s="45" t="n"/>
      <c r="J155" s="44">
        <f>IF($B155="","FALSE","TRUE")</f>
        <v/>
      </c>
      <c r="K155" s="37">
        <f t="array" ref="K155">IsURL(Table_1212151012[[#This Row],[Data Source]])</f>
        <v/>
      </c>
      <c r="L155" s="37">
        <f t="array" ref="L155">IsURL(Table_1212151012[[#This Row],[DOI]])</f>
        <v/>
      </c>
      <c r="M155" s="37">
        <f t="array" ref="M155">IsURL(Table_1212151012[[#This Row],[Data Source]])</f>
        <v/>
      </c>
      <c r="N155" s="37">
        <f t="array" ref="N155">IsURL(Table_1212151012[[#This Row],[Data Source]])</f>
        <v/>
      </c>
    </row>
    <row r="156" ht="15.75" customHeight="1">
      <c r="A156" s="37">
        <f>IF(Table_1212151012[[#This Row],[Signal Name]]=0,"",Table_1212151012[[#This Row],[Signal Name]])</f>
        <v/>
      </c>
      <c r="D156" s="42" t="n"/>
      <c r="E156" s="42" t="n"/>
      <c r="G156" s="45" t="n"/>
      <c r="J156" s="44">
        <f>IF($B156="","FALSE","TRUE")</f>
        <v/>
      </c>
      <c r="K156" s="37">
        <f t="array" ref="K156">IsURL(Table_1212151012[[#This Row],[Data Source]])</f>
        <v/>
      </c>
      <c r="L156" s="37">
        <f t="array" ref="L156">IsURL(Table_1212151012[[#This Row],[DOI]])</f>
        <v/>
      </c>
      <c r="M156" s="37">
        <f t="array" ref="M156">IsURL(Table_1212151012[[#This Row],[Data Source]])</f>
        <v/>
      </c>
      <c r="N156" s="37">
        <f t="array" ref="N156">IsURL(Table_1212151012[[#This Row],[Data Source]])</f>
        <v/>
      </c>
    </row>
    <row r="157" ht="15.75" customHeight="1">
      <c r="A157" s="37">
        <f>IF(Table_1212151012[[#This Row],[Signal Name]]=0,"",Table_1212151012[[#This Row],[Signal Name]])</f>
        <v/>
      </c>
      <c r="D157" s="42" t="n"/>
      <c r="E157" s="42" t="n"/>
      <c r="G157" s="45" t="n"/>
      <c r="J157" s="44">
        <f>IF($B157="","FALSE","TRUE")</f>
        <v/>
      </c>
      <c r="K157" s="37">
        <f t="array" ref="K157">IsURL(Table_1212151012[[#This Row],[Data Source]])</f>
        <v/>
      </c>
      <c r="L157" s="37">
        <f t="array" ref="L157">IsURL(Table_1212151012[[#This Row],[DOI]])</f>
        <v/>
      </c>
      <c r="M157" s="37">
        <f t="array" ref="M157">IsURL(Table_1212151012[[#This Row],[Data Source]])</f>
        <v/>
      </c>
      <c r="N157" s="37">
        <f t="array" ref="N157">IsURL(Table_1212151012[[#This Row],[Data Source]])</f>
        <v/>
      </c>
    </row>
    <row r="158" ht="15.75" customHeight="1">
      <c r="A158" s="37">
        <f>IF(Table_1212151012[[#This Row],[Signal Name]]=0,"",Table_1212151012[[#This Row],[Signal Name]])</f>
        <v/>
      </c>
      <c r="D158" s="42" t="n"/>
      <c r="E158" s="42" t="n"/>
      <c r="G158" s="45" t="n"/>
      <c r="J158" s="44">
        <f>IF($B158="","FALSE","TRUE")</f>
        <v/>
      </c>
      <c r="K158" s="37">
        <f t="array" ref="K158">IsURL(Table_1212151012[[#This Row],[Data Source]])</f>
        <v/>
      </c>
      <c r="L158" s="37">
        <f t="array" ref="L158">IsURL(Table_1212151012[[#This Row],[DOI]])</f>
        <v/>
      </c>
      <c r="M158" s="37">
        <f t="array" ref="M158">IsURL(Table_1212151012[[#This Row],[Data Source]])</f>
        <v/>
      </c>
      <c r="N158" s="37">
        <f t="array" ref="N158">IsURL(Table_1212151012[[#This Row],[Data Source]])</f>
        <v/>
      </c>
    </row>
    <row r="159" ht="15.75" customHeight="1">
      <c r="A159" s="37">
        <f>IF(Table_1212151012[[#This Row],[Signal Name]]=0,"",Table_1212151012[[#This Row],[Signal Name]])</f>
        <v/>
      </c>
      <c r="D159" s="42" t="n"/>
      <c r="E159" s="42" t="n"/>
      <c r="G159" s="45" t="n"/>
      <c r="J159" s="44">
        <f>IF($B159="","FALSE","TRUE")</f>
        <v/>
      </c>
      <c r="K159" s="37">
        <f t="array" ref="K159">IsURL(Table_1212151012[[#This Row],[Data Source]])</f>
        <v/>
      </c>
      <c r="L159" s="37">
        <f t="array" ref="L159">IsURL(Table_1212151012[[#This Row],[DOI]])</f>
        <v/>
      </c>
      <c r="M159" s="37">
        <f t="array" ref="M159">IsURL(Table_1212151012[[#This Row],[Data Source]])</f>
        <v/>
      </c>
      <c r="N159" s="37">
        <f t="array" ref="N159">IsURL(Table_1212151012[[#This Row],[Data Source]])</f>
        <v/>
      </c>
    </row>
    <row r="160" ht="15.75" customHeight="1">
      <c r="A160" s="37">
        <f>IF(Table_1212151012[[#This Row],[Signal Name]]=0,"",Table_1212151012[[#This Row],[Signal Name]])</f>
        <v/>
      </c>
      <c r="D160" s="42" t="n"/>
      <c r="E160" s="42" t="n"/>
      <c r="G160" s="45" t="n"/>
      <c r="J160" s="44">
        <f>IF($B160="","FALSE","TRUE")</f>
        <v/>
      </c>
      <c r="K160" s="37">
        <f t="array" ref="K160">IsURL(Table_1212151012[[#This Row],[Data Source]])</f>
        <v/>
      </c>
      <c r="L160" s="37">
        <f t="array" ref="L160">IsURL(Table_1212151012[[#This Row],[DOI]])</f>
        <v/>
      </c>
      <c r="M160" s="37">
        <f t="array" ref="M160">IsURL(Table_1212151012[[#This Row],[Data Source]])</f>
        <v/>
      </c>
      <c r="N160" s="37">
        <f t="array" ref="N160">IsURL(Table_1212151012[[#This Row],[Data Source]])</f>
        <v/>
      </c>
    </row>
    <row r="161" ht="15.75" customHeight="1">
      <c r="A161" s="37">
        <f>IF(Table_1212151012[[#This Row],[Signal Name]]=0,"",Table_1212151012[[#This Row],[Signal Name]])</f>
        <v/>
      </c>
      <c r="D161" s="42" t="n"/>
      <c r="E161" s="42" t="n"/>
      <c r="G161" s="45" t="n"/>
      <c r="J161" s="44">
        <f>IF($B161="","FALSE","TRUE")</f>
        <v/>
      </c>
      <c r="K161" s="37">
        <f t="array" ref="K161">IsURL(Table_1212151012[[#This Row],[Data Source]])</f>
        <v/>
      </c>
      <c r="L161" s="37">
        <f t="array" ref="L161">IsURL(Table_1212151012[[#This Row],[DOI]])</f>
        <v/>
      </c>
      <c r="M161" s="37">
        <f t="array" ref="M161">IsURL(Table_1212151012[[#This Row],[Data Source]])</f>
        <v/>
      </c>
      <c r="N161" s="37">
        <f t="array" ref="N161">IsURL(Table_1212151012[[#This Row],[Data Source]])</f>
        <v/>
      </c>
    </row>
    <row r="162" ht="15.75" customHeight="1">
      <c r="A162" s="37">
        <f>IF(Table_1212151012[[#This Row],[Signal Name]]=0,"",Table_1212151012[[#This Row],[Signal Name]])</f>
        <v/>
      </c>
      <c r="D162" s="42" t="n"/>
      <c r="E162" s="42" t="n"/>
      <c r="G162" s="45" t="n"/>
      <c r="J162" s="44">
        <f>IF($B162="","FALSE","TRUE")</f>
        <v/>
      </c>
      <c r="K162" s="37">
        <f t="array" ref="K162">IsURL(Table_1212151012[[#This Row],[Data Source]])</f>
        <v/>
      </c>
      <c r="L162" s="37">
        <f t="array" ref="L162">IsURL(Table_1212151012[[#This Row],[DOI]])</f>
        <v/>
      </c>
      <c r="M162" s="37">
        <f t="array" ref="M162">IsURL(Table_1212151012[[#This Row],[Data Source]])</f>
        <v/>
      </c>
      <c r="N162" s="37">
        <f t="array" ref="N162">IsURL(Table_1212151012[[#This Row],[Data Source]])</f>
        <v/>
      </c>
    </row>
    <row r="163" ht="15.75" customHeight="1">
      <c r="A163" s="37">
        <f>IF(Table_1212151012[[#This Row],[Signal Name]]=0,"",Table_1212151012[[#This Row],[Signal Name]])</f>
        <v/>
      </c>
      <c r="D163" s="42" t="n"/>
      <c r="E163" s="42" t="n"/>
      <c r="G163" s="45" t="n"/>
      <c r="J163" s="44">
        <f>IF($B163="","FALSE","TRUE")</f>
        <v/>
      </c>
      <c r="K163" s="37">
        <f t="array" ref="K163">IsURL(Table_1212151012[[#This Row],[Data Source]])</f>
        <v/>
      </c>
      <c r="L163" s="37">
        <f t="array" ref="L163">IsURL(Table_1212151012[[#This Row],[DOI]])</f>
        <v/>
      </c>
      <c r="M163" s="37">
        <f t="array" ref="M163">IsURL(Table_1212151012[[#This Row],[Data Source]])</f>
        <v/>
      </c>
      <c r="N163" s="37">
        <f t="array" ref="N163">IsURL(Table_1212151012[[#This Row],[Data Source]])</f>
        <v/>
      </c>
    </row>
    <row r="164" ht="15.75" customHeight="1">
      <c r="A164" s="37">
        <f>IF(Table_1212151012[[#This Row],[Signal Name]]=0,"",Table_1212151012[[#This Row],[Signal Name]])</f>
        <v/>
      </c>
      <c r="D164" s="42" t="n"/>
      <c r="E164" s="42" t="n"/>
      <c r="G164" s="45" t="n"/>
      <c r="J164" s="44">
        <f>IF($B164="","FALSE","TRUE")</f>
        <v/>
      </c>
      <c r="K164" s="37">
        <f t="array" ref="K164">IsURL(Table_1212151012[[#This Row],[Data Source]])</f>
        <v/>
      </c>
      <c r="L164" s="37">
        <f t="array" ref="L164">IsURL(Table_1212151012[[#This Row],[DOI]])</f>
        <v/>
      </c>
      <c r="M164" s="37">
        <f t="array" ref="M164">IsURL(Table_1212151012[[#This Row],[Data Source]])</f>
        <v/>
      </c>
      <c r="N164" s="37">
        <f t="array" ref="N164">IsURL(Table_1212151012[[#This Row],[Data Source]])</f>
        <v/>
      </c>
    </row>
    <row r="165" ht="15.75" customHeight="1">
      <c r="A165" s="37">
        <f>IF(Table_1212151012[[#This Row],[Signal Name]]=0,"",Table_1212151012[[#This Row],[Signal Name]])</f>
        <v/>
      </c>
      <c r="D165" s="42" t="n"/>
      <c r="E165" s="42" t="n"/>
      <c r="G165" s="45" t="n"/>
      <c r="J165" s="44">
        <f>IF($B165="","FALSE","TRUE")</f>
        <v/>
      </c>
      <c r="K165" s="37">
        <f t="array" ref="K165">IsURL(Table_1212151012[[#This Row],[Data Source]])</f>
        <v/>
      </c>
      <c r="L165" s="37">
        <f t="array" ref="L165">IsURL(Table_1212151012[[#This Row],[DOI]])</f>
        <v/>
      </c>
      <c r="M165" s="37">
        <f t="array" ref="M165">IsURL(Table_1212151012[[#This Row],[Data Source]])</f>
        <v/>
      </c>
      <c r="N165" s="37">
        <f t="array" ref="N165">IsURL(Table_1212151012[[#This Row],[Data Source]])</f>
        <v/>
      </c>
    </row>
    <row r="166" ht="15.75" customHeight="1">
      <c r="A166" s="37">
        <f>IF(Table_1212151012[[#This Row],[Signal Name]]=0,"",Table_1212151012[[#This Row],[Signal Name]])</f>
        <v/>
      </c>
      <c r="D166" s="42" t="n"/>
      <c r="E166" s="42" t="n"/>
      <c r="G166" s="45" t="n"/>
      <c r="J166" s="44">
        <f>IF($B166="","FALSE","TRUE")</f>
        <v/>
      </c>
      <c r="K166" s="37">
        <f t="array" ref="K166">IsURL(Table_1212151012[[#This Row],[Data Source]])</f>
        <v/>
      </c>
      <c r="L166" s="37">
        <f t="array" ref="L166">IsURL(Table_1212151012[[#This Row],[DOI]])</f>
        <v/>
      </c>
      <c r="M166" s="37">
        <f t="array" ref="M166">IsURL(Table_1212151012[[#This Row],[Data Source]])</f>
        <v/>
      </c>
      <c r="N166" s="37">
        <f t="array" ref="N166">IsURL(Table_1212151012[[#This Row],[Data Source]])</f>
        <v/>
      </c>
    </row>
    <row r="167" ht="15.75" customHeight="1">
      <c r="A167" s="37">
        <f>IF(Table_1212151012[[#This Row],[Signal Name]]=0,"",Table_1212151012[[#This Row],[Signal Name]])</f>
        <v/>
      </c>
      <c r="D167" s="42" t="n"/>
      <c r="E167" s="42" t="n"/>
      <c r="G167" s="45" t="n"/>
      <c r="J167" s="44">
        <f>IF($B167="","FALSE","TRUE")</f>
        <v/>
      </c>
      <c r="K167" s="37">
        <f t="array" ref="K167">IsURL(Table_1212151012[[#This Row],[Data Source]])</f>
        <v/>
      </c>
      <c r="L167" s="37">
        <f t="array" ref="L167">IsURL(Table_1212151012[[#This Row],[DOI]])</f>
        <v/>
      </c>
      <c r="M167" s="37">
        <f t="array" ref="M167">IsURL(Table_1212151012[[#This Row],[Data Source]])</f>
        <v/>
      </c>
      <c r="N167" s="37">
        <f t="array" ref="N167">IsURL(Table_1212151012[[#This Row],[Data Source]])</f>
        <v/>
      </c>
    </row>
    <row r="168" ht="15.75" customHeight="1">
      <c r="A168" s="37">
        <f>IF(Table_1212151012[[#This Row],[Signal Name]]=0,"",Table_1212151012[[#This Row],[Signal Name]])</f>
        <v/>
      </c>
      <c r="D168" s="42" t="n"/>
      <c r="E168" s="42" t="n"/>
      <c r="G168" s="45" t="n"/>
      <c r="J168" s="44">
        <f>IF($B168="","FALSE","TRUE")</f>
        <v/>
      </c>
      <c r="K168" s="37">
        <f t="array" ref="K168">IsURL(Table_1212151012[[#This Row],[Data Source]])</f>
        <v/>
      </c>
      <c r="L168" s="37">
        <f t="array" ref="L168">IsURL(Table_1212151012[[#This Row],[DOI]])</f>
        <v/>
      </c>
      <c r="M168" s="37">
        <f t="array" ref="M168">IsURL(Table_1212151012[[#This Row],[Data Source]])</f>
        <v/>
      </c>
      <c r="N168" s="37">
        <f t="array" ref="N168">IsURL(Table_1212151012[[#This Row],[Data Source]])</f>
        <v/>
      </c>
    </row>
    <row r="169" ht="15.75" customHeight="1">
      <c r="A169" s="37">
        <f>IF(Table_1212151012[[#This Row],[Signal Name]]=0,"",Table_1212151012[[#This Row],[Signal Name]])</f>
        <v/>
      </c>
      <c r="D169" s="42" t="n"/>
      <c r="E169" s="42" t="n"/>
      <c r="G169" s="45" t="n"/>
      <c r="J169" s="44">
        <f>IF($B169="","FALSE","TRUE")</f>
        <v/>
      </c>
      <c r="K169" s="37">
        <f t="array" ref="K169">IsURL(Table_1212151012[[#This Row],[Data Source]])</f>
        <v/>
      </c>
      <c r="L169" s="37">
        <f t="array" ref="L169">IsURL(Table_1212151012[[#This Row],[DOI]])</f>
        <v/>
      </c>
      <c r="M169" s="37">
        <f t="array" ref="M169">IsURL(Table_1212151012[[#This Row],[Data Source]])</f>
        <v/>
      </c>
      <c r="N169" s="37">
        <f t="array" ref="N169">IsURL(Table_1212151012[[#This Row],[Data Source]])</f>
        <v/>
      </c>
    </row>
    <row r="170" ht="15.75" customHeight="1">
      <c r="A170" s="37">
        <f>IF(Table_1212151012[[#This Row],[Signal Name]]=0,"",Table_1212151012[[#This Row],[Signal Name]])</f>
        <v/>
      </c>
      <c r="D170" s="42" t="n"/>
      <c r="E170" s="42" t="n"/>
      <c r="G170" s="45" t="n"/>
      <c r="J170" s="44">
        <f>IF($B170="","FALSE","TRUE")</f>
        <v/>
      </c>
      <c r="K170" s="37">
        <f t="array" ref="K170">IsURL(Table_1212151012[[#This Row],[Data Source]])</f>
        <v/>
      </c>
      <c r="L170" s="37">
        <f t="array" ref="L170">IsURL(Table_1212151012[[#This Row],[DOI]])</f>
        <v/>
      </c>
      <c r="M170" s="37">
        <f t="array" ref="M170">IsURL(Table_1212151012[[#This Row],[Data Source]])</f>
        <v/>
      </c>
      <c r="N170" s="37">
        <f t="array" ref="N170">IsURL(Table_1212151012[[#This Row],[Data Source]])</f>
        <v/>
      </c>
    </row>
    <row r="171" ht="15.75" customHeight="1">
      <c r="A171" s="37">
        <f>IF(Table_1212151012[[#This Row],[Signal Name]]=0,"",Table_1212151012[[#This Row],[Signal Name]])</f>
        <v/>
      </c>
      <c r="D171" s="42" t="n"/>
      <c r="E171" s="42" t="n"/>
      <c r="G171" s="45" t="n"/>
      <c r="J171" s="44">
        <f>IF($B171="","FALSE","TRUE")</f>
        <v/>
      </c>
      <c r="K171" s="37">
        <f t="array" ref="K171">IsURL(Table_1212151012[[#This Row],[Data Source]])</f>
        <v/>
      </c>
      <c r="L171" s="37">
        <f t="array" ref="L171">IsURL(Table_1212151012[[#This Row],[DOI]])</f>
        <v/>
      </c>
      <c r="M171" s="37">
        <f t="array" ref="M171">IsURL(Table_1212151012[[#This Row],[Data Source]])</f>
        <v/>
      </c>
      <c r="N171" s="37">
        <f t="array" ref="N171">IsURL(Table_1212151012[[#This Row],[Data Source]])</f>
        <v/>
      </c>
    </row>
    <row r="172" ht="15.75" customHeight="1">
      <c r="A172" s="37">
        <f>IF(Table_1212151012[[#This Row],[Signal Name]]=0,"",Table_1212151012[[#This Row],[Signal Name]])</f>
        <v/>
      </c>
      <c r="D172" s="42" t="n"/>
      <c r="E172" s="42" t="n"/>
      <c r="G172" s="45" t="n"/>
      <c r="J172" s="44">
        <f>IF($B172="","FALSE","TRUE")</f>
        <v/>
      </c>
      <c r="K172" s="37">
        <f t="array" ref="K172">IsURL(Table_1212151012[[#This Row],[Data Source]])</f>
        <v/>
      </c>
      <c r="L172" s="37">
        <f t="array" ref="L172">IsURL(Table_1212151012[[#This Row],[DOI]])</f>
        <v/>
      </c>
      <c r="M172" s="37">
        <f t="array" ref="M172">IsURL(Table_1212151012[[#This Row],[Data Source]])</f>
        <v/>
      </c>
      <c r="N172" s="37">
        <f t="array" ref="N172">IsURL(Table_1212151012[[#This Row],[Data Source]])</f>
        <v/>
      </c>
    </row>
    <row r="173" ht="15.75" customHeight="1">
      <c r="A173" s="37">
        <f>IF(Table_1212151012[[#This Row],[Signal Name]]=0,"",Table_1212151012[[#This Row],[Signal Name]])</f>
        <v/>
      </c>
      <c r="D173" s="42" t="n"/>
      <c r="E173" s="42" t="n"/>
      <c r="G173" s="45" t="n"/>
      <c r="J173" s="44">
        <f>IF($B173="","FALSE","TRUE")</f>
        <v/>
      </c>
      <c r="K173" s="37">
        <f t="array" ref="K173">IsURL(Table_1212151012[[#This Row],[Data Source]])</f>
        <v/>
      </c>
      <c r="L173" s="37">
        <f t="array" ref="L173">IsURL(Table_1212151012[[#This Row],[DOI]])</f>
        <v/>
      </c>
      <c r="M173" s="37">
        <f t="array" ref="M173">IsURL(Table_1212151012[[#This Row],[Data Source]])</f>
        <v/>
      </c>
      <c r="N173" s="37">
        <f t="array" ref="N173">IsURL(Table_1212151012[[#This Row],[Data Source]])</f>
        <v/>
      </c>
    </row>
    <row r="174" ht="15.75" customHeight="1">
      <c r="A174" s="37">
        <f>IF(Table_1212151012[[#This Row],[Signal Name]]=0,"",Table_1212151012[[#This Row],[Signal Name]])</f>
        <v/>
      </c>
      <c r="D174" s="42" t="n"/>
      <c r="E174" s="42" t="n"/>
      <c r="G174" s="45" t="n"/>
      <c r="J174" s="44">
        <f>IF($B174="","FALSE","TRUE")</f>
        <v/>
      </c>
      <c r="K174" s="37">
        <f t="array" ref="K174">IsURL(Table_1212151012[[#This Row],[Data Source]])</f>
        <v/>
      </c>
      <c r="L174" s="37">
        <f t="array" ref="L174">IsURL(Table_1212151012[[#This Row],[DOI]])</f>
        <v/>
      </c>
      <c r="M174" s="37">
        <f t="array" ref="M174">IsURL(Table_1212151012[[#This Row],[Data Source]])</f>
        <v/>
      </c>
      <c r="N174" s="37">
        <f t="array" ref="N174">IsURL(Table_1212151012[[#This Row],[Data Source]])</f>
        <v/>
      </c>
    </row>
    <row r="175" ht="15.75" customHeight="1">
      <c r="A175" s="37">
        <f>IF(Table_1212151012[[#This Row],[Signal Name]]=0,"",Table_1212151012[[#This Row],[Signal Name]])</f>
        <v/>
      </c>
      <c r="D175" s="42" t="n"/>
      <c r="E175" s="42" t="n"/>
      <c r="G175" s="45" t="n"/>
      <c r="J175" s="44">
        <f>IF($B175="","FALSE","TRUE")</f>
        <v/>
      </c>
      <c r="K175" s="37">
        <f t="array" ref="K175">IsURL(Table_1212151012[[#This Row],[Data Source]])</f>
        <v/>
      </c>
      <c r="L175" s="37">
        <f t="array" ref="L175">IsURL(Table_1212151012[[#This Row],[DOI]])</f>
        <v/>
      </c>
      <c r="M175" s="37">
        <f t="array" ref="M175">IsURL(Table_1212151012[[#This Row],[Data Source]])</f>
        <v/>
      </c>
      <c r="N175" s="37">
        <f t="array" ref="N175">IsURL(Table_1212151012[[#This Row],[Data Source]])</f>
        <v/>
      </c>
    </row>
    <row r="176" ht="15.75" customHeight="1">
      <c r="A176" s="37">
        <f>IF(Table_1212151012[[#This Row],[Signal Name]]=0,"",Table_1212151012[[#This Row],[Signal Name]])</f>
        <v/>
      </c>
      <c r="D176" s="42" t="n"/>
      <c r="E176" s="42" t="n"/>
      <c r="G176" s="45" t="n"/>
      <c r="J176" s="44">
        <f>IF($B176="","FALSE","TRUE")</f>
        <v/>
      </c>
      <c r="K176" s="37">
        <f t="array" ref="K176">IsURL(Table_1212151012[[#This Row],[Data Source]])</f>
        <v/>
      </c>
      <c r="L176" s="37">
        <f t="array" ref="L176">IsURL(Table_1212151012[[#This Row],[DOI]])</f>
        <v/>
      </c>
      <c r="M176" s="37">
        <f t="array" ref="M176">IsURL(Table_1212151012[[#This Row],[Data Source]])</f>
        <v/>
      </c>
      <c r="N176" s="37">
        <f t="array" ref="N176">IsURL(Table_1212151012[[#This Row],[Data Source]])</f>
        <v/>
      </c>
    </row>
    <row r="177" ht="15.75" customHeight="1">
      <c r="A177" s="37">
        <f>IF(Table_1212151012[[#This Row],[Signal Name]]=0,"",Table_1212151012[[#This Row],[Signal Name]])</f>
        <v/>
      </c>
      <c r="D177" s="42" t="n"/>
      <c r="E177" s="42" t="n"/>
      <c r="G177" s="45" t="n"/>
      <c r="J177" s="44">
        <f>IF($B177="","FALSE","TRUE")</f>
        <v/>
      </c>
      <c r="K177" s="37">
        <f t="array" ref="K177">IsURL(Table_1212151012[[#This Row],[Data Source]])</f>
        <v/>
      </c>
      <c r="L177" s="37">
        <f t="array" ref="L177">IsURL(Table_1212151012[[#This Row],[DOI]])</f>
        <v/>
      </c>
      <c r="M177" s="37">
        <f t="array" ref="M177">IsURL(Table_1212151012[[#This Row],[Data Source]])</f>
        <v/>
      </c>
      <c r="N177" s="37">
        <f t="array" ref="N177">IsURL(Table_1212151012[[#This Row],[Data Source]])</f>
        <v/>
      </c>
    </row>
    <row r="178" ht="15.75" customHeight="1">
      <c r="A178" s="37">
        <f>IF(Table_1212151012[[#This Row],[Signal Name]]=0,"",Table_1212151012[[#This Row],[Signal Name]])</f>
        <v/>
      </c>
      <c r="D178" s="42" t="n"/>
      <c r="E178" s="42" t="n"/>
      <c r="G178" s="45" t="n"/>
      <c r="J178" s="44">
        <f>IF($B178="","FALSE","TRUE")</f>
        <v/>
      </c>
      <c r="K178" s="37">
        <f t="array" ref="K178">IsURL(Table_1212151012[[#This Row],[Data Source]])</f>
        <v/>
      </c>
      <c r="L178" s="37">
        <f t="array" ref="L178">IsURL(Table_1212151012[[#This Row],[DOI]])</f>
        <v/>
      </c>
      <c r="M178" s="37">
        <f t="array" ref="M178">IsURL(Table_1212151012[[#This Row],[Data Source]])</f>
        <v/>
      </c>
      <c r="N178" s="37">
        <f t="array" ref="N178">IsURL(Table_1212151012[[#This Row],[Data Source]])</f>
        <v/>
      </c>
    </row>
    <row r="179" ht="15.75" customHeight="1">
      <c r="A179" s="37">
        <f>IF(Table_1212151012[[#This Row],[Signal Name]]=0,"",Table_1212151012[[#This Row],[Signal Name]])</f>
        <v/>
      </c>
      <c r="D179" s="42" t="n"/>
      <c r="E179" s="42" t="n"/>
      <c r="G179" s="45" t="n"/>
      <c r="J179" s="44">
        <f>IF($B179="","FALSE","TRUE")</f>
        <v/>
      </c>
      <c r="K179" s="37">
        <f t="array" ref="K179">IsURL(Table_1212151012[[#This Row],[Data Source]])</f>
        <v/>
      </c>
      <c r="L179" s="37">
        <f t="array" ref="L179">IsURL(Table_1212151012[[#This Row],[DOI]])</f>
        <v/>
      </c>
      <c r="M179" s="37">
        <f t="array" ref="M179">IsURL(Table_1212151012[[#This Row],[Data Source]])</f>
        <v/>
      </c>
      <c r="N179" s="37">
        <f t="array" ref="N179">IsURL(Table_1212151012[[#This Row],[Data Source]])</f>
        <v/>
      </c>
    </row>
    <row r="180" ht="15.75" customHeight="1">
      <c r="A180" s="37">
        <f>IF(Table_1212151012[[#This Row],[Signal Name]]=0,"",Table_1212151012[[#This Row],[Signal Name]])</f>
        <v/>
      </c>
      <c r="D180" s="42" t="n"/>
      <c r="E180" s="42" t="n"/>
      <c r="G180" s="45" t="n"/>
      <c r="J180" s="44">
        <f>IF($B180="","FALSE","TRUE")</f>
        <v/>
      </c>
      <c r="K180" s="37">
        <f t="array" ref="K180">IsURL(Table_1212151012[[#This Row],[Data Source]])</f>
        <v/>
      </c>
      <c r="L180" s="37">
        <f t="array" ref="L180">IsURL(Table_1212151012[[#This Row],[DOI]])</f>
        <v/>
      </c>
      <c r="M180" s="37">
        <f t="array" ref="M180">IsURL(Table_1212151012[[#This Row],[Data Source]])</f>
        <v/>
      </c>
      <c r="N180" s="37">
        <f t="array" ref="N180">IsURL(Table_1212151012[[#This Row],[Data Source]])</f>
        <v/>
      </c>
    </row>
    <row r="181" ht="15.75" customHeight="1">
      <c r="A181" s="37">
        <f>IF(Table_1212151012[[#This Row],[Signal Name]]=0,"",Table_1212151012[[#This Row],[Signal Name]])</f>
        <v/>
      </c>
      <c r="D181" s="42" t="n"/>
      <c r="E181" s="42" t="n"/>
      <c r="G181" s="45" t="n"/>
      <c r="J181" s="44">
        <f>IF($B181="","FALSE","TRUE")</f>
        <v/>
      </c>
      <c r="K181" s="37">
        <f t="array" ref="K181">IsURL(Table_1212151012[[#This Row],[Data Source]])</f>
        <v/>
      </c>
      <c r="L181" s="37">
        <f t="array" ref="L181">IsURL(Table_1212151012[[#This Row],[DOI]])</f>
        <v/>
      </c>
      <c r="M181" s="37">
        <f t="array" ref="M181">IsURL(Table_1212151012[[#This Row],[Data Source]])</f>
        <v/>
      </c>
      <c r="N181" s="37">
        <f t="array" ref="N181">IsURL(Table_1212151012[[#This Row],[Data Source]])</f>
        <v/>
      </c>
    </row>
    <row r="182" ht="15.75" customHeight="1">
      <c r="A182" s="37">
        <f>IF(Table_1212151012[[#This Row],[Signal Name]]=0,"",Table_1212151012[[#This Row],[Signal Name]])</f>
        <v/>
      </c>
      <c r="D182" s="42" t="n"/>
      <c r="E182" s="42" t="n"/>
      <c r="G182" s="45" t="n"/>
      <c r="J182" s="44">
        <f>IF($B182="","FALSE","TRUE")</f>
        <v/>
      </c>
      <c r="K182" s="37">
        <f t="array" ref="K182">IsURL(Table_1212151012[[#This Row],[Data Source]])</f>
        <v/>
      </c>
      <c r="L182" s="37">
        <f t="array" ref="L182">IsURL(Table_1212151012[[#This Row],[DOI]])</f>
        <v/>
      </c>
      <c r="M182" s="37">
        <f t="array" ref="M182">IsURL(Table_1212151012[[#This Row],[Data Source]])</f>
        <v/>
      </c>
      <c r="N182" s="37">
        <f t="array" ref="N182">IsURL(Table_1212151012[[#This Row],[Data Source]])</f>
        <v/>
      </c>
    </row>
    <row r="183" ht="15.75" customHeight="1">
      <c r="A183" s="37">
        <f>IF(Table_1212151012[[#This Row],[Signal Name]]=0,"",Table_1212151012[[#This Row],[Signal Name]])</f>
        <v/>
      </c>
      <c r="D183" s="42" t="n"/>
      <c r="E183" s="42" t="n"/>
      <c r="G183" s="45" t="n"/>
      <c r="J183" s="44">
        <f>IF($B183="","FALSE","TRUE")</f>
        <v/>
      </c>
      <c r="K183" s="37">
        <f t="array" ref="K183">IsURL(Table_1212151012[[#This Row],[Data Source]])</f>
        <v/>
      </c>
      <c r="L183" s="37">
        <f t="array" ref="L183">IsURL(Table_1212151012[[#This Row],[DOI]])</f>
        <v/>
      </c>
      <c r="M183" s="37">
        <f t="array" ref="M183">IsURL(Table_1212151012[[#This Row],[Data Source]])</f>
        <v/>
      </c>
      <c r="N183" s="37">
        <f t="array" ref="N183">IsURL(Table_1212151012[[#This Row],[Data Source]])</f>
        <v/>
      </c>
    </row>
    <row r="184" ht="15.75" customHeight="1">
      <c r="A184" s="37">
        <f>IF(Table_1212151012[[#This Row],[Signal Name]]=0,"",Table_1212151012[[#This Row],[Signal Name]])</f>
        <v/>
      </c>
      <c r="D184" s="42" t="n"/>
      <c r="E184" s="42" t="n"/>
      <c r="G184" s="45" t="n"/>
      <c r="J184" s="44">
        <f>IF($B184="","FALSE","TRUE")</f>
        <v/>
      </c>
      <c r="K184" s="37">
        <f t="array" ref="K184">IsURL(Table_1212151012[[#This Row],[Data Source]])</f>
        <v/>
      </c>
      <c r="L184" s="37">
        <f t="array" ref="L184">IsURL(Table_1212151012[[#This Row],[DOI]])</f>
        <v/>
      </c>
      <c r="M184" s="37">
        <f t="array" ref="M184">IsURL(Table_1212151012[[#This Row],[Data Source]])</f>
        <v/>
      </c>
      <c r="N184" s="37">
        <f t="array" ref="N184">IsURL(Table_1212151012[[#This Row],[Data Source]])</f>
        <v/>
      </c>
    </row>
    <row r="185" ht="15.75" customHeight="1">
      <c r="A185" s="37">
        <f>IF(Table_1212151012[[#This Row],[Signal Name]]=0,"",Table_1212151012[[#This Row],[Signal Name]])</f>
        <v/>
      </c>
      <c r="D185" s="42" t="n"/>
      <c r="E185" s="42" t="n"/>
      <c r="G185" s="45" t="n"/>
      <c r="J185" s="44">
        <f>IF($B185="","FALSE","TRUE")</f>
        <v/>
      </c>
      <c r="K185" s="37">
        <f t="array" ref="K185">IsURL(Table_1212151012[[#This Row],[Data Source]])</f>
        <v/>
      </c>
      <c r="L185" s="37">
        <f t="array" ref="L185">IsURL(Table_1212151012[[#This Row],[DOI]])</f>
        <v/>
      </c>
      <c r="M185" s="37">
        <f t="array" ref="M185">IsURL(Table_1212151012[[#This Row],[Data Source]])</f>
        <v/>
      </c>
      <c r="N185" s="37">
        <f t="array" ref="N185">IsURL(Table_1212151012[[#This Row],[Data Source]])</f>
        <v/>
      </c>
    </row>
    <row r="186" ht="15.75" customHeight="1">
      <c r="A186" s="37">
        <f>IF(Table_1212151012[[#This Row],[Signal Name]]=0,"",Table_1212151012[[#This Row],[Signal Name]])</f>
        <v/>
      </c>
      <c r="D186" s="42" t="n"/>
      <c r="E186" s="42" t="n"/>
      <c r="G186" s="45" t="n"/>
      <c r="J186" s="44">
        <f>IF($B186="","FALSE","TRUE")</f>
        <v/>
      </c>
      <c r="K186" s="37">
        <f t="array" ref="K186">IsURL(Table_1212151012[[#This Row],[Data Source]])</f>
        <v/>
      </c>
      <c r="L186" s="37">
        <f t="array" ref="L186">IsURL(Table_1212151012[[#This Row],[DOI]])</f>
        <v/>
      </c>
      <c r="M186" s="37">
        <f t="array" ref="M186">IsURL(Table_1212151012[[#This Row],[Data Source]])</f>
        <v/>
      </c>
      <c r="N186" s="37">
        <f t="array" ref="N186">IsURL(Table_1212151012[[#This Row],[Data Source]])</f>
        <v/>
      </c>
    </row>
    <row r="187" ht="15.75" customHeight="1">
      <c r="A187" s="37">
        <f>IF(Table_1212151012[[#This Row],[Signal Name]]=0,"",Table_1212151012[[#This Row],[Signal Name]])</f>
        <v/>
      </c>
      <c r="D187" s="42" t="n"/>
      <c r="E187" s="42" t="n"/>
      <c r="G187" s="45" t="n"/>
      <c r="J187" s="44">
        <f>IF($B187="","FALSE","TRUE")</f>
        <v/>
      </c>
      <c r="K187" s="37">
        <f t="array" ref="K187">IsURL(Table_1212151012[[#This Row],[Data Source]])</f>
        <v/>
      </c>
      <c r="L187" s="37">
        <f t="array" ref="L187">IsURL(Table_1212151012[[#This Row],[DOI]])</f>
        <v/>
      </c>
      <c r="M187" s="37">
        <f t="array" ref="M187">IsURL(Table_1212151012[[#This Row],[Data Source]])</f>
        <v/>
      </c>
      <c r="N187" s="37">
        <f t="array" ref="N187">IsURL(Table_1212151012[[#This Row],[Data Source]])</f>
        <v/>
      </c>
    </row>
    <row r="188" ht="15.75" customHeight="1">
      <c r="A188" s="37">
        <f>IF(Table_1212151012[[#This Row],[Signal Name]]=0,"",Table_1212151012[[#This Row],[Signal Name]])</f>
        <v/>
      </c>
      <c r="D188" s="42" t="n"/>
      <c r="E188" s="42" t="n"/>
      <c r="G188" s="45" t="n"/>
      <c r="J188" s="44">
        <f>IF($B188="","FALSE","TRUE")</f>
        <v/>
      </c>
      <c r="K188" s="37">
        <f t="array" ref="K188">IsURL(Table_1212151012[[#This Row],[Data Source]])</f>
        <v/>
      </c>
      <c r="L188" s="37">
        <f t="array" ref="L188">IsURL(Table_1212151012[[#This Row],[DOI]])</f>
        <v/>
      </c>
      <c r="M188" s="37">
        <f t="array" ref="M188">IsURL(Table_1212151012[[#This Row],[Data Source]])</f>
        <v/>
      </c>
      <c r="N188" s="37">
        <f t="array" ref="N188">IsURL(Table_1212151012[[#This Row],[Data Source]])</f>
        <v/>
      </c>
    </row>
    <row r="189" ht="15.75" customHeight="1">
      <c r="A189" s="37">
        <f>IF(Table_1212151012[[#This Row],[Signal Name]]=0,"",Table_1212151012[[#This Row],[Signal Name]])</f>
        <v/>
      </c>
      <c r="D189" s="42" t="n"/>
      <c r="E189" s="42" t="n"/>
      <c r="G189" s="45" t="n"/>
      <c r="J189" s="44">
        <f>IF($B189="","FALSE","TRUE")</f>
        <v/>
      </c>
      <c r="K189" s="37">
        <f t="array" ref="K189">IsURL(Table_1212151012[[#This Row],[Data Source]])</f>
        <v/>
      </c>
      <c r="L189" s="37">
        <f t="array" ref="L189">IsURL(Table_1212151012[[#This Row],[DOI]])</f>
        <v/>
      </c>
      <c r="M189" s="37">
        <f t="array" ref="M189">IsURL(Table_1212151012[[#This Row],[Data Source]])</f>
        <v/>
      </c>
      <c r="N189" s="37">
        <f t="array" ref="N189">IsURL(Table_1212151012[[#This Row],[Data Source]])</f>
        <v/>
      </c>
    </row>
    <row r="190" ht="15.75" customHeight="1">
      <c r="A190" s="37">
        <f>IF(Table_1212151012[[#This Row],[Signal Name]]=0,"",Table_1212151012[[#This Row],[Signal Name]])</f>
        <v/>
      </c>
      <c r="D190" s="42" t="n"/>
      <c r="E190" s="42" t="n"/>
      <c r="G190" s="45" t="n"/>
      <c r="J190" s="44">
        <f>IF($B190="","FALSE","TRUE")</f>
        <v/>
      </c>
      <c r="K190" s="37">
        <f t="array" ref="K190">IsURL(Table_1212151012[[#This Row],[Data Source]])</f>
        <v/>
      </c>
      <c r="L190" s="37">
        <f t="array" ref="L190">IsURL(Table_1212151012[[#This Row],[DOI]])</f>
        <v/>
      </c>
      <c r="M190" s="37">
        <f t="array" ref="M190">IsURL(Table_1212151012[[#This Row],[Data Source]])</f>
        <v/>
      </c>
      <c r="N190" s="37">
        <f t="array" ref="N190">IsURL(Table_1212151012[[#This Row],[Data Source]])</f>
        <v/>
      </c>
    </row>
    <row r="191" ht="15.75" customHeight="1">
      <c r="A191" s="37">
        <f>IF(Table_1212151012[[#This Row],[Signal Name]]=0,"",Table_1212151012[[#This Row],[Signal Name]])</f>
        <v/>
      </c>
      <c r="D191" s="42" t="n"/>
      <c r="E191" s="42" t="n"/>
      <c r="G191" s="45" t="n"/>
      <c r="J191" s="44">
        <f>IF($B191="","FALSE","TRUE")</f>
        <v/>
      </c>
      <c r="K191" s="37">
        <f t="array" ref="K191">IsURL(Table_1212151012[[#This Row],[Data Source]])</f>
        <v/>
      </c>
      <c r="L191" s="37">
        <f t="array" ref="L191">IsURL(Table_1212151012[[#This Row],[DOI]])</f>
        <v/>
      </c>
      <c r="M191" s="37">
        <f t="array" ref="M191">IsURL(Table_1212151012[[#This Row],[Data Source]])</f>
        <v/>
      </c>
      <c r="N191" s="37">
        <f t="array" ref="N191">IsURL(Table_1212151012[[#This Row],[Data Source]])</f>
        <v/>
      </c>
    </row>
    <row r="192" ht="15.75" customHeight="1">
      <c r="A192" s="37">
        <f>IF(Table_1212151012[[#This Row],[Signal Name]]=0,"",Table_1212151012[[#This Row],[Signal Name]])</f>
        <v/>
      </c>
      <c r="D192" s="42" t="n"/>
      <c r="E192" s="42" t="n"/>
      <c r="G192" s="45" t="n"/>
      <c r="J192" s="44">
        <f>IF($B192="","FALSE","TRUE")</f>
        <v/>
      </c>
      <c r="K192" s="37">
        <f t="array" ref="K192">IsURL(Table_1212151012[[#This Row],[Data Source]])</f>
        <v/>
      </c>
      <c r="L192" s="37">
        <f t="array" ref="L192">IsURL(Table_1212151012[[#This Row],[DOI]])</f>
        <v/>
      </c>
      <c r="M192" s="37">
        <f t="array" ref="M192">IsURL(Table_1212151012[[#This Row],[Data Source]])</f>
        <v/>
      </c>
      <c r="N192" s="37">
        <f t="array" ref="N192">IsURL(Table_1212151012[[#This Row],[Data Source]])</f>
        <v/>
      </c>
    </row>
    <row r="193" ht="15.75" customHeight="1">
      <c r="A193" s="37">
        <f>IF(Table_1212151012[[#This Row],[Signal Name]]=0,"",Table_1212151012[[#This Row],[Signal Name]])</f>
        <v/>
      </c>
      <c r="D193" s="42" t="n"/>
      <c r="E193" s="42" t="n"/>
      <c r="G193" s="45" t="n"/>
      <c r="J193" s="44">
        <f>IF($B193="","FALSE","TRUE")</f>
        <v/>
      </c>
      <c r="K193" s="37">
        <f t="array" ref="K193">IsURL(Table_1212151012[[#This Row],[Data Source]])</f>
        <v/>
      </c>
      <c r="L193" s="37">
        <f t="array" ref="L193">IsURL(Table_1212151012[[#This Row],[DOI]])</f>
        <v/>
      </c>
      <c r="M193" s="37">
        <f t="array" ref="M193">IsURL(Table_1212151012[[#This Row],[Data Source]])</f>
        <v/>
      </c>
      <c r="N193" s="37">
        <f t="array" ref="N193">IsURL(Table_1212151012[[#This Row],[Data Source]])</f>
        <v/>
      </c>
    </row>
    <row r="194" ht="15.75" customHeight="1">
      <c r="A194" s="37">
        <f>IF(Table_1212151012[[#This Row],[Signal Name]]=0,"",Table_1212151012[[#This Row],[Signal Name]])</f>
        <v/>
      </c>
      <c r="D194" s="42" t="n"/>
      <c r="E194" s="42" t="n"/>
      <c r="G194" s="45" t="n"/>
      <c r="J194" s="44">
        <f>IF($B194="","FALSE","TRUE")</f>
        <v/>
      </c>
      <c r="K194" s="37">
        <f t="array" ref="K194">IsURL(Table_1212151012[[#This Row],[Data Source]])</f>
        <v/>
      </c>
      <c r="L194" s="37">
        <f t="array" ref="L194">IsURL(Table_1212151012[[#This Row],[DOI]])</f>
        <v/>
      </c>
      <c r="M194" s="37">
        <f t="array" ref="M194">IsURL(Table_1212151012[[#This Row],[Data Source]])</f>
        <v/>
      </c>
      <c r="N194" s="37">
        <f t="array" ref="N194">IsURL(Table_1212151012[[#This Row],[Data Source]])</f>
        <v/>
      </c>
    </row>
    <row r="195" ht="15.75" customHeight="1">
      <c r="A195" s="37">
        <f>IF(Table_1212151012[[#This Row],[Signal Name]]=0,"",Table_1212151012[[#This Row],[Signal Name]])</f>
        <v/>
      </c>
      <c r="D195" s="42" t="n"/>
      <c r="E195" s="42" t="n"/>
      <c r="G195" s="45" t="n"/>
      <c r="J195" s="44">
        <f>IF($B195="","FALSE","TRUE")</f>
        <v/>
      </c>
      <c r="K195" s="37">
        <f t="array" ref="K195">IsURL(Table_1212151012[[#This Row],[Data Source]])</f>
        <v/>
      </c>
      <c r="L195" s="37">
        <f t="array" ref="L195">IsURL(Table_1212151012[[#This Row],[DOI]])</f>
        <v/>
      </c>
      <c r="M195" s="37">
        <f t="array" ref="M195">IsURL(Table_1212151012[[#This Row],[Data Source]])</f>
        <v/>
      </c>
      <c r="N195" s="37">
        <f t="array" ref="N195">IsURL(Table_1212151012[[#This Row],[Data Source]])</f>
        <v/>
      </c>
    </row>
    <row r="196" ht="15.75" customHeight="1">
      <c r="A196" s="37">
        <f>IF(Table_1212151012[[#This Row],[Signal Name]]=0,"",Table_1212151012[[#This Row],[Signal Name]])</f>
        <v/>
      </c>
      <c r="D196" s="42" t="n"/>
      <c r="E196" s="42" t="n"/>
      <c r="G196" s="45" t="n"/>
      <c r="J196" s="44">
        <f>IF($B196="","FALSE","TRUE")</f>
        <v/>
      </c>
      <c r="K196" s="37">
        <f t="array" ref="K196">IsURL(Table_1212151012[[#This Row],[Data Source]])</f>
        <v/>
      </c>
      <c r="L196" s="37">
        <f t="array" ref="L196">IsURL(Table_1212151012[[#This Row],[DOI]])</f>
        <v/>
      </c>
      <c r="M196" s="37">
        <f t="array" ref="M196">IsURL(Table_1212151012[[#This Row],[Data Source]])</f>
        <v/>
      </c>
      <c r="N196" s="37">
        <f t="array" ref="N196">IsURL(Table_1212151012[[#This Row],[Data Source]])</f>
        <v/>
      </c>
    </row>
    <row r="197" ht="15.75" customHeight="1">
      <c r="A197" s="37">
        <f>IF(Table_1212151012[[#This Row],[Signal Name]]=0,"",Table_1212151012[[#This Row],[Signal Name]])</f>
        <v/>
      </c>
      <c r="D197" s="42" t="n"/>
      <c r="E197" s="42" t="n"/>
      <c r="G197" s="45" t="n"/>
      <c r="J197" s="44">
        <f>IF($B197="","FALSE","TRUE")</f>
        <v/>
      </c>
      <c r="K197" s="37">
        <f t="array" ref="K197">IsURL(Table_1212151012[[#This Row],[Data Source]])</f>
        <v/>
      </c>
      <c r="L197" s="37">
        <f t="array" ref="L197">IsURL(Table_1212151012[[#This Row],[DOI]])</f>
        <v/>
      </c>
      <c r="M197" s="37">
        <f t="array" ref="M197">IsURL(Table_1212151012[[#This Row],[Data Source]])</f>
        <v/>
      </c>
      <c r="N197" s="37">
        <f t="array" ref="N197">IsURL(Table_1212151012[[#This Row],[Data Source]])</f>
        <v/>
      </c>
    </row>
    <row r="198" ht="15.75" customHeight="1">
      <c r="A198" s="37">
        <f>IF(Table_1212151012[[#This Row],[Signal Name]]=0,"",Table_1212151012[[#This Row],[Signal Name]])</f>
        <v/>
      </c>
      <c r="D198" s="42" t="n"/>
      <c r="E198" s="42" t="n"/>
      <c r="G198" s="45" t="n"/>
      <c r="J198" s="44">
        <f>IF($B198="","FALSE","TRUE")</f>
        <v/>
      </c>
      <c r="K198" s="37">
        <f t="array" ref="K198">IsURL(Table_1212151012[[#This Row],[Data Source]])</f>
        <v/>
      </c>
      <c r="L198" s="37">
        <f t="array" ref="L198">IsURL(Table_1212151012[[#This Row],[DOI]])</f>
        <v/>
      </c>
      <c r="M198" s="37">
        <f t="array" ref="M198">IsURL(Table_1212151012[[#This Row],[Data Source]])</f>
        <v/>
      </c>
      <c r="N198" s="37">
        <f t="array" ref="N198">IsURL(Table_1212151012[[#This Row],[Data Source]])</f>
        <v/>
      </c>
    </row>
    <row r="199" ht="15.75" customHeight="1">
      <c r="A199" s="37">
        <f>IF(Table_1212151012[[#This Row],[Signal Name]]=0,"",Table_1212151012[[#This Row],[Signal Name]])</f>
        <v/>
      </c>
      <c r="D199" s="42" t="n"/>
      <c r="E199" s="42" t="n"/>
      <c r="G199" s="45" t="n"/>
      <c r="J199" s="44">
        <f>IF($B199="","FALSE","TRUE")</f>
        <v/>
      </c>
      <c r="K199" s="37">
        <f t="array" ref="K199">IsURL(Table_1212151012[[#This Row],[Data Source]])</f>
        <v/>
      </c>
      <c r="L199" s="37">
        <f t="array" ref="L199">IsURL(Table_1212151012[[#This Row],[DOI]])</f>
        <v/>
      </c>
      <c r="M199" s="37">
        <f t="array" ref="M199">IsURL(Table_1212151012[[#This Row],[Data Source]])</f>
        <v/>
      </c>
      <c r="N199" s="37">
        <f t="array" ref="N199">IsURL(Table_1212151012[[#This Row],[Data Source]])</f>
        <v/>
      </c>
    </row>
    <row r="200" ht="15.75" customHeight="1">
      <c r="A200" s="37">
        <f>IF(Table_1212151012[[#This Row],[Signal Name]]=0,"",Table_1212151012[[#This Row],[Signal Name]])</f>
        <v/>
      </c>
      <c r="D200" s="42" t="n"/>
      <c r="E200" s="42" t="n"/>
      <c r="G200" s="45" t="n"/>
      <c r="J200" s="44">
        <f>IF($B200="","FALSE","TRUE")</f>
        <v/>
      </c>
      <c r="K200" s="37">
        <f t="array" ref="K200">IsURL(Table_1212151012[[#This Row],[Data Source]])</f>
        <v/>
      </c>
      <c r="L200" s="37">
        <f t="array" ref="L200">IsURL(Table_1212151012[[#This Row],[DOI]])</f>
        <v/>
      </c>
      <c r="M200" s="37">
        <f t="array" ref="M200">IsURL(Table_1212151012[[#This Row],[Data Source]])</f>
        <v/>
      </c>
      <c r="N200" s="37">
        <f t="array" ref="N200">IsURL(Table_1212151012[[#This Row],[Data Source]])</f>
        <v/>
      </c>
    </row>
    <row r="201" ht="15.75" customHeight="1">
      <c r="A201" s="37">
        <f>IF(Table_1212151012[[#This Row],[Signal Name]]=0,"",Table_1212151012[[#This Row],[Signal Name]])</f>
        <v/>
      </c>
      <c r="D201" s="42" t="n"/>
      <c r="E201" s="42" t="n"/>
      <c r="G201" s="45" t="n"/>
      <c r="J201" s="44">
        <f>IF($B201="","FALSE","TRUE")</f>
        <v/>
      </c>
      <c r="K201" s="37">
        <f t="array" ref="K201">IsURL(Table_1212151012[[#This Row],[Data Source]])</f>
        <v/>
      </c>
      <c r="L201" s="37">
        <f t="array" ref="L201">IsURL(Table_1212151012[[#This Row],[DOI]])</f>
        <v/>
      </c>
      <c r="M201" s="37">
        <f t="array" ref="M201">IsURL(Table_1212151012[[#This Row],[Data Source]])</f>
        <v/>
      </c>
      <c r="N201" s="37">
        <f t="array" ref="N201">IsURL(Table_1212151012[[#This Row],[Data Source]])</f>
        <v/>
      </c>
    </row>
    <row r="202" ht="15.75" customHeight="1">
      <c r="A202" s="37">
        <f>IF(Table_1212151012[[#This Row],[Signal Name]]=0,"",Table_1212151012[[#This Row],[Signal Name]])</f>
        <v/>
      </c>
      <c r="D202" s="42" t="n"/>
      <c r="E202" s="42" t="n"/>
      <c r="G202" s="45" t="n"/>
      <c r="J202" s="44">
        <f>IF($B202="","FALSE","TRUE")</f>
        <v/>
      </c>
      <c r="K202" s="37">
        <f t="array" ref="K202">IsURL(Table_1212151012[[#This Row],[Data Source]])</f>
        <v/>
      </c>
      <c r="L202" s="37">
        <f t="array" ref="L202">IsURL(Table_1212151012[[#This Row],[DOI]])</f>
        <v/>
      </c>
      <c r="M202" s="37">
        <f t="array" ref="M202">IsURL(Table_1212151012[[#This Row],[Data Source]])</f>
        <v/>
      </c>
      <c r="N202" s="37">
        <f t="array" ref="N202">IsURL(Table_1212151012[[#This Row],[Data Source]])</f>
        <v/>
      </c>
    </row>
    <row r="203" ht="15.75" customHeight="1">
      <c r="A203" s="37">
        <f>IF(Table_1212151012[[#This Row],[Signal Name]]=0,"",Table_1212151012[[#This Row],[Signal Name]])</f>
        <v/>
      </c>
      <c r="D203" s="42" t="n"/>
      <c r="E203" s="42" t="n"/>
      <c r="G203" s="45" t="n"/>
      <c r="J203" s="44">
        <f>IF($B203="","FALSE","TRUE")</f>
        <v/>
      </c>
      <c r="K203" s="37">
        <f t="array" ref="K203">IsURL(Table_1212151012[[#This Row],[Data Source]])</f>
        <v/>
      </c>
      <c r="L203" s="37">
        <f t="array" ref="L203">IsURL(Table_1212151012[[#This Row],[DOI]])</f>
        <v/>
      </c>
      <c r="M203" s="37">
        <f t="array" ref="M203">IsURL(Table_1212151012[[#This Row],[Data Source]])</f>
        <v/>
      </c>
      <c r="N203" s="37">
        <f t="array" ref="N203">IsURL(Table_1212151012[[#This Row],[Data Source]])</f>
        <v/>
      </c>
    </row>
    <row r="204" ht="15.75" customHeight="1">
      <c r="A204" s="37">
        <f>IF(Table_1212151012[[#This Row],[Signal Name]]=0,"",Table_1212151012[[#This Row],[Signal Name]])</f>
        <v/>
      </c>
      <c r="D204" s="42" t="n"/>
      <c r="E204" s="42" t="n"/>
      <c r="G204" s="45" t="n"/>
      <c r="J204" s="44">
        <f>IF($B204="","FALSE","TRUE")</f>
        <v/>
      </c>
      <c r="K204" s="37">
        <f t="array" ref="K204">IsURL(Table_1212151012[[#This Row],[Data Source]])</f>
        <v/>
      </c>
      <c r="L204" s="37">
        <f t="array" ref="L204">IsURL(Table_1212151012[[#This Row],[DOI]])</f>
        <v/>
      </c>
      <c r="M204" s="37">
        <f t="array" ref="M204">IsURL(Table_1212151012[[#This Row],[Data Source]])</f>
        <v/>
      </c>
      <c r="N204" s="37">
        <f t="array" ref="N204">IsURL(Table_1212151012[[#This Row],[Data Source]])</f>
        <v/>
      </c>
    </row>
    <row r="205" ht="15.75" customHeight="1">
      <c r="A205" s="37">
        <f>IF(Table_1212151012[[#This Row],[Signal Name]]=0,"",Table_1212151012[[#This Row],[Signal Name]])</f>
        <v/>
      </c>
      <c r="D205" s="42" t="n"/>
      <c r="E205" s="42" t="n"/>
      <c r="G205" s="45" t="n"/>
      <c r="J205" s="44">
        <f>IF($B205="","FALSE","TRUE")</f>
        <v/>
      </c>
      <c r="K205" s="37">
        <f t="array" ref="K205">IsURL(Table_1212151012[[#This Row],[Data Source]])</f>
        <v/>
      </c>
      <c r="L205" s="37">
        <f t="array" ref="L205">IsURL(Table_1212151012[[#This Row],[DOI]])</f>
        <v/>
      </c>
      <c r="M205" s="37">
        <f t="array" ref="M205">IsURL(Table_1212151012[[#This Row],[Data Source]])</f>
        <v/>
      </c>
      <c r="N205" s="37">
        <f t="array" ref="N205">IsURL(Table_1212151012[[#This Row],[Data Source]])</f>
        <v/>
      </c>
    </row>
    <row r="206" ht="15.75" customHeight="1">
      <c r="A206" s="37">
        <f>IF(Table_1212151012[[#This Row],[Signal Name]]=0,"",Table_1212151012[[#This Row],[Signal Name]])</f>
        <v/>
      </c>
      <c r="D206" s="42" t="n"/>
      <c r="E206" s="42" t="n"/>
      <c r="G206" s="45" t="n"/>
      <c r="J206" s="44">
        <f>IF($B206="","FALSE","TRUE")</f>
        <v/>
      </c>
      <c r="K206" s="37">
        <f t="array" ref="K206">IsURL(Table_1212151012[[#This Row],[Data Source]])</f>
        <v/>
      </c>
      <c r="L206" s="37">
        <f t="array" ref="L206">IsURL(Table_1212151012[[#This Row],[DOI]])</f>
        <v/>
      </c>
      <c r="M206" s="37">
        <f t="array" ref="M206">IsURL(Table_1212151012[[#This Row],[Data Source]])</f>
        <v/>
      </c>
      <c r="N206" s="37">
        <f t="array" ref="N206">IsURL(Table_1212151012[[#This Row],[Data Source]])</f>
        <v/>
      </c>
    </row>
    <row r="207" ht="15.75" customHeight="1">
      <c r="A207" s="37">
        <f>IF(Table_1212151012[[#This Row],[Signal Name]]=0,"",Table_1212151012[[#This Row],[Signal Name]])</f>
        <v/>
      </c>
      <c r="D207" s="42" t="n"/>
      <c r="E207" s="42" t="n"/>
      <c r="G207" s="45" t="n"/>
      <c r="J207" s="44">
        <f>IF($B207="","FALSE","TRUE")</f>
        <v/>
      </c>
      <c r="K207" s="37">
        <f t="array" ref="K207">IsURL(Table_1212151012[[#This Row],[Data Source]])</f>
        <v/>
      </c>
      <c r="L207" s="37">
        <f t="array" ref="L207">IsURL(Table_1212151012[[#This Row],[DOI]])</f>
        <v/>
      </c>
      <c r="M207" s="37">
        <f t="array" ref="M207">IsURL(Table_1212151012[[#This Row],[Data Source]])</f>
        <v/>
      </c>
      <c r="N207" s="37">
        <f t="array" ref="N207">IsURL(Table_1212151012[[#This Row],[Data Source]])</f>
        <v/>
      </c>
    </row>
    <row r="208" ht="15.75" customHeight="1">
      <c r="A208" s="37">
        <f>IF(Table_1212151012[[#This Row],[Signal Name]]=0,"",Table_1212151012[[#This Row],[Signal Name]])</f>
        <v/>
      </c>
      <c r="D208" s="42" t="n"/>
      <c r="E208" s="42" t="n"/>
      <c r="G208" s="45" t="n"/>
      <c r="J208" s="44">
        <f>IF($B208="","FALSE","TRUE")</f>
        <v/>
      </c>
      <c r="K208" s="37">
        <f t="array" ref="K208">IsURL(Table_1212151012[[#This Row],[Data Source]])</f>
        <v/>
      </c>
      <c r="L208" s="37">
        <f t="array" ref="L208">IsURL(Table_1212151012[[#This Row],[DOI]])</f>
        <v/>
      </c>
      <c r="M208" s="37">
        <f t="array" ref="M208">IsURL(Table_1212151012[[#This Row],[Data Source]])</f>
        <v/>
      </c>
      <c r="N208" s="37">
        <f t="array" ref="N208">IsURL(Table_1212151012[[#This Row],[Data Source]])</f>
        <v/>
      </c>
    </row>
    <row r="209" ht="15.75" customHeight="1">
      <c r="A209" s="37">
        <f>IF(Table_1212151012[[#This Row],[Signal Name]]=0,"",Table_1212151012[[#This Row],[Signal Name]])</f>
        <v/>
      </c>
      <c r="D209" s="42" t="n"/>
      <c r="E209" s="42" t="n"/>
      <c r="G209" s="45" t="n"/>
      <c r="J209" s="44">
        <f>IF($B209="","FALSE","TRUE")</f>
        <v/>
      </c>
      <c r="K209" s="37">
        <f t="array" ref="K209">IsURL(Table_1212151012[[#This Row],[Data Source]])</f>
        <v/>
      </c>
      <c r="L209" s="37">
        <f t="array" ref="L209">IsURL(Table_1212151012[[#This Row],[DOI]])</f>
        <v/>
      </c>
      <c r="M209" s="37">
        <f t="array" ref="M209">IsURL(Table_1212151012[[#This Row],[Data Source]])</f>
        <v/>
      </c>
      <c r="N209" s="37">
        <f t="array" ref="N209">IsURL(Table_1212151012[[#This Row],[Data Source]])</f>
        <v/>
      </c>
    </row>
    <row r="210" ht="15.75" customHeight="1">
      <c r="A210" s="37">
        <f>IF(Table_1212151012[[#This Row],[Signal Name]]=0,"",Table_1212151012[[#This Row],[Signal Name]])</f>
        <v/>
      </c>
      <c r="D210" s="42" t="n"/>
      <c r="E210" s="42" t="n"/>
      <c r="G210" s="45" t="n"/>
      <c r="J210" s="44">
        <f>IF($B210="","FALSE","TRUE")</f>
        <v/>
      </c>
      <c r="K210" s="37">
        <f t="array" ref="K210">IsURL(Table_1212151012[[#This Row],[Data Source]])</f>
        <v/>
      </c>
      <c r="L210" s="37">
        <f t="array" ref="L210">IsURL(Table_1212151012[[#This Row],[DOI]])</f>
        <v/>
      </c>
      <c r="M210" s="37">
        <f t="array" ref="M210">IsURL(Table_1212151012[[#This Row],[Data Source]])</f>
        <v/>
      </c>
      <c r="N210" s="37">
        <f t="array" ref="N210">IsURL(Table_1212151012[[#This Row],[Data Source]])</f>
        <v/>
      </c>
    </row>
    <row r="211" ht="15.75" customHeight="1">
      <c r="A211" s="37">
        <f>IF(Table_1212151012[[#This Row],[Signal Name]]=0,"",Table_1212151012[[#This Row],[Signal Name]])</f>
        <v/>
      </c>
      <c r="D211" s="42" t="n"/>
      <c r="E211" s="42" t="n"/>
      <c r="G211" s="45" t="n"/>
      <c r="J211" s="44">
        <f>IF($B211="","FALSE","TRUE")</f>
        <v/>
      </c>
      <c r="K211" s="37">
        <f t="array" ref="K211">IsURL(Table_1212151012[[#This Row],[Data Source]])</f>
        <v/>
      </c>
      <c r="L211" s="37">
        <f t="array" ref="L211">IsURL(Table_1212151012[[#This Row],[DOI]])</f>
        <v/>
      </c>
      <c r="M211" s="37">
        <f t="array" ref="M211">IsURL(Table_1212151012[[#This Row],[Data Source]])</f>
        <v/>
      </c>
      <c r="N211" s="37">
        <f t="array" ref="N211">IsURL(Table_1212151012[[#This Row],[Data Source]])</f>
        <v/>
      </c>
    </row>
    <row r="212" ht="15.75" customHeight="1">
      <c r="A212" s="37">
        <f>IF(Table_1212151012[[#This Row],[Signal Name]]=0,"",Table_1212151012[[#This Row],[Signal Name]])</f>
        <v/>
      </c>
      <c r="D212" s="42" t="n"/>
      <c r="E212" s="42" t="n"/>
      <c r="G212" s="45" t="n"/>
      <c r="J212" s="44">
        <f>IF($B212="","FALSE","TRUE")</f>
        <v/>
      </c>
      <c r="K212" s="37">
        <f t="array" ref="K212">IsURL(Table_1212151012[[#This Row],[Data Source]])</f>
        <v/>
      </c>
      <c r="L212" s="37">
        <f t="array" ref="L212">IsURL(Table_1212151012[[#This Row],[DOI]])</f>
        <v/>
      </c>
      <c r="M212" s="37">
        <f t="array" ref="M212">IsURL(Table_1212151012[[#This Row],[Data Source]])</f>
        <v/>
      </c>
      <c r="N212" s="37">
        <f t="array" ref="N212">IsURL(Table_1212151012[[#This Row],[Data Source]])</f>
        <v/>
      </c>
    </row>
    <row r="213" ht="15.75" customHeight="1">
      <c r="A213" s="37">
        <f>IF(Table_1212151012[[#This Row],[Signal Name]]=0,"",Table_1212151012[[#This Row],[Signal Name]])</f>
        <v/>
      </c>
      <c r="D213" s="42" t="n"/>
      <c r="E213" s="42" t="n"/>
      <c r="G213" s="45" t="n"/>
      <c r="J213" s="44">
        <f>IF($B213="","FALSE","TRUE")</f>
        <v/>
      </c>
      <c r="K213" s="37">
        <f t="array" ref="K213">IsURL(Table_1212151012[[#This Row],[Data Source]])</f>
        <v/>
      </c>
      <c r="L213" s="37">
        <f t="array" ref="L213">IsURL(Table_1212151012[[#This Row],[DOI]])</f>
        <v/>
      </c>
      <c r="M213" s="37">
        <f t="array" ref="M213">IsURL(Table_1212151012[[#This Row],[Data Source]])</f>
        <v/>
      </c>
      <c r="N213" s="37">
        <f t="array" ref="N213">IsURL(Table_1212151012[[#This Row],[Data Source]])</f>
        <v/>
      </c>
    </row>
    <row r="214" ht="15.75" customHeight="1">
      <c r="A214" s="37">
        <f>IF(Table_1212151012[[#This Row],[Signal Name]]=0,"",Table_1212151012[[#This Row],[Signal Name]])</f>
        <v/>
      </c>
      <c r="D214" s="42" t="n"/>
      <c r="E214" s="42" t="n"/>
      <c r="G214" s="45" t="n"/>
      <c r="J214" s="44">
        <f>IF($B214="","FALSE","TRUE")</f>
        <v/>
      </c>
      <c r="K214" s="37">
        <f t="array" ref="K214">IsURL(Table_1212151012[[#This Row],[Data Source]])</f>
        <v/>
      </c>
      <c r="L214" s="37">
        <f t="array" ref="L214">IsURL(Table_1212151012[[#This Row],[DOI]])</f>
        <v/>
      </c>
      <c r="M214" s="37">
        <f t="array" ref="M214">IsURL(Table_1212151012[[#This Row],[Data Source]])</f>
        <v/>
      </c>
      <c r="N214" s="37">
        <f t="array" ref="N214">IsURL(Table_1212151012[[#This Row],[Data Source]])</f>
        <v/>
      </c>
    </row>
    <row r="215" ht="15.75" customHeight="1">
      <c r="A215" s="37">
        <f>IF(Table_1212151012[[#This Row],[Signal Name]]=0,"",Table_1212151012[[#This Row],[Signal Name]])</f>
        <v/>
      </c>
      <c r="D215" s="42" t="n"/>
      <c r="E215" s="42" t="n"/>
      <c r="G215" s="45" t="n"/>
      <c r="J215" s="44">
        <f>IF($B215="","FALSE","TRUE")</f>
        <v/>
      </c>
      <c r="K215" s="37">
        <f t="array" ref="K215">IsURL(Table_1212151012[[#This Row],[Data Source]])</f>
        <v/>
      </c>
      <c r="L215" s="37">
        <f t="array" ref="L215">IsURL(Table_1212151012[[#This Row],[DOI]])</f>
        <v/>
      </c>
      <c r="M215" s="37">
        <f t="array" ref="M215">IsURL(Table_1212151012[[#This Row],[Data Source]])</f>
        <v/>
      </c>
      <c r="N215" s="37">
        <f t="array" ref="N215">IsURL(Table_1212151012[[#This Row],[Data Source]])</f>
        <v/>
      </c>
    </row>
    <row r="216" ht="15.75" customHeight="1">
      <c r="A216" s="37">
        <f>IF(Table_1212151012[[#This Row],[Signal Name]]=0,"",Table_1212151012[[#This Row],[Signal Name]])</f>
        <v/>
      </c>
      <c r="D216" s="42" t="n"/>
      <c r="E216" s="42" t="n"/>
      <c r="G216" s="45" t="n"/>
      <c r="J216" s="44">
        <f>IF($B216="","FALSE","TRUE")</f>
        <v/>
      </c>
      <c r="K216" s="37">
        <f t="array" ref="K216">IsURL(Table_1212151012[[#This Row],[Data Source]])</f>
        <v/>
      </c>
      <c r="L216" s="37">
        <f t="array" ref="L216">IsURL(Table_1212151012[[#This Row],[DOI]])</f>
        <v/>
      </c>
      <c r="M216" s="37">
        <f t="array" ref="M216">IsURL(Table_1212151012[[#This Row],[Data Source]])</f>
        <v/>
      </c>
      <c r="N216" s="37">
        <f t="array" ref="N216">IsURL(Table_1212151012[[#This Row],[Data Source]])</f>
        <v/>
      </c>
    </row>
    <row r="217" ht="15.75" customHeight="1">
      <c r="A217" s="37">
        <f>IF(Table_1212151012[[#This Row],[Signal Name]]=0,"",Table_1212151012[[#This Row],[Signal Name]])</f>
        <v/>
      </c>
      <c r="D217" s="42" t="n"/>
      <c r="E217" s="42" t="n"/>
      <c r="G217" s="45" t="n"/>
      <c r="J217" s="44">
        <f>IF($B217="","FALSE","TRUE")</f>
        <v/>
      </c>
      <c r="K217" s="37">
        <f t="array" ref="K217">IsURL(Table_1212151012[[#This Row],[Data Source]])</f>
        <v/>
      </c>
      <c r="L217" s="37">
        <f t="array" ref="L217">IsURL(Table_1212151012[[#This Row],[DOI]])</f>
        <v/>
      </c>
      <c r="M217" s="37">
        <f t="array" ref="M217">IsURL(Table_1212151012[[#This Row],[Data Source]])</f>
        <v/>
      </c>
      <c r="N217" s="37">
        <f t="array" ref="N217">IsURL(Table_1212151012[[#This Row],[Data Source]])</f>
        <v/>
      </c>
    </row>
    <row r="218" ht="15.75" customHeight="1">
      <c r="A218" s="37">
        <f>IF(Table_1212151012[[#This Row],[Signal Name]]=0,"",Table_1212151012[[#This Row],[Signal Name]])</f>
        <v/>
      </c>
      <c r="D218" s="42" t="n"/>
      <c r="E218" s="42" t="n"/>
      <c r="G218" s="45" t="n"/>
      <c r="J218" s="44">
        <f>IF($B218="","FALSE","TRUE")</f>
        <v/>
      </c>
      <c r="K218" s="37">
        <f t="array" ref="K218">IsURL(Table_1212151012[[#This Row],[Data Source]])</f>
        <v/>
      </c>
      <c r="L218" s="37">
        <f t="array" ref="L218">IsURL(Table_1212151012[[#This Row],[DOI]])</f>
        <v/>
      </c>
      <c r="M218" s="37">
        <f t="array" ref="M218">IsURL(Table_1212151012[[#This Row],[Data Source]])</f>
        <v/>
      </c>
      <c r="N218" s="37">
        <f t="array" ref="N218">IsURL(Table_1212151012[[#This Row],[Data Source]])</f>
        <v/>
      </c>
    </row>
    <row r="219" ht="15.75" customHeight="1">
      <c r="A219" s="37">
        <f>IF(Table_1212151012[[#This Row],[Signal Name]]=0,"",Table_1212151012[[#This Row],[Signal Name]])</f>
        <v/>
      </c>
      <c r="D219" s="42" t="n"/>
      <c r="E219" s="42" t="n"/>
      <c r="G219" s="45" t="n"/>
      <c r="J219" s="44">
        <f>IF($B219="","FALSE","TRUE")</f>
        <v/>
      </c>
      <c r="K219" s="37">
        <f t="array" ref="K219">IsURL(Table_1212151012[[#This Row],[Data Source]])</f>
        <v/>
      </c>
      <c r="L219" s="37">
        <f t="array" ref="L219">IsURL(Table_1212151012[[#This Row],[DOI]])</f>
        <v/>
      </c>
      <c r="M219" s="37">
        <f t="array" ref="M219">IsURL(Table_1212151012[[#This Row],[Data Source]])</f>
        <v/>
      </c>
      <c r="N219" s="37">
        <f t="array" ref="N219">IsURL(Table_1212151012[[#This Row],[Data Source]])</f>
        <v/>
      </c>
    </row>
    <row r="220" ht="15.75" customHeight="1">
      <c r="A220" s="37">
        <f>IF(Table_1212151012[[#This Row],[Signal Name]]=0,"",Table_1212151012[[#This Row],[Signal Name]])</f>
        <v/>
      </c>
      <c r="D220" s="42" t="n"/>
      <c r="E220" s="42" t="n"/>
      <c r="G220" s="45" t="n"/>
      <c r="J220" s="44">
        <f>IF($B220="","FALSE","TRUE")</f>
        <v/>
      </c>
      <c r="K220" s="37">
        <f t="array" ref="K220">IsURL(Table_1212151012[[#This Row],[Data Source]])</f>
        <v/>
      </c>
      <c r="L220" s="37">
        <f t="array" ref="L220">IsURL(Table_1212151012[[#This Row],[DOI]])</f>
        <v/>
      </c>
      <c r="M220" s="37">
        <f t="array" ref="M220">IsURL(Table_1212151012[[#This Row],[Data Source]])</f>
        <v/>
      </c>
      <c r="N220" s="37">
        <f t="array" ref="N220">IsURL(Table_1212151012[[#This Row],[Data Source]])</f>
        <v/>
      </c>
    </row>
    <row r="221" ht="15.75" customHeight="1">
      <c r="A221" s="37">
        <f>IF(Table_1212151012[[#This Row],[Signal Name]]=0,"",Table_1212151012[[#This Row],[Signal Name]])</f>
        <v/>
      </c>
      <c r="D221" s="42" t="n"/>
      <c r="E221" s="42" t="n"/>
      <c r="G221" s="45" t="n"/>
      <c r="J221" s="44">
        <f>IF($B221="","FALSE","TRUE")</f>
        <v/>
      </c>
      <c r="K221" s="37">
        <f t="array" ref="K221">IsURL(Table_1212151012[[#This Row],[Data Source]])</f>
        <v/>
      </c>
      <c r="L221" s="37">
        <f t="array" ref="L221">IsURL(Table_1212151012[[#This Row],[DOI]])</f>
        <v/>
      </c>
      <c r="M221" s="37">
        <f t="array" ref="M221">IsURL(Table_1212151012[[#This Row],[Data Source]])</f>
        <v/>
      </c>
      <c r="N221" s="37">
        <f t="array" ref="N221">IsURL(Table_1212151012[[#This Row],[Data Source]])</f>
        <v/>
      </c>
    </row>
    <row r="222" ht="15.75" customHeight="1">
      <c r="A222" s="37">
        <f>IF(Table_1212151012[[#This Row],[Signal Name]]=0,"",Table_1212151012[[#This Row],[Signal Name]])</f>
        <v/>
      </c>
      <c r="D222" s="42" t="n"/>
      <c r="E222" s="42" t="n"/>
      <c r="G222" s="45" t="n"/>
      <c r="J222" s="44">
        <f>IF($B222="","FALSE","TRUE")</f>
        <v/>
      </c>
      <c r="K222" s="37">
        <f t="array" ref="K222">IsURL(Table_1212151012[[#This Row],[Data Source]])</f>
        <v/>
      </c>
      <c r="L222" s="37">
        <f t="array" ref="L222">IsURL(Table_1212151012[[#This Row],[DOI]])</f>
        <v/>
      </c>
      <c r="M222" s="37">
        <f t="array" ref="M222">IsURL(Table_1212151012[[#This Row],[Data Source]])</f>
        <v/>
      </c>
      <c r="N222" s="37">
        <f t="array" ref="N222">IsURL(Table_1212151012[[#This Row],[Data Source]])</f>
        <v/>
      </c>
    </row>
    <row r="223" ht="15.75" customHeight="1">
      <c r="A223" s="37">
        <f>IF(Table_1212151012[[#This Row],[Signal Name]]=0,"",Table_1212151012[[#This Row],[Signal Name]])</f>
        <v/>
      </c>
      <c r="D223" s="42" t="n"/>
      <c r="E223" s="42" t="n"/>
      <c r="G223" s="45" t="n"/>
      <c r="J223" s="44">
        <f>IF($B223="","FALSE","TRUE")</f>
        <v/>
      </c>
      <c r="K223" s="37">
        <f t="array" ref="K223">IsURL(Table_1212151012[[#This Row],[Data Source]])</f>
        <v/>
      </c>
      <c r="L223" s="37">
        <f t="array" ref="L223">IsURL(Table_1212151012[[#This Row],[DOI]])</f>
        <v/>
      </c>
      <c r="M223" s="37">
        <f t="array" ref="M223">IsURL(Table_1212151012[[#This Row],[Data Source]])</f>
        <v/>
      </c>
      <c r="N223" s="37">
        <f t="array" ref="N223">IsURL(Table_1212151012[[#This Row],[Data Source]])</f>
        <v/>
      </c>
    </row>
    <row r="224" ht="15.75" customHeight="1">
      <c r="A224" s="37">
        <f>IF(Table_1212151012[[#This Row],[Signal Name]]=0,"",Table_1212151012[[#This Row],[Signal Name]])</f>
        <v/>
      </c>
      <c r="D224" s="42" t="n"/>
      <c r="E224" s="42" t="n"/>
      <c r="G224" s="45" t="n"/>
      <c r="J224" s="44">
        <f>IF($B224="","FALSE","TRUE")</f>
        <v/>
      </c>
      <c r="K224" s="37">
        <f t="array" ref="K224">IsURL(Table_1212151012[[#This Row],[Data Source]])</f>
        <v/>
      </c>
      <c r="L224" s="37">
        <f t="array" ref="L224">IsURL(Table_1212151012[[#This Row],[DOI]])</f>
        <v/>
      </c>
      <c r="M224" s="37">
        <f t="array" ref="M224">IsURL(Table_1212151012[[#This Row],[Data Source]])</f>
        <v/>
      </c>
      <c r="N224" s="37">
        <f t="array" ref="N224">IsURL(Table_1212151012[[#This Row],[Data Source]])</f>
        <v/>
      </c>
    </row>
    <row r="225" ht="15.75" customHeight="1">
      <c r="A225" s="37">
        <f>IF(Table_1212151012[[#This Row],[Signal Name]]=0,"",Table_1212151012[[#This Row],[Signal Name]])</f>
        <v/>
      </c>
      <c r="D225" s="42" t="n"/>
      <c r="E225" s="42" t="n"/>
      <c r="G225" s="45" t="n"/>
      <c r="J225" s="44">
        <f>IF($B225="","FALSE","TRUE")</f>
        <v/>
      </c>
      <c r="K225" s="37">
        <f t="array" ref="K225">IsURL(Table_1212151012[[#This Row],[Data Source]])</f>
        <v/>
      </c>
      <c r="L225" s="37">
        <f t="array" ref="L225">IsURL(Table_1212151012[[#This Row],[DOI]])</f>
        <v/>
      </c>
      <c r="M225" s="37">
        <f t="array" ref="M225">IsURL(Table_1212151012[[#This Row],[Data Source]])</f>
        <v/>
      </c>
      <c r="N225" s="37">
        <f t="array" ref="N225">IsURL(Table_1212151012[[#This Row],[Data Source]])</f>
        <v/>
      </c>
    </row>
    <row r="226" ht="15.75" customHeight="1">
      <c r="A226" s="37">
        <f>IF(Table_1212151012[[#This Row],[Signal Name]]=0,"",Table_1212151012[[#This Row],[Signal Name]])</f>
        <v/>
      </c>
      <c r="D226" s="42" t="n"/>
      <c r="E226" s="42" t="n"/>
      <c r="G226" s="45" t="n"/>
      <c r="J226" s="44">
        <f>IF($B226="","FALSE","TRUE")</f>
        <v/>
      </c>
      <c r="K226" s="37">
        <f t="array" ref="K226">IsURL(Table_1212151012[[#This Row],[Data Source]])</f>
        <v/>
      </c>
      <c r="L226" s="37">
        <f t="array" ref="L226">IsURL(Table_1212151012[[#This Row],[DOI]])</f>
        <v/>
      </c>
      <c r="M226" s="37">
        <f t="array" ref="M226">IsURL(Table_1212151012[[#This Row],[Data Source]])</f>
        <v/>
      </c>
      <c r="N226" s="37">
        <f t="array" ref="N226">IsURL(Table_1212151012[[#This Row],[Data Source]])</f>
        <v/>
      </c>
    </row>
    <row r="227" ht="15.75" customHeight="1">
      <c r="A227" s="37">
        <f>IF(Table_1212151012[[#This Row],[Signal Name]]=0,"",Table_1212151012[[#This Row],[Signal Name]])</f>
        <v/>
      </c>
      <c r="D227" s="42" t="n"/>
      <c r="E227" s="42" t="n"/>
      <c r="G227" s="45" t="n"/>
      <c r="J227" s="44">
        <f>IF($B227="","FALSE","TRUE")</f>
        <v/>
      </c>
      <c r="K227" s="37">
        <f t="array" ref="K227">IsURL(Table_1212151012[[#This Row],[Data Source]])</f>
        <v/>
      </c>
      <c r="L227" s="37">
        <f t="array" ref="L227">IsURL(Table_1212151012[[#This Row],[DOI]])</f>
        <v/>
      </c>
      <c r="M227" s="37">
        <f t="array" ref="M227">IsURL(Table_1212151012[[#This Row],[Data Source]])</f>
        <v/>
      </c>
      <c r="N227" s="37">
        <f t="array" ref="N227">IsURL(Table_1212151012[[#This Row],[Data Source]])</f>
        <v/>
      </c>
    </row>
    <row r="228" ht="15.75" customHeight="1">
      <c r="A228" s="37">
        <f>IF(Table_1212151012[[#This Row],[Signal Name]]=0,"",Table_1212151012[[#This Row],[Signal Name]])</f>
        <v/>
      </c>
      <c r="D228" s="42" t="n"/>
      <c r="E228" s="42" t="n"/>
      <c r="G228" s="45" t="n"/>
      <c r="J228" s="44">
        <f>IF($B228="","FALSE","TRUE")</f>
        <v/>
      </c>
      <c r="K228" s="37">
        <f t="array" ref="K228">IsURL(Table_1212151012[[#This Row],[Data Source]])</f>
        <v/>
      </c>
      <c r="L228" s="37">
        <f t="array" ref="L228">IsURL(Table_1212151012[[#This Row],[DOI]])</f>
        <v/>
      </c>
      <c r="M228" s="37">
        <f t="array" ref="M228">IsURL(Table_1212151012[[#This Row],[Data Source]])</f>
        <v/>
      </c>
      <c r="N228" s="37">
        <f t="array" ref="N228">IsURL(Table_1212151012[[#This Row],[Data Source]])</f>
        <v/>
      </c>
    </row>
    <row r="229" ht="15.75" customHeight="1">
      <c r="A229" s="37">
        <f>IF(Table_1212151012[[#This Row],[Signal Name]]=0,"",Table_1212151012[[#This Row],[Signal Name]])</f>
        <v/>
      </c>
      <c r="D229" s="42" t="n"/>
      <c r="E229" s="42" t="n"/>
      <c r="G229" s="45" t="n"/>
      <c r="J229" s="44">
        <f>IF($B229="","FALSE","TRUE")</f>
        <v/>
      </c>
      <c r="K229" s="37">
        <f t="array" ref="K229">IsURL(Table_1212151012[[#This Row],[Data Source]])</f>
        <v/>
      </c>
      <c r="L229" s="37">
        <f t="array" ref="L229">IsURL(Table_1212151012[[#This Row],[DOI]])</f>
        <v/>
      </c>
      <c r="M229" s="37">
        <f t="array" ref="M229">IsURL(Table_1212151012[[#This Row],[Data Source]])</f>
        <v/>
      </c>
      <c r="N229" s="37">
        <f t="array" ref="N229">IsURL(Table_1212151012[[#This Row],[Data Source]])</f>
        <v/>
      </c>
    </row>
    <row r="230" ht="15.75" customHeight="1">
      <c r="A230" s="37">
        <f>IF(Table_1212151012[[#This Row],[Signal Name]]=0,"",Table_1212151012[[#This Row],[Signal Name]])</f>
        <v/>
      </c>
      <c r="D230" s="42" t="n"/>
      <c r="E230" s="42" t="n"/>
      <c r="G230" s="45" t="n"/>
      <c r="J230" s="44">
        <f>IF($B230="","FALSE","TRUE")</f>
        <v/>
      </c>
      <c r="K230" s="37">
        <f t="array" ref="K230">IsURL(Table_1212151012[[#This Row],[Data Source]])</f>
        <v/>
      </c>
      <c r="L230" s="37">
        <f t="array" ref="L230">IsURL(Table_1212151012[[#This Row],[DOI]])</f>
        <v/>
      </c>
      <c r="M230" s="37">
        <f t="array" ref="M230">IsURL(Table_1212151012[[#This Row],[Data Source]])</f>
        <v/>
      </c>
      <c r="N230" s="37">
        <f t="array" ref="N230">IsURL(Table_1212151012[[#This Row],[Data Source]])</f>
        <v/>
      </c>
    </row>
    <row r="231" ht="15.75" customHeight="1">
      <c r="A231" s="37">
        <f>IF(Table_1212151012[[#This Row],[Signal Name]]=0,"",Table_1212151012[[#This Row],[Signal Name]])</f>
        <v/>
      </c>
      <c r="D231" s="42" t="n"/>
      <c r="E231" s="42" t="n"/>
      <c r="G231" s="45" t="n"/>
      <c r="J231" s="44">
        <f>IF($B231="","FALSE","TRUE")</f>
        <v/>
      </c>
      <c r="K231" s="37">
        <f t="array" ref="K231">IsURL(Table_1212151012[[#This Row],[Data Source]])</f>
        <v/>
      </c>
      <c r="L231" s="37">
        <f t="array" ref="L231">IsURL(Table_1212151012[[#This Row],[DOI]])</f>
        <v/>
      </c>
      <c r="M231" s="37">
        <f t="array" ref="M231">IsURL(Table_1212151012[[#This Row],[Data Source]])</f>
        <v/>
      </c>
      <c r="N231" s="37">
        <f t="array" ref="N231">IsURL(Table_1212151012[[#This Row],[Data Source]])</f>
        <v/>
      </c>
    </row>
    <row r="232" ht="15.75" customHeight="1">
      <c r="A232" s="37">
        <f>IF(Table_1212151012[[#This Row],[Signal Name]]=0,"",Table_1212151012[[#This Row],[Signal Name]])</f>
        <v/>
      </c>
      <c r="D232" s="42" t="n"/>
      <c r="E232" s="42" t="n"/>
      <c r="G232" s="45" t="n"/>
      <c r="J232" s="44">
        <f>IF($B232="","FALSE","TRUE")</f>
        <v/>
      </c>
      <c r="K232" s="37">
        <f t="array" ref="K232">IsURL(Table_1212151012[[#This Row],[Data Source]])</f>
        <v/>
      </c>
      <c r="L232" s="37">
        <f t="array" ref="L232">IsURL(Table_1212151012[[#This Row],[DOI]])</f>
        <v/>
      </c>
      <c r="M232" s="37">
        <f t="array" ref="M232">IsURL(Table_1212151012[[#This Row],[Data Source]])</f>
        <v/>
      </c>
      <c r="N232" s="37">
        <f t="array" ref="N232">IsURL(Table_1212151012[[#This Row],[Data Source]])</f>
        <v/>
      </c>
    </row>
    <row r="233" ht="15.75" customHeight="1">
      <c r="A233" s="37">
        <f>IF(Table_1212151012[[#This Row],[Signal Name]]=0,"",Table_1212151012[[#This Row],[Signal Name]])</f>
        <v/>
      </c>
      <c r="D233" s="42" t="n"/>
      <c r="E233" s="42" t="n"/>
      <c r="G233" s="45" t="n"/>
      <c r="J233" s="44">
        <f>IF($B233="","FALSE","TRUE")</f>
        <v/>
      </c>
      <c r="K233" s="37">
        <f t="array" ref="K233">IsURL(Table_1212151012[[#This Row],[Data Source]])</f>
        <v/>
      </c>
      <c r="L233" s="37">
        <f t="array" ref="L233">IsURL(Table_1212151012[[#This Row],[DOI]])</f>
        <v/>
      </c>
      <c r="M233" s="37">
        <f t="array" ref="M233">IsURL(Table_1212151012[[#This Row],[Data Source]])</f>
        <v/>
      </c>
      <c r="N233" s="37">
        <f t="array" ref="N233">IsURL(Table_1212151012[[#This Row],[Data Source]])</f>
        <v/>
      </c>
    </row>
    <row r="234" ht="15.75" customHeight="1">
      <c r="A234" s="37">
        <f>IF(Table_1212151012[[#This Row],[Signal Name]]=0,"",Table_1212151012[[#This Row],[Signal Name]])</f>
        <v/>
      </c>
      <c r="D234" s="42" t="n"/>
      <c r="E234" s="42" t="n"/>
      <c r="G234" s="45" t="n"/>
      <c r="J234" s="44">
        <f>IF($B234="","FALSE","TRUE")</f>
        <v/>
      </c>
      <c r="K234" s="37">
        <f t="array" ref="K234">IsURL(Table_1212151012[[#This Row],[Data Source]])</f>
        <v/>
      </c>
      <c r="L234" s="37">
        <f t="array" ref="L234">IsURL(Table_1212151012[[#This Row],[DOI]])</f>
        <v/>
      </c>
      <c r="M234" s="37">
        <f t="array" ref="M234">IsURL(Table_1212151012[[#This Row],[Data Source]])</f>
        <v/>
      </c>
      <c r="N234" s="37">
        <f t="array" ref="N234">IsURL(Table_1212151012[[#This Row],[Data Source]])</f>
        <v/>
      </c>
    </row>
    <row r="235" ht="15.75" customHeight="1">
      <c r="A235" s="37">
        <f>IF(Table_1212151012[[#This Row],[Signal Name]]=0,"",Table_1212151012[[#This Row],[Signal Name]])</f>
        <v/>
      </c>
      <c r="D235" s="42" t="n"/>
      <c r="E235" s="42" t="n"/>
      <c r="G235" s="45" t="n"/>
      <c r="J235" s="44">
        <f>IF($B235="","FALSE","TRUE")</f>
        <v/>
      </c>
      <c r="K235" s="37">
        <f t="array" ref="K235">IsURL(Table_1212151012[[#This Row],[Data Source]])</f>
        <v/>
      </c>
      <c r="L235" s="37">
        <f t="array" ref="L235">IsURL(Table_1212151012[[#This Row],[DOI]])</f>
        <v/>
      </c>
      <c r="M235" s="37">
        <f t="array" ref="M235">IsURL(Table_1212151012[[#This Row],[Data Source]])</f>
        <v/>
      </c>
      <c r="N235" s="37">
        <f t="array" ref="N235">IsURL(Table_1212151012[[#This Row],[Data Source]])</f>
        <v/>
      </c>
    </row>
    <row r="236" ht="15.75" customHeight="1">
      <c r="A236" s="37">
        <f>IF(Table_1212151012[[#This Row],[Signal Name]]=0,"",Table_1212151012[[#This Row],[Signal Name]])</f>
        <v/>
      </c>
      <c r="D236" s="42" t="n"/>
      <c r="E236" s="42" t="n"/>
      <c r="G236" s="45" t="n"/>
      <c r="J236" s="44">
        <f>IF($B236="","FALSE","TRUE")</f>
        <v/>
      </c>
      <c r="K236" s="37">
        <f t="array" ref="K236">IsURL(Table_1212151012[[#This Row],[Data Source]])</f>
        <v/>
      </c>
      <c r="L236" s="37">
        <f t="array" ref="L236">IsURL(Table_1212151012[[#This Row],[DOI]])</f>
        <v/>
      </c>
      <c r="M236" s="37">
        <f t="array" ref="M236">IsURL(Table_1212151012[[#This Row],[Data Source]])</f>
        <v/>
      </c>
      <c r="N236" s="37">
        <f t="array" ref="N236">IsURL(Table_1212151012[[#This Row],[Data Source]])</f>
        <v/>
      </c>
    </row>
    <row r="237" ht="15.75" customHeight="1">
      <c r="A237" s="37">
        <f>IF(Table_1212151012[[#This Row],[Signal Name]]=0,"",Table_1212151012[[#This Row],[Signal Name]])</f>
        <v/>
      </c>
      <c r="D237" s="42" t="n"/>
      <c r="E237" s="42" t="n"/>
      <c r="G237" s="45" t="n"/>
      <c r="J237" s="44">
        <f>IF($B237="","FALSE","TRUE")</f>
        <v/>
      </c>
      <c r="K237" s="37">
        <f t="array" ref="K237">IsURL(Table_1212151012[[#This Row],[Data Source]])</f>
        <v/>
      </c>
      <c r="L237" s="37">
        <f t="array" ref="L237">IsURL(Table_1212151012[[#This Row],[DOI]])</f>
        <v/>
      </c>
      <c r="M237" s="37">
        <f t="array" ref="M237">IsURL(Table_1212151012[[#This Row],[Data Source]])</f>
        <v/>
      </c>
      <c r="N237" s="37">
        <f t="array" ref="N237">IsURL(Table_1212151012[[#This Row],[Data Source]])</f>
        <v/>
      </c>
    </row>
    <row r="238" ht="15.75" customHeight="1">
      <c r="A238" s="37">
        <f>IF(Table_1212151012[[#This Row],[Signal Name]]=0,"",Table_1212151012[[#This Row],[Signal Name]])</f>
        <v/>
      </c>
      <c r="D238" s="42" t="n"/>
      <c r="E238" s="42" t="n"/>
      <c r="G238" s="45" t="n"/>
      <c r="J238" s="44">
        <f>IF($B238="","FALSE","TRUE")</f>
        <v/>
      </c>
      <c r="K238" s="37">
        <f t="array" ref="K238">IsURL(Table_1212151012[[#This Row],[Data Source]])</f>
        <v/>
      </c>
      <c r="L238" s="37">
        <f t="array" ref="L238">IsURL(Table_1212151012[[#This Row],[DOI]])</f>
        <v/>
      </c>
      <c r="M238" s="37">
        <f t="array" ref="M238">IsURL(Table_1212151012[[#This Row],[Data Source]])</f>
        <v/>
      </c>
      <c r="N238" s="37">
        <f t="array" ref="N238">IsURL(Table_1212151012[[#This Row],[Data Source]])</f>
        <v/>
      </c>
    </row>
    <row r="239" ht="15.75" customHeight="1">
      <c r="A239" s="37">
        <f>IF(Table_1212151012[[#This Row],[Signal Name]]=0,"",Table_1212151012[[#This Row],[Signal Name]])</f>
        <v/>
      </c>
      <c r="D239" s="42" t="n"/>
      <c r="E239" s="42" t="n"/>
      <c r="G239" s="45" t="n"/>
      <c r="J239" s="44">
        <f>IF($B239="","FALSE","TRUE")</f>
        <v/>
      </c>
      <c r="K239" s="37">
        <f t="array" ref="K239">IsURL(Table_1212151012[[#This Row],[Data Source]])</f>
        <v/>
      </c>
      <c r="L239" s="37">
        <f t="array" ref="L239">IsURL(Table_1212151012[[#This Row],[DOI]])</f>
        <v/>
      </c>
      <c r="M239" s="37">
        <f t="array" ref="M239">IsURL(Table_1212151012[[#This Row],[Data Source]])</f>
        <v/>
      </c>
      <c r="N239" s="37">
        <f t="array" ref="N239">IsURL(Table_1212151012[[#This Row],[Data Source]])</f>
        <v/>
      </c>
    </row>
    <row r="240" ht="15.75" customHeight="1">
      <c r="A240" s="37">
        <f>IF(Table_1212151012[[#This Row],[Signal Name]]=0,"",Table_1212151012[[#This Row],[Signal Name]])</f>
        <v/>
      </c>
      <c r="D240" s="42" t="n"/>
      <c r="E240" s="42" t="n"/>
      <c r="G240" s="45" t="n"/>
      <c r="J240" s="44">
        <f>IF($B240="","FALSE","TRUE")</f>
        <v/>
      </c>
      <c r="K240" s="37">
        <f t="array" ref="K240">IsURL(Table_1212151012[[#This Row],[Data Source]])</f>
        <v/>
      </c>
      <c r="L240" s="37">
        <f t="array" ref="L240">IsURL(Table_1212151012[[#This Row],[DOI]])</f>
        <v/>
      </c>
      <c r="M240" s="37">
        <f t="array" ref="M240">IsURL(Table_1212151012[[#This Row],[Data Source]])</f>
        <v/>
      </c>
      <c r="N240" s="37">
        <f t="array" ref="N240">IsURL(Table_1212151012[[#This Row],[Data Source]])</f>
        <v/>
      </c>
    </row>
    <row r="241" ht="15.75" customHeight="1">
      <c r="A241" s="37">
        <f>IF(Table_1212151012[[#This Row],[Signal Name]]=0,"",Table_1212151012[[#This Row],[Signal Name]])</f>
        <v/>
      </c>
      <c r="D241" s="42" t="n"/>
      <c r="E241" s="42" t="n"/>
      <c r="G241" s="45" t="n"/>
      <c r="J241" s="44">
        <f>IF($B241="","FALSE","TRUE")</f>
        <v/>
      </c>
      <c r="K241" s="37">
        <f t="array" ref="K241">IsURL(Table_1212151012[[#This Row],[Data Source]])</f>
        <v/>
      </c>
      <c r="L241" s="37">
        <f t="array" ref="L241">IsURL(Table_1212151012[[#This Row],[DOI]])</f>
        <v/>
      </c>
      <c r="M241" s="37">
        <f t="array" ref="M241">IsURL(Table_1212151012[[#This Row],[Data Source]])</f>
        <v/>
      </c>
      <c r="N241" s="37">
        <f t="array" ref="N241">IsURL(Table_1212151012[[#This Row],[Data Source]])</f>
        <v/>
      </c>
    </row>
    <row r="242" ht="15.75" customHeight="1">
      <c r="A242" s="37">
        <f>IF(Table_1212151012[[#This Row],[Signal Name]]=0,"",Table_1212151012[[#This Row],[Signal Name]])</f>
        <v/>
      </c>
      <c r="D242" s="42" t="n"/>
      <c r="E242" s="42" t="n"/>
      <c r="G242" s="45" t="n"/>
      <c r="J242" s="44">
        <f>IF($B242="","FALSE","TRUE")</f>
        <v/>
      </c>
      <c r="K242" s="37">
        <f t="array" ref="K242">IsURL(Table_1212151012[[#This Row],[Data Source]])</f>
        <v/>
      </c>
      <c r="L242" s="37">
        <f t="array" ref="L242">IsURL(Table_1212151012[[#This Row],[DOI]])</f>
        <v/>
      </c>
      <c r="M242" s="37">
        <f t="array" ref="M242">IsURL(Table_1212151012[[#This Row],[Data Source]])</f>
        <v/>
      </c>
      <c r="N242" s="37">
        <f t="array" ref="N242">IsURL(Table_1212151012[[#This Row],[Data Source]])</f>
        <v/>
      </c>
    </row>
    <row r="243" ht="15.75" customHeight="1">
      <c r="A243" s="37">
        <f>IF(Table_1212151012[[#This Row],[Signal Name]]=0,"",Table_1212151012[[#This Row],[Signal Name]])</f>
        <v/>
      </c>
      <c r="D243" s="42" t="n"/>
      <c r="E243" s="42" t="n"/>
      <c r="G243" s="45" t="n"/>
      <c r="J243" s="44">
        <f>IF($B243="","FALSE","TRUE")</f>
        <v/>
      </c>
      <c r="K243" s="37">
        <f t="array" ref="K243">IsURL(Table_1212151012[[#This Row],[Data Source]])</f>
        <v/>
      </c>
      <c r="L243" s="37">
        <f t="array" ref="L243">IsURL(Table_1212151012[[#This Row],[DOI]])</f>
        <v/>
      </c>
      <c r="M243" s="37">
        <f t="array" ref="M243">IsURL(Table_1212151012[[#This Row],[Data Source]])</f>
        <v/>
      </c>
      <c r="N243" s="37">
        <f t="array" ref="N243">IsURL(Table_1212151012[[#This Row],[Data Source]])</f>
        <v/>
      </c>
    </row>
    <row r="244" ht="15.75" customHeight="1">
      <c r="A244" s="37">
        <f>IF(Table_1212151012[[#This Row],[Signal Name]]=0,"",Table_1212151012[[#This Row],[Signal Name]])</f>
        <v/>
      </c>
      <c r="D244" s="42" t="n"/>
      <c r="E244" s="42" t="n"/>
      <c r="G244" s="45" t="n"/>
      <c r="J244" s="44">
        <f>IF($B244="","FALSE","TRUE")</f>
        <v/>
      </c>
      <c r="K244" s="37">
        <f t="array" ref="K244">IsURL(Table_1212151012[[#This Row],[Data Source]])</f>
        <v/>
      </c>
      <c r="L244" s="37">
        <f t="array" ref="L244">IsURL(Table_1212151012[[#This Row],[DOI]])</f>
        <v/>
      </c>
      <c r="M244" s="37">
        <f t="array" ref="M244">IsURL(Table_1212151012[[#This Row],[Data Source]])</f>
        <v/>
      </c>
      <c r="N244" s="37">
        <f t="array" ref="N244">IsURL(Table_1212151012[[#This Row],[Data Source]])</f>
        <v/>
      </c>
    </row>
    <row r="245" ht="15.75" customHeight="1">
      <c r="A245" s="37">
        <f>IF(Table_1212151012[[#This Row],[Signal Name]]=0,"",Table_1212151012[[#This Row],[Signal Name]])</f>
        <v/>
      </c>
      <c r="D245" s="42" t="n"/>
      <c r="E245" s="42" t="n"/>
      <c r="G245" s="45" t="n"/>
      <c r="J245" s="44">
        <f>IF($B245="","FALSE","TRUE")</f>
        <v/>
      </c>
      <c r="K245" s="37">
        <f t="array" ref="K245">IsURL(Table_1212151012[[#This Row],[Data Source]])</f>
        <v/>
      </c>
      <c r="L245" s="37">
        <f t="array" ref="L245">IsURL(Table_1212151012[[#This Row],[DOI]])</f>
        <v/>
      </c>
      <c r="M245" s="37">
        <f t="array" ref="M245">IsURL(Table_1212151012[[#This Row],[Data Source]])</f>
        <v/>
      </c>
      <c r="N245" s="37">
        <f t="array" ref="N245">IsURL(Table_1212151012[[#This Row],[Data Source]])</f>
        <v/>
      </c>
    </row>
    <row r="246" ht="15.75" customHeight="1">
      <c r="A246" s="37">
        <f>IF(Table_1212151012[[#This Row],[Signal Name]]=0,"",Table_1212151012[[#This Row],[Signal Name]])</f>
        <v/>
      </c>
      <c r="D246" s="42" t="n"/>
      <c r="E246" s="42" t="n"/>
      <c r="G246" s="45" t="n"/>
      <c r="J246" s="44">
        <f>IF($B246="","FALSE","TRUE")</f>
        <v/>
      </c>
      <c r="K246" s="37">
        <f t="array" ref="K246">IsURL(Table_1212151012[[#This Row],[Data Source]])</f>
        <v/>
      </c>
      <c r="L246" s="37">
        <f t="array" ref="L246">IsURL(Table_1212151012[[#This Row],[DOI]])</f>
        <v/>
      </c>
      <c r="M246" s="37">
        <f t="array" ref="M246">IsURL(Table_1212151012[[#This Row],[Data Source]])</f>
        <v/>
      </c>
      <c r="N246" s="37">
        <f t="array" ref="N246">IsURL(Table_1212151012[[#This Row],[Data Source]])</f>
        <v/>
      </c>
    </row>
    <row r="247" ht="15.75" customHeight="1">
      <c r="A247" s="37">
        <f>IF(Table_1212151012[[#This Row],[Signal Name]]=0,"",Table_1212151012[[#This Row],[Signal Name]])</f>
        <v/>
      </c>
      <c r="D247" s="42" t="n"/>
      <c r="E247" s="42" t="n"/>
      <c r="G247" s="45" t="n"/>
      <c r="J247" s="44">
        <f>IF($B247="","FALSE","TRUE")</f>
        <v/>
      </c>
      <c r="K247" s="37">
        <f t="array" ref="K247">IsURL(Table_1212151012[[#This Row],[Data Source]])</f>
        <v/>
      </c>
      <c r="L247" s="37">
        <f t="array" ref="L247">IsURL(Table_1212151012[[#This Row],[DOI]])</f>
        <v/>
      </c>
      <c r="M247" s="37">
        <f t="array" ref="M247">IsURL(Table_1212151012[[#This Row],[Data Source]])</f>
        <v/>
      </c>
      <c r="N247" s="37">
        <f t="array" ref="N247">IsURL(Table_1212151012[[#This Row],[Data Source]])</f>
        <v/>
      </c>
    </row>
    <row r="248" ht="15.75" customHeight="1">
      <c r="A248" s="37">
        <f>IF(Table_1212151012[[#This Row],[Signal Name]]=0,"",Table_1212151012[[#This Row],[Signal Name]])</f>
        <v/>
      </c>
      <c r="D248" s="42" t="n"/>
      <c r="E248" s="42" t="n"/>
      <c r="G248" s="45" t="n"/>
      <c r="J248" s="44">
        <f>IF($B248="","FALSE","TRUE")</f>
        <v/>
      </c>
      <c r="K248" s="37">
        <f t="array" ref="K248">IsURL(Table_1212151012[[#This Row],[Data Source]])</f>
        <v/>
      </c>
      <c r="L248" s="37">
        <f t="array" ref="L248">IsURL(Table_1212151012[[#This Row],[DOI]])</f>
        <v/>
      </c>
      <c r="M248" s="37">
        <f t="array" ref="M248">IsURL(Table_1212151012[[#This Row],[Data Source]])</f>
        <v/>
      </c>
      <c r="N248" s="37">
        <f t="array" ref="N248">IsURL(Table_1212151012[[#This Row],[Data Source]])</f>
        <v/>
      </c>
    </row>
    <row r="249" ht="15.75" customHeight="1">
      <c r="A249" s="37">
        <f>IF(Table_1212151012[[#This Row],[Signal Name]]=0,"",Table_1212151012[[#This Row],[Signal Name]])</f>
        <v/>
      </c>
      <c r="D249" s="42" t="n"/>
      <c r="E249" s="42" t="n"/>
      <c r="G249" s="45" t="n"/>
      <c r="J249" s="44">
        <f>IF($B249="","FALSE","TRUE")</f>
        <v/>
      </c>
      <c r="K249" s="37">
        <f t="array" ref="K249">IsURL(Table_1212151012[[#This Row],[Data Source]])</f>
        <v/>
      </c>
      <c r="L249" s="37">
        <f t="array" ref="L249">IsURL(Table_1212151012[[#This Row],[DOI]])</f>
        <v/>
      </c>
      <c r="M249" s="37">
        <f t="array" ref="M249">IsURL(Table_1212151012[[#This Row],[Data Source]])</f>
        <v/>
      </c>
      <c r="N249" s="37">
        <f t="array" ref="N249">IsURL(Table_1212151012[[#This Row],[Data Source]])</f>
        <v/>
      </c>
    </row>
    <row r="250" ht="15.75" customHeight="1">
      <c r="A250" s="37">
        <f>IF(Table_1212151012[[#This Row],[Signal Name]]=0,"",Table_1212151012[[#This Row],[Signal Name]])</f>
        <v/>
      </c>
      <c r="D250" s="42" t="n"/>
      <c r="E250" s="42" t="n"/>
      <c r="G250" s="45" t="n"/>
      <c r="J250" s="44">
        <f>IF($B250="","FALSE","TRUE")</f>
        <v/>
      </c>
      <c r="K250" s="37">
        <f t="array" ref="K250">IsURL(Table_1212151012[[#This Row],[Data Source]])</f>
        <v/>
      </c>
      <c r="L250" s="37">
        <f t="array" ref="L250">IsURL(Table_1212151012[[#This Row],[DOI]])</f>
        <v/>
      </c>
      <c r="M250" s="37">
        <f t="array" ref="M250">IsURL(Table_1212151012[[#This Row],[Data Source]])</f>
        <v/>
      </c>
      <c r="N250" s="37">
        <f t="array" ref="N250">IsURL(Table_1212151012[[#This Row],[Data Source]])</f>
        <v/>
      </c>
    </row>
    <row r="251" ht="15.75" customHeight="1">
      <c r="A251" s="37">
        <f>IF(Table_1212151012[[#This Row],[Signal Name]]=0,"",Table_1212151012[[#This Row],[Signal Name]])</f>
        <v/>
      </c>
      <c r="D251" s="42" t="n"/>
      <c r="E251" s="42" t="n"/>
      <c r="G251" s="45" t="n"/>
      <c r="J251" s="44">
        <f>IF($B251="","FALSE","TRUE")</f>
        <v/>
      </c>
      <c r="K251" s="37">
        <f t="array" ref="K251">IsURL(Table_1212151012[[#This Row],[Data Source]])</f>
        <v/>
      </c>
      <c r="L251" s="37">
        <f t="array" ref="L251">IsURL(Table_1212151012[[#This Row],[DOI]])</f>
        <v/>
      </c>
      <c r="M251" s="37">
        <f t="array" ref="M251">IsURL(Table_1212151012[[#This Row],[Data Source]])</f>
        <v/>
      </c>
      <c r="N251" s="37">
        <f t="array" ref="N251">IsURL(Table_1212151012[[#This Row],[Data Source]])</f>
        <v/>
      </c>
    </row>
    <row r="252" ht="15.75" customHeight="1">
      <c r="A252" s="37">
        <f>IF(Table_1212151012[[#This Row],[Signal Name]]=0,"",Table_1212151012[[#This Row],[Signal Name]])</f>
        <v/>
      </c>
      <c r="D252" s="42" t="n"/>
      <c r="E252" s="42" t="n"/>
      <c r="G252" s="45" t="n"/>
      <c r="J252" s="44">
        <f>IF($B252="","FALSE","TRUE")</f>
        <v/>
      </c>
      <c r="K252" s="37">
        <f t="array" ref="K252">IsURL(Table_1212151012[[#This Row],[Data Source]])</f>
        <v/>
      </c>
      <c r="L252" s="37">
        <f t="array" ref="L252">IsURL(Table_1212151012[[#This Row],[DOI]])</f>
        <v/>
      </c>
      <c r="M252" s="37">
        <f t="array" ref="M252">IsURL(Table_1212151012[[#This Row],[Data Source]])</f>
        <v/>
      </c>
      <c r="N252" s="37">
        <f t="array" ref="N252">IsURL(Table_1212151012[[#This Row],[Data Source]])</f>
        <v/>
      </c>
    </row>
    <row r="253" ht="15.75" customHeight="1">
      <c r="A253" s="37">
        <f>IF(Table_1212151012[[#This Row],[Signal Name]]=0,"",Table_1212151012[[#This Row],[Signal Name]])</f>
        <v/>
      </c>
      <c r="D253" s="42" t="n"/>
      <c r="E253" s="42" t="n"/>
      <c r="G253" s="45" t="n"/>
      <c r="J253" s="44">
        <f>IF($B253="","FALSE","TRUE")</f>
        <v/>
      </c>
      <c r="K253" s="37">
        <f t="array" ref="K253">IsURL(Table_1212151012[[#This Row],[Data Source]])</f>
        <v/>
      </c>
      <c r="L253" s="37">
        <f t="array" ref="L253">IsURL(Table_1212151012[[#This Row],[DOI]])</f>
        <v/>
      </c>
      <c r="M253" s="37">
        <f t="array" ref="M253">IsURL(Table_1212151012[[#This Row],[Data Source]])</f>
        <v/>
      </c>
      <c r="N253" s="37">
        <f t="array" ref="N253">IsURL(Table_1212151012[[#This Row],[Data Source]])</f>
        <v/>
      </c>
    </row>
    <row r="254" ht="15.75" customHeight="1">
      <c r="A254" s="37">
        <f>IF(Table_1212151012[[#This Row],[Signal Name]]=0,"",Table_1212151012[[#This Row],[Signal Name]])</f>
        <v/>
      </c>
      <c r="D254" s="42" t="n"/>
      <c r="E254" s="42" t="n"/>
      <c r="G254" s="45" t="n"/>
      <c r="J254" s="44">
        <f>IF($B254="","FALSE","TRUE")</f>
        <v/>
      </c>
      <c r="K254" s="37">
        <f t="array" ref="K254">IsURL(Table_1212151012[[#This Row],[Data Source]])</f>
        <v/>
      </c>
      <c r="L254" s="37">
        <f t="array" ref="L254">IsURL(Table_1212151012[[#This Row],[DOI]])</f>
        <v/>
      </c>
      <c r="M254" s="37">
        <f t="array" ref="M254">IsURL(Table_1212151012[[#This Row],[Data Source]])</f>
        <v/>
      </c>
      <c r="N254" s="37">
        <f t="array" ref="N254">IsURL(Table_1212151012[[#This Row],[Data Source]])</f>
        <v/>
      </c>
    </row>
    <row r="255" ht="15.75" customHeight="1">
      <c r="A255" s="37">
        <f>IF(Table_1212151012[[#This Row],[Signal Name]]=0,"",Table_1212151012[[#This Row],[Signal Name]])</f>
        <v/>
      </c>
      <c r="D255" s="42" t="n"/>
      <c r="E255" s="42" t="n"/>
      <c r="G255" s="45" t="n"/>
      <c r="J255" s="44">
        <f>IF($B255="","FALSE","TRUE")</f>
        <v/>
      </c>
      <c r="K255" s="37">
        <f t="array" ref="K255">IsURL(Table_1212151012[[#This Row],[Data Source]])</f>
        <v/>
      </c>
      <c r="L255" s="37">
        <f t="array" ref="L255">IsURL(Table_1212151012[[#This Row],[DOI]])</f>
        <v/>
      </c>
      <c r="M255" s="37">
        <f t="array" ref="M255">IsURL(Table_1212151012[[#This Row],[Data Source]])</f>
        <v/>
      </c>
      <c r="N255" s="37">
        <f t="array" ref="N255">IsURL(Table_1212151012[[#This Row],[Data Source]])</f>
        <v/>
      </c>
    </row>
    <row r="256" ht="15.75" customHeight="1">
      <c r="A256" s="37">
        <f>IF(Table_1212151012[[#This Row],[Signal Name]]=0,"",Table_1212151012[[#This Row],[Signal Name]])</f>
        <v/>
      </c>
      <c r="D256" s="42" t="n"/>
      <c r="E256" s="42" t="n"/>
      <c r="G256" s="45" t="n"/>
      <c r="J256" s="44">
        <f>IF($B256="","FALSE","TRUE")</f>
        <v/>
      </c>
      <c r="K256" s="37">
        <f t="array" ref="K256">IsURL(Table_1212151012[[#This Row],[Data Source]])</f>
        <v/>
      </c>
      <c r="L256" s="37">
        <f t="array" ref="L256">IsURL(Table_1212151012[[#This Row],[DOI]])</f>
        <v/>
      </c>
      <c r="M256" s="37">
        <f t="array" ref="M256">IsURL(Table_1212151012[[#This Row],[Data Source]])</f>
        <v/>
      </c>
      <c r="N256" s="37">
        <f t="array" ref="N256">IsURL(Table_1212151012[[#This Row],[Data Source]])</f>
        <v/>
      </c>
    </row>
    <row r="257" ht="15.75" customHeight="1">
      <c r="A257" s="37">
        <f>IF(Table_1212151012[[#This Row],[Signal Name]]=0,"",Table_1212151012[[#This Row],[Signal Name]])</f>
        <v/>
      </c>
      <c r="D257" s="42" t="n"/>
      <c r="E257" s="42" t="n"/>
      <c r="G257" s="45" t="n"/>
      <c r="J257" s="44">
        <f>IF($B257="","FALSE","TRUE")</f>
        <v/>
      </c>
      <c r="K257" s="37">
        <f t="array" ref="K257">IsURL(Table_1212151012[[#This Row],[Data Source]])</f>
        <v/>
      </c>
      <c r="L257" s="37">
        <f t="array" ref="L257">IsURL(Table_1212151012[[#This Row],[DOI]])</f>
        <v/>
      </c>
      <c r="M257" s="37">
        <f t="array" ref="M257">IsURL(Table_1212151012[[#This Row],[Data Source]])</f>
        <v/>
      </c>
      <c r="N257" s="37">
        <f t="array" ref="N257">IsURL(Table_1212151012[[#This Row],[Data Source]])</f>
        <v/>
      </c>
    </row>
    <row r="258" ht="15.75" customHeight="1">
      <c r="A258" s="37">
        <f>IF(Table_1212151012[[#This Row],[Signal Name]]=0,"",Table_1212151012[[#This Row],[Signal Name]])</f>
        <v/>
      </c>
      <c r="D258" s="42" t="n"/>
      <c r="E258" s="42" t="n"/>
      <c r="G258" s="45" t="n"/>
      <c r="J258" s="44">
        <f>IF($B258="","FALSE","TRUE")</f>
        <v/>
      </c>
      <c r="K258" s="37">
        <f t="array" ref="K258">IsURL(Table_1212151012[[#This Row],[Data Source]])</f>
        <v/>
      </c>
      <c r="L258" s="37">
        <f t="array" ref="L258">IsURL(Table_1212151012[[#This Row],[DOI]])</f>
        <v/>
      </c>
      <c r="M258" s="37">
        <f t="array" ref="M258">IsURL(Table_1212151012[[#This Row],[Data Source]])</f>
        <v/>
      </c>
      <c r="N258" s="37">
        <f t="array" ref="N258">IsURL(Table_1212151012[[#This Row],[Data Source]])</f>
        <v/>
      </c>
    </row>
    <row r="259" ht="15.75" customHeight="1">
      <c r="A259" s="37">
        <f>IF(Table_1212151012[[#This Row],[Signal Name]]=0,"",Table_1212151012[[#This Row],[Signal Name]])</f>
        <v/>
      </c>
      <c r="D259" s="42" t="n"/>
      <c r="E259" s="42" t="n"/>
      <c r="G259" s="45" t="n"/>
      <c r="J259" s="44">
        <f>IF($B259="","FALSE","TRUE")</f>
        <v/>
      </c>
      <c r="K259" s="37">
        <f t="array" ref="K259">IsURL(Table_1212151012[[#This Row],[Data Source]])</f>
        <v/>
      </c>
      <c r="L259" s="37">
        <f t="array" ref="L259">IsURL(Table_1212151012[[#This Row],[DOI]])</f>
        <v/>
      </c>
      <c r="M259" s="37">
        <f t="array" ref="M259">IsURL(Table_1212151012[[#This Row],[Data Source]])</f>
        <v/>
      </c>
      <c r="N259" s="37">
        <f t="array" ref="N259">IsURL(Table_1212151012[[#This Row],[Data Source]])</f>
        <v/>
      </c>
    </row>
    <row r="260" ht="15.75" customHeight="1">
      <c r="A260" s="37">
        <f>IF(Table_1212151012[[#This Row],[Signal Name]]=0,"",Table_1212151012[[#This Row],[Signal Name]])</f>
        <v/>
      </c>
      <c r="D260" s="42" t="n"/>
      <c r="E260" s="42" t="n"/>
      <c r="G260" s="45" t="n"/>
      <c r="J260" s="44">
        <f>IF($B260="","FALSE","TRUE")</f>
        <v/>
      </c>
      <c r="K260" s="37">
        <f t="array" ref="K260">IsURL(Table_1212151012[[#This Row],[Data Source]])</f>
        <v/>
      </c>
      <c r="L260" s="37">
        <f t="array" ref="L260">IsURL(Table_1212151012[[#This Row],[DOI]])</f>
        <v/>
      </c>
      <c r="M260" s="37">
        <f t="array" ref="M260">IsURL(Table_1212151012[[#This Row],[Data Source]])</f>
        <v/>
      </c>
      <c r="N260" s="37">
        <f t="array" ref="N260">IsURL(Table_1212151012[[#This Row],[Data Source]])</f>
        <v/>
      </c>
    </row>
    <row r="261" ht="15.75" customHeight="1">
      <c r="A261" s="37">
        <f>IF(Table_1212151012[[#This Row],[Signal Name]]=0,"",Table_1212151012[[#This Row],[Signal Name]])</f>
        <v/>
      </c>
      <c r="D261" s="42" t="n"/>
      <c r="E261" s="42" t="n"/>
      <c r="G261" s="45" t="n"/>
      <c r="J261" s="44">
        <f>IF($B261="","FALSE","TRUE")</f>
        <v/>
      </c>
      <c r="K261" s="37">
        <f t="array" ref="K261">IsURL(Table_1212151012[[#This Row],[Data Source]])</f>
        <v/>
      </c>
      <c r="L261" s="37">
        <f t="array" ref="L261">IsURL(Table_1212151012[[#This Row],[DOI]])</f>
        <v/>
      </c>
      <c r="M261" s="37">
        <f t="array" ref="M261">IsURL(Table_1212151012[[#This Row],[Data Source]])</f>
        <v/>
      </c>
      <c r="N261" s="37">
        <f t="array" ref="N261">IsURL(Table_1212151012[[#This Row],[Data Source]])</f>
        <v/>
      </c>
    </row>
    <row r="262" ht="15.75" customHeight="1">
      <c r="A262" s="37">
        <f>IF(Table_1212151012[[#This Row],[Signal Name]]=0,"",Table_1212151012[[#This Row],[Signal Name]])</f>
        <v/>
      </c>
      <c r="D262" s="42" t="n"/>
      <c r="E262" s="42" t="n"/>
      <c r="G262" s="45" t="n"/>
      <c r="J262" s="44">
        <f>IF($B262="","FALSE","TRUE")</f>
        <v/>
      </c>
      <c r="K262" s="37">
        <f t="array" ref="K262">IsURL(Table_1212151012[[#This Row],[Data Source]])</f>
        <v/>
      </c>
      <c r="L262" s="37">
        <f t="array" ref="L262">IsURL(Table_1212151012[[#This Row],[DOI]])</f>
        <v/>
      </c>
      <c r="M262" s="37">
        <f t="array" ref="M262">IsURL(Table_1212151012[[#This Row],[Data Source]])</f>
        <v/>
      </c>
      <c r="N262" s="37">
        <f t="array" ref="N262">IsURL(Table_1212151012[[#This Row],[Data Source]])</f>
        <v/>
      </c>
    </row>
    <row r="263" ht="15.75" customHeight="1">
      <c r="A263" s="37">
        <f>IF(Table_1212151012[[#This Row],[Signal Name]]=0,"",Table_1212151012[[#This Row],[Signal Name]])</f>
        <v/>
      </c>
      <c r="D263" s="42" t="n"/>
      <c r="E263" s="42" t="n"/>
      <c r="G263" s="45" t="n"/>
      <c r="J263" s="44">
        <f>IF($B263="","FALSE","TRUE")</f>
        <v/>
      </c>
      <c r="K263" s="37">
        <f t="array" ref="K263">IsURL(Table_1212151012[[#This Row],[Data Source]])</f>
        <v/>
      </c>
      <c r="L263" s="37">
        <f t="array" ref="L263">IsURL(Table_1212151012[[#This Row],[DOI]])</f>
        <v/>
      </c>
      <c r="M263" s="37">
        <f t="array" ref="M263">IsURL(Table_1212151012[[#This Row],[Data Source]])</f>
        <v/>
      </c>
      <c r="N263" s="37">
        <f t="array" ref="N263">IsURL(Table_1212151012[[#This Row],[Data Source]])</f>
        <v/>
      </c>
    </row>
    <row r="264" ht="15.75" customHeight="1">
      <c r="A264" s="37">
        <f>IF(Table_1212151012[[#This Row],[Signal Name]]=0,"",Table_1212151012[[#This Row],[Signal Name]])</f>
        <v/>
      </c>
      <c r="D264" s="42" t="n"/>
      <c r="E264" s="42" t="n"/>
      <c r="G264" s="45" t="n"/>
      <c r="J264" s="44">
        <f>IF($B264="","FALSE","TRUE")</f>
        <v/>
      </c>
      <c r="K264" s="37">
        <f t="array" ref="K264">IsURL(Table_1212151012[[#This Row],[Data Source]])</f>
        <v/>
      </c>
      <c r="L264" s="37">
        <f t="array" ref="L264">IsURL(Table_1212151012[[#This Row],[DOI]])</f>
        <v/>
      </c>
      <c r="M264" s="37">
        <f t="array" ref="M264">IsURL(Table_1212151012[[#This Row],[Data Source]])</f>
        <v/>
      </c>
      <c r="N264" s="37">
        <f t="array" ref="N264">IsURL(Table_1212151012[[#This Row],[Data Source]])</f>
        <v/>
      </c>
    </row>
    <row r="265" ht="15.75" customHeight="1">
      <c r="A265" s="37">
        <f>IF(Table_1212151012[[#This Row],[Signal Name]]=0,"",Table_1212151012[[#This Row],[Signal Name]])</f>
        <v/>
      </c>
      <c r="D265" s="42" t="n"/>
      <c r="E265" s="42" t="n"/>
      <c r="G265" s="45" t="n"/>
      <c r="J265" s="44">
        <f>IF($B265="","FALSE","TRUE")</f>
        <v/>
      </c>
      <c r="K265" s="37">
        <f t="array" ref="K265">IsURL(Table_1212151012[[#This Row],[Data Source]])</f>
        <v/>
      </c>
      <c r="L265" s="37">
        <f t="array" ref="L265">IsURL(Table_1212151012[[#This Row],[DOI]])</f>
        <v/>
      </c>
      <c r="M265" s="37">
        <f t="array" ref="M265">IsURL(Table_1212151012[[#This Row],[Data Source]])</f>
        <v/>
      </c>
      <c r="N265" s="37">
        <f t="array" ref="N265">IsURL(Table_1212151012[[#This Row],[Data Source]])</f>
        <v/>
      </c>
    </row>
    <row r="266" ht="15.75" customHeight="1">
      <c r="A266" s="37">
        <f>IF(Table_1212151012[[#This Row],[Signal Name]]=0,"",Table_1212151012[[#This Row],[Signal Name]])</f>
        <v/>
      </c>
      <c r="D266" s="42" t="n"/>
      <c r="E266" s="42" t="n"/>
      <c r="G266" s="45" t="n"/>
      <c r="J266" s="44">
        <f>IF($B266="","FALSE","TRUE")</f>
        <v/>
      </c>
      <c r="K266" s="37">
        <f t="array" ref="K266">IsURL(Table_1212151012[[#This Row],[Data Source]])</f>
        <v/>
      </c>
      <c r="L266" s="37">
        <f t="array" ref="L266">IsURL(Table_1212151012[[#This Row],[DOI]])</f>
        <v/>
      </c>
      <c r="M266" s="37">
        <f t="array" ref="M266">IsURL(Table_1212151012[[#This Row],[Data Source]])</f>
        <v/>
      </c>
      <c r="N266" s="37">
        <f t="array" ref="N266">IsURL(Table_1212151012[[#This Row],[Data Source]])</f>
        <v/>
      </c>
    </row>
    <row r="267" ht="15.75" customHeight="1">
      <c r="A267" s="37">
        <f>IF(Table_1212151012[[#This Row],[Signal Name]]=0,"",Table_1212151012[[#This Row],[Signal Name]])</f>
        <v/>
      </c>
      <c r="D267" s="42" t="n"/>
      <c r="E267" s="42" t="n"/>
      <c r="G267" s="45" t="n"/>
      <c r="J267" s="44">
        <f>IF($B267="","FALSE","TRUE")</f>
        <v/>
      </c>
      <c r="K267" s="37">
        <f t="array" ref="K267">IsURL(Table_1212151012[[#This Row],[Data Source]])</f>
        <v/>
      </c>
      <c r="L267" s="37">
        <f t="array" ref="L267">IsURL(Table_1212151012[[#This Row],[DOI]])</f>
        <v/>
      </c>
      <c r="M267" s="37">
        <f t="array" ref="M267">IsURL(Table_1212151012[[#This Row],[Data Source]])</f>
        <v/>
      </c>
      <c r="N267" s="37">
        <f t="array" ref="N267">IsURL(Table_1212151012[[#This Row],[Data Source]])</f>
        <v/>
      </c>
    </row>
    <row r="268" ht="15.75" customHeight="1">
      <c r="A268" s="37">
        <f>IF(Table_1212151012[[#This Row],[Signal Name]]=0,"",Table_1212151012[[#This Row],[Signal Name]])</f>
        <v/>
      </c>
      <c r="D268" s="42" t="n"/>
      <c r="E268" s="42" t="n"/>
      <c r="G268" s="45" t="n"/>
      <c r="J268" s="44">
        <f>IF($B268="","FALSE","TRUE")</f>
        <v/>
      </c>
      <c r="K268" s="37">
        <f t="array" ref="K268">IsURL(Table_1212151012[[#This Row],[Data Source]])</f>
        <v/>
      </c>
      <c r="L268" s="37">
        <f t="array" ref="L268">IsURL(Table_1212151012[[#This Row],[DOI]])</f>
        <v/>
      </c>
      <c r="M268" s="37">
        <f t="array" ref="M268">IsURL(Table_1212151012[[#This Row],[Data Source]])</f>
        <v/>
      </c>
      <c r="N268" s="37">
        <f t="array" ref="N268">IsURL(Table_1212151012[[#This Row],[Data Source]])</f>
        <v/>
      </c>
    </row>
    <row r="269" ht="15.75" customHeight="1">
      <c r="A269" s="37">
        <f>IF(Table_1212151012[[#This Row],[Signal Name]]=0,"",Table_1212151012[[#This Row],[Signal Name]])</f>
        <v/>
      </c>
      <c r="D269" s="42" t="n"/>
      <c r="E269" s="42" t="n"/>
      <c r="G269" s="45" t="n"/>
      <c r="J269" s="44">
        <f>IF($B269="","FALSE","TRUE")</f>
        <v/>
      </c>
      <c r="K269" s="37">
        <f t="array" ref="K269">IsURL(Table_1212151012[[#This Row],[Data Source]])</f>
        <v/>
      </c>
      <c r="L269" s="37">
        <f t="array" ref="L269">IsURL(Table_1212151012[[#This Row],[DOI]])</f>
        <v/>
      </c>
      <c r="M269" s="37">
        <f t="array" ref="M269">IsURL(Table_1212151012[[#This Row],[Data Source]])</f>
        <v/>
      </c>
      <c r="N269" s="37">
        <f t="array" ref="N269">IsURL(Table_1212151012[[#This Row],[Data Source]])</f>
        <v/>
      </c>
    </row>
    <row r="270" ht="15.75" customHeight="1">
      <c r="A270" s="37">
        <f>IF(Table_1212151012[[#This Row],[Signal Name]]=0,"",Table_1212151012[[#This Row],[Signal Name]])</f>
        <v/>
      </c>
      <c r="D270" s="42" t="n"/>
      <c r="E270" s="42" t="n"/>
      <c r="G270" s="45" t="n"/>
      <c r="J270" s="44">
        <f>IF($B270="","FALSE","TRUE")</f>
        <v/>
      </c>
      <c r="K270" s="37">
        <f t="array" ref="K270">IsURL(Table_1212151012[[#This Row],[Data Source]])</f>
        <v/>
      </c>
      <c r="L270" s="37">
        <f t="array" ref="L270">IsURL(Table_1212151012[[#This Row],[DOI]])</f>
        <v/>
      </c>
      <c r="M270" s="37">
        <f t="array" ref="M270">IsURL(Table_1212151012[[#This Row],[Data Source]])</f>
        <v/>
      </c>
      <c r="N270" s="37">
        <f t="array" ref="N270">IsURL(Table_1212151012[[#This Row],[Data Source]])</f>
        <v/>
      </c>
    </row>
    <row r="271" ht="15.75" customHeight="1">
      <c r="A271" s="37">
        <f>IF(Table_1212151012[[#This Row],[Signal Name]]=0,"",Table_1212151012[[#This Row],[Signal Name]])</f>
        <v/>
      </c>
      <c r="D271" s="42" t="n"/>
      <c r="E271" s="42" t="n"/>
      <c r="G271" s="45" t="n"/>
      <c r="J271" s="44">
        <f>IF($B271="","FALSE","TRUE")</f>
        <v/>
      </c>
      <c r="K271" s="37">
        <f t="array" ref="K271">IsURL(Table_1212151012[[#This Row],[Data Source]])</f>
        <v/>
      </c>
      <c r="L271" s="37">
        <f t="array" ref="L271">IsURL(Table_1212151012[[#This Row],[DOI]])</f>
        <v/>
      </c>
      <c r="M271" s="37">
        <f t="array" ref="M271">IsURL(Table_1212151012[[#This Row],[Data Source]])</f>
        <v/>
      </c>
      <c r="N271" s="37">
        <f t="array" ref="N271">IsURL(Table_1212151012[[#This Row],[Data Source]])</f>
        <v/>
      </c>
    </row>
    <row r="272" ht="15.75" customHeight="1">
      <c r="A272" s="37">
        <f>IF(Table_1212151012[[#This Row],[Signal Name]]=0,"",Table_1212151012[[#This Row],[Signal Name]])</f>
        <v/>
      </c>
      <c r="D272" s="42" t="n"/>
      <c r="E272" s="42" t="n"/>
      <c r="G272" s="45" t="n"/>
      <c r="J272" s="44">
        <f>IF($B272="","FALSE","TRUE")</f>
        <v/>
      </c>
      <c r="K272" s="37">
        <f t="array" ref="K272">IsURL(Table_1212151012[[#This Row],[Data Source]])</f>
        <v/>
      </c>
      <c r="L272" s="37">
        <f t="array" ref="L272">IsURL(Table_1212151012[[#This Row],[DOI]])</f>
        <v/>
      </c>
      <c r="M272" s="37">
        <f t="array" ref="M272">IsURL(Table_1212151012[[#This Row],[Data Source]])</f>
        <v/>
      </c>
      <c r="N272" s="37">
        <f t="array" ref="N272">IsURL(Table_1212151012[[#This Row],[Data Source]])</f>
        <v/>
      </c>
    </row>
    <row r="273" ht="15.75" customHeight="1">
      <c r="A273" s="37">
        <f>IF(Table_1212151012[[#This Row],[Signal Name]]=0,"",Table_1212151012[[#This Row],[Signal Name]])</f>
        <v/>
      </c>
      <c r="D273" s="42" t="n"/>
      <c r="E273" s="42" t="n"/>
      <c r="G273" s="45" t="n"/>
      <c r="J273" s="44">
        <f>IF($B273="","FALSE","TRUE")</f>
        <v/>
      </c>
      <c r="K273" s="37">
        <f t="array" ref="K273">IsURL(Table_1212151012[[#This Row],[Data Source]])</f>
        <v/>
      </c>
      <c r="L273" s="37">
        <f t="array" ref="L273">IsURL(Table_1212151012[[#This Row],[DOI]])</f>
        <v/>
      </c>
      <c r="M273" s="37">
        <f t="array" ref="M273">IsURL(Table_1212151012[[#This Row],[Data Source]])</f>
        <v/>
      </c>
      <c r="N273" s="37">
        <f t="array" ref="N273">IsURL(Table_1212151012[[#This Row],[Data Source]])</f>
        <v/>
      </c>
    </row>
    <row r="274" ht="15.75" customHeight="1">
      <c r="A274" s="37">
        <f>IF(Table_1212151012[[#This Row],[Signal Name]]=0,"",Table_1212151012[[#This Row],[Signal Name]])</f>
        <v/>
      </c>
      <c r="D274" s="42" t="n"/>
      <c r="E274" s="42" t="n"/>
      <c r="G274" s="45" t="n"/>
      <c r="J274" s="44">
        <f>IF($B274="","FALSE","TRUE")</f>
        <v/>
      </c>
      <c r="K274" s="37">
        <f t="array" ref="K274">IsURL(Table_1212151012[[#This Row],[Data Source]])</f>
        <v/>
      </c>
      <c r="L274" s="37">
        <f t="array" ref="L274">IsURL(Table_1212151012[[#This Row],[DOI]])</f>
        <v/>
      </c>
      <c r="M274" s="37">
        <f t="array" ref="M274">IsURL(Table_1212151012[[#This Row],[Data Source]])</f>
        <v/>
      </c>
      <c r="N274" s="37">
        <f t="array" ref="N274">IsURL(Table_1212151012[[#This Row],[Data Source]])</f>
        <v/>
      </c>
    </row>
    <row r="275" ht="15.75" customHeight="1">
      <c r="A275" s="37">
        <f>IF(Table_1212151012[[#This Row],[Signal Name]]=0,"",Table_1212151012[[#This Row],[Signal Name]])</f>
        <v/>
      </c>
      <c r="D275" s="42" t="n"/>
      <c r="E275" s="42" t="n"/>
      <c r="G275" s="45" t="n"/>
      <c r="J275" s="44">
        <f>IF($B275="","FALSE","TRUE")</f>
        <v/>
      </c>
      <c r="K275" s="37">
        <f t="array" ref="K275">IsURL(Table_1212151012[[#This Row],[Data Source]])</f>
        <v/>
      </c>
      <c r="L275" s="37">
        <f t="array" ref="L275">IsURL(Table_1212151012[[#This Row],[DOI]])</f>
        <v/>
      </c>
      <c r="M275" s="37">
        <f t="array" ref="M275">IsURL(Table_1212151012[[#This Row],[Data Source]])</f>
        <v/>
      </c>
      <c r="N275" s="37">
        <f t="array" ref="N275">IsURL(Table_1212151012[[#This Row],[Data Source]])</f>
        <v/>
      </c>
    </row>
    <row r="276" ht="15.75" customHeight="1">
      <c r="A276" s="37">
        <f>IF(Table_1212151012[[#This Row],[Signal Name]]=0,"",Table_1212151012[[#This Row],[Signal Name]])</f>
        <v/>
      </c>
      <c r="D276" s="42" t="n"/>
      <c r="E276" s="42" t="n"/>
      <c r="G276" s="45" t="n"/>
      <c r="J276" s="44">
        <f>IF($B276="","FALSE","TRUE")</f>
        <v/>
      </c>
      <c r="K276" s="37">
        <f t="array" ref="K276">IsURL(Table_1212151012[[#This Row],[Data Source]])</f>
        <v/>
      </c>
      <c r="L276" s="37">
        <f t="array" ref="L276">IsURL(Table_1212151012[[#This Row],[DOI]])</f>
        <v/>
      </c>
      <c r="M276" s="37">
        <f t="array" ref="M276">IsURL(Table_1212151012[[#This Row],[Data Source]])</f>
        <v/>
      </c>
      <c r="N276" s="37">
        <f t="array" ref="N276">IsURL(Table_1212151012[[#This Row],[Data Source]])</f>
        <v/>
      </c>
    </row>
    <row r="277" ht="15.75" customHeight="1">
      <c r="A277" s="37">
        <f>IF(Table_1212151012[[#This Row],[Signal Name]]=0,"",Table_1212151012[[#This Row],[Signal Name]])</f>
        <v/>
      </c>
      <c r="D277" s="42" t="n"/>
      <c r="E277" s="42" t="n"/>
      <c r="G277" s="45" t="n"/>
      <c r="J277" s="44">
        <f>IF($B277="","FALSE","TRUE")</f>
        <v/>
      </c>
      <c r="K277" s="37">
        <f t="array" ref="K277">IsURL(Table_1212151012[[#This Row],[Data Source]])</f>
        <v/>
      </c>
      <c r="L277" s="37">
        <f t="array" ref="L277">IsURL(Table_1212151012[[#This Row],[DOI]])</f>
        <v/>
      </c>
      <c r="M277" s="37">
        <f t="array" ref="M277">IsURL(Table_1212151012[[#This Row],[Data Source]])</f>
        <v/>
      </c>
      <c r="N277" s="37">
        <f t="array" ref="N277">IsURL(Table_1212151012[[#This Row],[Data Source]])</f>
        <v/>
      </c>
    </row>
    <row r="278" ht="15.75" customHeight="1">
      <c r="A278" s="37">
        <f>IF(Table_1212151012[[#This Row],[Signal Name]]=0,"",Table_1212151012[[#This Row],[Signal Name]])</f>
        <v/>
      </c>
      <c r="D278" s="42" t="n"/>
      <c r="E278" s="42" t="n"/>
      <c r="G278" s="45" t="n"/>
      <c r="J278" s="44">
        <f>IF($B278="","FALSE","TRUE")</f>
        <v/>
      </c>
      <c r="K278" s="37">
        <f t="array" ref="K278">IsURL(Table_1212151012[[#This Row],[Data Source]])</f>
        <v/>
      </c>
      <c r="L278" s="37">
        <f t="array" ref="L278">IsURL(Table_1212151012[[#This Row],[DOI]])</f>
        <v/>
      </c>
      <c r="M278" s="37">
        <f t="array" ref="M278">IsURL(Table_1212151012[[#This Row],[Data Source]])</f>
        <v/>
      </c>
      <c r="N278" s="37">
        <f t="array" ref="N278">IsURL(Table_1212151012[[#This Row],[Data Source]])</f>
        <v/>
      </c>
    </row>
    <row r="279" ht="15.75" customHeight="1">
      <c r="A279" s="37">
        <f>IF(Table_1212151012[[#This Row],[Signal Name]]=0,"",Table_1212151012[[#This Row],[Signal Name]])</f>
        <v/>
      </c>
      <c r="D279" s="42" t="n"/>
      <c r="E279" s="42" t="n"/>
      <c r="G279" s="45" t="n"/>
      <c r="J279" s="44">
        <f>IF($B279="","FALSE","TRUE")</f>
        <v/>
      </c>
      <c r="K279" s="37">
        <f t="array" ref="K279">IsURL(Table_1212151012[[#This Row],[Data Source]])</f>
        <v/>
      </c>
      <c r="L279" s="37">
        <f t="array" ref="L279">IsURL(Table_1212151012[[#This Row],[DOI]])</f>
        <v/>
      </c>
      <c r="M279" s="37">
        <f t="array" ref="M279">IsURL(Table_1212151012[[#This Row],[Data Source]])</f>
        <v/>
      </c>
      <c r="N279" s="37">
        <f t="array" ref="N279">IsURL(Table_1212151012[[#This Row],[Data Source]])</f>
        <v/>
      </c>
    </row>
    <row r="280" ht="15.75" customHeight="1">
      <c r="A280" s="37">
        <f>IF(Table_1212151012[[#This Row],[Signal Name]]=0,"",Table_1212151012[[#This Row],[Signal Name]])</f>
        <v/>
      </c>
      <c r="D280" s="42" t="n"/>
      <c r="E280" s="42" t="n"/>
      <c r="G280" s="45" t="n"/>
      <c r="J280" s="44">
        <f>IF($B280="","FALSE","TRUE")</f>
        <v/>
      </c>
      <c r="K280" s="37">
        <f t="array" ref="K280">IsURL(Table_1212151012[[#This Row],[Data Source]])</f>
        <v/>
      </c>
      <c r="L280" s="37">
        <f t="array" ref="L280">IsURL(Table_1212151012[[#This Row],[DOI]])</f>
        <v/>
      </c>
      <c r="M280" s="37">
        <f t="array" ref="M280">IsURL(Table_1212151012[[#This Row],[Data Source]])</f>
        <v/>
      </c>
      <c r="N280" s="37">
        <f t="array" ref="N280">IsURL(Table_1212151012[[#This Row],[Data Source]])</f>
        <v/>
      </c>
    </row>
    <row r="281" ht="15.75" customHeight="1">
      <c r="A281" s="37">
        <f>IF(Table_1212151012[[#This Row],[Signal Name]]=0,"",Table_1212151012[[#This Row],[Signal Name]])</f>
        <v/>
      </c>
      <c r="D281" s="42" t="n"/>
      <c r="E281" s="42" t="n"/>
      <c r="G281" s="45" t="n"/>
      <c r="J281" s="44">
        <f>IF($B281="","FALSE","TRUE")</f>
        <v/>
      </c>
      <c r="K281" s="37">
        <f t="array" ref="K281">IsURL(Table_1212151012[[#This Row],[Data Source]])</f>
        <v/>
      </c>
      <c r="L281" s="37">
        <f t="array" ref="L281">IsURL(Table_1212151012[[#This Row],[DOI]])</f>
        <v/>
      </c>
      <c r="M281" s="37">
        <f t="array" ref="M281">IsURL(Table_1212151012[[#This Row],[Data Source]])</f>
        <v/>
      </c>
      <c r="N281" s="37">
        <f t="array" ref="N281">IsURL(Table_1212151012[[#This Row],[Data Source]])</f>
        <v/>
      </c>
    </row>
    <row r="282" ht="15.75" customHeight="1">
      <c r="A282" s="37">
        <f>IF(Table_1212151012[[#This Row],[Signal Name]]=0,"",Table_1212151012[[#This Row],[Signal Name]])</f>
        <v/>
      </c>
      <c r="D282" s="42" t="n"/>
      <c r="E282" s="42" t="n"/>
      <c r="G282" s="45" t="n"/>
      <c r="J282" s="44">
        <f>IF($B282="","FALSE","TRUE")</f>
        <v/>
      </c>
      <c r="K282" s="37">
        <f t="array" ref="K282">IsURL(Table_1212151012[[#This Row],[Data Source]])</f>
        <v/>
      </c>
      <c r="L282" s="37">
        <f t="array" ref="L282">IsURL(Table_1212151012[[#This Row],[DOI]])</f>
        <v/>
      </c>
      <c r="M282" s="37">
        <f t="array" ref="M282">IsURL(Table_1212151012[[#This Row],[Data Source]])</f>
        <v/>
      </c>
      <c r="N282" s="37">
        <f t="array" ref="N282">IsURL(Table_1212151012[[#This Row],[Data Source]])</f>
        <v/>
      </c>
    </row>
    <row r="283" ht="15.75" customHeight="1">
      <c r="A283" s="37">
        <f>IF(Table_1212151012[[#This Row],[Signal Name]]=0,"",Table_1212151012[[#This Row],[Signal Name]])</f>
        <v/>
      </c>
      <c r="D283" s="42" t="n"/>
      <c r="E283" s="42" t="n"/>
      <c r="G283" s="45" t="n"/>
      <c r="J283" s="44">
        <f>IF($B283="","FALSE","TRUE")</f>
        <v/>
      </c>
      <c r="K283" s="37">
        <f t="array" ref="K283">IsURL(Table_1212151012[[#This Row],[Data Source]])</f>
        <v/>
      </c>
      <c r="L283" s="37">
        <f t="array" ref="L283">IsURL(Table_1212151012[[#This Row],[DOI]])</f>
        <v/>
      </c>
      <c r="M283" s="37">
        <f t="array" ref="M283">IsURL(Table_1212151012[[#This Row],[Data Source]])</f>
        <v/>
      </c>
      <c r="N283" s="37">
        <f t="array" ref="N283">IsURL(Table_1212151012[[#This Row],[Data Source]])</f>
        <v/>
      </c>
    </row>
    <row r="284" ht="15.75" customHeight="1">
      <c r="A284" s="37">
        <f>IF(Table_1212151012[[#This Row],[Signal Name]]=0,"",Table_1212151012[[#This Row],[Signal Name]])</f>
        <v/>
      </c>
      <c r="D284" s="42" t="n"/>
      <c r="E284" s="42" t="n"/>
      <c r="G284" s="45" t="n"/>
      <c r="J284" s="44">
        <f>IF($B284="","FALSE","TRUE")</f>
        <v/>
      </c>
      <c r="K284" s="37">
        <f t="array" ref="K284">IsURL(Table_1212151012[[#This Row],[Data Source]])</f>
        <v/>
      </c>
      <c r="L284" s="37">
        <f t="array" ref="L284">IsURL(Table_1212151012[[#This Row],[DOI]])</f>
        <v/>
      </c>
      <c r="M284" s="37">
        <f t="array" ref="M284">IsURL(Table_1212151012[[#This Row],[Data Source]])</f>
        <v/>
      </c>
      <c r="N284" s="37">
        <f t="array" ref="N284">IsURL(Table_1212151012[[#This Row],[Data Source]])</f>
        <v/>
      </c>
    </row>
    <row r="285" ht="15.75" customHeight="1">
      <c r="A285" s="37">
        <f>IF(Table_1212151012[[#This Row],[Signal Name]]=0,"",Table_1212151012[[#This Row],[Signal Name]])</f>
        <v/>
      </c>
      <c r="D285" s="42" t="n"/>
      <c r="E285" s="42" t="n"/>
      <c r="G285" s="45" t="n"/>
      <c r="J285" s="44">
        <f>IF($B285="","FALSE","TRUE")</f>
        <v/>
      </c>
      <c r="K285" s="37">
        <f t="array" ref="K285">IsURL(Table_1212151012[[#This Row],[Data Source]])</f>
        <v/>
      </c>
      <c r="L285" s="37">
        <f t="array" ref="L285">IsURL(Table_1212151012[[#This Row],[DOI]])</f>
        <v/>
      </c>
      <c r="M285" s="37">
        <f t="array" ref="M285">IsURL(Table_1212151012[[#This Row],[Data Source]])</f>
        <v/>
      </c>
      <c r="N285" s="37">
        <f t="array" ref="N285">IsURL(Table_1212151012[[#This Row],[Data Source]])</f>
        <v/>
      </c>
    </row>
    <row r="286" ht="15.75" customHeight="1">
      <c r="A286" s="37">
        <f>IF(Table_1212151012[[#This Row],[Signal Name]]=0,"",Table_1212151012[[#This Row],[Signal Name]])</f>
        <v/>
      </c>
      <c r="D286" s="42" t="n"/>
      <c r="E286" s="42" t="n"/>
      <c r="G286" s="45" t="n"/>
      <c r="J286" s="44">
        <f>IF($B286="","FALSE","TRUE")</f>
        <v/>
      </c>
      <c r="K286" s="37">
        <f t="array" ref="K286">IsURL(Table_1212151012[[#This Row],[Data Source]])</f>
        <v/>
      </c>
      <c r="L286" s="37">
        <f t="array" ref="L286">IsURL(Table_1212151012[[#This Row],[DOI]])</f>
        <v/>
      </c>
      <c r="M286" s="37">
        <f t="array" ref="M286">IsURL(Table_1212151012[[#This Row],[Data Source]])</f>
        <v/>
      </c>
      <c r="N286" s="37">
        <f t="array" ref="N286">IsURL(Table_1212151012[[#This Row],[Data Source]])</f>
        <v/>
      </c>
    </row>
    <row r="287" ht="15.75" customHeight="1">
      <c r="A287" s="37">
        <f>IF(Table_1212151012[[#This Row],[Signal Name]]=0,"",Table_1212151012[[#This Row],[Signal Name]])</f>
        <v/>
      </c>
      <c r="D287" s="42" t="n"/>
      <c r="E287" s="42" t="n"/>
      <c r="G287" s="45" t="n"/>
      <c r="J287" s="44">
        <f>IF($B287="","FALSE","TRUE")</f>
        <v/>
      </c>
      <c r="K287" s="37">
        <f t="array" ref="K287">IsURL(Table_1212151012[[#This Row],[Data Source]])</f>
        <v/>
      </c>
      <c r="L287" s="37">
        <f t="array" ref="L287">IsURL(Table_1212151012[[#This Row],[DOI]])</f>
        <v/>
      </c>
      <c r="M287" s="37">
        <f t="array" ref="M287">IsURL(Table_1212151012[[#This Row],[Data Source]])</f>
        <v/>
      </c>
      <c r="N287" s="37">
        <f t="array" ref="N287">IsURL(Table_1212151012[[#This Row],[Data Source]])</f>
        <v/>
      </c>
    </row>
    <row r="288" ht="15.75" customHeight="1">
      <c r="A288" s="37">
        <f>IF(Table_1212151012[[#This Row],[Signal Name]]=0,"",Table_1212151012[[#This Row],[Signal Name]])</f>
        <v/>
      </c>
      <c r="D288" s="42" t="n"/>
      <c r="E288" s="42" t="n"/>
      <c r="G288" s="45" t="n"/>
      <c r="J288" s="44">
        <f>IF($B288="","FALSE","TRUE")</f>
        <v/>
      </c>
      <c r="K288" s="37">
        <f t="array" ref="K288">IsURL(Table_1212151012[[#This Row],[Data Source]])</f>
        <v/>
      </c>
      <c r="L288" s="37">
        <f t="array" ref="L288">IsURL(Table_1212151012[[#This Row],[DOI]])</f>
        <v/>
      </c>
      <c r="M288" s="37">
        <f t="array" ref="M288">IsURL(Table_1212151012[[#This Row],[Data Source]])</f>
        <v/>
      </c>
      <c r="N288" s="37">
        <f t="array" ref="N288">IsURL(Table_1212151012[[#This Row],[Data Source]])</f>
        <v/>
      </c>
    </row>
    <row r="289" ht="15.75" customHeight="1">
      <c r="A289" s="37">
        <f>IF(Table_1212151012[[#This Row],[Signal Name]]=0,"",Table_1212151012[[#This Row],[Signal Name]])</f>
        <v/>
      </c>
      <c r="D289" s="42" t="n"/>
      <c r="E289" s="42" t="n"/>
      <c r="G289" s="45" t="n"/>
      <c r="J289" s="44">
        <f>IF($B289="","FALSE","TRUE")</f>
        <v/>
      </c>
      <c r="K289" s="37">
        <f t="array" ref="K289">IsURL(Table_1212151012[[#This Row],[Data Source]])</f>
        <v/>
      </c>
      <c r="L289" s="37">
        <f t="array" ref="L289">IsURL(Table_1212151012[[#This Row],[DOI]])</f>
        <v/>
      </c>
      <c r="M289" s="37">
        <f t="array" ref="M289">IsURL(Table_1212151012[[#This Row],[Data Source]])</f>
        <v/>
      </c>
      <c r="N289" s="37">
        <f t="array" ref="N289">IsURL(Table_1212151012[[#This Row],[Data Source]])</f>
        <v/>
      </c>
    </row>
    <row r="290" ht="15.75" customHeight="1">
      <c r="A290" s="37">
        <f>IF(Table_1212151012[[#This Row],[Signal Name]]=0,"",Table_1212151012[[#This Row],[Signal Name]])</f>
        <v/>
      </c>
      <c r="D290" s="42" t="n"/>
      <c r="E290" s="42" t="n"/>
      <c r="G290" s="45" t="n"/>
      <c r="J290" s="44">
        <f>IF($B290="","FALSE","TRUE")</f>
        <v/>
      </c>
      <c r="K290" s="37">
        <f t="array" ref="K290">IsURL(Table_1212151012[[#This Row],[Data Source]])</f>
        <v/>
      </c>
      <c r="L290" s="37">
        <f t="array" ref="L290">IsURL(Table_1212151012[[#This Row],[DOI]])</f>
        <v/>
      </c>
      <c r="M290" s="37">
        <f t="array" ref="M290">IsURL(Table_1212151012[[#This Row],[Data Source]])</f>
        <v/>
      </c>
      <c r="N290" s="37">
        <f t="array" ref="N290">IsURL(Table_1212151012[[#This Row],[Data Source]])</f>
        <v/>
      </c>
    </row>
    <row r="291" ht="15.75" customHeight="1">
      <c r="A291" s="37">
        <f>IF(Table_1212151012[[#This Row],[Signal Name]]=0,"",Table_1212151012[[#This Row],[Signal Name]])</f>
        <v/>
      </c>
      <c r="D291" s="42" t="n"/>
      <c r="E291" s="42" t="n"/>
      <c r="G291" s="45" t="n"/>
      <c r="J291" s="44">
        <f>IF($B291="","FALSE","TRUE")</f>
        <v/>
      </c>
      <c r="K291" s="37">
        <f t="array" ref="K291">IsURL(Table_1212151012[[#This Row],[Data Source]])</f>
        <v/>
      </c>
      <c r="L291" s="37">
        <f t="array" ref="L291">IsURL(Table_1212151012[[#This Row],[DOI]])</f>
        <v/>
      </c>
      <c r="M291" s="37">
        <f t="array" ref="M291">IsURL(Table_1212151012[[#This Row],[Data Source]])</f>
        <v/>
      </c>
      <c r="N291" s="37">
        <f t="array" ref="N291">IsURL(Table_1212151012[[#This Row],[Data Source]])</f>
        <v/>
      </c>
    </row>
    <row r="292" ht="15.75" customHeight="1">
      <c r="A292" s="37">
        <f>IF(Table_1212151012[[#This Row],[Signal Name]]=0,"",Table_1212151012[[#This Row],[Signal Name]])</f>
        <v/>
      </c>
      <c r="D292" s="42" t="n"/>
      <c r="E292" s="42" t="n"/>
      <c r="G292" s="45" t="n"/>
      <c r="J292" s="44">
        <f>IF($B292="","FALSE","TRUE")</f>
        <v/>
      </c>
      <c r="K292" s="37">
        <f t="array" ref="K292">IsURL(Table_1212151012[[#This Row],[Data Source]])</f>
        <v/>
      </c>
      <c r="L292" s="37">
        <f t="array" ref="L292">IsURL(Table_1212151012[[#This Row],[DOI]])</f>
        <v/>
      </c>
      <c r="M292" s="37">
        <f t="array" ref="M292">IsURL(Table_1212151012[[#This Row],[Data Source]])</f>
        <v/>
      </c>
      <c r="N292" s="37">
        <f t="array" ref="N292">IsURL(Table_1212151012[[#This Row],[Data Source]])</f>
        <v/>
      </c>
    </row>
    <row r="293" ht="15.75" customHeight="1">
      <c r="A293" s="37">
        <f>IF(Table_1212151012[[#This Row],[Signal Name]]=0,"",Table_1212151012[[#This Row],[Signal Name]])</f>
        <v/>
      </c>
      <c r="D293" s="42" t="n"/>
      <c r="E293" s="42" t="n"/>
      <c r="G293" s="45" t="n"/>
      <c r="J293" s="44">
        <f>IF($B293="","FALSE","TRUE")</f>
        <v/>
      </c>
      <c r="K293" s="37">
        <f t="array" ref="K293">IsURL(Table_1212151012[[#This Row],[Data Source]])</f>
        <v/>
      </c>
      <c r="L293" s="37">
        <f t="array" ref="L293">IsURL(Table_1212151012[[#This Row],[DOI]])</f>
        <v/>
      </c>
      <c r="M293" s="37">
        <f t="array" ref="M293">IsURL(Table_1212151012[[#This Row],[Data Source]])</f>
        <v/>
      </c>
      <c r="N293" s="37">
        <f t="array" ref="N293">IsURL(Table_1212151012[[#This Row],[Data Source]])</f>
        <v/>
      </c>
    </row>
    <row r="294" ht="15.75" customHeight="1">
      <c r="A294" s="37">
        <f>IF(Table_1212151012[[#This Row],[Signal Name]]=0,"",Table_1212151012[[#This Row],[Signal Name]])</f>
        <v/>
      </c>
      <c r="D294" s="42" t="n"/>
      <c r="E294" s="42" t="n"/>
      <c r="G294" s="45" t="n"/>
      <c r="J294" s="44">
        <f>IF($B294="","FALSE","TRUE")</f>
        <v/>
      </c>
      <c r="K294" s="37">
        <f t="array" ref="K294">IsURL(Table_1212151012[[#This Row],[Data Source]])</f>
        <v/>
      </c>
      <c r="L294" s="37">
        <f t="array" ref="L294">IsURL(Table_1212151012[[#This Row],[DOI]])</f>
        <v/>
      </c>
      <c r="M294" s="37">
        <f t="array" ref="M294">IsURL(Table_1212151012[[#This Row],[Data Source]])</f>
        <v/>
      </c>
      <c r="N294" s="37">
        <f t="array" ref="N294">IsURL(Table_1212151012[[#This Row],[Data Source]])</f>
        <v/>
      </c>
    </row>
    <row r="295" ht="15.75" customHeight="1">
      <c r="A295" s="37">
        <f>IF(Table_1212151012[[#This Row],[Signal Name]]=0,"",Table_1212151012[[#This Row],[Signal Name]])</f>
        <v/>
      </c>
      <c r="D295" s="42" t="n"/>
      <c r="E295" s="42" t="n"/>
      <c r="G295" s="45" t="n"/>
      <c r="J295" s="44">
        <f>IF($B295="","FALSE","TRUE")</f>
        <v/>
      </c>
      <c r="K295" s="37">
        <f t="array" ref="K295">IsURL(Table_1212151012[[#This Row],[Data Source]])</f>
        <v/>
      </c>
      <c r="L295" s="37">
        <f t="array" ref="L295">IsURL(Table_1212151012[[#This Row],[DOI]])</f>
        <v/>
      </c>
      <c r="M295" s="37">
        <f t="array" ref="M295">IsURL(Table_1212151012[[#This Row],[Data Source]])</f>
        <v/>
      </c>
      <c r="N295" s="37">
        <f t="array" ref="N295">IsURL(Table_1212151012[[#This Row],[Data Source]])</f>
        <v/>
      </c>
    </row>
    <row r="296" ht="15.75" customHeight="1">
      <c r="A296" s="37">
        <f>IF(Table_1212151012[[#This Row],[Signal Name]]=0,"",Table_1212151012[[#This Row],[Signal Name]])</f>
        <v/>
      </c>
      <c r="D296" s="42" t="n"/>
      <c r="E296" s="42" t="n"/>
      <c r="G296" s="45" t="n"/>
      <c r="J296" s="44">
        <f>IF($B296="","FALSE","TRUE")</f>
        <v/>
      </c>
      <c r="K296" s="37">
        <f t="array" ref="K296">IsURL(Table_1212151012[[#This Row],[Data Source]])</f>
        <v/>
      </c>
      <c r="L296" s="37">
        <f t="array" ref="L296">IsURL(Table_1212151012[[#This Row],[DOI]])</f>
        <v/>
      </c>
      <c r="M296" s="37">
        <f t="array" ref="M296">IsURL(Table_1212151012[[#This Row],[Data Source]])</f>
        <v/>
      </c>
      <c r="N296" s="37">
        <f t="array" ref="N296">IsURL(Table_1212151012[[#This Row],[Data Source]])</f>
        <v/>
      </c>
    </row>
    <row r="297" ht="15.75" customHeight="1">
      <c r="A297" s="37">
        <f>IF(Table_1212151012[[#This Row],[Signal Name]]=0,"",Table_1212151012[[#This Row],[Signal Name]])</f>
        <v/>
      </c>
      <c r="D297" s="42" t="n"/>
      <c r="E297" s="42" t="n"/>
      <c r="G297" s="45" t="n"/>
      <c r="J297" s="44">
        <f>IF($B297="","FALSE","TRUE")</f>
        <v/>
      </c>
      <c r="K297" s="37">
        <f t="array" ref="K297">IsURL(Table_1212151012[[#This Row],[Data Source]])</f>
        <v/>
      </c>
      <c r="L297" s="37">
        <f t="array" ref="L297">IsURL(Table_1212151012[[#This Row],[DOI]])</f>
        <v/>
      </c>
      <c r="M297" s="37">
        <f t="array" ref="M297">IsURL(Table_1212151012[[#This Row],[Data Source]])</f>
        <v/>
      </c>
      <c r="N297" s="37">
        <f t="array" ref="N297">IsURL(Table_1212151012[[#This Row],[Data Source]])</f>
        <v/>
      </c>
    </row>
    <row r="298" ht="15.75" customHeight="1">
      <c r="A298" s="37">
        <f>IF(Table_1212151012[[#This Row],[Signal Name]]=0,"",Table_1212151012[[#This Row],[Signal Name]])</f>
        <v/>
      </c>
      <c r="D298" s="42" t="n"/>
      <c r="E298" s="42" t="n"/>
      <c r="G298" s="45" t="n"/>
      <c r="J298" s="44">
        <f>IF($B298="","FALSE","TRUE")</f>
        <v/>
      </c>
      <c r="K298" s="37">
        <f t="array" ref="K298">IsURL(Table_1212151012[[#This Row],[Data Source]])</f>
        <v/>
      </c>
      <c r="L298" s="37">
        <f t="array" ref="L298">IsURL(Table_1212151012[[#This Row],[DOI]])</f>
        <v/>
      </c>
      <c r="M298" s="37">
        <f t="array" ref="M298">IsURL(Table_1212151012[[#This Row],[Data Source]])</f>
        <v/>
      </c>
      <c r="N298" s="37">
        <f t="array" ref="N298">IsURL(Table_1212151012[[#This Row],[Data Source]])</f>
        <v/>
      </c>
    </row>
    <row r="299" ht="15.75" customHeight="1">
      <c r="A299" s="37">
        <f>IF(Table_1212151012[[#This Row],[Signal Name]]=0,"",Table_1212151012[[#This Row],[Signal Name]])</f>
        <v/>
      </c>
      <c r="D299" s="42" t="n"/>
      <c r="E299" s="42" t="n"/>
      <c r="G299" s="45" t="n"/>
      <c r="J299" s="44">
        <f>IF($B299="","FALSE","TRUE")</f>
        <v/>
      </c>
      <c r="K299" s="37">
        <f t="array" ref="K299">IsURL(Table_1212151012[[#This Row],[Data Source]])</f>
        <v/>
      </c>
      <c r="L299" s="37">
        <f t="array" ref="L299">IsURL(Table_1212151012[[#This Row],[DOI]])</f>
        <v/>
      </c>
      <c r="M299" s="37">
        <f t="array" ref="M299">IsURL(Table_1212151012[[#This Row],[Data Source]])</f>
        <v/>
      </c>
      <c r="N299" s="37">
        <f t="array" ref="N299">IsURL(Table_1212151012[[#This Row],[Data Source]])</f>
        <v/>
      </c>
    </row>
    <row r="300" ht="15.75" customHeight="1">
      <c r="A300" s="37">
        <f>IF(Table_1212151012[[#This Row],[Signal Name]]=0,"",Table_1212151012[[#This Row],[Signal Name]])</f>
        <v/>
      </c>
      <c r="D300" s="42" t="n"/>
      <c r="E300" s="42" t="n"/>
      <c r="G300" s="45" t="n"/>
      <c r="J300" s="44">
        <f>IF($B300="","FALSE","TRUE")</f>
        <v/>
      </c>
      <c r="K300" s="37">
        <f t="array" ref="K300">IsURL(Table_1212151012[[#This Row],[Data Source]])</f>
        <v/>
      </c>
      <c r="L300" s="37">
        <f t="array" ref="L300">IsURL(Table_1212151012[[#This Row],[DOI]])</f>
        <v/>
      </c>
      <c r="M300" s="37">
        <f t="array" ref="M300">IsURL(Table_1212151012[[#This Row],[Data Source]])</f>
        <v/>
      </c>
      <c r="N300" s="37">
        <f t="array" ref="N300">IsURL(Table_1212151012[[#This Row],[Data Source]])</f>
        <v/>
      </c>
    </row>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sheetData>
  <conditionalFormatting sqref="B5:B300">
    <cfRule type="expression" priority="1" dxfId="6" stopIfTrue="1">
      <formula>ISBLANK(B5)</formula>
    </cfRule>
  </conditionalFormatting>
  <dataValidations count="3">
    <dataValidation sqref="J5:J300" showErrorMessage="1" showInputMessage="1" allowBlank="0" type="list">
      <formula1>"TRUE, FALSE"</formula1>
    </dataValidation>
    <dataValidation sqref="F5:F300" showErrorMessage="1" showInputMessage="1" allowBlank="0" errorTitle="Invalid URL" error="The URL entered seems to be invalid, please check again." type="custom">
      <formula1>#REF!</formula1>
    </dataValidation>
    <dataValidation sqref="B5:B300" showErrorMessage="1" showInputMessage="1" allowBlank="0" type="custom">
      <formula1>AND(COUNTIF($B$5:$B$301,B5)=1,CODE(MID(B5,1,1))&gt;=65)</formula1>
    </dataValidation>
  </dataValidations>
  <pageMargins left="0.7" right="0.7" top="0.75" bottom="0.75" header="0.3" footer="0.3"/>
  <tableParts count="1">
    <tablePart xmlns:r="http://schemas.openxmlformats.org/officeDocument/2006/relationships" r:id="rId1"/>
  </tableParts>
</worksheet>
</file>

<file path=xl/worksheets/sheet13.xml><?xml version="1.0" encoding="utf-8"?>
<worksheet xmlns="http://schemas.openxmlformats.org/spreadsheetml/2006/main">
  <sheetPr codeName="Sheet10">
    <tabColor theme="4"/>
    <outlinePr summaryBelow="0"/>
    <pageSetUpPr/>
  </sheetPr>
  <dimension ref="A1:L26"/>
  <sheetViews>
    <sheetView zoomScale="115" workbookViewId="0">
      <selection activeCell="A22" sqref="A22"/>
    </sheetView>
  </sheetViews>
  <sheetFormatPr baseColWidth="10" defaultColWidth="8.6640625" defaultRowHeight="15"/>
  <cols>
    <col width="16.83203125" customWidth="1" min="1" max="1"/>
    <col width="12.5" customWidth="1" min="2" max="10"/>
  </cols>
  <sheetData>
    <row r="1" ht="17.25" customHeight="1">
      <c r="A1" s="3" t="inlineStr">
        <is>
          <t>SBOL Version</t>
        </is>
      </c>
      <c r="B1" s="3" t="n">
        <v>2</v>
      </c>
    </row>
    <row r="2" ht="17.25" customHeight="1">
      <c r="A2" s="3" t="inlineStr">
        <is>
          <t>Template Name</t>
        </is>
      </c>
      <c r="B2" s="3" t="inlineStr">
        <is>
          <t>Excel2sbol_compiler_template_sbol2</t>
        </is>
      </c>
    </row>
    <row r="3" ht="17.25" customHeight="1">
      <c r="A3" s="3" t="inlineStr">
        <is>
          <t>Template Version</t>
        </is>
      </c>
      <c r="B3" s="3" t="n">
        <v>1</v>
      </c>
    </row>
    <row r="4" ht="17.25" customHeight="1"/>
    <row r="5" ht="17.25" customHeight="1"/>
    <row r="6" ht="17.25" customHeight="1"/>
    <row r="7" ht="17.25" customHeight="1"/>
    <row r="8" ht="17.25" customHeight="1"/>
    <row r="9" ht="15" customHeight="1"/>
    <row r="10" ht="34.25" customHeight="1">
      <c r="A10" t="inlineStr">
        <is>
          <t>Sheet Name</t>
        </is>
      </c>
      <c r="B10" t="inlineStr">
        <is>
          <t>Convert</t>
        </is>
      </c>
      <c r="C10" t="inlineStr">
        <is>
          <t>Lib Start Row</t>
        </is>
      </c>
      <c r="D10" t="inlineStr">
        <is>
          <t>Has Collections</t>
        </is>
      </c>
      <c r="E10" t="inlineStr">
        <is>
          <t># of Collect Rows</t>
        </is>
      </c>
      <c r="F10" t="inlineStr">
        <is>
          <t>Collect Cols</t>
        </is>
      </c>
      <c r="G10" t="inlineStr">
        <is>
          <t>Has Descripts</t>
        </is>
      </c>
      <c r="H10" t="inlineStr">
        <is>
          <t>Descript Start Row</t>
        </is>
      </c>
      <c r="I10" t="inlineStr">
        <is>
          <t>Descript Cols</t>
        </is>
      </c>
      <c r="J10" t="inlineStr">
        <is>
          <t>SBOL Object Type</t>
        </is>
      </c>
      <c r="K10" t="inlineStr">
        <is>
          <t>Molecule Type</t>
        </is>
      </c>
      <c r="L10" t="inlineStr">
        <is>
          <t>Role</t>
        </is>
      </c>
    </row>
    <row r="11">
      <c r="A11" t="inlineStr">
        <is>
          <t>welcome</t>
        </is>
      </c>
      <c r="B11" t="b">
        <v>0</v>
      </c>
      <c r="C11" t="n">
        <v>0</v>
      </c>
      <c r="D11" t="b">
        <v>0</v>
      </c>
      <c r="G11" t="b">
        <v>0</v>
      </c>
    </row>
    <row r="12">
      <c r="A12" t="inlineStr">
        <is>
          <t>chassis</t>
        </is>
      </c>
      <c r="B12" t="b">
        <v>1</v>
      </c>
      <c r="C12" t="n">
        <v>4</v>
      </c>
      <c r="D12" t="b">
        <v>0</v>
      </c>
      <c r="E12" t="n">
        <v>0</v>
      </c>
      <c r="F12" t="n">
        <v>0</v>
      </c>
      <c r="G12" t="b">
        <v>0</v>
      </c>
      <c r="H12" t="n">
        <v>0</v>
      </c>
      <c r="I12" t="n">
        <v>0</v>
      </c>
      <c r="J12" t="inlineStr">
        <is>
          <t>ModuleDefinition</t>
        </is>
      </c>
      <c r="L12" t="inlineStr">
        <is>
          <t>organism_strain</t>
        </is>
      </c>
    </row>
    <row r="13">
      <c r="A13" t="inlineStr">
        <is>
          <t>chemicals</t>
        </is>
      </c>
      <c r="B13" t="b">
        <v>1</v>
      </c>
      <c r="C13" t="n">
        <v>4</v>
      </c>
      <c r="D13" t="b">
        <v>0</v>
      </c>
      <c r="E13" t="n">
        <v>0</v>
      </c>
      <c r="F13" t="n">
        <v>0</v>
      </c>
      <c r="G13" t="b">
        <v>0</v>
      </c>
      <c r="H13" t="n">
        <v>0</v>
      </c>
      <c r="I13" t="n">
        <v>0</v>
      </c>
      <c r="J13" t="inlineStr">
        <is>
          <t>ComponentDefinition</t>
        </is>
      </c>
      <c r="K13" t="inlineStr">
        <is>
          <t>SmallMolecule</t>
        </is>
      </c>
    </row>
    <row r="14">
      <c r="A14" t="inlineStr">
        <is>
          <t>media</t>
        </is>
      </c>
      <c r="B14" t="b">
        <v>1</v>
      </c>
      <c r="C14" t="n">
        <v>4</v>
      </c>
      <c r="D14" t="b">
        <v>0</v>
      </c>
      <c r="E14" t="n">
        <v>0</v>
      </c>
      <c r="F14" t="n">
        <v>0</v>
      </c>
      <c r="G14" t="b">
        <v>0</v>
      </c>
      <c r="H14" t="n">
        <v>0</v>
      </c>
      <c r="I14" t="n">
        <v>0</v>
      </c>
      <c r="J14" t="inlineStr">
        <is>
          <t>ModuleDefinition</t>
        </is>
      </c>
      <c r="L14" t="inlineStr">
        <is>
          <t>medium</t>
        </is>
      </c>
    </row>
    <row r="15">
      <c r="A15" t="inlineStr">
        <is>
          <t>promoter</t>
        </is>
      </c>
      <c r="B15" t="b">
        <v>1</v>
      </c>
      <c r="C15" t="n">
        <v>4</v>
      </c>
      <c r="D15" t="b">
        <v>0</v>
      </c>
      <c r="E15" t="n">
        <v>0</v>
      </c>
      <c r="F15" t="n">
        <v>0</v>
      </c>
      <c r="G15" t="b">
        <v>0</v>
      </c>
      <c r="H15" t="n">
        <v>0</v>
      </c>
      <c r="I15" t="n">
        <v>0</v>
      </c>
      <c r="J15" t="inlineStr">
        <is>
          <t>ComponentDefinition</t>
        </is>
      </c>
      <c r="K15" t="inlineStr">
        <is>
          <t>DNARegion</t>
        </is>
      </c>
      <c r="L15" t="inlineStr">
        <is>
          <t>promoter</t>
        </is>
      </c>
    </row>
    <row r="16">
      <c r="A16" t="inlineStr">
        <is>
          <t>rbs</t>
        </is>
      </c>
      <c r="B16" t="b">
        <v>1</v>
      </c>
      <c r="C16" t="n">
        <v>4</v>
      </c>
      <c r="D16" t="b">
        <v>0</v>
      </c>
      <c r="E16" t="n">
        <v>0</v>
      </c>
      <c r="F16" t="n">
        <v>0</v>
      </c>
      <c r="G16" t="b">
        <v>0</v>
      </c>
      <c r="H16" t="n">
        <v>0</v>
      </c>
      <c r="I16" t="n">
        <v>0</v>
      </c>
      <c r="J16" t="inlineStr">
        <is>
          <t>ComponentDefinition</t>
        </is>
      </c>
      <c r="K16" t="inlineStr">
        <is>
          <t>DNARegion</t>
        </is>
      </c>
      <c r="L16" t="inlineStr">
        <is>
          <t>ribosome_entry_site</t>
        </is>
      </c>
    </row>
    <row r="17">
      <c r="A17" t="inlineStr">
        <is>
          <t>cds</t>
        </is>
      </c>
      <c r="B17" t="b">
        <v>1</v>
      </c>
      <c r="C17" t="n">
        <v>4</v>
      </c>
      <c r="D17" t="b">
        <v>0</v>
      </c>
      <c r="E17" t="n">
        <v>0</v>
      </c>
      <c r="F17" t="n">
        <v>0</v>
      </c>
      <c r="G17" t="b">
        <v>0</v>
      </c>
      <c r="H17" t="n">
        <v>0</v>
      </c>
      <c r="I17" t="n">
        <v>0</v>
      </c>
      <c r="J17" t="inlineStr">
        <is>
          <t>ComponentDefinition</t>
        </is>
      </c>
      <c r="K17" t="inlineStr">
        <is>
          <t>DNARegion</t>
        </is>
      </c>
      <c r="L17" t="inlineStr">
        <is>
          <t>CDS</t>
        </is>
      </c>
    </row>
    <row r="18">
      <c r="A18" t="inlineStr">
        <is>
          <t>terminator</t>
        </is>
      </c>
      <c r="B18" t="b">
        <v>1</v>
      </c>
      <c r="C18" t="n">
        <v>4</v>
      </c>
      <c r="D18" t="b">
        <v>0</v>
      </c>
      <c r="E18" t="n">
        <v>0</v>
      </c>
      <c r="F18" t="n">
        <v>0</v>
      </c>
      <c r="G18" t="b">
        <v>0</v>
      </c>
      <c r="H18" t="n">
        <v>0</v>
      </c>
      <c r="I18" t="n">
        <v>0</v>
      </c>
      <c r="J18" t="inlineStr">
        <is>
          <t>ComponentDefinition</t>
        </is>
      </c>
      <c r="K18" t="inlineStr">
        <is>
          <t>DNARegion</t>
        </is>
      </c>
      <c r="L18" t="inlineStr">
        <is>
          <t>terminator</t>
        </is>
      </c>
    </row>
    <row r="19">
      <c r="A19" t="inlineStr">
        <is>
          <t>other</t>
        </is>
      </c>
      <c r="B19" t="b">
        <v>1</v>
      </c>
      <c r="C19" t="n">
        <v>4</v>
      </c>
      <c r="D19" t="b">
        <v>0</v>
      </c>
      <c r="E19" t="n">
        <v>0</v>
      </c>
      <c r="F19" t="n">
        <v>0</v>
      </c>
      <c r="G19" t="b">
        <v>0</v>
      </c>
      <c r="H19" t="n">
        <v>0</v>
      </c>
      <c r="I19" t="n">
        <v>0</v>
      </c>
      <c r="J19" t="inlineStr">
        <is>
          <t>ComponentDefinition</t>
        </is>
      </c>
      <c r="K19" t="inlineStr">
        <is>
          <t>DNARegion</t>
        </is>
      </c>
    </row>
    <row r="20">
      <c r="A20" t="inlineStr">
        <is>
          <t>protein</t>
        </is>
      </c>
      <c r="B20" t="b">
        <v>1</v>
      </c>
      <c r="C20" t="n">
        <v>4</v>
      </c>
      <c r="D20" t="b">
        <v>0</v>
      </c>
      <c r="E20" t="n">
        <v>0</v>
      </c>
      <c r="F20" t="n">
        <v>0</v>
      </c>
      <c r="G20" t="b">
        <v>0</v>
      </c>
      <c r="H20" t="n">
        <v>0</v>
      </c>
      <c r="I20" t="n">
        <v>0</v>
      </c>
      <c r="J20" t="inlineStr">
        <is>
          <t>ComponentDefinition</t>
        </is>
      </c>
      <c r="K20" t="inlineStr">
        <is>
          <t>Protein</t>
        </is>
      </c>
    </row>
    <row r="21">
      <c r="A21" t="inlineStr">
        <is>
          <t>complex</t>
        </is>
      </c>
      <c r="B21" t="b">
        <v>1</v>
      </c>
      <c r="C21" t="n">
        <v>4</v>
      </c>
      <c r="D21" t="b">
        <v>0</v>
      </c>
      <c r="E21" t="n">
        <v>0</v>
      </c>
      <c r="F21" t="n">
        <v>0</v>
      </c>
      <c r="G21" t="b">
        <v>0</v>
      </c>
      <c r="H21" t="n">
        <v>0</v>
      </c>
      <c r="I21" t="n">
        <v>0</v>
      </c>
      <c r="J21" t="inlineStr">
        <is>
          <t>ComponentDefinition</t>
        </is>
      </c>
      <c r="K21" t="inlineStr">
        <is>
          <t>Complex</t>
        </is>
      </c>
    </row>
    <row r="22" ht="17.25" customHeight="1">
      <c r="A22" t="inlineStr">
        <is>
          <t>signal</t>
        </is>
      </c>
      <c r="B22" t="b">
        <v>1</v>
      </c>
      <c r="C22" t="n">
        <v>4</v>
      </c>
      <c r="D22" t="b">
        <v>0</v>
      </c>
      <c r="E22" t="n">
        <v>0</v>
      </c>
      <c r="F22" t="n">
        <v>0</v>
      </c>
      <c r="G22" t="b">
        <v>0</v>
      </c>
      <c r="H22" t="n">
        <v>0</v>
      </c>
      <c r="I22" t="n">
        <v>0</v>
      </c>
      <c r="J22" t="inlineStr">
        <is>
          <t>ComponentDefinition</t>
        </is>
      </c>
      <c r="L22" t="inlineStr">
        <is>
          <t>signal</t>
        </is>
      </c>
    </row>
    <row r="23" ht="17.25" customHeight="1">
      <c r="A23" t="inlineStr">
        <is>
          <t>Ontology Terms</t>
        </is>
      </c>
      <c r="B23" t="b">
        <v>0</v>
      </c>
      <c r="C23" t="n">
        <v>0</v>
      </c>
      <c r="D23" t="b">
        <v>0</v>
      </c>
      <c r="G23" t="b">
        <v>0</v>
      </c>
    </row>
    <row r="24" ht="17.25" customHeight="1">
      <c r="A24" t="inlineStr">
        <is>
          <t>Organism Terms</t>
        </is>
      </c>
      <c r="B24" t="b">
        <v>0</v>
      </c>
      <c r="C24" t="n">
        <v>0</v>
      </c>
      <c r="D24" t="b">
        <v>0</v>
      </c>
      <c r="G24" t="b">
        <v>0</v>
      </c>
    </row>
    <row r="25">
      <c r="A25" t="inlineStr">
        <is>
          <t>molecule_types</t>
        </is>
      </c>
      <c r="B25" t="b">
        <v>0</v>
      </c>
      <c r="C25" t="n">
        <v>0</v>
      </c>
      <c r="D25" t="b">
        <v>0</v>
      </c>
      <c r="G25" t="b">
        <v>0</v>
      </c>
    </row>
    <row r="26">
      <c r="A26" t="inlineStr">
        <is>
          <t>unique_values</t>
        </is>
      </c>
      <c r="B26" t="b">
        <v>0</v>
      </c>
      <c r="C26" t="n">
        <v>0</v>
      </c>
      <c r="D26" t="b">
        <v>0</v>
      </c>
      <c r="G26" t="b">
        <v>0</v>
      </c>
    </row>
  </sheetData>
  <dataValidations count="1">
    <dataValidation sqref="B11:B26 D11:D26 G11:G26" showErrorMessage="1" showInputMessage="1" allowBlank="0" type="list">
      <formula1>"TRUE, FALSE"</formula1>
    </dataValidation>
  </dataValidations>
  <pageMargins left="0.7" right="0.7" top="0.75" bottom="0.75" header="0.3" footer="0.3"/>
  <pageSetup orientation="portrait"/>
  <tableParts count="1">
    <tablePart xmlns:r="http://schemas.openxmlformats.org/officeDocument/2006/relationships" r:id="rId1"/>
  </tableParts>
</worksheet>
</file>

<file path=xl/worksheets/sheet14.xml><?xml version="1.0" encoding="utf-8"?>
<worksheet xmlns="http://schemas.openxmlformats.org/spreadsheetml/2006/main">
  <sheetPr codeName="Sheet11">
    <tabColor theme="4"/>
    <outlinePr summaryBelow="0"/>
    <pageSetUpPr/>
  </sheetPr>
  <dimension ref="A1:Q163"/>
  <sheetViews>
    <sheetView topLeftCell="H130" zoomScale="92" zoomScaleNormal="100" workbookViewId="0">
      <selection activeCell="O155" sqref="O155"/>
    </sheetView>
  </sheetViews>
  <sheetFormatPr baseColWidth="10" defaultColWidth="8.6640625" defaultRowHeight="15"/>
  <cols>
    <col width="12.5" customWidth="1" min="1" max="4"/>
    <col width="34" customWidth="1" min="5" max="5"/>
    <col width="12.5" customWidth="1" min="6" max="18"/>
    <col width="12.5" bestFit="1" customWidth="1" min="19" max="20"/>
  </cols>
  <sheetData>
    <row r="1" ht="17.25" customHeight="1">
      <c r="A1" t="inlineStr">
        <is>
          <t>Sheet Name</t>
        </is>
      </c>
      <c r="B1" t="inlineStr">
        <is>
          <t>Column Name</t>
        </is>
      </c>
      <c r="C1" t="inlineStr">
        <is>
          <t>SBOL Term</t>
        </is>
      </c>
      <c r="D1" t="inlineStr">
        <is>
          <t>Multicolumn</t>
        </is>
      </c>
      <c r="E1" t="inlineStr">
        <is>
          <t>Namespace URL</t>
        </is>
      </c>
      <c r="F1" t="inlineStr">
        <is>
          <t>Type</t>
        </is>
      </c>
      <c r="G1" t="inlineStr">
        <is>
          <t>Split On</t>
        </is>
      </c>
      <c r="H1" t="inlineStr">
        <is>
          <t>Pattern</t>
        </is>
      </c>
      <c r="I1" t="inlineStr">
        <is>
          <t>Tyto Lookup</t>
        </is>
      </c>
      <c r="J1" t="inlineStr">
        <is>
          <t>Sheet Lookup</t>
        </is>
      </c>
      <c r="K1" t="inlineStr">
        <is>
          <t>Replacement Lookup</t>
        </is>
      </c>
      <c r="L1" t="inlineStr">
        <is>
          <t>Object_ID Lookup</t>
        </is>
      </c>
      <c r="M1" t="inlineStr">
        <is>
          <t>Parent Lookup</t>
        </is>
      </c>
      <c r="N1" t="inlineStr">
        <is>
          <t>Lookup Sheet Name</t>
        </is>
      </c>
      <c r="O1" t="inlineStr">
        <is>
          <t>From Col</t>
        </is>
      </c>
      <c r="P1" t="inlineStr">
        <is>
          <t>To Col</t>
        </is>
      </c>
      <c r="Q1" t="inlineStr">
        <is>
          <t>Ontology Name</t>
        </is>
      </c>
    </row>
    <row r="2" ht="17.25" customHeight="1">
      <c r="A2" t="inlineStr">
        <is>
          <t>promoter</t>
        </is>
      </c>
      <c r="B2" t="inlineStr">
        <is>
          <t>Part ID</t>
        </is>
      </c>
      <c r="C2" t="inlineStr">
        <is>
          <t>sbol_displayId</t>
        </is>
      </c>
      <c r="E2">
        <f>CONCATENATE("http://sbols.org/v",Init!$B$1,"#")</f>
        <v/>
      </c>
      <c r="F2" t="inlineStr">
        <is>
          <t>String</t>
        </is>
      </c>
      <c r="G2" t="inlineStr">
        <is>
          <t>""</t>
        </is>
      </c>
      <c r="I2" s="1" t="b">
        <v>0</v>
      </c>
      <c r="J2" s="1" t="b">
        <v>0</v>
      </c>
      <c r="K2" s="1" t="b">
        <v>0</v>
      </c>
      <c r="L2" s="1" t="b">
        <v>0</v>
      </c>
      <c r="M2" s="1" t="b">
        <v>0</v>
      </c>
    </row>
    <row r="3" ht="17.25" customHeight="1">
      <c r="A3" t="inlineStr">
        <is>
          <t>promoter</t>
        </is>
      </c>
      <c r="B3" t="inlineStr">
        <is>
          <t>Part Name</t>
        </is>
      </c>
      <c r="C3" t="inlineStr">
        <is>
          <t>sbol_name</t>
        </is>
      </c>
      <c r="E3">
        <f>CONCATENATE("http://sbols.org/v",Init!$B$1,"#")</f>
        <v/>
      </c>
      <c r="F3" t="inlineStr">
        <is>
          <t>String</t>
        </is>
      </c>
      <c r="G3" t="inlineStr">
        <is>
          <t>""</t>
        </is>
      </c>
      <c r="I3" s="1" t="b">
        <v>0</v>
      </c>
      <c r="J3" s="1" t="b">
        <v>0</v>
      </c>
      <c r="K3" s="1" t="b">
        <v>0</v>
      </c>
      <c r="L3" s="1" t="b">
        <v>0</v>
      </c>
      <c r="M3" s="1" t="b">
        <v>0</v>
      </c>
    </row>
    <row r="4" ht="17.25" customHeight="1">
      <c r="A4" t="inlineStr">
        <is>
          <t>promoter</t>
        </is>
      </c>
      <c r="B4" t="inlineStr">
        <is>
          <t>Previous Version (URI)</t>
        </is>
      </c>
      <c r="C4" t="inlineStr">
        <is>
          <t>sbol_displayId</t>
        </is>
      </c>
      <c r="E4">
        <f>CONCATENATE("http://sbols.org/v",Init!$B$1,"#")</f>
        <v/>
      </c>
      <c r="F4" t="inlineStr">
        <is>
          <t>String</t>
        </is>
      </c>
      <c r="G4" t="inlineStr">
        <is>
          <t>""</t>
        </is>
      </c>
      <c r="I4" s="1" t="b">
        <v>0</v>
      </c>
      <c r="J4" s="1" t="b">
        <v>0</v>
      </c>
      <c r="K4" s="1" t="b">
        <v>0</v>
      </c>
      <c r="L4" s="1" t="b">
        <v>0</v>
      </c>
      <c r="M4" s="1" t="b">
        <v>0</v>
      </c>
    </row>
    <row r="5" ht="17.25" customHeight="1">
      <c r="A5" t="inlineStr">
        <is>
          <t>promoter</t>
        </is>
      </c>
      <c r="B5" t="inlineStr">
        <is>
          <t>Part Description</t>
        </is>
      </c>
      <c r="C5" t="inlineStr">
        <is>
          <t>sbol_description</t>
        </is>
      </c>
      <c r="E5" t="inlineStr">
        <is>
          <t>http://purl.org/dc/terms/#</t>
        </is>
      </c>
      <c r="F5" t="inlineStr">
        <is>
          <t>String</t>
        </is>
      </c>
      <c r="G5" t="inlineStr">
        <is>
          <t>""</t>
        </is>
      </c>
      <c r="I5" s="1" t="b">
        <v>0</v>
      </c>
      <c r="J5" s="1" t="b">
        <v>0</v>
      </c>
      <c r="K5" s="1" t="b">
        <v>0</v>
      </c>
      <c r="L5" s="1" t="b">
        <v>0</v>
      </c>
      <c r="M5" s="1" t="b">
        <v>0</v>
      </c>
    </row>
    <row r="6" ht="17.25" customHeight="1">
      <c r="A6" t="inlineStr">
        <is>
          <t>promoter</t>
        </is>
      </c>
      <c r="B6" t="inlineStr">
        <is>
          <t>Data Source</t>
        </is>
      </c>
      <c r="C6" t="inlineStr">
        <is>
          <t>sbol_wasDerivedFrom</t>
        </is>
      </c>
      <c r="E6">
        <f>CONCATENATE("http://sbols.org/v",Init!$B$1,"#")</f>
        <v/>
      </c>
      <c r="F6" t="inlineStr">
        <is>
          <t>URI</t>
        </is>
      </c>
      <c r="G6" t="inlineStr">
        <is>
          <t>""</t>
        </is>
      </c>
      <c r="I6" s="1" t="b">
        <v>0</v>
      </c>
      <c r="J6" s="1" t="b">
        <v>0</v>
      </c>
      <c r="K6" s="1" t="b">
        <v>0</v>
      </c>
      <c r="L6" s="1" t="b">
        <v>0</v>
      </c>
      <c r="M6" s="1" t="b">
        <v>0</v>
      </c>
    </row>
    <row r="7" ht="17.25" customHeight="1">
      <c r="A7" t="inlineStr">
        <is>
          <t>promoter</t>
        </is>
      </c>
      <c r="B7" t="inlineStr">
        <is>
          <t>PubMed Id</t>
        </is>
      </c>
      <c r="C7" t="inlineStr">
        <is>
          <t xml:space="preserve">obo_OBI_0001617
</t>
        </is>
      </c>
      <c r="E7" t="inlineStr">
        <is>
          <t>http://purl.obolibrary.org/obo/</t>
        </is>
      </c>
      <c r="F7" t="inlineStr">
        <is>
          <t>String</t>
        </is>
      </c>
      <c r="G7" t="inlineStr">
        <is>
          <t>""</t>
        </is>
      </c>
      <c r="I7" s="1" t="b">
        <v>0</v>
      </c>
      <c r="J7" s="1" t="b">
        <v>0</v>
      </c>
      <c r="K7" s="1" t="b">
        <v>0</v>
      </c>
      <c r="L7" s="1" t="b">
        <v>0</v>
      </c>
      <c r="M7" s="1" t="b">
        <v>0</v>
      </c>
    </row>
    <row r="8" ht="17.25" customHeight="1">
      <c r="A8" t="inlineStr">
        <is>
          <t>promoter</t>
        </is>
      </c>
      <c r="B8" t="inlineStr">
        <is>
          <t>DOI</t>
        </is>
      </c>
      <c r="C8" t="inlineStr">
        <is>
          <t>sbol_wasDerivedFrom</t>
        </is>
      </c>
      <c r="E8">
        <f>CONCATENATE("http://sbols.org/v",Init!$B$1,"#")</f>
        <v/>
      </c>
      <c r="F8" t="inlineStr">
        <is>
          <t>URI</t>
        </is>
      </c>
      <c r="G8" t="inlineStr">
        <is>
          <t>""</t>
        </is>
      </c>
      <c r="I8" s="1" t="b">
        <v>0</v>
      </c>
      <c r="J8" s="1" t="b">
        <v>0</v>
      </c>
      <c r="K8" s="1" t="b">
        <v>0</v>
      </c>
      <c r="L8" s="1" t="b">
        <v>0</v>
      </c>
      <c r="M8" s="1" t="b">
        <v>0</v>
      </c>
    </row>
    <row r="9" ht="17.25" customHeight="1">
      <c r="A9" t="inlineStr">
        <is>
          <t>promoter</t>
        </is>
      </c>
      <c r="B9" t="inlineStr">
        <is>
          <t>Source Organism</t>
        </is>
      </c>
      <c r="C9" t="inlineStr">
        <is>
          <t>sbh_sourceOrganism</t>
        </is>
      </c>
      <c r="E9" t="inlineStr">
        <is>
          <t>https://wiki.synbiohub.org/wiki/Terms/synbiohub#</t>
        </is>
      </c>
      <c r="F9" t="inlineStr">
        <is>
          <t>URI</t>
        </is>
      </c>
      <c r="G9" t="inlineStr">
        <is>
          <t>""</t>
        </is>
      </c>
      <c r="I9" s="1" t="b">
        <v>0</v>
      </c>
      <c r="J9" s="1" t="b">
        <v>1</v>
      </c>
      <c r="K9" s="1" t="b">
        <v>0</v>
      </c>
      <c r="L9" s="1" t="b">
        <v>0</v>
      </c>
      <c r="M9" s="1" t="b">
        <v>0</v>
      </c>
      <c r="N9" t="inlineStr">
        <is>
          <t>THIS_SHEET_DOES_NOT_EXIST_123</t>
        </is>
      </c>
      <c r="O9" t="inlineStr">
        <is>
          <t>A</t>
        </is>
      </c>
      <c r="P9" t="inlineStr">
        <is>
          <t>B</t>
        </is>
      </c>
      <c r="Q9" t="inlineStr">
        <is>
          <t>NCBITaxon</t>
        </is>
      </c>
    </row>
    <row r="10" ht="17.25" customHeight="1">
      <c r="A10" t="inlineStr">
        <is>
          <t>promoter</t>
        </is>
      </c>
      <c r="B10" t="inlineStr">
        <is>
          <t>Activators</t>
        </is>
      </c>
      <c r="C10" t="inlineStr">
        <is>
          <t>sbol_activator</t>
        </is>
      </c>
      <c r="E10" t="inlineStr">
        <is>
          <t>https://wiki.synbiohub.org/wiki/Terms/synbiohub#</t>
        </is>
      </c>
      <c r="F10" t="inlineStr">
        <is>
          <t>URI</t>
        </is>
      </c>
      <c r="G10" t="inlineStr">
        <is>
          <t>","</t>
        </is>
      </c>
      <c r="I10" s="1" t="b">
        <v>0</v>
      </c>
      <c r="J10" s="1" t="b">
        <v>0</v>
      </c>
      <c r="K10" s="1" t="b">
        <v>0</v>
      </c>
      <c r="L10" s="1" t="b">
        <v>1</v>
      </c>
      <c r="M10" s="1" t="b">
        <v>0</v>
      </c>
    </row>
    <row r="11" ht="17.25" customHeight="1">
      <c r="A11" t="inlineStr">
        <is>
          <t>promoter</t>
        </is>
      </c>
      <c r="B11" t="inlineStr">
        <is>
          <t>Repressors</t>
        </is>
      </c>
      <c r="C11" t="inlineStr">
        <is>
          <t>sbol_repressor</t>
        </is>
      </c>
      <c r="E11" t="inlineStr">
        <is>
          <t>https://wiki.synbiohub.org/wiki/Terms/synbiohub#</t>
        </is>
      </c>
      <c r="F11" t="inlineStr">
        <is>
          <t>URI</t>
        </is>
      </c>
      <c r="G11" t="inlineStr">
        <is>
          <t>","</t>
        </is>
      </c>
      <c r="I11" s="1" t="b">
        <v>0</v>
      </c>
      <c r="J11" s="1" t="b">
        <v>0</v>
      </c>
      <c r="K11" s="1" t="b">
        <v>0</v>
      </c>
      <c r="L11" s="1" t="b">
        <v>1</v>
      </c>
      <c r="M11" s="1" t="b">
        <v>0</v>
      </c>
    </row>
    <row r="12" ht="17.25" customHeight="1">
      <c r="A12" t="inlineStr">
        <is>
          <t>promoter</t>
        </is>
      </c>
      <c r="B12" t="inlineStr">
        <is>
          <t>length (bp)</t>
        </is>
      </c>
      <c r="C12" t="inlineStr">
        <is>
          <t>Not_applicable</t>
        </is>
      </c>
      <c r="E12" t="inlineStr">
        <is>
          <t>Not_applicable</t>
        </is>
      </c>
      <c r="F12" t="inlineStr">
        <is>
          <t>Not_applicable</t>
        </is>
      </c>
      <c r="G12" t="inlineStr">
        <is>
          <t>""</t>
        </is>
      </c>
      <c r="I12" s="1" t="b">
        <v>0</v>
      </c>
      <c r="J12" s="1" t="b">
        <v>0</v>
      </c>
      <c r="K12" s="1" t="b">
        <v>0</v>
      </c>
      <c r="L12" s="1" t="b">
        <v>0</v>
      </c>
      <c r="M12" s="1" t="b">
        <v>0</v>
      </c>
    </row>
    <row r="13" ht="17.25" customHeight="1">
      <c r="A13" t="inlineStr">
        <is>
          <t>promoter</t>
        </is>
      </c>
      <c r="B13" t="inlineStr">
        <is>
          <t>Sequence</t>
        </is>
      </c>
      <c r="C13" t="inlineStr">
        <is>
          <t>sbol_sequence</t>
        </is>
      </c>
      <c r="E13">
        <f>CONCATENATE("http://sbols.org/v",Init!$B$1,"#")</f>
        <v/>
      </c>
      <c r="F13" t="inlineStr">
        <is>
          <t>String</t>
        </is>
      </c>
      <c r="G13" t="inlineStr">
        <is>
          <t>""</t>
        </is>
      </c>
      <c r="H13" t="inlineStr">
        <is>
          <t>"^[a-zA-Z \s*]+$" "https:\/\/www.ncbi.nlm.nih.gov/nuccore/.*"</t>
        </is>
      </c>
      <c r="I13" s="1" t="b">
        <v>0</v>
      </c>
      <c r="J13" s="1" t="b">
        <v>0</v>
      </c>
      <c r="K13" s="1" t="b">
        <v>0</v>
      </c>
      <c r="L13" s="1" t="b">
        <v>0</v>
      </c>
      <c r="M13" s="1" t="b">
        <v>0</v>
      </c>
    </row>
    <row r="14" ht="17.25" customHeight="1">
      <c r="A14" t="inlineStr">
        <is>
          <t>promoter</t>
        </is>
      </c>
      <c r="B14" t="inlineStr">
        <is>
          <t>Update</t>
        </is>
      </c>
      <c r="C14" t="inlineStr">
        <is>
          <t>Not_applicable</t>
        </is>
      </c>
      <c r="F14" t="inlineStr">
        <is>
          <t>String</t>
        </is>
      </c>
      <c r="G14" t="inlineStr">
        <is>
          <t>""</t>
        </is>
      </c>
      <c r="I14" s="1" t="b">
        <v>0</v>
      </c>
      <c r="J14" s="1" t="b">
        <v>0</v>
      </c>
      <c r="K14" s="1" t="b">
        <v>0</v>
      </c>
      <c r="L14" s="1" t="b">
        <v>0</v>
      </c>
      <c r="M14" s="1" t="b">
        <v>0</v>
      </c>
    </row>
    <row r="15" ht="17.25" customHeight="1">
      <c r="A15" t="inlineStr">
        <is>
          <t>promoter</t>
        </is>
      </c>
      <c r="B15" t="inlineStr">
        <is>
          <t>URL Checker - Data Source</t>
        </is>
      </c>
      <c r="C15" s="28" t="inlineStr">
        <is>
          <t>Not_applicable</t>
        </is>
      </c>
      <c r="D15" s="28" t="n"/>
      <c r="E15" s="29" t="n"/>
      <c r="F15" s="29" t="inlineStr">
        <is>
          <t>String</t>
        </is>
      </c>
      <c r="G15" s="29" t="inlineStr">
        <is>
          <t>""</t>
        </is>
      </c>
      <c r="H15" s="29" t="n"/>
      <c r="I15" s="30" t="b">
        <v>0</v>
      </c>
      <c r="J15" s="30" t="b">
        <v>0</v>
      </c>
      <c r="K15" s="30" t="b">
        <v>0</v>
      </c>
      <c r="L15" s="30" t="b">
        <v>0</v>
      </c>
      <c r="M15" s="30" t="b">
        <v>0</v>
      </c>
      <c r="N15" s="29" t="n"/>
      <c r="O15" s="29" t="n"/>
      <c r="P15" s="29" t="n"/>
      <c r="Q15" s="29" t="n"/>
    </row>
    <row r="16" ht="17.25" customHeight="1">
      <c r="A16" t="inlineStr">
        <is>
          <t>promoter</t>
        </is>
      </c>
      <c r="B16" t="inlineStr">
        <is>
          <t>URL Checker - DOI</t>
        </is>
      </c>
      <c r="C16" s="28" t="inlineStr">
        <is>
          <t>Not_applicable</t>
        </is>
      </c>
      <c r="D16" s="28" t="n"/>
      <c r="E16" s="29" t="n"/>
      <c r="F16" s="29" t="inlineStr">
        <is>
          <t>String</t>
        </is>
      </c>
      <c r="G16" s="29" t="inlineStr">
        <is>
          <t>""</t>
        </is>
      </c>
      <c r="H16" s="29" t="n"/>
      <c r="I16" s="30" t="b">
        <v>0</v>
      </c>
      <c r="J16" s="30" t="b">
        <v>0</v>
      </c>
      <c r="K16" s="30" t="b">
        <v>0</v>
      </c>
      <c r="L16" s="30" t="b">
        <v>0</v>
      </c>
      <c r="M16" s="30" t="b">
        <v>0</v>
      </c>
      <c r="N16" s="29" t="n"/>
      <c r="O16" s="29" t="n"/>
      <c r="P16" s="29" t="n"/>
      <c r="Q16" s="29" t="n"/>
    </row>
    <row r="17" ht="17.25" customHeight="1">
      <c r="A17" t="inlineStr">
        <is>
          <t>promoter</t>
        </is>
      </c>
      <c r="B17" t="inlineStr">
        <is>
          <t>URL Checker - Previous Version</t>
        </is>
      </c>
      <c r="C17" s="28" t="inlineStr">
        <is>
          <t>Not_applicable</t>
        </is>
      </c>
      <c r="D17" s="28" t="n"/>
      <c r="E17" s="29" t="n"/>
      <c r="F17" s="29" t="inlineStr">
        <is>
          <t>String</t>
        </is>
      </c>
      <c r="G17" s="29" t="inlineStr">
        <is>
          <t>""</t>
        </is>
      </c>
      <c r="H17" s="29" t="n"/>
      <c r="I17" s="30" t="b">
        <v>0</v>
      </c>
      <c r="J17" s="30" t="b">
        <v>0</v>
      </c>
      <c r="K17" s="30" t="b">
        <v>0</v>
      </c>
      <c r="L17" s="30" t="b">
        <v>0</v>
      </c>
      <c r="M17" s="30" t="b">
        <v>0</v>
      </c>
      <c r="N17" s="29" t="n"/>
      <c r="O17" s="29" t="n"/>
      <c r="P17" s="29" t="n"/>
      <c r="Q17" s="29" t="n"/>
    </row>
    <row r="18" ht="17.25" customHeight="1">
      <c r="A18" t="inlineStr">
        <is>
          <t>promoter</t>
        </is>
      </c>
      <c r="B18" t="inlineStr">
        <is>
          <t>URL Checker - URI</t>
        </is>
      </c>
      <c r="C18" s="28" t="inlineStr">
        <is>
          <t>Not_applicable</t>
        </is>
      </c>
      <c r="D18" s="28" t="n"/>
      <c r="E18" s="29" t="n"/>
      <c r="F18" s="29" t="inlineStr">
        <is>
          <t>String</t>
        </is>
      </c>
      <c r="G18" s="29" t="inlineStr">
        <is>
          <t>""</t>
        </is>
      </c>
      <c r="H18" s="29" t="n"/>
      <c r="I18" s="30" t="b">
        <v>0</v>
      </c>
      <c r="J18" s="30" t="b">
        <v>0</v>
      </c>
      <c r="K18" s="30" t="b">
        <v>0</v>
      </c>
      <c r="L18" s="30" t="b">
        <v>0</v>
      </c>
      <c r="M18" s="30" t="b">
        <v>0</v>
      </c>
      <c r="N18" s="29" t="n"/>
      <c r="O18" s="29" t="n"/>
      <c r="P18" s="29" t="n"/>
      <c r="Q18" s="29" t="n"/>
    </row>
    <row r="19" ht="17.25" customHeight="1">
      <c r="A19" t="inlineStr">
        <is>
          <t>rbs</t>
        </is>
      </c>
      <c r="B19" t="inlineStr">
        <is>
          <t>Part ID</t>
        </is>
      </c>
      <c r="C19" t="inlineStr">
        <is>
          <t>sbol_displayId</t>
        </is>
      </c>
      <c r="E19">
        <f>CONCATENATE("http://sbols.org/v",Init!$B$1,"#")</f>
        <v/>
      </c>
      <c r="F19" t="inlineStr">
        <is>
          <t>String</t>
        </is>
      </c>
      <c r="G19" t="inlineStr">
        <is>
          <t>""</t>
        </is>
      </c>
      <c r="I19" s="1" t="b">
        <v>0</v>
      </c>
      <c r="J19" s="1" t="b">
        <v>0</v>
      </c>
      <c r="K19" s="1" t="b">
        <v>0</v>
      </c>
      <c r="L19" s="1" t="b">
        <v>0</v>
      </c>
      <c r="M19" s="1" t="b">
        <v>0</v>
      </c>
    </row>
    <row r="20" ht="17.25" customHeight="1">
      <c r="A20" t="inlineStr">
        <is>
          <t>rbs</t>
        </is>
      </c>
      <c r="B20" t="inlineStr">
        <is>
          <t>Part Name</t>
        </is>
      </c>
      <c r="C20" t="inlineStr">
        <is>
          <t>sbol_name</t>
        </is>
      </c>
      <c r="E20">
        <f>CONCATENATE("http://sbols.org/v",Init!$B$1,"#")</f>
        <v/>
      </c>
      <c r="F20" t="inlineStr">
        <is>
          <t>String</t>
        </is>
      </c>
      <c r="G20" t="inlineStr">
        <is>
          <t>""</t>
        </is>
      </c>
      <c r="I20" s="1" t="b">
        <v>0</v>
      </c>
      <c r="J20" s="1" t="b">
        <v>0</v>
      </c>
      <c r="K20" s="1" t="b">
        <v>0</v>
      </c>
      <c r="L20" s="1" t="b">
        <v>0</v>
      </c>
      <c r="M20" s="1" t="b">
        <v>0</v>
      </c>
    </row>
    <row r="21" ht="17.25" customHeight="1">
      <c r="A21" t="inlineStr">
        <is>
          <t>rbs</t>
        </is>
      </c>
      <c r="B21" t="inlineStr">
        <is>
          <t>Previous Version (URI)</t>
        </is>
      </c>
      <c r="C21" t="inlineStr">
        <is>
          <t>sbol_displayId</t>
        </is>
      </c>
      <c r="E21">
        <f>CONCATENATE("http://sbols.org/v",Init!$B$1,"#")</f>
        <v/>
      </c>
      <c r="F21" t="inlineStr">
        <is>
          <t>String</t>
        </is>
      </c>
      <c r="G21" t="inlineStr">
        <is>
          <t>""</t>
        </is>
      </c>
      <c r="I21" s="1" t="b">
        <v>0</v>
      </c>
      <c r="J21" s="1" t="b">
        <v>0</v>
      </c>
      <c r="K21" s="1" t="b">
        <v>0</v>
      </c>
      <c r="L21" s="1" t="b">
        <v>0</v>
      </c>
      <c r="M21" s="1" t="b">
        <v>0</v>
      </c>
    </row>
    <row r="22" ht="17.25" customHeight="1">
      <c r="A22" t="inlineStr">
        <is>
          <t>rbs</t>
        </is>
      </c>
      <c r="B22" t="inlineStr">
        <is>
          <t>Part Description</t>
        </is>
      </c>
      <c r="C22" t="inlineStr">
        <is>
          <t>sbol_description</t>
        </is>
      </c>
      <c r="E22" t="inlineStr">
        <is>
          <t>http://purl.org/dc/terms/#</t>
        </is>
      </c>
      <c r="F22" t="inlineStr">
        <is>
          <t>String</t>
        </is>
      </c>
      <c r="G22" t="inlineStr">
        <is>
          <t>""</t>
        </is>
      </c>
      <c r="I22" s="1" t="b">
        <v>0</v>
      </c>
      <c r="J22" s="1" t="b">
        <v>0</v>
      </c>
      <c r="K22" s="1" t="b">
        <v>0</v>
      </c>
      <c r="L22" s="1" t="b">
        <v>0</v>
      </c>
      <c r="M22" s="1" t="b">
        <v>0</v>
      </c>
    </row>
    <row r="23" ht="17.25" customHeight="1">
      <c r="A23" t="inlineStr">
        <is>
          <t>rbs</t>
        </is>
      </c>
      <c r="B23" t="inlineStr">
        <is>
          <t>Data Source</t>
        </is>
      </c>
      <c r="C23" t="inlineStr">
        <is>
          <t>sbol_wasDerivedFrom</t>
        </is>
      </c>
      <c r="E23">
        <f>CONCATENATE("http://sbols.org/v",Init!$B$1,"#")</f>
        <v/>
      </c>
      <c r="F23" t="inlineStr">
        <is>
          <t>URI</t>
        </is>
      </c>
      <c r="G23" t="inlineStr">
        <is>
          <t>""</t>
        </is>
      </c>
      <c r="I23" s="1" t="b">
        <v>0</v>
      </c>
      <c r="J23" s="1" t="b">
        <v>0</v>
      </c>
      <c r="K23" s="1" t="b">
        <v>0</v>
      </c>
      <c r="L23" s="1" t="b">
        <v>0</v>
      </c>
      <c r="M23" s="1" t="b">
        <v>0</v>
      </c>
    </row>
    <row r="24" ht="17.25" customHeight="1">
      <c r="A24" t="inlineStr">
        <is>
          <t>rbs</t>
        </is>
      </c>
      <c r="B24" t="inlineStr">
        <is>
          <t>URL Checker</t>
        </is>
      </c>
      <c r="C24" t="inlineStr">
        <is>
          <t>Not_applicable</t>
        </is>
      </c>
      <c r="E24" t="inlineStr">
        <is>
          <t>Not_applicable</t>
        </is>
      </c>
      <c r="F24" t="inlineStr">
        <is>
          <t>Not_applicable</t>
        </is>
      </c>
      <c r="G24" t="inlineStr">
        <is>
          <t>""</t>
        </is>
      </c>
      <c r="I24" s="1" t="b">
        <v>0</v>
      </c>
      <c r="J24" s="1" t="b">
        <v>0</v>
      </c>
      <c r="K24" s="1" t="b">
        <v>0</v>
      </c>
      <c r="L24" s="1" t="b">
        <v>0</v>
      </c>
      <c r="M24" s="1" t="b">
        <v>0</v>
      </c>
    </row>
    <row r="25" ht="17.25" customHeight="1">
      <c r="A25" t="inlineStr">
        <is>
          <t>rbs</t>
        </is>
      </c>
      <c r="B25" t="inlineStr">
        <is>
          <t>PubMed Id</t>
        </is>
      </c>
      <c r="C25" t="inlineStr">
        <is>
          <t xml:space="preserve">obo_OBI_0001617
</t>
        </is>
      </c>
      <c r="E25" t="inlineStr">
        <is>
          <t>http://purl.obolibrary.org/obo/</t>
        </is>
      </c>
      <c r="F25" t="inlineStr">
        <is>
          <t>String</t>
        </is>
      </c>
      <c r="G25" t="inlineStr">
        <is>
          <t>""</t>
        </is>
      </c>
      <c r="I25" s="1" t="b">
        <v>0</v>
      </c>
      <c r="J25" s="1" t="b">
        <v>0</v>
      </c>
      <c r="K25" s="1" t="b">
        <v>0</v>
      </c>
      <c r="L25" s="1" t="b">
        <v>0</v>
      </c>
      <c r="M25" s="1" t="b">
        <v>0</v>
      </c>
    </row>
    <row r="26" ht="17.25" customHeight="1">
      <c r="A26" t="inlineStr">
        <is>
          <t>rbs</t>
        </is>
      </c>
      <c r="B26" t="inlineStr">
        <is>
          <t>DOI</t>
        </is>
      </c>
      <c r="C26" t="inlineStr">
        <is>
          <t>sbol_wasDerivedFrom</t>
        </is>
      </c>
      <c r="E26">
        <f>CONCATENATE("http://sbols.org/v",Init!$B$1,"#")</f>
        <v/>
      </c>
      <c r="F26" t="inlineStr">
        <is>
          <t>URI</t>
        </is>
      </c>
      <c r="G26" t="inlineStr">
        <is>
          <t>""</t>
        </is>
      </c>
      <c r="I26" s="1" t="b">
        <v>0</v>
      </c>
      <c r="J26" s="1" t="b">
        <v>0</v>
      </c>
      <c r="K26" s="1" t="b">
        <v>0</v>
      </c>
      <c r="L26" s="1" t="b">
        <v>0</v>
      </c>
      <c r="M26" s="1" t="b">
        <v>0</v>
      </c>
    </row>
    <row r="27" ht="17.25" customHeight="1">
      <c r="A27" t="inlineStr">
        <is>
          <t>rbs</t>
        </is>
      </c>
      <c r="B27" t="inlineStr">
        <is>
          <t>Source Organism</t>
        </is>
      </c>
      <c r="C27" t="inlineStr">
        <is>
          <t>sbh_sourceOrganism</t>
        </is>
      </c>
      <c r="E27" t="inlineStr">
        <is>
          <t>https://wiki.synbiohub.org/wiki/Terms/synbiohub#</t>
        </is>
      </c>
      <c r="F27" t="inlineStr">
        <is>
          <t>URI</t>
        </is>
      </c>
      <c r="G27" t="inlineStr">
        <is>
          <t>""</t>
        </is>
      </c>
      <c r="I27" s="1" t="b">
        <v>0</v>
      </c>
      <c r="J27" s="1" t="b">
        <v>1</v>
      </c>
      <c r="K27" s="1" t="b">
        <v>0</v>
      </c>
      <c r="L27" s="1" t="b">
        <v>0</v>
      </c>
      <c r="M27" s="1" t="b">
        <v>0</v>
      </c>
      <c r="N27" t="inlineStr">
        <is>
          <t>Organism Terms</t>
        </is>
      </c>
      <c r="O27" t="inlineStr">
        <is>
          <t>A</t>
        </is>
      </c>
      <c r="P27" t="inlineStr">
        <is>
          <t>B</t>
        </is>
      </c>
      <c r="Q27" t="inlineStr">
        <is>
          <t>NCBITaxon</t>
        </is>
      </c>
    </row>
    <row r="28" ht="17.25" customHeight="1">
      <c r="A28" t="inlineStr">
        <is>
          <t>rbs</t>
        </is>
      </c>
      <c r="B28" t="inlineStr">
        <is>
          <t>length (bp)</t>
        </is>
      </c>
      <c r="C28" t="inlineStr">
        <is>
          <t>Not_applicable</t>
        </is>
      </c>
      <c r="E28" t="inlineStr">
        <is>
          <t>Not_applicable</t>
        </is>
      </c>
      <c r="F28" t="inlineStr">
        <is>
          <t>Not_applicable</t>
        </is>
      </c>
      <c r="G28" t="inlineStr">
        <is>
          <t>""</t>
        </is>
      </c>
      <c r="I28" s="1" t="b">
        <v>0</v>
      </c>
      <c r="J28" s="1" t="b">
        <v>0</v>
      </c>
      <c r="K28" s="1" t="b">
        <v>0</v>
      </c>
      <c r="L28" s="1" t="b">
        <v>0</v>
      </c>
      <c r="M28" s="1" t="b">
        <v>0</v>
      </c>
    </row>
    <row r="29" ht="17.25" customHeight="1">
      <c r="A29" t="inlineStr">
        <is>
          <t>rbs</t>
        </is>
      </c>
      <c r="B29" t="inlineStr">
        <is>
          <t>Sequence</t>
        </is>
      </c>
      <c r="C29" t="inlineStr">
        <is>
          <t>sbol_sequence</t>
        </is>
      </c>
      <c r="E29">
        <f>CONCATENATE("http://sbols.org/v",Init!$B$1,"#")</f>
        <v/>
      </c>
      <c r="F29" t="inlineStr">
        <is>
          <t>String</t>
        </is>
      </c>
      <c r="G29" t="inlineStr">
        <is>
          <t>""</t>
        </is>
      </c>
      <c r="H29" t="inlineStr">
        <is>
          <t>"^[a-zA-Z \s*]+$" "https:\/\/www.ncbi.nlm.nih.gov/nuccore/.*"</t>
        </is>
      </c>
      <c r="I29" s="1" t="b">
        <v>0</v>
      </c>
      <c r="J29" s="1" t="b">
        <v>0</v>
      </c>
      <c r="K29" s="1" t="b">
        <v>0</v>
      </c>
      <c r="L29" s="1" t="b">
        <v>0</v>
      </c>
      <c r="M29" s="1" t="b">
        <v>0</v>
      </c>
    </row>
    <row r="30" ht="17.25" customHeight="1">
      <c r="A30" t="inlineStr">
        <is>
          <t>rbs</t>
        </is>
      </c>
      <c r="B30" t="inlineStr">
        <is>
          <t>Update</t>
        </is>
      </c>
      <c r="C30" t="inlineStr">
        <is>
          <t>Not_applicable</t>
        </is>
      </c>
      <c r="F30" t="inlineStr">
        <is>
          <t>String</t>
        </is>
      </c>
      <c r="G30" t="inlineStr">
        <is>
          <t>""</t>
        </is>
      </c>
      <c r="I30" s="1" t="b">
        <v>0</v>
      </c>
      <c r="J30" s="1" t="b">
        <v>0</v>
      </c>
      <c r="K30" s="1" t="b">
        <v>0</v>
      </c>
      <c r="L30" s="1" t="b">
        <v>0</v>
      </c>
      <c r="M30" s="1" t="b">
        <v>0</v>
      </c>
    </row>
    <row r="31" ht="17.25" customHeight="1">
      <c r="A31" t="inlineStr">
        <is>
          <t>rbs</t>
        </is>
      </c>
      <c r="B31" t="inlineStr">
        <is>
          <t>URL Checker - Data Source</t>
        </is>
      </c>
      <c r="C31" s="28" t="inlineStr">
        <is>
          <t>Not_applicable</t>
        </is>
      </c>
      <c r="D31" s="28" t="n"/>
      <c r="E31" s="29" t="n"/>
      <c r="F31" s="29" t="inlineStr">
        <is>
          <t>String</t>
        </is>
      </c>
      <c r="G31" s="29" t="inlineStr">
        <is>
          <t>""</t>
        </is>
      </c>
      <c r="H31" s="29" t="n"/>
      <c r="I31" s="30" t="b">
        <v>0</v>
      </c>
      <c r="J31" s="30" t="b">
        <v>0</v>
      </c>
      <c r="K31" s="30" t="b">
        <v>0</v>
      </c>
      <c r="L31" s="30" t="b">
        <v>0</v>
      </c>
      <c r="M31" s="30" t="b">
        <v>0</v>
      </c>
      <c r="N31" s="29" t="n"/>
      <c r="O31" s="29" t="n"/>
      <c r="P31" s="29" t="n"/>
      <c r="Q31" s="29" t="n"/>
    </row>
    <row r="32" ht="17.25" customHeight="1">
      <c r="A32" t="inlineStr">
        <is>
          <t>rbs</t>
        </is>
      </c>
      <c r="B32" t="inlineStr">
        <is>
          <t>URL Checker - DOI</t>
        </is>
      </c>
      <c r="C32" s="28" t="inlineStr">
        <is>
          <t>Not_applicable</t>
        </is>
      </c>
      <c r="D32" s="28" t="n"/>
      <c r="E32" s="29" t="n"/>
      <c r="F32" s="29" t="inlineStr">
        <is>
          <t>String</t>
        </is>
      </c>
      <c r="G32" s="29" t="inlineStr">
        <is>
          <t>""</t>
        </is>
      </c>
      <c r="H32" s="29" t="n"/>
      <c r="I32" s="30" t="b">
        <v>0</v>
      </c>
      <c r="J32" s="30" t="b">
        <v>0</v>
      </c>
      <c r="K32" s="30" t="b">
        <v>0</v>
      </c>
      <c r="L32" s="30" t="b">
        <v>0</v>
      </c>
      <c r="M32" s="30" t="b">
        <v>0</v>
      </c>
      <c r="N32" s="29" t="n"/>
      <c r="O32" s="29" t="n"/>
      <c r="P32" s="29" t="n"/>
      <c r="Q32" s="29" t="n"/>
    </row>
    <row r="33" ht="17.25" customHeight="1">
      <c r="A33" t="inlineStr">
        <is>
          <t>rbs</t>
        </is>
      </c>
      <c r="B33" t="inlineStr">
        <is>
          <t>URL Checker - Previous Version</t>
        </is>
      </c>
      <c r="C33" s="28" t="inlineStr">
        <is>
          <t>Not_applicable</t>
        </is>
      </c>
      <c r="D33" s="28" t="n"/>
      <c r="E33" s="29" t="n"/>
      <c r="F33" s="29" t="inlineStr">
        <is>
          <t>String</t>
        </is>
      </c>
      <c r="G33" s="29" t="inlineStr">
        <is>
          <t>""</t>
        </is>
      </c>
      <c r="H33" s="29" t="n"/>
      <c r="I33" s="30" t="b">
        <v>0</v>
      </c>
      <c r="J33" s="30" t="b">
        <v>0</v>
      </c>
      <c r="K33" s="30" t="b">
        <v>0</v>
      </c>
      <c r="L33" s="30" t="b">
        <v>0</v>
      </c>
      <c r="M33" s="30" t="b">
        <v>0</v>
      </c>
      <c r="N33" s="29" t="n"/>
      <c r="O33" s="29" t="n"/>
      <c r="P33" s="29" t="n"/>
      <c r="Q33" s="29" t="n"/>
    </row>
    <row r="34" ht="17.25" customHeight="1">
      <c r="A34" t="inlineStr">
        <is>
          <t>rbs</t>
        </is>
      </c>
      <c r="B34" t="inlineStr">
        <is>
          <t>URL Checker - URI</t>
        </is>
      </c>
      <c r="C34" s="28" t="inlineStr">
        <is>
          <t>Not_applicable</t>
        </is>
      </c>
      <c r="D34" s="28" t="n"/>
      <c r="E34" s="29" t="n"/>
      <c r="F34" s="29" t="inlineStr">
        <is>
          <t>String</t>
        </is>
      </c>
      <c r="G34" s="29" t="inlineStr">
        <is>
          <t>""</t>
        </is>
      </c>
      <c r="H34" s="29" t="n"/>
      <c r="I34" s="30" t="b">
        <v>0</v>
      </c>
      <c r="J34" s="30" t="b">
        <v>0</v>
      </c>
      <c r="K34" s="30" t="b">
        <v>0</v>
      </c>
      <c r="L34" s="30" t="b">
        <v>0</v>
      </c>
      <c r="M34" s="30" t="b">
        <v>0</v>
      </c>
      <c r="N34" s="29" t="n"/>
      <c r="O34" s="29" t="n"/>
      <c r="P34" s="29" t="n"/>
      <c r="Q34" s="29" t="n"/>
    </row>
    <row r="35" ht="17.25" customHeight="1">
      <c r="A35" t="inlineStr">
        <is>
          <t>cds</t>
        </is>
      </c>
      <c r="B35" t="inlineStr">
        <is>
          <t>Part ID</t>
        </is>
      </c>
      <c r="C35" t="inlineStr">
        <is>
          <t>sbol_displayId</t>
        </is>
      </c>
      <c r="E35">
        <f>CONCATENATE("http://sbols.org/v",Init!$B$1,"#")</f>
        <v/>
      </c>
      <c r="F35" t="inlineStr">
        <is>
          <t>String</t>
        </is>
      </c>
      <c r="G35" t="inlineStr">
        <is>
          <t>""</t>
        </is>
      </c>
      <c r="I35" s="1" t="b">
        <v>0</v>
      </c>
      <c r="J35" s="1" t="b">
        <v>0</v>
      </c>
      <c r="K35" s="1" t="b">
        <v>0</v>
      </c>
      <c r="L35" s="1" t="b">
        <v>0</v>
      </c>
      <c r="M35" s="1" t="b">
        <v>0</v>
      </c>
    </row>
    <row r="36" ht="17.25" customHeight="1">
      <c r="A36" t="inlineStr">
        <is>
          <t>cds</t>
        </is>
      </c>
      <c r="B36" t="inlineStr">
        <is>
          <t>Part Name</t>
        </is>
      </c>
      <c r="C36" t="inlineStr">
        <is>
          <t>sbol_name</t>
        </is>
      </c>
      <c r="E36">
        <f>CONCATENATE("http://sbols.org/v",Init!$B$1,"#")</f>
        <v/>
      </c>
      <c r="F36" t="inlineStr">
        <is>
          <t>String</t>
        </is>
      </c>
      <c r="G36" t="inlineStr">
        <is>
          <t>""</t>
        </is>
      </c>
      <c r="I36" s="1" t="b">
        <v>0</v>
      </c>
      <c r="J36" s="1" t="b">
        <v>0</v>
      </c>
      <c r="K36" s="1" t="b">
        <v>0</v>
      </c>
      <c r="L36" s="1" t="b">
        <v>0</v>
      </c>
      <c r="M36" s="1" t="b">
        <v>0</v>
      </c>
    </row>
    <row r="37" ht="17.25" customHeight="1">
      <c r="A37" t="inlineStr">
        <is>
          <t>cds</t>
        </is>
      </c>
      <c r="B37" t="inlineStr">
        <is>
          <t>Previous Version (URI)</t>
        </is>
      </c>
      <c r="C37" t="inlineStr">
        <is>
          <t>sbol_displayId</t>
        </is>
      </c>
      <c r="E37">
        <f>CONCATENATE("http://sbols.org/v",Init!$B$1,"#")</f>
        <v/>
      </c>
      <c r="F37" t="inlineStr">
        <is>
          <t>String</t>
        </is>
      </c>
      <c r="G37" t="inlineStr">
        <is>
          <t>""</t>
        </is>
      </c>
      <c r="I37" s="1" t="b">
        <v>0</v>
      </c>
      <c r="J37" s="1" t="b">
        <v>0</v>
      </c>
      <c r="K37" s="1" t="b">
        <v>0</v>
      </c>
      <c r="L37" s="1" t="b">
        <v>0</v>
      </c>
      <c r="M37" s="1" t="b">
        <v>0</v>
      </c>
    </row>
    <row r="38" ht="17.25" customHeight="1">
      <c r="A38" t="inlineStr">
        <is>
          <t>cds</t>
        </is>
      </c>
      <c r="B38" t="inlineStr">
        <is>
          <t>Part Description</t>
        </is>
      </c>
      <c r="C38" t="inlineStr">
        <is>
          <t>sbol_description</t>
        </is>
      </c>
      <c r="E38" t="inlineStr">
        <is>
          <t>http://purl.org/dc/terms/#</t>
        </is>
      </c>
      <c r="F38" t="inlineStr">
        <is>
          <t>String</t>
        </is>
      </c>
      <c r="G38" t="inlineStr">
        <is>
          <t>""</t>
        </is>
      </c>
      <c r="I38" s="1" t="b">
        <v>0</v>
      </c>
      <c r="J38" s="1" t="b">
        <v>0</v>
      </c>
      <c r="K38" s="1" t="b">
        <v>0</v>
      </c>
      <c r="L38" s="1" t="b">
        <v>0</v>
      </c>
      <c r="M38" s="1" t="b">
        <v>0</v>
      </c>
    </row>
    <row r="39" ht="17.25" customHeight="1">
      <c r="A39" t="inlineStr">
        <is>
          <t>cds</t>
        </is>
      </c>
      <c r="B39" t="inlineStr">
        <is>
          <t>Data Source</t>
        </is>
      </c>
      <c r="C39" t="inlineStr">
        <is>
          <t>sbol_wasDerivedFrom</t>
        </is>
      </c>
      <c r="E39">
        <f>CONCATENATE("http://sbols.org/v",Init!$B$1,"#")</f>
        <v/>
      </c>
      <c r="F39" t="inlineStr">
        <is>
          <t>URI</t>
        </is>
      </c>
      <c r="G39" t="inlineStr">
        <is>
          <t>""</t>
        </is>
      </c>
      <c r="I39" s="1" t="b">
        <v>0</v>
      </c>
      <c r="J39" s="1" t="b">
        <v>0</v>
      </c>
      <c r="K39" s="1" t="b">
        <v>0</v>
      </c>
      <c r="L39" s="1" t="b">
        <v>0</v>
      </c>
      <c r="M39" s="1" t="b">
        <v>0</v>
      </c>
    </row>
    <row r="40" ht="17.25" customHeight="1">
      <c r="A40" t="inlineStr">
        <is>
          <t>cds</t>
        </is>
      </c>
      <c r="B40" t="inlineStr">
        <is>
          <t>PubMed Id</t>
        </is>
      </c>
      <c r="C40" t="inlineStr">
        <is>
          <t xml:space="preserve">obo_OBI_0001617
</t>
        </is>
      </c>
      <c r="E40" t="inlineStr">
        <is>
          <t>http://purl.obolibrary.org/obo/</t>
        </is>
      </c>
      <c r="F40" t="inlineStr">
        <is>
          <t>String</t>
        </is>
      </c>
      <c r="G40" t="inlineStr">
        <is>
          <t>""</t>
        </is>
      </c>
      <c r="I40" s="1" t="b">
        <v>0</v>
      </c>
      <c r="J40" s="1" t="b">
        <v>0</v>
      </c>
      <c r="K40" s="1" t="b">
        <v>0</v>
      </c>
      <c r="L40" s="1" t="b">
        <v>0</v>
      </c>
      <c r="M40" s="1" t="b">
        <v>0</v>
      </c>
    </row>
    <row r="41" ht="17.25" customHeight="1">
      <c r="A41" t="inlineStr">
        <is>
          <t>cds</t>
        </is>
      </c>
      <c r="B41" t="inlineStr">
        <is>
          <t>DOI</t>
        </is>
      </c>
      <c r="C41" t="inlineStr">
        <is>
          <t>sbol_wasDerivedFrom</t>
        </is>
      </c>
      <c r="E41">
        <f>CONCATENATE("http://sbols.org/v",Init!$B$1,"#")</f>
        <v/>
      </c>
      <c r="F41" t="inlineStr">
        <is>
          <t>URI</t>
        </is>
      </c>
      <c r="G41" t="inlineStr">
        <is>
          <t>""</t>
        </is>
      </c>
      <c r="I41" s="1" t="b">
        <v>0</v>
      </c>
      <c r="J41" s="1" t="b">
        <v>0</v>
      </c>
      <c r="K41" s="1" t="b">
        <v>0</v>
      </c>
      <c r="L41" s="1" t="b">
        <v>0</v>
      </c>
      <c r="M41" s="1" t="b">
        <v>0</v>
      </c>
    </row>
    <row r="42" ht="17.25" customHeight="1">
      <c r="A42" t="inlineStr">
        <is>
          <t>cds</t>
        </is>
      </c>
      <c r="B42" t="inlineStr">
        <is>
          <t>Source Organism</t>
        </is>
      </c>
      <c r="C42" t="inlineStr">
        <is>
          <t>sbh_sourceOrganism</t>
        </is>
      </c>
      <c r="E42" t="inlineStr">
        <is>
          <t>https://wiki.synbiohub.org/wiki/Terms/synbiohub#</t>
        </is>
      </c>
      <c r="F42" t="inlineStr">
        <is>
          <t>URI</t>
        </is>
      </c>
      <c r="G42" t="inlineStr">
        <is>
          <t>""</t>
        </is>
      </c>
      <c r="I42" s="1" t="b">
        <v>0</v>
      </c>
      <c r="J42" s="1" t="b">
        <v>1</v>
      </c>
      <c r="K42" s="1" t="b">
        <v>0</v>
      </c>
      <c r="L42" s="1" t="b">
        <v>0</v>
      </c>
      <c r="M42" s="1" t="b">
        <v>0</v>
      </c>
      <c r="N42" t="inlineStr">
        <is>
          <t>Organism Terms</t>
        </is>
      </c>
      <c r="O42" t="inlineStr">
        <is>
          <t>A</t>
        </is>
      </c>
      <c r="P42" t="inlineStr">
        <is>
          <t>B</t>
        </is>
      </c>
      <c r="Q42" t="inlineStr">
        <is>
          <t>NCBITaxon</t>
        </is>
      </c>
    </row>
    <row r="43" ht="17.25" customHeight="1">
      <c r="A43" t="inlineStr">
        <is>
          <t>cds</t>
        </is>
      </c>
      <c r="B43" t="inlineStr">
        <is>
          <t>Encodes for</t>
        </is>
      </c>
      <c r="C43" t="inlineStr">
        <is>
          <t>sbol_encodesFor</t>
        </is>
      </c>
      <c r="E43" t="inlineStr">
        <is>
          <t>https://wiki.synbiohub.org/wiki/Terms/synbiohub#</t>
        </is>
      </c>
      <c r="F43" t="inlineStr">
        <is>
          <t>URI</t>
        </is>
      </c>
      <c r="G43" t="inlineStr">
        <is>
          <t>""</t>
        </is>
      </c>
      <c r="I43" s="1" t="b">
        <v>0</v>
      </c>
      <c r="J43" s="1" t="b">
        <v>0</v>
      </c>
      <c r="K43" s="1" t="b">
        <v>0</v>
      </c>
      <c r="L43" s="1" t="b">
        <v>1</v>
      </c>
      <c r="M43" s="1" t="b">
        <v>0</v>
      </c>
    </row>
    <row r="44" ht="17.25" customHeight="1">
      <c r="A44" t="inlineStr">
        <is>
          <t>cds</t>
        </is>
      </c>
      <c r="B44" t="inlineStr">
        <is>
          <t>length (bp)</t>
        </is>
      </c>
      <c r="C44" t="inlineStr">
        <is>
          <t>Not_applicable</t>
        </is>
      </c>
      <c r="E44" t="inlineStr">
        <is>
          <t>Not_applicable</t>
        </is>
      </c>
      <c r="F44" t="inlineStr">
        <is>
          <t>Not_applicable</t>
        </is>
      </c>
      <c r="G44" t="inlineStr">
        <is>
          <t>""</t>
        </is>
      </c>
      <c r="I44" s="1" t="b">
        <v>0</v>
      </c>
      <c r="J44" s="1" t="b">
        <v>0</v>
      </c>
      <c r="K44" s="1" t="b">
        <v>0</v>
      </c>
      <c r="L44" s="1" t="b">
        <v>0</v>
      </c>
      <c r="M44" s="1" t="b">
        <v>0</v>
      </c>
    </row>
    <row r="45" ht="17.25" customHeight="1">
      <c r="A45" t="inlineStr">
        <is>
          <t>cds</t>
        </is>
      </c>
      <c r="B45" t="inlineStr">
        <is>
          <t>Sequence</t>
        </is>
      </c>
      <c r="C45" t="inlineStr">
        <is>
          <t>sbol_sequence</t>
        </is>
      </c>
      <c r="E45">
        <f>CONCATENATE("http://sbols.org/v",Init!$B$1,"#")</f>
        <v/>
      </c>
      <c r="F45" t="inlineStr">
        <is>
          <t>String</t>
        </is>
      </c>
      <c r="G45" t="inlineStr">
        <is>
          <t>""</t>
        </is>
      </c>
      <c r="H45" t="inlineStr">
        <is>
          <t>"^[a-zA-Z \s*]+$" "https:\/\/www.ncbi.nlm.nih.gov/nuccore/.*"</t>
        </is>
      </c>
      <c r="I45" s="1" t="b">
        <v>0</v>
      </c>
      <c r="J45" s="1" t="b">
        <v>0</v>
      </c>
      <c r="K45" s="1" t="b">
        <v>0</v>
      </c>
      <c r="L45" s="1" t="b">
        <v>0</v>
      </c>
      <c r="M45" s="1" t="b">
        <v>0</v>
      </c>
    </row>
    <row r="46" ht="17.25" customHeight="1">
      <c r="A46" t="inlineStr">
        <is>
          <t>cds</t>
        </is>
      </c>
      <c r="B46" t="inlineStr">
        <is>
          <t>Update</t>
        </is>
      </c>
      <c r="C46" t="inlineStr">
        <is>
          <t>Not_applicable</t>
        </is>
      </c>
      <c r="F46" t="inlineStr">
        <is>
          <t>String</t>
        </is>
      </c>
      <c r="G46" t="inlineStr">
        <is>
          <t>""</t>
        </is>
      </c>
      <c r="I46" s="1" t="b">
        <v>0</v>
      </c>
      <c r="J46" s="1" t="b">
        <v>0</v>
      </c>
      <c r="K46" s="1" t="b">
        <v>0</v>
      </c>
      <c r="L46" s="1" t="b">
        <v>0</v>
      </c>
      <c r="M46" s="1" t="b">
        <v>0</v>
      </c>
    </row>
    <row r="47" ht="17.25" customHeight="1">
      <c r="A47" t="inlineStr">
        <is>
          <t>cds</t>
        </is>
      </c>
      <c r="B47" t="inlineStr">
        <is>
          <t>URL Checker - Data Source</t>
        </is>
      </c>
      <c r="C47" s="28" t="inlineStr">
        <is>
          <t>Not_applicable</t>
        </is>
      </c>
      <c r="D47" s="28" t="n"/>
      <c r="E47" s="29" t="n"/>
      <c r="F47" s="29" t="inlineStr">
        <is>
          <t>String</t>
        </is>
      </c>
      <c r="G47" s="29" t="inlineStr">
        <is>
          <t>""</t>
        </is>
      </c>
      <c r="H47" s="29" t="n"/>
      <c r="I47" s="30" t="b">
        <v>0</v>
      </c>
      <c r="J47" s="30" t="b">
        <v>0</v>
      </c>
      <c r="K47" s="30" t="b">
        <v>0</v>
      </c>
      <c r="L47" s="30" t="b">
        <v>0</v>
      </c>
      <c r="M47" s="30" t="b">
        <v>0</v>
      </c>
      <c r="N47" s="29" t="n"/>
      <c r="O47" s="29" t="n"/>
      <c r="P47" s="29" t="n"/>
      <c r="Q47" s="29" t="n"/>
    </row>
    <row r="48" ht="17.25" customHeight="1">
      <c r="A48" t="inlineStr">
        <is>
          <t>cds</t>
        </is>
      </c>
      <c r="B48" t="inlineStr">
        <is>
          <t>URL Checker - DOI</t>
        </is>
      </c>
      <c r="C48" s="28" t="inlineStr">
        <is>
          <t>Not_applicable</t>
        </is>
      </c>
      <c r="D48" s="28" t="n"/>
      <c r="E48" s="29" t="n"/>
      <c r="F48" s="29" t="inlineStr">
        <is>
          <t>String</t>
        </is>
      </c>
      <c r="G48" s="29" t="inlineStr">
        <is>
          <t>""</t>
        </is>
      </c>
      <c r="H48" s="29" t="n"/>
      <c r="I48" s="30" t="b">
        <v>0</v>
      </c>
      <c r="J48" s="30" t="b">
        <v>0</v>
      </c>
      <c r="K48" s="30" t="b">
        <v>0</v>
      </c>
      <c r="L48" s="30" t="b">
        <v>0</v>
      </c>
      <c r="M48" s="30" t="b">
        <v>0</v>
      </c>
      <c r="N48" s="29" t="n"/>
      <c r="O48" s="29" t="n"/>
      <c r="P48" s="29" t="n"/>
      <c r="Q48" s="29" t="n"/>
    </row>
    <row r="49" ht="17.25" customHeight="1">
      <c r="A49" t="inlineStr">
        <is>
          <t>cds</t>
        </is>
      </c>
      <c r="B49" t="inlineStr">
        <is>
          <t>URL Checker - Previous Version</t>
        </is>
      </c>
      <c r="C49" s="28" t="inlineStr">
        <is>
          <t>Not_applicable</t>
        </is>
      </c>
      <c r="D49" s="28" t="n"/>
      <c r="E49" s="29" t="n"/>
      <c r="F49" s="29" t="inlineStr">
        <is>
          <t>String</t>
        </is>
      </c>
      <c r="G49" s="29" t="inlineStr">
        <is>
          <t>""</t>
        </is>
      </c>
      <c r="H49" s="29" t="n"/>
      <c r="I49" s="30" t="b">
        <v>0</v>
      </c>
      <c r="J49" s="30" t="b">
        <v>0</v>
      </c>
      <c r="K49" s="30" t="b">
        <v>0</v>
      </c>
      <c r="L49" s="30" t="b">
        <v>0</v>
      </c>
      <c r="M49" s="30" t="b">
        <v>0</v>
      </c>
      <c r="N49" s="29" t="n"/>
      <c r="O49" s="29" t="n"/>
      <c r="P49" s="29" t="n"/>
      <c r="Q49" s="29" t="n"/>
    </row>
    <row r="50" ht="17.25" customHeight="1">
      <c r="A50" t="inlineStr">
        <is>
          <t>cds</t>
        </is>
      </c>
      <c r="B50" t="inlineStr">
        <is>
          <t>URL Checker - URI</t>
        </is>
      </c>
      <c r="C50" s="28" t="inlineStr">
        <is>
          <t>Not_applicable</t>
        </is>
      </c>
      <c r="D50" s="28" t="n"/>
      <c r="E50" s="29" t="n"/>
      <c r="F50" s="29" t="inlineStr">
        <is>
          <t>String</t>
        </is>
      </c>
      <c r="G50" s="29" t="inlineStr">
        <is>
          <t>""</t>
        </is>
      </c>
      <c r="H50" s="29" t="n"/>
      <c r="I50" s="30" t="b">
        <v>0</v>
      </c>
      <c r="J50" s="30" t="b">
        <v>0</v>
      </c>
      <c r="K50" s="30" t="b">
        <v>0</v>
      </c>
      <c r="L50" s="30" t="b">
        <v>0</v>
      </c>
      <c r="M50" s="30" t="b">
        <v>0</v>
      </c>
      <c r="N50" s="29" t="n"/>
      <c r="O50" s="29" t="n"/>
      <c r="P50" s="29" t="n"/>
      <c r="Q50" s="29" t="n"/>
    </row>
    <row r="51" ht="17.25" customHeight="1">
      <c r="A51" t="inlineStr">
        <is>
          <t>terminator</t>
        </is>
      </c>
      <c r="B51" t="inlineStr">
        <is>
          <t>Part ID</t>
        </is>
      </c>
      <c r="C51" t="inlineStr">
        <is>
          <t>sbol_displayId</t>
        </is>
      </c>
      <c r="E51">
        <f>CONCATENATE("http://sbols.org/v",Init!$B$1,"#")</f>
        <v/>
      </c>
      <c r="F51" t="inlineStr">
        <is>
          <t>String</t>
        </is>
      </c>
      <c r="G51" t="inlineStr">
        <is>
          <t>""</t>
        </is>
      </c>
      <c r="I51" s="1" t="b">
        <v>0</v>
      </c>
      <c r="J51" s="1" t="b">
        <v>0</v>
      </c>
      <c r="K51" s="1" t="b">
        <v>0</v>
      </c>
      <c r="L51" s="1" t="b">
        <v>0</v>
      </c>
      <c r="M51" s="1" t="b">
        <v>0</v>
      </c>
    </row>
    <row r="52" ht="17.25" customHeight="1">
      <c r="A52" t="inlineStr">
        <is>
          <t>terminator</t>
        </is>
      </c>
      <c r="B52" t="inlineStr">
        <is>
          <t>Part Name</t>
        </is>
      </c>
      <c r="C52" t="inlineStr">
        <is>
          <t>sbol_name</t>
        </is>
      </c>
      <c r="E52">
        <f>CONCATENATE("http://sbols.org/v",Init!$B$1,"#")</f>
        <v/>
      </c>
      <c r="F52" t="inlineStr">
        <is>
          <t>String</t>
        </is>
      </c>
      <c r="G52" t="inlineStr">
        <is>
          <t>""</t>
        </is>
      </c>
      <c r="I52" s="1" t="b">
        <v>0</v>
      </c>
      <c r="J52" s="1" t="b">
        <v>0</v>
      </c>
      <c r="K52" s="1" t="b">
        <v>0</v>
      </c>
      <c r="L52" s="1" t="b">
        <v>0</v>
      </c>
      <c r="M52" s="1" t="b">
        <v>0</v>
      </c>
    </row>
    <row r="53" ht="17.25" customHeight="1">
      <c r="A53" t="inlineStr">
        <is>
          <t>terminator</t>
        </is>
      </c>
      <c r="B53" t="inlineStr">
        <is>
          <t>Previous Version (URI)</t>
        </is>
      </c>
      <c r="C53" t="inlineStr">
        <is>
          <t>sbol_displayId</t>
        </is>
      </c>
      <c r="E53">
        <f>CONCATENATE("http://sbols.org/v",Init!$B$1,"#")</f>
        <v/>
      </c>
      <c r="F53" t="inlineStr">
        <is>
          <t>String</t>
        </is>
      </c>
      <c r="G53" t="inlineStr">
        <is>
          <t>""</t>
        </is>
      </c>
      <c r="I53" s="1" t="b">
        <v>0</v>
      </c>
      <c r="J53" s="1" t="b">
        <v>0</v>
      </c>
      <c r="K53" s="1" t="b">
        <v>0</v>
      </c>
      <c r="L53" s="1" t="b">
        <v>0</v>
      </c>
      <c r="M53" s="1" t="b">
        <v>0</v>
      </c>
    </row>
    <row r="54" ht="17.25" customHeight="1">
      <c r="A54" t="inlineStr">
        <is>
          <t>terminator</t>
        </is>
      </c>
      <c r="B54" t="inlineStr">
        <is>
          <t>Part Description</t>
        </is>
      </c>
      <c r="C54" t="inlineStr">
        <is>
          <t>sbol_description</t>
        </is>
      </c>
      <c r="E54" t="inlineStr">
        <is>
          <t>http://purl.org/dc/terms/#</t>
        </is>
      </c>
      <c r="F54" t="inlineStr">
        <is>
          <t>String</t>
        </is>
      </c>
      <c r="G54" t="inlineStr">
        <is>
          <t>""</t>
        </is>
      </c>
      <c r="I54" s="1" t="b">
        <v>0</v>
      </c>
      <c r="J54" s="1" t="b">
        <v>0</v>
      </c>
      <c r="K54" s="1" t="b">
        <v>0</v>
      </c>
      <c r="L54" s="1" t="b">
        <v>0</v>
      </c>
      <c r="M54" s="1" t="b">
        <v>0</v>
      </c>
    </row>
    <row r="55" ht="17.25" customHeight="1">
      <c r="A55" t="inlineStr">
        <is>
          <t>terminator</t>
        </is>
      </c>
      <c r="B55" t="inlineStr">
        <is>
          <t>Data Source</t>
        </is>
      </c>
      <c r="C55" t="inlineStr">
        <is>
          <t>sbol_wasDerivedFrom</t>
        </is>
      </c>
      <c r="E55">
        <f>CONCATENATE("http://sbols.org/v",Init!$B$1,"#")</f>
        <v/>
      </c>
      <c r="F55" t="inlineStr">
        <is>
          <t>URI</t>
        </is>
      </c>
      <c r="G55" t="inlineStr">
        <is>
          <t>""</t>
        </is>
      </c>
      <c r="I55" s="1" t="b">
        <v>0</v>
      </c>
      <c r="J55" s="1" t="b">
        <v>0</v>
      </c>
      <c r="K55" s="1" t="b">
        <v>0</v>
      </c>
      <c r="L55" s="1" t="b">
        <v>0</v>
      </c>
      <c r="M55" s="1" t="b">
        <v>0</v>
      </c>
    </row>
    <row r="56" ht="17.25" customHeight="1">
      <c r="A56" t="inlineStr">
        <is>
          <t>terminator</t>
        </is>
      </c>
      <c r="B56" t="inlineStr">
        <is>
          <t>PubMed Id</t>
        </is>
      </c>
      <c r="C56" t="inlineStr">
        <is>
          <t xml:space="preserve">obo_OBI_0001617
</t>
        </is>
      </c>
      <c r="E56" t="inlineStr">
        <is>
          <t>http://purl.obolibrary.org/obo/</t>
        </is>
      </c>
      <c r="F56" t="inlineStr">
        <is>
          <t>String</t>
        </is>
      </c>
      <c r="G56" t="inlineStr">
        <is>
          <t>""</t>
        </is>
      </c>
      <c r="I56" s="1" t="b">
        <v>0</v>
      </c>
      <c r="J56" s="1" t="b">
        <v>0</v>
      </c>
      <c r="K56" s="1" t="b">
        <v>0</v>
      </c>
      <c r="L56" s="1" t="b">
        <v>0</v>
      </c>
      <c r="M56" s="1" t="b">
        <v>0</v>
      </c>
    </row>
    <row r="57">
      <c r="A57" t="inlineStr">
        <is>
          <t>terminator</t>
        </is>
      </c>
      <c r="B57" t="inlineStr">
        <is>
          <t>DOI</t>
        </is>
      </c>
      <c r="C57" t="inlineStr">
        <is>
          <t>sbol_wasDerivedFrom</t>
        </is>
      </c>
      <c r="E57">
        <f>CONCATENATE("http://sbols.org/v",Init!$B$1,"#")</f>
        <v/>
      </c>
      <c r="F57" t="inlineStr">
        <is>
          <t>URI</t>
        </is>
      </c>
      <c r="G57" t="inlineStr">
        <is>
          <t>""</t>
        </is>
      </c>
      <c r="I57" s="1" t="b">
        <v>0</v>
      </c>
      <c r="J57" s="1" t="b">
        <v>0</v>
      </c>
      <c r="K57" s="1" t="b">
        <v>0</v>
      </c>
      <c r="L57" s="1" t="b">
        <v>0</v>
      </c>
      <c r="M57" s="1" t="b">
        <v>0</v>
      </c>
    </row>
    <row r="58">
      <c r="A58" t="inlineStr">
        <is>
          <t>terminator</t>
        </is>
      </c>
      <c r="B58" t="inlineStr">
        <is>
          <t>Source Organism</t>
        </is>
      </c>
      <c r="C58" t="inlineStr">
        <is>
          <t>sbh_sourceOrganism</t>
        </is>
      </c>
      <c r="E58" t="inlineStr">
        <is>
          <t>https://wiki.synbiohub.org/wiki/Terms/synbiohub#</t>
        </is>
      </c>
      <c r="F58" t="inlineStr">
        <is>
          <t>URI</t>
        </is>
      </c>
      <c r="G58" t="inlineStr">
        <is>
          <t>""</t>
        </is>
      </c>
      <c r="I58" s="1" t="b">
        <v>0</v>
      </c>
      <c r="J58" s="1" t="b">
        <v>1</v>
      </c>
      <c r="K58" s="1" t="b">
        <v>0</v>
      </c>
      <c r="L58" s="1" t="b">
        <v>0</v>
      </c>
      <c r="M58" s="1" t="b">
        <v>0</v>
      </c>
      <c r="N58" t="inlineStr">
        <is>
          <t>Organism Terms</t>
        </is>
      </c>
      <c r="O58" t="inlineStr">
        <is>
          <t>A</t>
        </is>
      </c>
      <c r="P58" t="inlineStr">
        <is>
          <t>B</t>
        </is>
      </c>
      <c r="Q58" t="inlineStr">
        <is>
          <t>NCBITaxon</t>
        </is>
      </c>
    </row>
    <row r="59">
      <c r="A59" t="inlineStr">
        <is>
          <t>terminator</t>
        </is>
      </c>
      <c r="B59" t="inlineStr">
        <is>
          <t>length (bp)</t>
        </is>
      </c>
      <c r="C59" t="inlineStr">
        <is>
          <t>Not_applicable</t>
        </is>
      </c>
      <c r="E59" t="inlineStr">
        <is>
          <t>Not_applicable</t>
        </is>
      </c>
      <c r="F59" t="inlineStr">
        <is>
          <t>Not_applicable</t>
        </is>
      </c>
      <c r="G59" t="inlineStr">
        <is>
          <t>""</t>
        </is>
      </c>
      <c r="I59" s="1" t="b">
        <v>0</v>
      </c>
      <c r="J59" s="1" t="b">
        <v>0</v>
      </c>
      <c r="K59" s="1" t="b">
        <v>0</v>
      </c>
      <c r="L59" s="1" t="b">
        <v>0</v>
      </c>
      <c r="M59" s="1" t="b">
        <v>0</v>
      </c>
    </row>
    <row r="60">
      <c r="A60" t="inlineStr">
        <is>
          <t>terminator</t>
        </is>
      </c>
      <c r="B60" t="inlineStr">
        <is>
          <t>Sequence</t>
        </is>
      </c>
      <c r="C60" t="inlineStr">
        <is>
          <t>sbol_sequence</t>
        </is>
      </c>
      <c r="E60">
        <f>CONCATENATE("http://sbols.org/v",Init!$B$1,"#")</f>
        <v/>
      </c>
      <c r="F60" t="inlineStr">
        <is>
          <t>String</t>
        </is>
      </c>
      <c r="G60" t="inlineStr">
        <is>
          <t>""</t>
        </is>
      </c>
      <c r="H60" t="inlineStr">
        <is>
          <t>"^[a-zA-Z \s*]+$" "https:\/\/www.ncbi.nlm.nih.gov/nuccore/.*"</t>
        </is>
      </c>
      <c r="I60" s="1" t="b">
        <v>0</v>
      </c>
      <c r="J60" s="1" t="b">
        <v>0</v>
      </c>
      <c r="K60" s="1" t="b">
        <v>0</v>
      </c>
      <c r="L60" s="1" t="b">
        <v>0</v>
      </c>
      <c r="M60" s="1" t="b">
        <v>0</v>
      </c>
    </row>
    <row r="61" ht="15" customHeight="1">
      <c r="A61" t="inlineStr">
        <is>
          <t>terminator</t>
        </is>
      </c>
      <c r="B61" t="inlineStr">
        <is>
          <t>Update</t>
        </is>
      </c>
      <c r="C61" t="inlineStr">
        <is>
          <t>Not_applicable</t>
        </is>
      </c>
      <c r="F61" t="inlineStr">
        <is>
          <t>String</t>
        </is>
      </c>
      <c r="G61" t="inlineStr">
        <is>
          <t>""</t>
        </is>
      </c>
      <c r="I61" s="1" t="b">
        <v>0</v>
      </c>
      <c r="J61" s="1" t="b">
        <v>0</v>
      </c>
      <c r="K61" s="1" t="b">
        <v>0</v>
      </c>
      <c r="L61" s="1" t="b">
        <v>0</v>
      </c>
      <c r="M61" s="1" t="b">
        <v>0</v>
      </c>
    </row>
    <row r="62" ht="15" customHeight="1">
      <c r="A62" t="inlineStr">
        <is>
          <t>terminator</t>
        </is>
      </c>
      <c r="B62" t="inlineStr">
        <is>
          <t>URL Checker - Data Source</t>
        </is>
      </c>
      <c r="C62" s="28" t="inlineStr">
        <is>
          <t>Not_applicable</t>
        </is>
      </c>
      <c r="D62" s="28" t="n"/>
      <c r="E62" s="29" t="n"/>
      <c r="F62" s="29" t="inlineStr">
        <is>
          <t>String</t>
        </is>
      </c>
      <c r="G62" s="29" t="inlineStr">
        <is>
          <t>""</t>
        </is>
      </c>
      <c r="H62" s="29" t="n"/>
      <c r="I62" s="30" t="b">
        <v>0</v>
      </c>
      <c r="J62" s="30" t="b">
        <v>0</v>
      </c>
      <c r="K62" s="30" t="b">
        <v>0</v>
      </c>
      <c r="L62" s="30" t="b">
        <v>0</v>
      </c>
      <c r="M62" s="30" t="b">
        <v>0</v>
      </c>
      <c r="N62" s="29" t="n"/>
      <c r="O62" s="29" t="n"/>
      <c r="P62" s="29" t="n"/>
      <c r="Q62" s="29" t="n"/>
    </row>
    <row r="63">
      <c r="A63" t="inlineStr">
        <is>
          <t>terminator</t>
        </is>
      </c>
      <c r="B63" t="inlineStr">
        <is>
          <t>URL Checker - DOI</t>
        </is>
      </c>
      <c r="C63" s="28" t="inlineStr">
        <is>
          <t>Not_applicable</t>
        </is>
      </c>
      <c r="D63" s="28" t="n"/>
      <c r="E63" s="29" t="n"/>
      <c r="F63" s="29" t="inlineStr">
        <is>
          <t>String</t>
        </is>
      </c>
      <c r="G63" s="29" t="inlineStr">
        <is>
          <t>""</t>
        </is>
      </c>
      <c r="H63" s="29" t="n"/>
      <c r="I63" s="30" t="b">
        <v>0</v>
      </c>
      <c r="J63" s="30" t="b">
        <v>0</v>
      </c>
      <c r="K63" s="30" t="b">
        <v>0</v>
      </c>
      <c r="L63" s="30" t="b">
        <v>0</v>
      </c>
      <c r="M63" s="30" t="b">
        <v>0</v>
      </c>
      <c r="N63" s="29" t="n"/>
      <c r="O63" s="29" t="n"/>
      <c r="P63" s="29" t="n"/>
      <c r="Q63" s="29" t="n"/>
    </row>
    <row r="64">
      <c r="A64" t="inlineStr">
        <is>
          <t>terminator</t>
        </is>
      </c>
      <c r="B64" t="inlineStr">
        <is>
          <t>URL Checker - Previous Version</t>
        </is>
      </c>
      <c r="C64" s="28" t="inlineStr">
        <is>
          <t>Not_applicable</t>
        </is>
      </c>
      <c r="D64" s="28" t="n"/>
      <c r="E64" s="29" t="n"/>
      <c r="F64" s="29" t="inlineStr">
        <is>
          <t>String</t>
        </is>
      </c>
      <c r="G64" s="29" t="inlineStr">
        <is>
          <t>""</t>
        </is>
      </c>
      <c r="H64" s="29" t="n"/>
      <c r="I64" s="30" t="b">
        <v>0</v>
      </c>
      <c r="J64" s="30" t="b">
        <v>0</v>
      </c>
      <c r="K64" s="30" t="b">
        <v>0</v>
      </c>
      <c r="L64" s="30" t="b">
        <v>0</v>
      </c>
      <c r="M64" s="30" t="b">
        <v>0</v>
      </c>
      <c r="N64" s="29" t="n"/>
      <c r="O64" s="29" t="n"/>
      <c r="P64" s="29" t="n"/>
      <c r="Q64" s="29" t="n"/>
    </row>
    <row r="65">
      <c r="A65" t="inlineStr">
        <is>
          <t>terminator</t>
        </is>
      </c>
      <c r="B65" t="inlineStr">
        <is>
          <t>URL Checker - URI</t>
        </is>
      </c>
      <c r="C65" s="28" t="inlineStr">
        <is>
          <t>Not_applicable</t>
        </is>
      </c>
      <c r="D65" s="28" t="n"/>
      <c r="E65" s="29" t="n"/>
      <c r="F65" s="29" t="inlineStr">
        <is>
          <t>String</t>
        </is>
      </c>
      <c r="G65" s="29" t="inlineStr">
        <is>
          <t>""</t>
        </is>
      </c>
      <c r="H65" s="29" t="n"/>
      <c r="I65" s="30" t="b">
        <v>0</v>
      </c>
      <c r="J65" s="30" t="b">
        <v>0</v>
      </c>
      <c r="K65" s="30" t="b">
        <v>0</v>
      </c>
      <c r="L65" s="30" t="b">
        <v>0</v>
      </c>
      <c r="M65" s="30" t="b">
        <v>0</v>
      </c>
      <c r="N65" s="29" t="n"/>
      <c r="O65" s="29" t="n"/>
      <c r="P65" s="29" t="n"/>
      <c r="Q65" s="29" t="n"/>
    </row>
    <row r="66">
      <c r="A66" t="inlineStr">
        <is>
          <t>other</t>
        </is>
      </c>
      <c r="B66" t="inlineStr">
        <is>
          <t>Part ID</t>
        </is>
      </c>
      <c r="C66" t="inlineStr">
        <is>
          <t>sbol_displayId</t>
        </is>
      </c>
      <c r="E66">
        <f>CONCATENATE("http://sbols.org/v",Init!$B$1,"#")</f>
        <v/>
      </c>
      <c r="F66" t="inlineStr">
        <is>
          <t>String</t>
        </is>
      </c>
      <c r="G66" t="inlineStr">
        <is>
          <t>""</t>
        </is>
      </c>
      <c r="I66" s="1" t="b">
        <v>0</v>
      </c>
      <c r="J66" s="1" t="b">
        <v>0</v>
      </c>
      <c r="K66" s="1" t="b">
        <v>0</v>
      </c>
      <c r="L66" s="1" t="b">
        <v>0</v>
      </c>
      <c r="M66" s="1" t="b">
        <v>0</v>
      </c>
    </row>
    <row r="67">
      <c r="A67" t="inlineStr">
        <is>
          <t>other</t>
        </is>
      </c>
      <c r="B67" t="inlineStr">
        <is>
          <t>Part Name</t>
        </is>
      </c>
      <c r="C67" t="inlineStr">
        <is>
          <t>sbol_name</t>
        </is>
      </c>
      <c r="E67">
        <f>CONCATENATE("http://sbols.org/v",Init!$B$1,"#")</f>
        <v/>
      </c>
      <c r="F67" t="inlineStr">
        <is>
          <t>String</t>
        </is>
      </c>
      <c r="G67" t="inlineStr">
        <is>
          <t>""</t>
        </is>
      </c>
      <c r="I67" s="1" t="b">
        <v>0</v>
      </c>
      <c r="J67" s="1" t="b">
        <v>0</v>
      </c>
      <c r="K67" s="1" t="b">
        <v>0</v>
      </c>
      <c r="L67" s="1" t="b">
        <v>0</v>
      </c>
      <c r="M67" s="1" t="b">
        <v>0</v>
      </c>
    </row>
    <row r="68">
      <c r="A68" t="inlineStr">
        <is>
          <t>other</t>
        </is>
      </c>
      <c r="B68" t="inlineStr">
        <is>
          <t>Previous Version (URI)</t>
        </is>
      </c>
      <c r="C68" t="inlineStr">
        <is>
          <t>sbol_displayId</t>
        </is>
      </c>
      <c r="E68">
        <f>CONCATENATE("http://sbols.org/v",Init!$B$1,"#")</f>
        <v/>
      </c>
      <c r="F68" t="inlineStr">
        <is>
          <t>String</t>
        </is>
      </c>
      <c r="G68" t="inlineStr">
        <is>
          <t>""</t>
        </is>
      </c>
      <c r="I68" s="1" t="b">
        <v>0</v>
      </c>
      <c r="J68" s="1" t="b">
        <v>0</v>
      </c>
      <c r="K68" s="1" t="b">
        <v>0</v>
      </c>
      <c r="L68" s="1" t="b">
        <v>0</v>
      </c>
      <c r="M68" s="1" t="b">
        <v>0</v>
      </c>
    </row>
    <row r="69">
      <c r="A69" t="inlineStr">
        <is>
          <t>other</t>
        </is>
      </c>
      <c r="B69" t="inlineStr">
        <is>
          <t>Part Description</t>
        </is>
      </c>
      <c r="C69" t="inlineStr">
        <is>
          <t>sbol_description</t>
        </is>
      </c>
      <c r="E69" t="inlineStr">
        <is>
          <t>http://purl.org/dc/terms/#</t>
        </is>
      </c>
      <c r="F69" t="inlineStr">
        <is>
          <t>String</t>
        </is>
      </c>
      <c r="G69" t="inlineStr">
        <is>
          <t>""</t>
        </is>
      </c>
      <c r="I69" s="1" t="b">
        <v>0</v>
      </c>
      <c r="J69" s="1" t="b">
        <v>0</v>
      </c>
      <c r="K69" s="1" t="b">
        <v>0</v>
      </c>
      <c r="L69" s="1" t="b">
        <v>0</v>
      </c>
      <c r="M69" s="1" t="b">
        <v>0</v>
      </c>
    </row>
    <row r="70">
      <c r="A70" t="inlineStr">
        <is>
          <t>other</t>
        </is>
      </c>
      <c r="B70" t="inlineStr">
        <is>
          <t>Role</t>
        </is>
      </c>
      <c r="C70" t="inlineStr">
        <is>
          <t>sbol_roles</t>
        </is>
      </c>
      <c r="E70">
        <f>CONCATENATE("http://sbols.org/v",Init!$B$1,"#")</f>
        <v/>
      </c>
      <c r="F70" t="inlineStr">
        <is>
          <t>URI</t>
        </is>
      </c>
      <c r="G70" t="inlineStr">
        <is>
          <t>":"</t>
        </is>
      </c>
      <c r="H70" t="inlineStr">
        <is>
          <t>"http:\/\/identifiers.org/so/SO:[0-9]" "http:\/\/purl.obolibrary.org/obo/SO_[0-9]{7}"</t>
        </is>
      </c>
      <c r="I70" s="1" t="b">
        <v>0</v>
      </c>
      <c r="J70" s="1" t="b">
        <v>1</v>
      </c>
      <c r="K70" s="1" t="b">
        <v>0</v>
      </c>
      <c r="L70" s="1" t="b">
        <v>0</v>
      </c>
      <c r="M70" s="1" t="b">
        <v>0</v>
      </c>
      <c r="N70" t="inlineStr">
        <is>
          <t>Ontology Terms</t>
        </is>
      </c>
      <c r="O70" t="inlineStr">
        <is>
          <t>A</t>
        </is>
      </c>
      <c r="P70" t="inlineStr">
        <is>
          <t>B</t>
        </is>
      </c>
      <c r="Q70" t="inlineStr">
        <is>
          <t>SO</t>
        </is>
      </c>
    </row>
    <row r="71">
      <c r="A71" t="inlineStr">
        <is>
          <t>other</t>
        </is>
      </c>
      <c r="B71" t="inlineStr">
        <is>
          <t>Data Source</t>
        </is>
      </c>
      <c r="C71" t="inlineStr">
        <is>
          <t>sbol_wasDerivedFrom</t>
        </is>
      </c>
      <c r="E71">
        <f>CONCATENATE("http://sbols.org/v",Init!$B$1,"#")</f>
        <v/>
      </c>
      <c r="F71" t="inlineStr">
        <is>
          <t>URI</t>
        </is>
      </c>
      <c r="G71" t="inlineStr">
        <is>
          <t>""</t>
        </is>
      </c>
      <c r="I71" s="1" t="b">
        <v>0</v>
      </c>
      <c r="J71" s="1" t="b">
        <v>0</v>
      </c>
      <c r="K71" s="1" t="b">
        <v>0</v>
      </c>
      <c r="L71" s="1" t="b">
        <v>0</v>
      </c>
      <c r="M71" s="1" t="b">
        <v>0</v>
      </c>
    </row>
    <row r="72">
      <c r="A72" t="inlineStr">
        <is>
          <t>other</t>
        </is>
      </c>
      <c r="B72" t="inlineStr">
        <is>
          <t>PubMed Id</t>
        </is>
      </c>
      <c r="C72" t="inlineStr">
        <is>
          <t xml:space="preserve">obo_OBI_0001617
</t>
        </is>
      </c>
      <c r="E72" t="inlineStr">
        <is>
          <t>http://purl.obolibrary.org/obo/</t>
        </is>
      </c>
      <c r="F72" t="inlineStr">
        <is>
          <t>String</t>
        </is>
      </c>
      <c r="G72" t="inlineStr">
        <is>
          <t>""</t>
        </is>
      </c>
      <c r="I72" s="1" t="b">
        <v>0</v>
      </c>
      <c r="J72" s="1" t="b">
        <v>0</v>
      </c>
      <c r="K72" s="1" t="b">
        <v>0</v>
      </c>
      <c r="L72" s="1" t="b">
        <v>0</v>
      </c>
      <c r="M72" s="1" t="b">
        <v>0</v>
      </c>
    </row>
    <row r="73">
      <c r="A73" t="inlineStr">
        <is>
          <t>other</t>
        </is>
      </c>
      <c r="B73" t="inlineStr">
        <is>
          <t>DOI</t>
        </is>
      </c>
      <c r="C73" t="inlineStr">
        <is>
          <t>sbol_wasDerivedFrom</t>
        </is>
      </c>
      <c r="E73">
        <f>CONCATENATE("http://sbols.org/v",Init!$B$1,"#")</f>
        <v/>
      </c>
      <c r="F73" t="inlineStr">
        <is>
          <t>URI</t>
        </is>
      </c>
      <c r="G73" t="inlineStr">
        <is>
          <t>""</t>
        </is>
      </c>
      <c r="I73" s="1" t="b">
        <v>0</v>
      </c>
      <c r="J73" s="1" t="b">
        <v>0</v>
      </c>
      <c r="K73" s="1" t="b">
        <v>0</v>
      </c>
      <c r="L73" s="1" t="b">
        <v>0</v>
      </c>
      <c r="M73" s="1" t="b">
        <v>0</v>
      </c>
    </row>
    <row r="74">
      <c r="A74" t="inlineStr">
        <is>
          <t>other</t>
        </is>
      </c>
      <c r="B74" t="inlineStr">
        <is>
          <t>Source Organism</t>
        </is>
      </c>
      <c r="C74" t="inlineStr">
        <is>
          <t>sbh_sourceOrganism</t>
        </is>
      </c>
      <c r="E74" t="inlineStr">
        <is>
          <t>https://wiki.synbiohub.org/wiki/Terms/synbiohub#</t>
        </is>
      </c>
      <c r="F74" t="inlineStr">
        <is>
          <t>URI</t>
        </is>
      </c>
      <c r="G74" t="inlineStr">
        <is>
          <t>""</t>
        </is>
      </c>
      <c r="I74" s="1" t="b">
        <v>0</v>
      </c>
      <c r="J74" s="1" t="b">
        <v>1</v>
      </c>
      <c r="K74" s="1" t="b">
        <v>0</v>
      </c>
      <c r="L74" s="1" t="b">
        <v>0</v>
      </c>
      <c r="M74" s="1" t="b">
        <v>0</v>
      </c>
      <c r="N74" t="inlineStr">
        <is>
          <t>Organism Terms</t>
        </is>
      </c>
      <c r="O74" t="inlineStr">
        <is>
          <t>A</t>
        </is>
      </c>
      <c r="P74" t="inlineStr">
        <is>
          <t>B</t>
        </is>
      </c>
      <c r="Q74" t="inlineStr">
        <is>
          <t>NCBITaxon</t>
        </is>
      </c>
    </row>
    <row r="75" ht="17.25" customHeight="1">
      <c r="A75" t="inlineStr">
        <is>
          <t>other</t>
        </is>
      </c>
      <c r="B75" t="inlineStr">
        <is>
          <t>length (bp)</t>
        </is>
      </c>
      <c r="C75" t="inlineStr">
        <is>
          <t>Not_applicable</t>
        </is>
      </c>
      <c r="E75" t="inlineStr">
        <is>
          <t>Not_applicable</t>
        </is>
      </c>
      <c r="F75" t="inlineStr">
        <is>
          <t>Not_applicable</t>
        </is>
      </c>
      <c r="G75" t="inlineStr">
        <is>
          <t>""</t>
        </is>
      </c>
      <c r="I75" s="1" t="b">
        <v>0</v>
      </c>
      <c r="J75" s="1" t="b">
        <v>0</v>
      </c>
      <c r="K75" s="1" t="b">
        <v>0</v>
      </c>
      <c r="L75" s="1" t="b">
        <v>0</v>
      </c>
      <c r="M75" s="1" t="b">
        <v>0</v>
      </c>
    </row>
    <row r="76">
      <c r="A76" t="inlineStr">
        <is>
          <t>other</t>
        </is>
      </c>
      <c r="B76" t="inlineStr">
        <is>
          <t>Sequence</t>
        </is>
      </c>
      <c r="C76" t="inlineStr">
        <is>
          <t>sbol_sequence</t>
        </is>
      </c>
      <c r="E76">
        <f>CONCATENATE("http://sbols.org/v",Init!$B$1,"#")</f>
        <v/>
      </c>
      <c r="F76" t="inlineStr">
        <is>
          <t>String</t>
        </is>
      </c>
      <c r="G76" t="inlineStr">
        <is>
          <t>""</t>
        </is>
      </c>
      <c r="H76" t="inlineStr">
        <is>
          <t>"^[a-zA-Z \s*]+$" "https:\/\/www.ncbi.nlm.nih.gov/nuccore/.*"</t>
        </is>
      </c>
      <c r="I76" s="1" t="b">
        <v>0</v>
      </c>
      <c r="J76" s="1" t="b">
        <v>0</v>
      </c>
      <c r="K76" s="1" t="b">
        <v>0</v>
      </c>
      <c r="L76" s="1" t="b">
        <v>0</v>
      </c>
      <c r="M76" s="1" t="b">
        <v>0</v>
      </c>
    </row>
    <row r="77">
      <c r="A77" t="inlineStr">
        <is>
          <t>other</t>
        </is>
      </c>
      <c r="B77" t="inlineStr">
        <is>
          <t>Update</t>
        </is>
      </c>
      <c r="C77" t="inlineStr">
        <is>
          <t>Not_applicable</t>
        </is>
      </c>
      <c r="F77" t="inlineStr">
        <is>
          <t>String</t>
        </is>
      </c>
      <c r="G77" t="inlineStr">
        <is>
          <t>""</t>
        </is>
      </c>
      <c r="I77" s="1" t="b">
        <v>0</v>
      </c>
      <c r="J77" s="1" t="b">
        <v>0</v>
      </c>
      <c r="K77" s="1" t="b">
        <v>0</v>
      </c>
      <c r="L77" s="1" t="b">
        <v>0</v>
      </c>
      <c r="M77" s="1" t="b">
        <v>0</v>
      </c>
    </row>
    <row r="78">
      <c r="A78" t="inlineStr">
        <is>
          <t>other</t>
        </is>
      </c>
      <c r="B78" t="inlineStr">
        <is>
          <t>URL Checker - Data Source</t>
        </is>
      </c>
      <c r="C78" s="28" t="inlineStr">
        <is>
          <t>Not_applicable</t>
        </is>
      </c>
      <c r="D78" s="28" t="n"/>
      <c r="E78" s="29" t="n"/>
      <c r="F78" s="29" t="inlineStr">
        <is>
          <t>String</t>
        </is>
      </c>
      <c r="G78" s="29" t="inlineStr">
        <is>
          <t>""</t>
        </is>
      </c>
      <c r="H78" s="29" t="n"/>
      <c r="I78" s="30" t="b">
        <v>0</v>
      </c>
      <c r="J78" s="30" t="b">
        <v>0</v>
      </c>
      <c r="K78" s="30" t="b">
        <v>0</v>
      </c>
      <c r="L78" s="30" t="b">
        <v>0</v>
      </c>
      <c r="M78" s="30" t="b">
        <v>0</v>
      </c>
      <c r="N78" s="29" t="n"/>
      <c r="O78" s="29" t="n"/>
      <c r="P78" s="29" t="n"/>
      <c r="Q78" s="29" t="n"/>
    </row>
    <row r="79">
      <c r="A79" t="inlineStr">
        <is>
          <t>other</t>
        </is>
      </c>
      <c r="B79" t="inlineStr">
        <is>
          <t>URL Checker - DOI</t>
        </is>
      </c>
      <c r="C79" s="28" t="inlineStr">
        <is>
          <t>Not_applicable</t>
        </is>
      </c>
      <c r="D79" s="28" t="n"/>
      <c r="E79" s="29" t="n"/>
      <c r="F79" s="29" t="inlineStr">
        <is>
          <t>String</t>
        </is>
      </c>
      <c r="G79" s="29" t="inlineStr">
        <is>
          <t>""</t>
        </is>
      </c>
      <c r="H79" s="29" t="n"/>
      <c r="I79" s="30" t="b">
        <v>0</v>
      </c>
      <c r="J79" s="30" t="b">
        <v>0</v>
      </c>
      <c r="K79" s="30" t="b">
        <v>0</v>
      </c>
      <c r="L79" s="30" t="b">
        <v>0</v>
      </c>
      <c r="M79" s="30" t="b">
        <v>0</v>
      </c>
      <c r="N79" s="29" t="n"/>
      <c r="O79" s="29" t="n"/>
      <c r="P79" s="29" t="n"/>
      <c r="Q79" s="29" t="n"/>
    </row>
    <row r="80">
      <c r="A80" t="inlineStr">
        <is>
          <t>other</t>
        </is>
      </c>
      <c r="B80" t="inlineStr">
        <is>
          <t>URL Checker - Previous Version</t>
        </is>
      </c>
      <c r="C80" s="28" t="inlineStr">
        <is>
          <t>Not_applicable</t>
        </is>
      </c>
      <c r="D80" s="28" t="n"/>
      <c r="E80" s="29" t="n"/>
      <c r="F80" s="29" t="inlineStr">
        <is>
          <t>String</t>
        </is>
      </c>
      <c r="G80" s="29" t="inlineStr">
        <is>
          <t>""</t>
        </is>
      </c>
      <c r="H80" s="29" t="n"/>
      <c r="I80" s="30" t="b">
        <v>0</v>
      </c>
      <c r="J80" s="30" t="b">
        <v>0</v>
      </c>
      <c r="K80" s="30" t="b">
        <v>0</v>
      </c>
      <c r="L80" s="30" t="b">
        <v>0</v>
      </c>
      <c r="M80" s="30" t="b">
        <v>0</v>
      </c>
      <c r="N80" s="29" t="n"/>
      <c r="O80" s="29" t="n"/>
      <c r="P80" s="29" t="n"/>
      <c r="Q80" s="29" t="n"/>
    </row>
    <row r="81">
      <c r="A81" t="inlineStr">
        <is>
          <t>other</t>
        </is>
      </c>
      <c r="B81" t="inlineStr">
        <is>
          <t>URL Checker - URI</t>
        </is>
      </c>
      <c r="C81" s="28" t="inlineStr">
        <is>
          <t>Not_applicable</t>
        </is>
      </c>
      <c r="D81" s="28" t="n"/>
      <c r="E81" s="29" t="n"/>
      <c r="F81" s="29" t="inlineStr">
        <is>
          <t>String</t>
        </is>
      </c>
      <c r="G81" s="29" t="inlineStr">
        <is>
          <t>""</t>
        </is>
      </c>
      <c r="H81" s="29" t="n"/>
      <c r="I81" s="30" t="b">
        <v>0</v>
      </c>
      <c r="J81" s="30" t="b">
        <v>0</v>
      </c>
      <c r="K81" s="30" t="b">
        <v>0</v>
      </c>
      <c r="L81" s="30" t="b">
        <v>0</v>
      </c>
      <c r="M81" s="30" t="b">
        <v>0</v>
      </c>
      <c r="N81" s="29" t="n"/>
      <c r="O81" s="29" t="n"/>
      <c r="P81" s="29" t="n"/>
      <c r="Q81" s="29" t="n"/>
    </row>
    <row r="82">
      <c r="A82" t="inlineStr">
        <is>
          <t>protein</t>
        </is>
      </c>
      <c r="B82" t="inlineStr">
        <is>
          <t>Protein ID</t>
        </is>
      </c>
      <c r="C82" t="inlineStr">
        <is>
          <t>sbol_displayId</t>
        </is>
      </c>
      <c r="E82">
        <f>CONCATENATE("http://sbols.org/v",Init!$B$1,"#")</f>
        <v/>
      </c>
      <c r="F82" t="inlineStr">
        <is>
          <t>String</t>
        </is>
      </c>
      <c r="G82" t="inlineStr">
        <is>
          <t>""</t>
        </is>
      </c>
      <c r="I82" s="1" t="b">
        <v>0</v>
      </c>
      <c r="J82" s="1" t="b">
        <v>0</v>
      </c>
      <c r="K82" s="1" t="b">
        <v>0</v>
      </c>
      <c r="L82" s="1" t="b">
        <v>0</v>
      </c>
      <c r="M82" s="1" t="b">
        <v>0</v>
      </c>
    </row>
    <row r="83">
      <c r="A83" t="inlineStr">
        <is>
          <t>protein</t>
        </is>
      </c>
      <c r="B83" t="inlineStr">
        <is>
          <t>Protein Name</t>
        </is>
      </c>
      <c r="C83" t="inlineStr">
        <is>
          <t>sbol_name</t>
        </is>
      </c>
      <c r="E83">
        <f>CONCATENATE("http://sbols.org/v",Init!$B$1,"#")</f>
        <v/>
      </c>
      <c r="F83" t="inlineStr">
        <is>
          <t>String</t>
        </is>
      </c>
      <c r="G83" t="inlineStr">
        <is>
          <t>""</t>
        </is>
      </c>
      <c r="I83" s="1" t="b">
        <v>0</v>
      </c>
      <c r="J83" s="1" t="b">
        <v>0</v>
      </c>
      <c r="K83" s="1" t="b">
        <v>0</v>
      </c>
      <c r="L83" s="1" t="b">
        <v>0</v>
      </c>
      <c r="M83" s="1" t="b">
        <v>0</v>
      </c>
    </row>
    <row r="84">
      <c r="A84" t="inlineStr">
        <is>
          <t>protein</t>
        </is>
      </c>
      <c r="B84" t="inlineStr">
        <is>
          <t>Previous Version (URI)</t>
        </is>
      </c>
      <c r="C84" t="inlineStr">
        <is>
          <t>sbol_displayId</t>
        </is>
      </c>
      <c r="E84">
        <f>CONCATENATE("http://sbols.org/v",Init!$B$1,"#")</f>
        <v/>
      </c>
      <c r="F84" t="inlineStr">
        <is>
          <t>String</t>
        </is>
      </c>
      <c r="G84" t="inlineStr">
        <is>
          <t>""</t>
        </is>
      </c>
      <c r="I84" s="1" t="b">
        <v>0</v>
      </c>
      <c r="J84" s="1" t="b">
        <v>0</v>
      </c>
      <c r="K84" s="1" t="b">
        <v>0</v>
      </c>
      <c r="L84" s="1" t="b">
        <v>0</v>
      </c>
      <c r="M84" s="1" t="b">
        <v>0</v>
      </c>
    </row>
    <row r="85">
      <c r="A85" t="inlineStr">
        <is>
          <t>protein</t>
        </is>
      </c>
      <c r="B85" t="inlineStr">
        <is>
          <t>Protein Description</t>
        </is>
      </c>
      <c r="C85" t="inlineStr">
        <is>
          <t>sbol_description</t>
        </is>
      </c>
      <c r="E85" t="inlineStr">
        <is>
          <t>http://purl.org/dc/terms/#</t>
        </is>
      </c>
      <c r="F85" t="inlineStr">
        <is>
          <t>String</t>
        </is>
      </c>
      <c r="G85" t="inlineStr">
        <is>
          <t>""</t>
        </is>
      </c>
      <c r="I85" s="1" t="b">
        <v>0</v>
      </c>
      <c r="J85" s="1" t="b">
        <v>0</v>
      </c>
      <c r="K85" s="1" t="b">
        <v>0</v>
      </c>
      <c r="L85" s="1" t="b">
        <v>0</v>
      </c>
      <c r="M85" s="1" t="b">
        <v>0</v>
      </c>
    </row>
    <row r="86">
      <c r="A86" t="inlineStr">
        <is>
          <t>protein</t>
        </is>
      </c>
      <c r="B86" t="inlineStr">
        <is>
          <t>Data Source</t>
        </is>
      </c>
      <c r="C86" t="inlineStr">
        <is>
          <t>sbol_wasDerivedFrom</t>
        </is>
      </c>
      <c r="E86">
        <f>CONCATENATE("http://sbols.org/v",Init!$B$1,"#")</f>
        <v/>
      </c>
      <c r="F86" t="inlineStr">
        <is>
          <t>URI</t>
        </is>
      </c>
      <c r="G86" t="inlineStr">
        <is>
          <t>""</t>
        </is>
      </c>
      <c r="I86" s="1" t="b">
        <v>0</v>
      </c>
      <c r="J86" s="1" t="b">
        <v>0</v>
      </c>
      <c r="K86" s="1" t="b">
        <v>0</v>
      </c>
      <c r="L86" s="1" t="b">
        <v>0</v>
      </c>
      <c r="M86" s="1" t="b">
        <v>0</v>
      </c>
    </row>
    <row r="87">
      <c r="A87" t="inlineStr">
        <is>
          <t>protein</t>
        </is>
      </c>
      <c r="B87" t="inlineStr">
        <is>
          <t>PubMed Id</t>
        </is>
      </c>
      <c r="C87" t="inlineStr">
        <is>
          <t xml:space="preserve">obo_OBI_0001617
</t>
        </is>
      </c>
      <c r="E87" t="inlineStr">
        <is>
          <t>http://purl.obolibrary.org/obo/</t>
        </is>
      </c>
      <c r="F87" t="inlineStr">
        <is>
          <t>String</t>
        </is>
      </c>
      <c r="G87" t="inlineStr">
        <is>
          <t>""</t>
        </is>
      </c>
      <c r="I87" s="1" t="b">
        <v>0</v>
      </c>
      <c r="J87" s="1" t="b">
        <v>0</v>
      </c>
      <c r="K87" s="1" t="b">
        <v>0</v>
      </c>
      <c r="L87" s="1" t="b">
        <v>0</v>
      </c>
      <c r="M87" s="1" t="b">
        <v>0</v>
      </c>
    </row>
    <row r="88">
      <c r="A88" t="inlineStr">
        <is>
          <t>protein</t>
        </is>
      </c>
      <c r="B88" t="inlineStr">
        <is>
          <t>DOI</t>
        </is>
      </c>
      <c r="C88" t="inlineStr">
        <is>
          <t>sbol_wasDerivedFrom</t>
        </is>
      </c>
      <c r="E88">
        <f>CONCATENATE("http://sbols.org/v",Init!$B$1,"#")</f>
        <v/>
      </c>
      <c r="F88" t="inlineStr">
        <is>
          <t>URI</t>
        </is>
      </c>
      <c r="G88" t="inlineStr">
        <is>
          <t>""</t>
        </is>
      </c>
      <c r="I88" s="1" t="b">
        <v>0</v>
      </c>
      <c r="J88" s="1" t="b">
        <v>0</v>
      </c>
      <c r="K88" s="1" t="b">
        <v>0</v>
      </c>
      <c r="L88" s="1" t="b">
        <v>0</v>
      </c>
      <c r="M88" s="1" t="b">
        <v>0</v>
      </c>
    </row>
    <row r="89">
      <c r="A89" t="inlineStr">
        <is>
          <t>protein</t>
        </is>
      </c>
      <c r="B89" t="inlineStr">
        <is>
          <t>length (aa)</t>
        </is>
      </c>
      <c r="C89" t="inlineStr">
        <is>
          <t>Not_applicable</t>
        </is>
      </c>
      <c r="E89" t="inlineStr">
        <is>
          <t>Not_applicable</t>
        </is>
      </c>
      <c r="F89" t="inlineStr">
        <is>
          <t>Not_applicable</t>
        </is>
      </c>
      <c r="G89" t="inlineStr">
        <is>
          <t>""</t>
        </is>
      </c>
      <c r="I89" s="1" t="b">
        <v>0</v>
      </c>
      <c r="J89" s="1" t="b">
        <v>0</v>
      </c>
      <c r="K89" s="1" t="b">
        <v>0</v>
      </c>
      <c r="L89" s="1" t="b">
        <v>0</v>
      </c>
      <c r="M89" s="1" t="b">
        <v>0</v>
      </c>
    </row>
    <row r="90">
      <c r="A90" t="inlineStr">
        <is>
          <t>protein</t>
        </is>
      </c>
      <c r="B90" t="inlineStr">
        <is>
          <t>Sequence</t>
        </is>
      </c>
      <c r="C90" t="inlineStr">
        <is>
          <t>sbol_proteinSequence</t>
        </is>
      </c>
      <c r="E90">
        <f>CONCATENATE("http://sbols.org/v",Init!$B$1,"#")</f>
        <v/>
      </c>
      <c r="F90" t="inlineStr">
        <is>
          <t>String</t>
        </is>
      </c>
      <c r="G90" t="inlineStr">
        <is>
          <t>""</t>
        </is>
      </c>
      <c r="H90" t="inlineStr">
        <is>
          <t>"^[a-zA-Z \s*]+$" "https:\/\/www.ncbi.nlm.nih.gov/nuccore/.*"</t>
        </is>
      </c>
      <c r="I90" s="1" t="b">
        <v>0</v>
      </c>
      <c r="J90" s="1" t="b">
        <v>0</v>
      </c>
      <c r="K90" s="1" t="b">
        <v>0</v>
      </c>
      <c r="L90" s="1" t="b">
        <v>0</v>
      </c>
      <c r="M90" s="1" t="b">
        <v>0</v>
      </c>
    </row>
    <row r="91">
      <c r="A91" t="inlineStr">
        <is>
          <t>protein</t>
        </is>
      </c>
      <c r="B91" t="inlineStr">
        <is>
          <t>Update</t>
        </is>
      </c>
      <c r="C91" t="inlineStr">
        <is>
          <t>Not_applicable</t>
        </is>
      </c>
      <c r="F91" t="inlineStr">
        <is>
          <t>String</t>
        </is>
      </c>
      <c r="G91" t="inlineStr">
        <is>
          <t>""</t>
        </is>
      </c>
      <c r="I91" s="1" t="b">
        <v>0</v>
      </c>
      <c r="J91" s="1" t="b">
        <v>0</v>
      </c>
      <c r="K91" s="1" t="b">
        <v>0</v>
      </c>
      <c r="L91" s="1" t="b">
        <v>0</v>
      </c>
      <c r="M91" s="1" t="b">
        <v>0</v>
      </c>
    </row>
    <row r="92">
      <c r="A92" t="inlineStr">
        <is>
          <t>protein</t>
        </is>
      </c>
      <c r="B92" t="inlineStr">
        <is>
          <t>URL Checker - Data Source</t>
        </is>
      </c>
      <c r="C92" s="28" t="inlineStr">
        <is>
          <t>Not_applicable</t>
        </is>
      </c>
      <c r="D92" s="28" t="n"/>
      <c r="E92" s="29" t="n"/>
      <c r="F92" s="29" t="inlineStr">
        <is>
          <t>String</t>
        </is>
      </c>
      <c r="G92" s="29" t="inlineStr">
        <is>
          <t>""</t>
        </is>
      </c>
      <c r="H92" s="29" t="n"/>
      <c r="I92" s="30" t="b">
        <v>0</v>
      </c>
      <c r="J92" s="30" t="b">
        <v>0</v>
      </c>
      <c r="K92" s="30" t="b">
        <v>0</v>
      </c>
      <c r="L92" s="30" t="b">
        <v>0</v>
      </c>
      <c r="M92" s="30" t="b">
        <v>0</v>
      </c>
      <c r="N92" s="29" t="n"/>
      <c r="O92" s="29" t="n"/>
      <c r="P92" s="29" t="n"/>
      <c r="Q92" s="29" t="n"/>
    </row>
    <row r="93">
      <c r="A93" t="inlineStr">
        <is>
          <t>protein</t>
        </is>
      </c>
      <c r="B93" t="inlineStr">
        <is>
          <t>URL Checker - DOI</t>
        </is>
      </c>
      <c r="C93" s="28" t="inlineStr">
        <is>
          <t>Not_applicable</t>
        </is>
      </c>
      <c r="D93" s="28" t="n"/>
      <c r="E93" s="29" t="n"/>
      <c r="F93" s="29" t="inlineStr">
        <is>
          <t>String</t>
        </is>
      </c>
      <c r="G93" s="29" t="inlineStr">
        <is>
          <t>""</t>
        </is>
      </c>
      <c r="H93" s="29" t="n"/>
      <c r="I93" s="30" t="b">
        <v>0</v>
      </c>
      <c r="J93" s="30" t="b">
        <v>0</v>
      </c>
      <c r="K93" s="30" t="b">
        <v>0</v>
      </c>
      <c r="L93" s="30" t="b">
        <v>0</v>
      </c>
      <c r="M93" s="30" t="b">
        <v>0</v>
      </c>
      <c r="N93" s="29" t="n"/>
      <c r="O93" s="29" t="n"/>
      <c r="P93" s="29" t="n"/>
      <c r="Q93" s="29" t="n"/>
    </row>
    <row r="94">
      <c r="A94" t="inlineStr">
        <is>
          <t>protein</t>
        </is>
      </c>
      <c r="B94" t="inlineStr">
        <is>
          <t>URL Checker - Previous Version</t>
        </is>
      </c>
      <c r="C94" s="28" t="inlineStr">
        <is>
          <t>Not_applicable</t>
        </is>
      </c>
      <c r="D94" s="28" t="n"/>
      <c r="E94" s="29" t="n"/>
      <c r="F94" s="29" t="inlineStr">
        <is>
          <t>String</t>
        </is>
      </c>
      <c r="G94" s="29" t="inlineStr">
        <is>
          <t>""</t>
        </is>
      </c>
      <c r="H94" s="29" t="n"/>
      <c r="I94" s="30" t="b">
        <v>0</v>
      </c>
      <c r="J94" s="30" t="b">
        <v>0</v>
      </c>
      <c r="K94" s="30" t="b">
        <v>0</v>
      </c>
      <c r="L94" s="30" t="b">
        <v>0</v>
      </c>
      <c r="M94" s="30" t="b">
        <v>0</v>
      </c>
      <c r="N94" s="29" t="n"/>
      <c r="O94" s="29" t="n"/>
      <c r="P94" s="29" t="n"/>
      <c r="Q94" s="29" t="n"/>
    </row>
    <row r="95">
      <c r="A95" t="inlineStr">
        <is>
          <t>protein</t>
        </is>
      </c>
      <c r="B95" t="inlineStr">
        <is>
          <t>URL Checker - URI</t>
        </is>
      </c>
      <c r="C95" s="28" t="inlineStr">
        <is>
          <t>Not_applicable</t>
        </is>
      </c>
      <c r="D95" s="28" t="n"/>
      <c r="E95" s="29" t="n"/>
      <c r="F95" s="29" t="inlineStr">
        <is>
          <t>String</t>
        </is>
      </c>
      <c r="G95" s="29" t="inlineStr">
        <is>
          <t>""</t>
        </is>
      </c>
      <c r="H95" s="29" t="n"/>
      <c r="I95" s="30" t="b">
        <v>0</v>
      </c>
      <c r="J95" s="30" t="b">
        <v>0</v>
      </c>
      <c r="K95" s="30" t="b">
        <v>0</v>
      </c>
      <c r="L95" s="30" t="b">
        <v>0</v>
      </c>
      <c r="M95" s="30" t="b">
        <v>0</v>
      </c>
      <c r="N95" s="29" t="n"/>
      <c r="O95" s="29" t="n"/>
      <c r="P95" s="29" t="n"/>
      <c r="Q95" s="29" t="n"/>
    </row>
    <row r="96">
      <c r="A96" t="inlineStr">
        <is>
          <t>complex</t>
        </is>
      </c>
      <c r="B96" t="inlineStr">
        <is>
          <t>Complex ID</t>
        </is>
      </c>
      <c r="C96" t="inlineStr">
        <is>
          <t>sbol_displayId</t>
        </is>
      </c>
      <c r="E96">
        <f>CONCATENATE("http://sbols.org/v",Init!$B$1,"#")</f>
        <v/>
      </c>
      <c r="F96" t="inlineStr">
        <is>
          <t>String</t>
        </is>
      </c>
      <c r="G96" t="inlineStr">
        <is>
          <t>""</t>
        </is>
      </c>
      <c r="I96" s="1" t="b">
        <v>0</v>
      </c>
      <c r="J96" s="1" t="b">
        <v>0</v>
      </c>
      <c r="K96" s="1" t="b">
        <v>0</v>
      </c>
      <c r="L96" s="1" t="b">
        <v>0</v>
      </c>
      <c r="M96" s="1" t="b">
        <v>0</v>
      </c>
    </row>
    <row r="97">
      <c r="A97" t="inlineStr">
        <is>
          <t>complex</t>
        </is>
      </c>
      <c r="B97" t="inlineStr">
        <is>
          <t>Complex Name</t>
        </is>
      </c>
      <c r="C97" t="inlineStr">
        <is>
          <t>sbol_name</t>
        </is>
      </c>
      <c r="E97">
        <f>CONCATENATE("http://sbols.org/v",Init!$B$1,"#")</f>
        <v/>
      </c>
      <c r="F97" t="inlineStr">
        <is>
          <t>String</t>
        </is>
      </c>
      <c r="G97" t="inlineStr">
        <is>
          <t>""</t>
        </is>
      </c>
      <c r="I97" s="1" t="b">
        <v>0</v>
      </c>
      <c r="J97" s="1" t="b">
        <v>0</v>
      </c>
      <c r="K97" s="1" t="b">
        <v>0</v>
      </c>
      <c r="L97" s="1" t="b">
        <v>0</v>
      </c>
      <c r="M97" s="1" t="b">
        <v>0</v>
      </c>
    </row>
    <row r="98">
      <c r="A98" t="inlineStr">
        <is>
          <t>complex</t>
        </is>
      </c>
      <c r="B98" t="inlineStr">
        <is>
          <t>Previous Version (URI)</t>
        </is>
      </c>
      <c r="C98" t="inlineStr">
        <is>
          <t>sbol_displayId</t>
        </is>
      </c>
      <c r="E98">
        <f>CONCATENATE("http://sbols.org/v",Init!$B$1,"#")</f>
        <v/>
      </c>
      <c r="F98" t="inlineStr">
        <is>
          <t>String</t>
        </is>
      </c>
      <c r="G98" t="inlineStr">
        <is>
          <t>""</t>
        </is>
      </c>
      <c r="I98" s="1" t="b">
        <v>0</v>
      </c>
      <c r="J98" s="1" t="b">
        <v>0</v>
      </c>
      <c r="K98" s="1" t="b">
        <v>0</v>
      </c>
      <c r="L98" s="1" t="b">
        <v>0</v>
      </c>
      <c r="M98" s="1" t="b">
        <v>0</v>
      </c>
    </row>
    <row r="99">
      <c r="A99" t="inlineStr">
        <is>
          <t>complex</t>
        </is>
      </c>
      <c r="B99" t="inlineStr">
        <is>
          <t>Complex Description</t>
        </is>
      </c>
      <c r="C99" t="inlineStr">
        <is>
          <t>sbol_description</t>
        </is>
      </c>
      <c r="E99" t="inlineStr">
        <is>
          <t>http://purl.org/dc/terms/#</t>
        </is>
      </c>
      <c r="F99" t="inlineStr">
        <is>
          <t>String</t>
        </is>
      </c>
      <c r="G99" t="inlineStr">
        <is>
          <t>""</t>
        </is>
      </c>
      <c r="I99" s="1" t="b">
        <v>0</v>
      </c>
      <c r="J99" s="1" t="b">
        <v>0</v>
      </c>
      <c r="K99" s="1" t="b">
        <v>0</v>
      </c>
      <c r="L99" s="1" t="b">
        <v>0</v>
      </c>
      <c r="M99" s="1" t="b">
        <v>0</v>
      </c>
    </row>
    <row r="100">
      <c r="A100" t="inlineStr">
        <is>
          <t>complex</t>
        </is>
      </c>
      <c r="B100" t="inlineStr">
        <is>
          <t>Data Source</t>
        </is>
      </c>
      <c r="C100" t="inlineStr">
        <is>
          <t>sbol_wasDerivedFrom</t>
        </is>
      </c>
      <c r="E100">
        <f>CONCATENATE("http://sbols.org/v",Init!$B$1,"#")</f>
        <v/>
      </c>
      <c r="F100" t="inlineStr">
        <is>
          <t>URI</t>
        </is>
      </c>
      <c r="G100" t="inlineStr">
        <is>
          <t>""</t>
        </is>
      </c>
      <c r="I100" s="1" t="b">
        <v>0</v>
      </c>
      <c r="J100" s="1" t="b">
        <v>0</v>
      </c>
      <c r="K100" s="1" t="b">
        <v>0</v>
      </c>
      <c r="L100" s="1" t="b">
        <v>0</v>
      </c>
      <c r="M100" s="1" t="b">
        <v>0</v>
      </c>
    </row>
    <row r="101">
      <c r="A101" t="inlineStr">
        <is>
          <t>complex</t>
        </is>
      </c>
      <c r="B101" t="inlineStr">
        <is>
          <t>PubMed Id</t>
        </is>
      </c>
      <c r="C101" t="inlineStr">
        <is>
          <t xml:space="preserve">obo_OBI_0001617
</t>
        </is>
      </c>
      <c r="E101" t="inlineStr">
        <is>
          <t>http://purl.obolibrary.org/obo/</t>
        </is>
      </c>
      <c r="F101" t="inlineStr">
        <is>
          <t>String</t>
        </is>
      </c>
      <c r="G101" t="inlineStr">
        <is>
          <t>""</t>
        </is>
      </c>
      <c r="I101" s="1" t="b">
        <v>0</v>
      </c>
      <c r="J101" s="1" t="b">
        <v>0</v>
      </c>
      <c r="K101" s="1" t="b">
        <v>0</v>
      </c>
      <c r="L101" s="1" t="b">
        <v>0</v>
      </c>
      <c r="M101" s="1" t="b">
        <v>0</v>
      </c>
    </row>
    <row r="102">
      <c r="A102" t="inlineStr">
        <is>
          <t>complex</t>
        </is>
      </c>
      <c r="B102" t="inlineStr">
        <is>
          <t>DOI</t>
        </is>
      </c>
      <c r="C102" t="inlineStr">
        <is>
          <t>sbol_wasDerivedFrom</t>
        </is>
      </c>
      <c r="E102">
        <f>CONCATENATE("http://sbols.org/v",Init!$B$1,"#")</f>
        <v/>
      </c>
      <c r="F102" t="inlineStr">
        <is>
          <t>URI</t>
        </is>
      </c>
      <c r="G102" t="inlineStr">
        <is>
          <t>""</t>
        </is>
      </c>
      <c r="I102" s="1" t="b">
        <v>0</v>
      </c>
      <c r="J102" s="1" t="b">
        <v>0</v>
      </c>
      <c r="K102" s="1" t="b">
        <v>0</v>
      </c>
      <c r="L102" s="1" t="b">
        <v>0</v>
      </c>
      <c r="M102" s="1" t="b">
        <v>0</v>
      </c>
    </row>
    <row r="103">
      <c r="A103" t="inlineStr">
        <is>
          <t>complex</t>
        </is>
      </c>
      <c r="B103" t="inlineStr">
        <is>
          <t>Components IDs</t>
        </is>
      </c>
      <c r="C103" t="inlineStr">
        <is>
          <t>sbol_complexComponent</t>
        </is>
      </c>
      <c r="E103">
        <f>CONCATENATE("http://sbols.org/v",Init!$B$1,"#")</f>
        <v/>
      </c>
      <c r="F103" t="inlineStr">
        <is>
          <t>URI</t>
        </is>
      </c>
      <c r="G103" t="inlineStr">
        <is>
          <t>","</t>
        </is>
      </c>
      <c r="I103" s="1" t="b">
        <v>0</v>
      </c>
      <c r="J103" s="1" t="b">
        <v>0</v>
      </c>
      <c r="K103" s="1" t="b">
        <v>0</v>
      </c>
      <c r="L103" s="1" t="b">
        <v>1</v>
      </c>
      <c r="M103" s="1" t="b">
        <v>0</v>
      </c>
    </row>
    <row r="104">
      <c r="A104" t="inlineStr">
        <is>
          <t>complex</t>
        </is>
      </c>
      <c r="B104" t="inlineStr">
        <is>
          <t>Update</t>
        </is>
      </c>
      <c r="C104" t="inlineStr">
        <is>
          <t>Not_applicable</t>
        </is>
      </c>
      <c r="F104" t="inlineStr">
        <is>
          <t>String</t>
        </is>
      </c>
      <c r="G104" t="inlineStr">
        <is>
          <t>""</t>
        </is>
      </c>
      <c r="I104" s="1" t="b">
        <v>0</v>
      </c>
      <c r="J104" s="1" t="b">
        <v>0</v>
      </c>
      <c r="K104" s="1" t="b">
        <v>0</v>
      </c>
      <c r="L104" s="1" t="b">
        <v>0</v>
      </c>
      <c r="M104" s="1" t="b">
        <v>0</v>
      </c>
    </row>
    <row r="105">
      <c r="A105" t="inlineStr">
        <is>
          <t>complex</t>
        </is>
      </c>
      <c r="B105" t="inlineStr">
        <is>
          <t>URL Checker - Data Source</t>
        </is>
      </c>
      <c r="C105" s="28" t="inlineStr">
        <is>
          <t>Not_applicable</t>
        </is>
      </c>
      <c r="D105" s="28" t="n"/>
      <c r="E105" s="29" t="n"/>
      <c r="F105" s="29" t="inlineStr">
        <is>
          <t>String</t>
        </is>
      </c>
      <c r="G105" s="29" t="inlineStr">
        <is>
          <t>""</t>
        </is>
      </c>
      <c r="H105" s="29" t="n"/>
      <c r="I105" s="30" t="b">
        <v>0</v>
      </c>
      <c r="J105" s="30" t="b">
        <v>0</v>
      </c>
      <c r="K105" s="30" t="b">
        <v>0</v>
      </c>
      <c r="L105" s="30" t="b">
        <v>0</v>
      </c>
      <c r="M105" s="30" t="b">
        <v>0</v>
      </c>
      <c r="N105" s="29" t="n"/>
      <c r="O105" s="29" t="n"/>
      <c r="P105" s="29" t="n"/>
      <c r="Q105" s="29" t="n"/>
    </row>
    <row r="106">
      <c r="A106" t="inlineStr">
        <is>
          <t>complex</t>
        </is>
      </c>
      <c r="B106" t="inlineStr">
        <is>
          <t>URL Checker - DOI</t>
        </is>
      </c>
      <c r="C106" s="28" t="inlineStr">
        <is>
          <t>Not_applicable</t>
        </is>
      </c>
      <c r="D106" s="28" t="n"/>
      <c r="E106" s="29" t="n"/>
      <c r="F106" s="29" t="inlineStr">
        <is>
          <t>String</t>
        </is>
      </c>
      <c r="G106" s="29" t="inlineStr">
        <is>
          <t>""</t>
        </is>
      </c>
      <c r="H106" s="29" t="n"/>
      <c r="I106" s="30" t="b">
        <v>0</v>
      </c>
      <c r="J106" s="30" t="b">
        <v>0</v>
      </c>
      <c r="K106" s="30" t="b">
        <v>0</v>
      </c>
      <c r="L106" s="30" t="b">
        <v>0</v>
      </c>
      <c r="M106" s="30" t="b">
        <v>0</v>
      </c>
      <c r="N106" s="29" t="n"/>
      <c r="O106" s="29" t="n"/>
      <c r="P106" s="29" t="n"/>
      <c r="Q106" s="29" t="n"/>
    </row>
    <row r="107">
      <c r="A107" t="inlineStr">
        <is>
          <t>complex</t>
        </is>
      </c>
      <c r="B107" t="inlineStr">
        <is>
          <t>URL Checker - Previous Version</t>
        </is>
      </c>
      <c r="C107" s="28" t="inlineStr">
        <is>
          <t>Not_applicable</t>
        </is>
      </c>
      <c r="D107" s="28" t="n"/>
      <c r="E107" s="29" t="n"/>
      <c r="F107" s="29" t="inlineStr">
        <is>
          <t>String</t>
        </is>
      </c>
      <c r="G107" s="29" t="inlineStr">
        <is>
          <t>""</t>
        </is>
      </c>
      <c r="H107" s="29" t="n"/>
      <c r="I107" s="30" t="b">
        <v>0</v>
      </c>
      <c r="J107" s="30" t="b">
        <v>0</v>
      </c>
      <c r="K107" s="30" t="b">
        <v>0</v>
      </c>
      <c r="L107" s="30" t="b">
        <v>0</v>
      </c>
      <c r="M107" s="30" t="b">
        <v>0</v>
      </c>
      <c r="N107" s="29" t="n"/>
      <c r="O107" s="29" t="n"/>
      <c r="P107" s="29" t="n"/>
      <c r="Q107" s="29" t="n"/>
    </row>
    <row r="108">
      <c r="A108" t="inlineStr">
        <is>
          <t>complex</t>
        </is>
      </c>
      <c r="B108" t="inlineStr">
        <is>
          <t>URL Checker - URI</t>
        </is>
      </c>
      <c r="C108" s="28" t="inlineStr">
        <is>
          <t>Not_applicable</t>
        </is>
      </c>
      <c r="D108" s="28" t="n"/>
      <c r="E108" s="29" t="n"/>
      <c r="F108" s="29" t="inlineStr">
        <is>
          <t>String</t>
        </is>
      </c>
      <c r="G108" s="29" t="inlineStr">
        <is>
          <t>""</t>
        </is>
      </c>
      <c r="H108" s="29" t="n"/>
      <c r="I108" s="30" t="b">
        <v>0</v>
      </c>
      <c r="J108" s="30" t="b">
        <v>0</v>
      </c>
      <c r="K108" s="30" t="b">
        <v>0</v>
      </c>
      <c r="L108" s="30" t="b">
        <v>0</v>
      </c>
      <c r="M108" s="30" t="b">
        <v>0</v>
      </c>
      <c r="N108" s="29" t="n"/>
      <c r="O108" s="29" t="n"/>
      <c r="P108" s="29" t="n"/>
      <c r="Q108" s="29" t="n"/>
    </row>
    <row r="109">
      <c r="A109" t="inlineStr">
        <is>
          <t>chassis</t>
        </is>
      </c>
      <c r="B109" t="inlineStr">
        <is>
          <t>Chassis ID</t>
        </is>
      </c>
      <c r="C109" t="inlineStr">
        <is>
          <t>sbol_displayId</t>
        </is>
      </c>
      <c r="E109">
        <f>CONCATENATE("http://sbols.org/v",Init!$B$1,"#")</f>
        <v/>
      </c>
      <c r="F109" t="inlineStr">
        <is>
          <t>String</t>
        </is>
      </c>
      <c r="G109" t="inlineStr">
        <is>
          <t>""</t>
        </is>
      </c>
      <c r="I109" s="1" t="b">
        <v>0</v>
      </c>
      <c r="J109" s="1" t="b">
        <v>0</v>
      </c>
      <c r="K109" s="1" t="b">
        <v>0</v>
      </c>
      <c r="L109" s="1" t="b">
        <v>0</v>
      </c>
      <c r="M109" s="1" t="b">
        <v>0</v>
      </c>
    </row>
    <row r="110">
      <c r="A110" t="inlineStr">
        <is>
          <t>chassis</t>
        </is>
      </c>
      <c r="B110" t="inlineStr">
        <is>
          <t>Chassis Name</t>
        </is>
      </c>
      <c r="C110" t="inlineStr">
        <is>
          <t>sbol_name</t>
        </is>
      </c>
      <c r="E110">
        <f>CONCATENATE("http://sbols.org/v",Init!$B$1,"#")</f>
        <v/>
      </c>
      <c r="F110" t="inlineStr">
        <is>
          <t>String</t>
        </is>
      </c>
      <c r="G110" t="inlineStr">
        <is>
          <t>""</t>
        </is>
      </c>
      <c r="I110" s="1" t="b">
        <v>0</v>
      </c>
      <c r="J110" s="1" t="b">
        <v>0</v>
      </c>
      <c r="K110" s="1" t="b">
        <v>0</v>
      </c>
      <c r="L110" s="1" t="b">
        <v>0</v>
      </c>
      <c r="M110" s="1" t="b">
        <v>0</v>
      </c>
    </row>
    <row r="111">
      <c r="A111" t="inlineStr">
        <is>
          <t>chassis</t>
        </is>
      </c>
      <c r="B111" t="inlineStr">
        <is>
          <t>Previous Version (URI)</t>
        </is>
      </c>
      <c r="C111" t="inlineStr">
        <is>
          <t>sbol_displayId</t>
        </is>
      </c>
      <c r="E111">
        <f>CONCATENATE("http://sbols.org/v",Init!$B$1,"#")</f>
        <v/>
      </c>
      <c r="F111" t="inlineStr">
        <is>
          <t>String</t>
        </is>
      </c>
      <c r="G111" t="inlineStr">
        <is>
          <t>""</t>
        </is>
      </c>
      <c r="I111" s="1" t="b">
        <v>0</v>
      </c>
      <c r="J111" s="1" t="b">
        <v>0</v>
      </c>
      <c r="K111" s="1" t="b">
        <v>0</v>
      </c>
      <c r="L111" s="1" t="b">
        <v>0</v>
      </c>
      <c r="M111" s="1" t="b">
        <v>0</v>
      </c>
    </row>
    <row r="112">
      <c r="A112" t="inlineStr">
        <is>
          <t>chassis</t>
        </is>
      </c>
      <c r="B112" t="inlineStr">
        <is>
          <t>Chassis Description</t>
        </is>
      </c>
      <c r="C112" t="inlineStr">
        <is>
          <t>sbol_description</t>
        </is>
      </c>
      <c r="E112" t="inlineStr">
        <is>
          <t>http://purl.org/dc/terms/#</t>
        </is>
      </c>
      <c r="F112" t="inlineStr">
        <is>
          <t>String</t>
        </is>
      </c>
      <c r="G112" t="inlineStr">
        <is>
          <t>""</t>
        </is>
      </c>
      <c r="I112" s="1" t="b">
        <v>0</v>
      </c>
      <c r="J112" s="1" t="b">
        <v>0</v>
      </c>
      <c r="K112" s="1" t="b">
        <v>0</v>
      </c>
      <c r="L112" s="1" t="b">
        <v>0</v>
      </c>
      <c r="M112" s="1" t="b">
        <v>0</v>
      </c>
    </row>
    <row r="113">
      <c r="A113" t="inlineStr">
        <is>
          <t>chassis</t>
        </is>
      </c>
      <c r="B113" t="inlineStr">
        <is>
          <t>Data Source</t>
        </is>
      </c>
      <c r="C113" t="inlineStr">
        <is>
          <t>sbol_wasDerivedFrom</t>
        </is>
      </c>
      <c r="E113">
        <f>CONCATENATE("http://sbols.org/v",Init!$B$1,"#")</f>
        <v/>
      </c>
      <c r="F113" t="inlineStr">
        <is>
          <t>URI</t>
        </is>
      </c>
      <c r="G113" t="inlineStr">
        <is>
          <t>""</t>
        </is>
      </c>
      <c r="I113" s="1" t="b">
        <v>0</v>
      </c>
      <c r="J113" s="1" t="b">
        <v>0</v>
      </c>
      <c r="K113" s="1" t="b">
        <v>0</v>
      </c>
      <c r="L113" s="1" t="b">
        <v>0</v>
      </c>
      <c r="M113" s="1" t="b">
        <v>0</v>
      </c>
    </row>
    <row r="114">
      <c r="A114" t="inlineStr">
        <is>
          <t>chassis</t>
        </is>
      </c>
      <c r="B114" t="inlineStr">
        <is>
          <t>PubMed Id</t>
        </is>
      </c>
      <c r="C114" t="inlineStr">
        <is>
          <t xml:space="preserve">obo_OBI_0001617
</t>
        </is>
      </c>
      <c r="E114" t="inlineStr">
        <is>
          <t>http://purl.obolibrary.org/obo/</t>
        </is>
      </c>
      <c r="F114" t="inlineStr">
        <is>
          <t>String</t>
        </is>
      </c>
      <c r="G114" t="inlineStr">
        <is>
          <t>""</t>
        </is>
      </c>
      <c r="I114" s="1" t="b">
        <v>0</v>
      </c>
      <c r="J114" s="1" t="b">
        <v>0</v>
      </c>
      <c r="K114" s="1" t="b">
        <v>0</v>
      </c>
      <c r="L114" s="1" t="b">
        <v>0</v>
      </c>
      <c r="M114" s="1" t="b">
        <v>0</v>
      </c>
    </row>
    <row r="115">
      <c r="A115" t="inlineStr">
        <is>
          <t>chassis</t>
        </is>
      </c>
      <c r="B115" t="inlineStr">
        <is>
          <t>DOI</t>
        </is>
      </c>
      <c r="C115" t="inlineStr">
        <is>
          <t>sbol_wasDerivedFrom</t>
        </is>
      </c>
      <c r="E115">
        <f>CONCATENATE("http://sbols.org/v",Init!$B$1,"#")</f>
        <v/>
      </c>
      <c r="F115" t="inlineStr">
        <is>
          <t>URI</t>
        </is>
      </c>
      <c r="G115" t="inlineStr">
        <is>
          <t>""</t>
        </is>
      </c>
      <c r="I115" s="1" t="b">
        <v>0</v>
      </c>
      <c r="J115" s="1" t="b">
        <v>0</v>
      </c>
      <c r="K115" s="1" t="b">
        <v>0</v>
      </c>
      <c r="L115" s="1" t="b">
        <v>0</v>
      </c>
      <c r="M115" s="1" t="b">
        <v>0</v>
      </c>
    </row>
    <row r="116">
      <c r="A116" t="inlineStr">
        <is>
          <t>chassis</t>
        </is>
      </c>
      <c r="B116" t="inlineStr">
        <is>
          <t>URI</t>
        </is>
      </c>
      <c r="C116" t="inlineStr">
        <is>
          <t>Not_applicable</t>
        </is>
      </c>
      <c r="F116" t="inlineStr">
        <is>
          <t>String</t>
        </is>
      </c>
      <c r="G116" t="inlineStr">
        <is>
          <t>""</t>
        </is>
      </c>
      <c r="I116" s="1" t="b">
        <v>0</v>
      </c>
      <c r="J116" s="1" t="b">
        <v>0</v>
      </c>
      <c r="K116" s="1" t="b">
        <v>0</v>
      </c>
      <c r="L116" s="1" t="b">
        <v>0</v>
      </c>
      <c r="M116" s="1" t="b">
        <v>0</v>
      </c>
    </row>
    <row r="117">
      <c r="A117" t="inlineStr">
        <is>
          <t>chassis</t>
        </is>
      </c>
      <c r="B117" t="inlineStr">
        <is>
          <t>Update</t>
        </is>
      </c>
      <c r="C117" t="inlineStr">
        <is>
          <t>Not_applicable</t>
        </is>
      </c>
      <c r="F117" t="inlineStr">
        <is>
          <t>String</t>
        </is>
      </c>
      <c r="G117" t="inlineStr">
        <is>
          <t>""</t>
        </is>
      </c>
      <c r="I117" s="1" t="b">
        <v>0</v>
      </c>
      <c r="J117" s="1" t="b">
        <v>0</v>
      </c>
      <c r="K117" s="1" t="b">
        <v>0</v>
      </c>
      <c r="L117" s="1" t="b">
        <v>0</v>
      </c>
      <c r="M117" s="1" t="b">
        <v>0</v>
      </c>
    </row>
    <row r="118">
      <c r="A118" t="inlineStr">
        <is>
          <t>chassis</t>
        </is>
      </c>
      <c r="B118" t="inlineStr">
        <is>
          <t>URL Checker - Data Source</t>
        </is>
      </c>
      <c r="C118" s="28" t="inlineStr">
        <is>
          <t>Not_applicable</t>
        </is>
      </c>
      <c r="D118" s="28" t="n"/>
      <c r="E118" s="29" t="n"/>
      <c r="F118" s="29" t="inlineStr">
        <is>
          <t>String</t>
        </is>
      </c>
      <c r="G118" s="29" t="inlineStr">
        <is>
          <t>""</t>
        </is>
      </c>
      <c r="H118" s="29" t="n"/>
      <c r="I118" s="30" t="b">
        <v>0</v>
      </c>
      <c r="J118" s="30" t="b">
        <v>0</v>
      </c>
      <c r="K118" s="30" t="b">
        <v>0</v>
      </c>
      <c r="L118" s="30" t="b">
        <v>0</v>
      </c>
      <c r="M118" s="30" t="b">
        <v>0</v>
      </c>
      <c r="N118" s="29" t="n"/>
      <c r="O118" s="29" t="n"/>
      <c r="P118" s="29" t="n"/>
      <c r="Q118" s="29" t="n"/>
    </row>
    <row r="119">
      <c r="A119" t="inlineStr">
        <is>
          <t>chassis</t>
        </is>
      </c>
      <c r="B119" t="inlineStr">
        <is>
          <t>URL Checker - DOI</t>
        </is>
      </c>
      <c r="C119" s="28" t="inlineStr">
        <is>
          <t>Not_applicable</t>
        </is>
      </c>
      <c r="D119" s="28" t="n"/>
      <c r="E119" s="29" t="n"/>
      <c r="F119" s="29" t="inlineStr">
        <is>
          <t>String</t>
        </is>
      </c>
      <c r="G119" s="29" t="inlineStr">
        <is>
          <t>""</t>
        </is>
      </c>
      <c r="H119" s="29" t="n"/>
      <c r="I119" s="30" t="b">
        <v>0</v>
      </c>
      <c r="J119" s="30" t="b">
        <v>0</v>
      </c>
      <c r="K119" s="30" t="b">
        <v>0</v>
      </c>
      <c r="L119" s="30" t="b">
        <v>0</v>
      </c>
      <c r="M119" s="30" t="b">
        <v>0</v>
      </c>
      <c r="N119" s="29" t="n"/>
      <c r="O119" s="29" t="n"/>
      <c r="P119" s="29" t="n"/>
      <c r="Q119" s="29" t="n"/>
    </row>
    <row r="120">
      <c r="A120" t="inlineStr">
        <is>
          <t>chassis</t>
        </is>
      </c>
      <c r="B120" t="inlineStr">
        <is>
          <t>URL Checker - Previous Version</t>
        </is>
      </c>
      <c r="C120" s="28" t="inlineStr">
        <is>
          <t>Not_applicable</t>
        </is>
      </c>
      <c r="D120" s="28" t="n"/>
      <c r="E120" s="29" t="n"/>
      <c r="F120" s="29" t="inlineStr">
        <is>
          <t>String</t>
        </is>
      </c>
      <c r="G120" s="29" t="inlineStr">
        <is>
          <t>""</t>
        </is>
      </c>
      <c r="H120" s="29" t="n"/>
      <c r="I120" s="30" t="b">
        <v>0</v>
      </c>
      <c r="J120" s="30" t="b">
        <v>0</v>
      </c>
      <c r="K120" s="30" t="b">
        <v>0</v>
      </c>
      <c r="L120" s="30" t="b">
        <v>0</v>
      </c>
      <c r="M120" s="30" t="b">
        <v>0</v>
      </c>
      <c r="N120" s="29" t="n"/>
      <c r="O120" s="29" t="n"/>
      <c r="P120" s="29" t="n"/>
      <c r="Q120" s="29" t="n"/>
    </row>
    <row r="121">
      <c r="A121" t="inlineStr">
        <is>
          <t>chassis</t>
        </is>
      </c>
      <c r="B121" t="inlineStr">
        <is>
          <t>URL Checker - URI</t>
        </is>
      </c>
      <c r="C121" s="28" t="inlineStr">
        <is>
          <t>Not_applicable</t>
        </is>
      </c>
      <c r="D121" s="28" t="n"/>
      <c r="E121" s="29" t="n"/>
      <c r="F121" s="29" t="inlineStr">
        <is>
          <t>String</t>
        </is>
      </c>
      <c r="G121" s="29" t="inlineStr">
        <is>
          <t>""</t>
        </is>
      </c>
      <c r="H121" s="29" t="n"/>
      <c r="I121" s="30" t="b">
        <v>0</v>
      </c>
      <c r="J121" s="30" t="b">
        <v>0</v>
      </c>
      <c r="K121" s="30" t="b">
        <v>0</v>
      </c>
      <c r="L121" s="30" t="b">
        <v>0</v>
      </c>
      <c r="M121" s="30" t="b">
        <v>0</v>
      </c>
      <c r="N121" s="29" t="n"/>
      <c r="O121" s="29" t="n"/>
      <c r="P121" s="29" t="n"/>
      <c r="Q121" s="29" t="n"/>
    </row>
    <row r="122">
      <c r="A122" t="inlineStr">
        <is>
          <t>chemicals</t>
        </is>
      </c>
      <c r="B122" t="inlineStr">
        <is>
          <t>Chemical ID</t>
        </is>
      </c>
      <c r="C122" t="inlineStr">
        <is>
          <t>sbol_displayId</t>
        </is>
      </c>
      <c r="E122">
        <f>CONCATENATE("http://sbols.org/v",Init!$B$1,"#")</f>
        <v/>
      </c>
      <c r="F122" t="inlineStr">
        <is>
          <t>String</t>
        </is>
      </c>
      <c r="G122" t="inlineStr">
        <is>
          <t>""</t>
        </is>
      </c>
      <c r="I122" s="1" t="b">
        <v>0</v>
      </c>
      <c r="J122" s="1" t="b">
        <v>0</v>
      </c>
      <c r="K122" s="1" t="b">
        <v>0</v>
      </c>
      <c r="L122" s="1" t="b">
        <v>0</v>
      </c>
      <c r="M122" s="1" t="b">
        <v>0</v>
      </c>
    </row>
    <row r="123">
      <c r="A123" t="inlineStr">
        <is>
          <t>chemicals</t>
        </is>
      </c>
      <c r="B123" t="inlineStr">
        <is>
          <t>Chemical Name</t>
        </is>
      </c>
      <c r="C123" t="inlineStr">
        <is>
          <t>sbol_name</t>
        </is>
      </c>
      <c r="E123">
        <f>CONCATENATE("http://sbols.org/v",Init!$B$1,"#")</f>
        <v/>
      </c>
      <c r="F123" t="inlineStr">
        <is>
          <t>String</t>
        </is>
      </c>
      <c r="G123" t="inlineStr">
        <is>
          <t>""</t>
        </is>
      </c>
      <c r="I123" s="1" t="b">
        <v>0</v>
      </c>
      <c r="J123" s="1" t="b">
        <v>0</v>
      </c>
      <c r="K123" s="1" t="b">
        <v>0</v>
      </c>
      <c r="L123" s="1" t="b">
        <v>0</v>
      </c>
      <c r="M123" s="1" t="b">
        <v>0</v>
      </c>
    </row>
    <row r="124">
      <c r="A124" t="inlineStr">
        <is>
          <t>chemicals</t>
        </is>
      </c>
      <c r="B124" t="inlineStr">
        <is>
          <t>Previous Version (URI)</t>
        </is>
      </c>
      <c r="C124" t="inlineStr">
        <is>
          <t>sbol_displayId</t>
        </is>
      </c>
      <c r="E124">
        <f>CONCATENATE("http://sbols.org/v",Init!$B$1,"#")</f>
        <v/>
      </c>
      <c r="F124" t="inlineStr">
        <is>
          <t>String</t>
        </is>
      </c>
      <c r="G124" t="inlineStr">
        <is>
          <t>""</t>
        </is>
      </c>
      <c r="I124" s="1" t="b">
        <v>0</v>
      </c>
      <c r="J124" s="1" t="b">
        <v>0</v>
      </c>
      <c r="K124" s="1" t="b">
        <v>0</v>
      </c>
      <c r="L124" s="1" t="b">
        <v>0</v>
      </c>
      <c r="M124" s="1" t="b">
        <v>0</v>
      </c>
    </row>
    <row r="125">
      <c r="A125" t="inlineStr">
        <is>
          <t>chemicals</t>
        </is>
      </c>
      <c r="B125" t="inlineStr">
        <is>
          <t>Chemical Description</t>
        </is>
      </c>
      <c r="C125" t="inlineStr">
        <is>
          <t>sbol_description</t>
        </is>
      </c>
      <c r="E125" t="inlineStr">
        <is>
          <t>http://purl.org/dc/terms/#</t>
        </is>
      </c>
      <c r="F125" t="inlineStr">
        <is>
          <t>String</t>
        </is>
      </c>
      <c r="G125" t="inlineStr">
        <is>
          <t>""</t>
        </is>
      </c>
      <c r="I125" s="1" t="b">
        <v>0</v>
      </c>
      <c r="J125" s="1" t="b">
        <v>0</v>
      </c>
      <c r="K125" s="1" t="b">
        <v>0</v>
      </c>
      <c r="L125" s="1" t="b">
        <v>0</v>
      </c>
      <c r="M125" s="1" t="b">
        <v>0</v>
      </c>
    </row>
    <row r="126">
      <c r="A126" t="inlineStr">
        <is>
          <t>chemicals</t>
        </is>
      </c>
      <c r="B126" t="inlineStr">
        <is>
          <t>Data Source</t>
        </is>
      </c>
      <c r="C126" t="inlineStr">
        <is>
          <t>sbol_wasDerivedFrom</t>
        </is>
      </c>
      <c r="E126">
        <f>CONCATENATE("http://sbols.org/v",Init!$B$1,"#")</f>
        <v/>
      </c>
      <c r="F126" t="inlineStr">
        <is>
          <t>URI</t>
        </is>
      </c>
      <c r="G126" t="inlineStr">
        <is>
          <t>""</t>
        </is>
      </c>
      <c r="I126" s="1" t="b">
        <v>0</v>
      </c>
      <c r="J126" s="1" t="b">
        <v>0</v>
      </c>
      <c r="K126" s="1" t="b">
        <v>0</v>
      </c>
      <c r="L126" s="1" t="b">
        <v>0</v>
      </c>
      <c r="M126" s="1" t="b">
        <v>0</v>
      </c>
    </row>
    <row r="127">
      <c r="A127" t="inlineStr">
        <is>
          <t>chemicals</t>
        </is>
      </c>
      <c r="B127" t="inlineStr">
        <is>
          <t>PubMed ID</t>
        </is>
      </c>
      <c r="C127" t="inlineStr">
        <is>
          <t xml:space="preserve">obo_OBI_0001617
</t>
        </is>
      </c>
      <c r="E127" t="inlineStr">
        <is>
          <t>http://purl.obolibrary.org/obo/</t>
        </is>
      </c>
      <c r="F127" t="inlineStr">
        <is>
          <t>String</t>
        </is>
      </c>
      <c r="G127" t="inlineStr">
        <is>
          <t>""</t>
        </is>
      </c>
      <c r="I127" s="1" t="b">
        <v>0</v>
      </c>
      <c r="J127" s="1" t="b">
        <v>0</v>
      </c>
      <c r="K127" s="1" t="b">
        <v>0</v>
      </c>
      <c r="L127" s="1" t="b">
        <v>0</v>
      </c>
      <c r="M127" s="1" t="b">
        <v>0</v>
      </c>
    </row>
    <row r="128">
      <c r="A128" t="inlineStr">
        <is>
          <t>chemicals</t>
        </is>
      </c>
      <c r="B128" t="inlineStr">
        <is>
          <t>DOI</t>
        </is>
      </c>
      <c r="C128" t="inlineStr">
        <is>
          <t>sbol_wasDerivedFrom</t>
        </is>
      </c>
      <c r="E128">
        <f>CONCATENATE("http://sbols.org/v",Init!$B$1,"#")</f>
        <v/>
      </c>
      <c r="F128" t="inlineStr">
        <is>
          <t>URI</t>
        </is>
      </c>
      <c r="G128" t="inlineStr">
        <is>
          <t>""</t>
        </is>
      </c>
      <c r="I128" s="1" t="b">
        <v>0</v>
      </c>
      <c r="J128" s="1" t="b">
        <v>0</v>
      </c>
      <c r="K128" s="1" t="b">
        <v>0</v>
      </c>
      <c r="L128" s="1" t="b">
        <v>0</v>
      </c>
      <c r="M128" s="1" t="b">
        <v>0</v>
      </c>
    </row>
    <row r="129">
      <c r="A129" t="inlineStr">
        <is>
          <t>chemicals</t>
        </is>
      </c>
      <c r="B129" t="inlineStr">
        <is>
          <t>Update</t>
        </is>
      </c>
      <c r="C129" t="inlineStr">
        <is>
          <t>Not_applicable</t>
        </is>
      </c>
      <c r="F129" t="inlineStr">
        <is>
          <t>String</t>
        </is>
      </c>
      <c r="G129" t="inlineStr">
        <is>
          <t>""</t>
        </is>
      </c>
      <c r="I129" s="1" t="b">
        <v>0</v>
      </c>
      <c r="J129" s="1" t="b">
        <v>0</v>
      </c>
      <c r="K129" s="1" t="b">
        <v>0</v>
      </c>
      <c r="L129" s="1" t="b">
        <v>0</v>
      </c>
      <c r="M129" s="1" t="b">
        <v>0</v>
      </c>
    </row>
    <row r="130">
      <c r="A130" t="inlineStr">
        <is>
          <t>chemicals</t>
        </is>
      </c>
      <c r="B130" t="inlineStr">
        <is>
          <t>URL Checker - Data Source</t>
        </is>
      </c>
      <c r="C130" s="28" t="inlineStr">
        <is>
          <t>Not_applicable</t>
        </is>
      </c>
      <c r="D130" s="28" t="n"/>
      <c r="E130" s="29" t="n"/>
      <c r="F130" s="29" t="inlineStr">
        <is>
          <t>String</t>
        </is>
      </c>
      <c r="G130" s="29" t="inlineStr">
        <is>
          <t>""</t>
        </is>
      </c>
      <c r="H130" s="29" t="n"/>
      <c r="I130" s="30" t="b">
        <v>0</v>
      </c>
      <c r="J130" s="30" t="b">
        <v>0</v>
      </c>
      <c r="K130" s="30" t="b">
        <v>0</v>
      </c>
      <c r="L130" s="30" t="b">
        <v>0</v>
      </c>
      <c r="M130" s="30" t="b">
        <v>0</v>
      </c>
      <c r="N130" s="29" t="n"/>
      <c r="O130" s="29" t="n"/>
      <c r="P130" s="29" t="n"/>
      <c r="Q130" s="29" t="n"/>
    </row>
    <row r="131">
      <c r="A131" t="inlineStr">
        <is>
          <t>chemicals</t>
        </is>
      </c>
      <c r="B131" t="inlineStr">
        <is>
          <t>URL Checker - DOI</t>
        </is>
      </c>
      <c r="C131" s="28" t="inlineStr">
        <is>
          <t>Not_applicable</t>
        </is>
      </c>
      <c r="D131" s="28" t="n"/>
      <c r="E131" s="29" t="n"/>
      <c r="F131" s="29" t="inlineStr">
        <is>
          <t>String</t>
        </is>
      </c>
      <c r="G131" s="29" t="inlineStr">
        <is>
          <t>""</t>
        </is>
      </c>
      <c r="H131" s="29" t="n"/>
      <c r="I131" s="30" t="b">
        <v>0</v>
      </c>
      <c r="J131" s="30" t="b">
        <v>0</v>
      </c>
      <c r="K131" s="30" t="b">
        <v>0</v>
      </c>
      <c r="L131" s="30" t="b">
        <v>0</v>
      </c>
      <c r="M131" s="30" t="b">
        <v>0</v>
      </c>
      <c r="N131" s="29" t="n"/>
      <c r="O131" s="29" t="n"/>
      <c r="P131" s="29" t="n"/>
      <c r="Q131" s="29" t="n"/>
    </row>
    <row r="132">
      <c r="A132" t="inlineStr">
        <is>
          <t>chemicals</t>
        </is>
      </c>
      <c r="B132" t="inlineStr">
        <is>
          <t>URL Checker - Previous Version</t>
        </is>
      </c>
      <c r="C132" s="28" t="inlineStr">
        <is>
          <t>Not_applicable</t>
        </is>
      </c>
      <c r="D132" s="28" t="n"/>
      <c r="E132" s="29" t="n"/>
      <c r="F132" s="29" t="inlineStr">
        <is>
          <t>String</t>
        </is>
      </c>
      <c r="G132" s="29" t="inlineStr">
        <is>
          <t>""</t>
        </is>
      </c>
      <c r="H132" s="29" t="n"/>
      <c r="I132" s="30" t="b">
        <v>0</v>
      </c>
      <c r="J132" s="30" t="b">
        <v>0</v>
      </c>
      <c r="K132" s="30" t="b">
        <v>0</v>
      </c>
      <c r="L132" s="30" t="b">
        <v>0</v>
      </c>
      <c r="M132" s="30" t="b">
        <v>0</v>
      </c>
      <c r="N132" s="29" t="n"/>
      <c r="O132" s="29" t="n"/>
      <c r="P132" s="29" t="n"/>
      <c r="Q132" s="29" t="n"/>
    </row>
    <row r="133">
      <c r="A133" t="inlineStr">
        <is>
          <t>chemicals</t>
        </is>
      </c>
      <c r="B133" t="inlineStr">
        <is>
          <t>URL Checker - URI</t>
        </is>
      </c>
      <c r="C133" s="28" t="inlineStr">
        <is>
          <t>Not_applicable</t>
        </is>
      </c>
      <c r="D133" s="28" t="n"/>
      <c r="E133" s="29" t="n"/>
      <c r="F133" s="29" t="inlineStr">
        <is>
          <t>String</t>
        </is>
      </c>
      <c r="G133" s="29" t="inlineStr">
        <is>
          <t>""</t>
        </is>
      </c>
      <c r="H133" s="29" t="n"/>
      <c r="I133" s="30" t="b">
        <v>0</v>
      </c>
      <c r="J133" s="30" t="b">
        <v>0</v>
      </c>
      <c r="K133" s="30" t="b">
        <v>0</v>
      </c>
      <c r="L133" s="30" t="b">
        <v>0</v>
      </c>
      <c r="M133" s="30" t="b">
        <v>0</v>
      </c>
      <c r="N133" s="29" t="n"/>
      <c r="O133" s="29" t="n"/>
      <c r="P133" s="29" t="n"/>
      <c r="Q133" s="29" t="n"/>
    </row>
    <row r="134">
      <c r="A134" t="inlineStr">
        <is>
          <t>media</t>
        </is>
      </c>
      <c r="B134" t="inlineStr">
        <is>
          <t>Media ID</t>
        </is>
      </c>
      <c r="C134" t="inlineStr">
        <is>
          <t>sbol_displayId</t>
        </is>
      </c>
      <c r="E134">
        <f>CONCATENATE("http://sbols.org/v",Init!$B$1,"#")</f>
        <v/>
      </c>
      <c r="F134" t="inlineStr">
        <is>
          <t>String</t>
        </is>
      </c>
      <c r="G134" t="inlineStr">
        <is>
          <t>""</t>
        </is>
      </c>
      <c r="I134" s="1" t="b">
        <v>0</v>
      </c>
      <c r="J134" s="1" t="b">
        <v>0</v>
      </c>
      <c r="K134" s="1" t="b">
        <v>0</v>
      </c>
      <c r="L134" s="1" t="b">
        <v>0</v>
      </c>
      <c r="M134" s="1" t="b">
        <v>0</v>
      </c>
    </row>
    <row r="135">
      <c r="A135" t="inlineStr">
        <is>
          <t>media</t>
        </is>
      </c>
      <c r="B135" t="inlineStr">
        <is>
          <t>Media Name</t>
        </is>
      </c>
      <c r="C135" t="inlineStr">
        <is>
          <t>sbol_name</t>
        </is>
      </c>
      <c r="E135">
        <f>CONCATENATE("http://sbols.org/v",Init!$B$1,"#")</f>
        <v/>
      </c>
      <c r="F135" t="inlineStr">
        <is>
          <t>String</t>
        </is>
      </c>
      <c r="G135" t="inlineStr">
        <is>
          <t>""</t>
        </is>
      </c>
      <c r="I135" s="1" t="b">
        <v>0</v>
      </c>
      <c r="J135" s="1" t="b">
        <v>0</v>
      </c>
      <c r="K135" s="1" t="b">
        <v>0</v>
      </c>
      <c r="L135" s="1" t="b">
        <v>0</v>
      </c>
      <c r="M135" s="1" t="b">
        <v>0</v>
      </c>
    </row>
    <row r="136">
      <c r="A136" t="inlineStr">
        <is>
          <t>media</t>
        </is>
      </c>
      <c r="B136" t="inlineStr">
        <is>
          <t>Previous Version (URI)</t>
        </is>
      </c>
      <c r="C136" t="inlineStr">
        <is>
          <t>sbol_displayId</t>
        </is>
      </c>
      <c r="E136">
        <f>CONCATENATE("http://sbols.org/v",Init!$B$1,"#")</f>
        <v/>
      </c>
      <c r="F136" t="inlineStr">
        <is>
          <t>String</t>
        </is>
      </c>
      <c r="G136" t="inlineStr">
        <is>
          <t>""</t>
        </is>
      </c>
      <c r="I136" s="1" t="b">
        <v>0</v>
      </c>
      <c r="J136" s="1" t="b">
        <v>0</v>
      </c>
      <c r="K136" s="1" t="b">
        <v>0</v>
      </c>
      <c r="L136" s="1" t="b">
        <v>0</v>
      </c>
      <c r="M136" s="1" t="b">
        <v>0</v>
      </c>
    </row>
    <row r="137">
      <c r="A137" t="inlineStr">
        <is>
          <t>media</t>
        </is>
      </c>
      <c r="B137" t="inlineStr">
        <is>
          <t>Media Description</t>
        </is>
      </c>
      <c r="C137" t="inlineStr">
        <is>
          <t>sbol_description</t>
        </is>
      </c>
      <c r="E137" t="inlineStr">
        <is>
          <t>http://purl.org/dc/terms/#</t>
        </is>
      </c>
      <c r="F137" t="inlineStr">
        <is>
          <t>String</t>
        </is>
      </c>
      <c r="G137" t="inlineStr">
        <is>
          <t>""</t>
        </is>
      </c>
      <c r="I137" s="1" t="b">
        <v>0</v>
      </c>
      <c r="J137" s="1" t="b">
        <v>0</v>
      </c>
      <c r="K137" s="1" t="b">
        <v>0</v>
      </c>
      <c r="L137" s="1" t="b">
        <v>0</v>
      </c>
      <c r="M137" s="1" t="b">
        <v>0</v>
      </c>
    </row>
    <row r="138">
      <c r="A138" t="inlineStr">
        <is>
          <t>media</t>
        </is>
      </c>
      <c r="B138" t="inlineStr">
        <is>
          <t>Data Source</t>
        </is>
      </c>
      <c r="C138" t="inlineStr">
        <is>
          <t>sbol_wasDerivedFrom</t>
        </is>
      </c>
      <c r="E138">
        <f>CONCATENATE("http://sbols.org/v",Init!$B$1,"#")</f>
        <v/>
      </c>
      <c r="F138" t="inlineStr">
        <is>
          <t>URI</t>
        </is>
      </c>
      <c r="G138" t="inlineStr">
        <is>
          <t>""</t>
        </is>
      </c>
      <c r="I138" s="1" t="b">
        <v>0</v>
      </c>
      <c r="J138" s="1" t="b">
        <v>0</v>
      </c>
      <c r="K138" s="1" t="b">
        <v>0</v>
      </c>
      <c r="L138" s="1" t="b">
        <v>0</v>
      </c>
      <c r="M138" s="1" t="b">
        <v>0</v>
      </c>
    </row>
    <row r="139">
      <c r="A139" t="inlineStr">
        <is>
          <t>media</t>
        </is>
      </c>
      <c r="B139" t="inlineStr">
        <is>
          <t>PubMed ID</t>
        </is>
      </c>
      <c r="C139" t="inlineStr">
        <is>
          <t xml:space="preserve">obo_OBI_0001617
</t>
        </is>
      </c>
      <c r="E139" t="inlineStr">
        <is>
          <t>http://purl.obolibrary.org/obo/</t>
        </is>
      </c>
      <c r="F139" t="inlineStr">
        <is>
          <t>String</t>
        </is>
      </c>
      <c r="G139" t="inlineStr">
        <is>
          <t>""</t>
        </is>
      </c>
      <c r="I139" s="1" t="b">
        <v>0</v>
      </c>
      <c r="J139" s="1" t="b">
        <v>0</v>
      </c>
      <c r="K139" s="1" t="b">
        <v>0</v>
      </c>
      <c r="L139" s="1" t="b">
        <v>0</v>
      </c>
      <c r="M139" s="1" t="b">
        <v>0</v>
      </c>
    </row>
    <row r="140">
      <c r="A140" t="inlineStr">
        <is>
          <t>media</t>
        </is>
      </c>
      <c r="B140" t="inlineStr">
        <is>
          <t>DOI</t>
        </is>
      </c>
      <c r="C140" t="inlineStr">
        <is>
          <t>sbol_wasDerivedFrom</t>
        </is>
      </c>
      <c r="E140">
        <f>CONCATENATE("http://sbols.org/v",Init!$B$1,"#")</f>
        <v/>
      </c>
      <c r="F140" t="inlineStr">
        <is>
          <t>URI</t>
        </is>
      </c>
      <c r="G140" t="inlineStr">
        <is>
          <t>""</t>
        </is>
      </c>
      <c r="I140" s="1" t="b">
        <v>0</v>
      </c>
      <c r="J140" s="1" t="b">
        <v>0</v>
      </c>
      <c r="K140" s="1" t="b">
        <v>0</v>
      </c>
      <c r="L140" s="1" t="b">
        <v>0</v>
      </c>
      <c r="M140" s="1" t="b">
        <v>0</v>
      </c>
    </row>
    <row r="141">
      <c r="A141" t="inlineStr">
        <is>
          <t>media</t>
        </is>
      </c>
      <c r="B141" t="inlineStr">
        <is>
          <t>URI</t>
        </is>
      </c>
      <c r="C141" t="inlineStr">
        <is>
          <t>Not_applicable</t>
        </is>
      </c>
      <c r="F141" t="inlineStr">
        <is>
          <t>String</t>
        </is>
      </c>
      <c r="G141" t="inlineStr">
        <is>
          <t>""</t>
        </is>
      </c>
      <c r="I141" s="1" t="b">
        <v>0</v>
      </c>
      <c r="J141" s="1" t="b">
        <v>0</v>
      </c>
      <c r="K141" s="1" t="b">
        <v>0</v>
      </c>
      <c r="L141" s="1" t="b">
        <v>0</v>
      </c>
      <c r="M141" s="1" t="b">
        <v>0</v>
      </c>
    </row>
    <row r="142">
      <c r="A142" t="inlineStr">
        <is>
          <t>media</t>
        </is>
      </c>
      <c r="B142" t="inlineStr">
        <is>
          <t>Update</t>
        </is>
      </c>
      <c r="C142" t="inlineStr">
        <is>
          <t>Not_applicable</t>
        </is>
      </c>
      <c r="F142" t="inlineStr">
        <is>
          <t>String</t>
        </is>
      </c>
      <c r="G142" t="inlineStr">
        <is>
          <t>""</t>
        </is>
      </c>
      <c r="I142" s="1" t="b">
        <v>0</v>
      </c>
      <c r="J142" s="1" t="b">
        <v>0</v>
      </c>
      <c r="K142" s="1" t="b">
        <v>0</v>
      </c>
      <c r="L142" s="1" t="b">
        <v>0</v>
      </c>
      <c r="M142" s="1" t="b">
        <v>0</v>
      </c>
    </row>
    <row r="143">
      <c r="A143" t="inlineStr">
        <is>
          <t>media</t>
        </is>
      </c>
      <c r="B143" t="inlineStr">
        <is>
          <t>URL Checker - Data Source</t>
        </is>
      </c>
      <c r="C143" s="28" t="inlineStr">
        <is>
          <t>Not_applicable</t>
        </is>
      </c>
      <c r="D143" s="28" t="n"/>
      <c r="E143" s="29" t="n"/>
      <c r="F143" s="29" t="inlineStr">
        <is>
          <t>String</t>
        </is>
      </c>
      <c r="G143" s="29" t="inlineStr">
        <is>
          <t>""</t>
        </is>
      </c>
      <c r="H143" s="29" t="n"/>
      <c r="I143" s="30" t="b">
        <v>0</v>
      </c>
      <c r="J143" s="30" t="b">
        <v>0</v>
      </c>
      <c r="K143" s="30" t="b">
        <v>0</v>
      </c>
      <c r="L143" s="30" t="b">
        <v>0</v>
      </c>
      <c r="M143" s="30" t="b">
        <v>0</v>
      </c>
      <c r="N143" s="29" t="n"/>
      <c r="O143" s="29" t="n"/>
      <c r="P143" s="29" t="n"/>
      <c r="Q143" s="29" t="n"/>
    </row>
    <row r="144">
      <c r="A144" t="inlineStr">
        <is>
          <t>media</t>
        </is>
      </c>
      <c r="B144" t="inlineStr">
        <is>
          <t>URL Checker - DOI</t>
        </is>
      </c>
      <c r="C144" s="28" t="inlineStr">
        <is>
          <t>Not_applicable</t>
        </is>
      </c>
      <c r="D144" s="28" t="n"/>
      <c r="E144" s="29" t="n"/>
      <c r="F144" s="29" t="inlineStr">
        <is>
          <t>String</t>
        </is>
      </c>
      <c r="G144" s="29" t="inlineStr">
        <is>
          <t>""</t>
        </is>
      </c>
      <c r="H144" s="29" t="n"/>
      <c r="I144" s="30" t="b">
        <v>0</v>
      </c>
      <c r="J144" s="30" t="b">
        <v>0</v>
      </c>
      <c r="K144" s="30" t="b">
        <v>0</v>
      </c>
      <c r="L144" s="30" t="b">
        <v>0</v>
      </c>
      <c r="M144" s="30" t="b">
        <v>0</v>
      </c>
      <c r="N144" s="29" t="n"/>
      <c r="O144" s="29" t="n"/>
      <c r="P144" s="29" t="n"/>
      <c r="Q144" s="29" t="n"/>
    </row>
    <row r="145">
      <c r="A145" t="inlineStr">
        <is>
          <t>media</t>
        </is>
      </c>
      <c r="B145" t="inlineStr">
        <is>
          <t>URL Checker - Previous Version</t>
        </is>
      </c>
      <c r="C145" s="28" t="inlineStr">
        <is>
          <t>Not_applicable</t>
        </is>
      </c>
      <c r="D145" s="28" t="n"/>
      <c r="E145" s="29" t="n"/>
      <c r="F145" s="29" t="inlineStr">
        <is>
          <t>String</t>
        </is>
      </c>
      <c r="G145" s="29" t="inlineStr">
        <is>
          <t>""</t>
        </is>
      </c>
      <c r="H145" s="29" t="n"/>
      <c r="I145" s="30" t="b">
        <v>0</v>
      </c>
      <c r="J145" s="30" t="b">
        <v>0</v>
      </c>
      <c r="K145" s="30" t="b">
        <v>0</v>
      </c>
      <c r="L145" s="30" t="b">
        <v>0</v>
      </c>
      <c r="M145" s="30" t="b">
        <v>0</v>
      </c>
      <c r="N145" s="29" t="n"/>
      <c r="O145" s="29" t="n"/>
      <c r="P145" s="29" t="n"/>
      <c r="Q145" s="29" t="n"/>
    </row>
    <row r="146">
      <c r="A146" t="inlineStr">
        <is>
          <t>media</t>
        </is>
      </c>
      <c r="B146" t="inlineStr">
        <is>
          <t>URL Checker - URI</t>
        </is>
      </c>
      <c r="C146" s="28" t="inlineStr">
        <is>
          <t>Not_applicable</t>
        </is>
      </c>
      <c r="D146" s="28" t="n"/>
      <c r="E146" s="29" t="n"/>
      <c r="F146" s="29" t="inlineStr">
        <is>
          <t>String</t>
        </is>
      </c>
      <c r="G146" s="29" t="inlineStr">
        <is>
          <t>""</t>
        </is>
      </c>
      <c r="H146" s="29" t="n"/>
      <c r="I146" s="30" t="b">
        <v>0</v>
      </c>
      <c r="J146" s="30" t="b">
        <v>0</v>
      </c>
      <c r="K146" s="30" t="b">
        <v>0</v>
      </c>
      <c r="L146" s="30" t="b">
        <v>0</v>
      </c>
      <c r="M146" s="30" t="b">
        <v>0</v>
      </c>
      <c r="N146" s="29" t="n"/>
      <c r="O146" s="29" t="n"/>
      <c r="P146" s="29" t="n"/>
      <c r="Q146" s="29" t="n"/>
    </row>
    <row r="147">
      <c r="A147" t="inlineStr">
        <is>
          <t>signal</t>
        </is>
      </c>
      <c r="B147" t="inlineStr">
        <is>
          <t>Signal ID</t>
        </is>
      </c>
      <c r="C147" t="inlineStr">
        <is>
          <t>sbol_displayId</t>
        </is>
      </c>
      <c r="E147">
        <f>CONCATENATE("http://sbols.org/v",Init!$B$1,"#")</f>
        <v/>
      </c>
      <c r="F147" t="inlineStr">
        <is>
          <t>String</t>
        </is>
      </c>
      <c r="G147" t="inlineStr">
        <is>
          <t>""</t>
        </is>
      </c>
      <c r="I147" s="1" t="b">
        <v>0</v>
      </c>
      <c r="J147" s="1" t="b">
        <v>0</v>
      </c>
      <c r="K147" s="1" t="b">
        <v>0</v>
      </c>
      <c r="L147" s="1" t="b">
        <v>0</v>
      </c>
      <c r="M147" s="1" t="b">
        <v>0</v>
      </c>
    </row>
    <row r="148">
      <c r="A148" t="inlineStr">
        <is>
          <t>signal</t>
        </is>
      </c>
      <c r="B148" t="inlineStr">
        <is>
          <t>Signal Name</t>
        </is>
      </c>
      <c r="C148" t="inlineStr">
        <is>
          <t>sbol_name</t>
        </is>
      </c>
      <c r="E148">
        <f>CONCATENATE("http://sbols.org/v",Init!$B$1,"#")</f>
        <v/>
      </c>
      <c r="F148" t="inlineStr">
        <is>
          <t>String</t>
        </is>
      </c>
      <c r="G148" t="inlineStr">
        <is>
          <t>""</t>
        </is>
      </c>
      <c r="I148" s="1" t="b">
        <v>0</v>
      </c>
      <c r="J148" s="1" t="b">
        <v>0</v>
      </c>
      <c r="K148" s="1" t="b">
        <v>0</v>
      </c>
      <c r="L148" s="1" t="b">
        <v>0</v>
      </c>
      <c r="M148" s="1" t="b">
        <v>0</v>
      </c>
    </row>
    <row r="149">
      <c r="A149" t="inlineStr">
        <is>
          <t>signal</t>
        </is>
      </c>
      <c r="B149" t="inlineStr">
        <is>
          <t>Previous Version (URI)</t>
        </is>
      </c>
      <c r="C149" t="inlineStr">
        <is>
          <t>sbol_displayId</t>
        </is>
      </c>
      <c r="E149">
        <f>CONCATENATE("http://sbols.org/v",Init!$B$1,"#")</f>
        <v/>
      </c>
      <c r="F149" t="inlineStr">
        <is>
          <t>String</t>
        </is>
      </c>
      <c r="G149" t="inlineStr">
        <is>
          <t>""</t>
        </is>
      </c>
      <c r="I149" s="1" t="b">
        <v>0</v>
      </c>
      <c r="J149" s="1" t="b">
        <v>0</v>
      </c>
      <c r="K149" s="1" t="b">
        <v>0</v>
      </c>
      <c r="L149" s="1" t="b">
        <v>0</v>
      </c>
      <c r="M149" s="1" t="b">
        <v>0</v>
      </c>
    </row>
    <row r="150">
      <c r="A150" t="inlineStr">
        <is>
          <t>signal</t>
        </is>
      </c>
      <c r="B150" t="inlineStr">
        <is>
          <t>Signal Description</t>
        </is>
      </c>
      <c r="C150" t="inlineStr">
        <is>
          <t>sbol_description</t>
        </is>
      </c>
      <c r="E150" t="inlineStr">
        <is>
          <t>http://purl.org/dc/terms/#</t>
        </is>
      </c>
      <c r="F150" t="inlineStr">
        <is>
          <t>String</t>
        </is>
      </c>
      <c r="G150" t="inlineStr">
        <is>
          <t>""</t>
        </is>
      </c>
      <c r="I150" s="1" t="b">
        <v>0</v>
      </c>
      <c r="J150" s="1" t="b">
        <v>0</v>
      </c>
      <c r="K150" s="1" t="b">
        <v>0</v>
      </c>
      <c r="L150" s="1" t="b">
        <v>0</v>
      </c>
      <c r="M150" s="1" t="b">
        <v>0</v>
      </c>
    </row>
    <row r="151">
      <c r="A151" t="inlineStr">
        <is>
          <t>signal</t>
        </is>
      </c>
      <c r="B151" t="inlineStr">
        <is>
          <t>Signal Color</t>
        </is>
      </c>
      <c r="C151" t="inlineStr">
        <is>
          <t>fj_color</t>
        </is>
      </c>
      <c r="E151" s="36" t="inlineStr">
        <is>
          <t>https://wiki.synbiohub.org/wiki/Terms/Flapjack#</t>
        </is>
      </c>
      <c r="F151" t="inlineStr">
        <is>
          <t>String</t>
        </is>
      </c>
      <c r="G151" t="inlineStr">
        <is>
          <t>""</t>
        </is>
      </c>
      <c r="I151" s="1" t="b">
        <v>0</v>
      </c>
      <c r="J151" s="1" t="b">
        <v>0</v>
      </c>
      <c r="K151" s="1" t="b">
        <v>0</v>
      </c>
      <c r="L151" s="1" t="b">
        <v>0</v>
      </c>
      <c r="M151" s="1" t="b">
        <v>0</v>
      </c>
    </row>
    <row r="152">
      <c r="A152" t="inlineStr">
        <is>
          <t>signal</t>
        </is>
      </c>
      <c r="B152" t="inlineStr">
        <is>
          <t>Data Source</t>
        </is>
      </c>
      <c r="C152" t="inlineStr">
        <is>
          <t>sbol_wasDerivedFrom</t>
        </is>
      </c>
      <c r="E152">
        <f>CONCATENATE("http://sbols.org/v",Init!$B$1,"#")</f>
        <v/>
      </c>
      <c r="F152" t="inlineStr">
        <is>
          <t>URI</t>
        </is>
      </c>
      <c r="G152" t="inlineStr">
        <is>
          <t>""</t>
        </is>
      </c>
      <c r="I152" s="1" t="b">
        <v>0</v>
      </c>
      <c r="J152" s="1" t="b">
        <v>0</v>
      </c>
      <c r="K152" s="1" t="b">
        <v>0</v>
      </c>
      <c r="L152" s="1" t="b">
        <v>0</v>
      </c>
      <c r="M152" s="1" t="b">
        <v>0</v>
      </c>
    </row>
    <row r="153">
      <c r="A153" t="inlineStr">
        <is>
          <t>signal</t>
        </is>
      </c>
      <c r="B153" t="inlineStr">
        <is>
          <t>PubMed Id</t>
        </is>
      </c>
      <c r="C153" t="inlineStr">
        <is>
          <t xml:space="preserve">obo_OBI_0001617
</t>
        </is>
      </c>
      <c r="E153" t="inlineStr">
        <is>
          <t>http://purl.obolibrary.org/obo/</t>
        </is>
      </c>
      <c r="F153" t="inlineStr">
        <is>
          <t>String</t>
        </is>
      </c>
      <c r="G153" t="inlineStr">
        <is>
          <t>""</t>
        </is>
      </c>
      <c r="I153" s="1" t="b">
        <v>0</v>
      </c>
      <c r="J153" s="1" t="b">
        <v>0</v>
      </c>
      <c r="K153" s="1" t="b">
        <v>0</v>
      </c>
      <c r="L153" s="1" t="b">
        <v>0</v>
      </c>
      <c r="M153" s="1" t="b">
        <v>0</v>
      </c>
    </row>
    <row r="154">
      <c r="A154" t="inlineStr">
        <is>
          <t>signal</t>
        </is>
      </c>
      <c r="B154" t="inlineStr">
        <is>
          <t>DOI</t>
        </is>
      </c>
      <c r="C154" t="inlineStr">
        <is>
          <t>sbol_wasDerivedFrom</t>
        </is>
      </c>
      <c r="E154">
        <f>CONCATENATE("http://sbols.org/v",Init!$B$1,"#")</f>
        <v/>
      </c>
      <c r="F154" t="inlineStr">
        <is>
          <t>URI</t>
        </is>
      </c>
      <c r="G154" t="inlineStr">
        <is>
          <t>""</t>
        </is>
      </c>
      <c r="I154" s="1" t="b">
        <v>0</v>
      </c>
      <c r="J154" s="1" t="b">
        <v>0</v>
      </c>
      <c r="K154" s="1" t="b">
        <v>0</v>
      </c>
      <c r="L154" s="1" t="b">
        <v>0</v>
      </c>
      <c r="M154" s="1" t="b">
        <v>0</v>
      </c>
    </row>
    <row r="155">
      <c r="A155" t="inlineStr">
        <is>
          <t>signal</t>
        </is>
      </c>
      <c r="B155" t="inlineStr">
        <is>
          <t>URI</t>
        </is>
      </c>
      <c r="C155" t="inlineStr">
        <is>
          <t>Not_applicable</t>
        </is>
      </c>
      <c r="F155" t="inlineStr">
        <is>
          <t>String</t>
        </is>
      </c>
      <c r="G155" t="inlineStr">
        <is>
          <t>""</t>
        </is>
      </c>
      <c r="I155" s="1" t="b">
        <v>0</v>
      </c>
      <c r="J155" s="1" t="b">
        <v>0</v>
      </c>
      <c r="K155" s="1" t="b">
        <v>0</v>
      </c>
      <c r="L155" s="1" t="b">
        <v>0</v>
      </c>
      <c r="M155" s="1" t="b">
        <v>0</v>
      </c>
    </row>
    <row r="156">
      <c r="A156" t="inlineStr">
        <is>
          <t>signal</t>
        </is>
      </c>
      <c r="B156" t="inlineStr">
        <is>
          <t>Update</t>
        </is>
      </c>
      <c r="C156" t="inlineStr">
        <is>
          <t>Not_applicable</t>
        </is>
      </c>
      <c r="F156" t="inlineStr">
        <is>
          <t>String</t>
        </is>
      </c>
      <c r="G156" t="inlineStr">
        <is>
          <t>""</t>
        </is>
      </c>
      <c r="I156" s="1" t="b">
        <v>0</v>
      </c>
      <c r="J156" s="1" t="b">
        <v>0</v>
      </c>
      <c r="K156" s="1" t="b">
        <v>0</v>
      </c>
      <c r="L156" s="1" t="b">
        <v>0</v>
      </c>
      <c r="M156" s="1" t="b">
        <v>0</v>
      </c>
    </row>
    <row r="157">
      <c r="A157" t="inlineStr">
        <is>
          <t>signal</t>
        </is>
      </c>
      <c r="B157" t="inlineStr">
        <is>
          <t>URL Checker - Data Source</t>
        </is>
      </c>
      <c r="C157" s="28" t="inlineStr">
        <is>
          <t>Not_applicable</t>
        </is>
      </c>
      <c r="D157" s="28" t="n"/>
      <c r="E157" s="29" t="n"/>
      <c r="F157" s="29" t="inlineStr">
        <is>
          <t>String</t>
        </is>
      </c>
      <c r="G157" s="29" t="inlineStr">
        <is>
          <t>""</t>
        </is>
      </c>
      <c r="H157" s="29" t="n"/>
      <c r="I157" s="30" t="b">
        <v>0</v>
      </c>
      <c r="J157" s="30" t="b">
        <v>0</v>
      </c>
      <c r="K157" s="30" t="b">
        <v>0</v>
      </c>
      <c r="L157" s="30" t="b">
        <v>0</v>
      </c>
      <c r="M157" s="30" t="b">
        <v>0</v>
      </c>
      <c r="N157" s="29" t="n"/>
      <c r="O157" s="29" t="n"/>
      <c r="P157" s="29" t="n"/>
      <c r="Q157" s="29" t="n"/>
    </row>
    <row r="158">
      <c r="A158" t="inlineStr">
        <is>
          <t>signal</t>
        </is>
      </c>
      <c r="B158" t="inlineStr">
        <is>
          <t>URL Checker - DOI</t>
        </is>
      </c>
      <c r="C158" s="28" t="inlineStr">
        <is>
          <t>Not_applicable</t>
        </is>
      </c>
      <c r="D158" s="28" t="n"/>
      <c r="E158" s="29" t="n"/>
      <c r="F158" s="29" t="inlineStr">
        <is>
          <t>String</t>
        </is>
      </c>
      <c r="G158" s="29" t="inlineStr">
        <is>
          <t>""</t>
        </is>
      </c>
      <c r="H158" s="29" t="n"/>
      <c r="I158" s="30" t="b">
        <v>0</v>
      </c>
      <c r="J158" s="30" t="b">
        <v>0</v>
      </c>
      <c r="K158" s="30" t="b">
        <v>0</v>
      </c>
      <c r="L158" s="30" t="b">
        <v>0</v>
      </c>
      <c r="M158" s="30" t="b">
        <v>0</v>
      </c>
      <c r="N158" s="29" t="n"/>
      <c r="O158" s="29" t="n"/>
      <c r="P158" s="29" t="n"/>
      <c r="Q158" s="29" t="n"/>
    </row>
    <row r="159">
      <c r="A159" t="inlineStr">
        <is>
          <t>signal</t>
        </is>
      </c>
      <c r="B159" t="inlineStr">
        <is>
          <t>URL Checker - Previous Version</t>
        </is>
      </c>
      <c r="C159" s="28" t="inlineStr">
        <is>
          <t>Not_applicable</t>
        </is>
      </c>
      <c r="D159" s="28" t="n"/>
      <c r="E159" s="29" t="n"/>
      <c r="F159" s="29" t="inlineStr">
        <is>
          <t>String</t>
        </is>
      </c>
      <c r="G159" s="29" t="inlineStr">
        <is>
          <t>""</t>
        </is>
      </c>
      <c r="H159" s="29" t="n"/>
      <c r="I159" s="30" t="b">
        <v>0</v>
      </c>
      <c r="J159" s="30" t="b">
        <v>0</v>
      </c>
      <c r="K159" s="30" t="b">
        <v>0</v>
      </c>
      <c r="L159" s="30" t="b">
        <v>0</v>
      </c>
      <c r="M159" s="30" t="b">
        <v>0</v>
      </c>
      <c r="N159" s="29" t="n"/>
      <c r="O159" s="29" t="n"/>
      <c r="P159" s="29" t="n"/>
      <c r="Q159" s="29" t="n"/>
    </row>
    <row r="160">
      <c r="A160" t="inlineStr">
        <is>
          <t>signal</t>
        </is>
      </c>
      <c r="B160" t="inlineStr">
        <is>
          <t>URL Checker - URI</t>
        </is>
      </c>
      <c r="C160" s="28" t="inlineStr">
        <is>
          <t>Not_applicable</t>
        </is>
      </c>
      <c r="D160" s="28" t="n"/>
      <c r="E160" s="29" t="n"/>
      <c r="F160" s="29" t="inlineStr">
        <is>
          <t>String</t>
        </is>
      </c>
      <c r="G160" s="29" t="inlineStr">
        <is>
          <t>""</t>
        </is>
      </c>
      <c r="H160" s="29" t="n"/>
      <c r="I160" s="30" t="b">
        <v>0</v>
      </c>
      <c r="J160" s="30" t="b">
        <v>0</v>
      </c>
      <c r="K160" s="30" t="b">
        <v>0</v>
      </c>
      <c r="L160" s="30" t="b">
        <v>0</v>
      </c>
      <c r="M160" s="30" t="b">
        <v>0</v>
      </c>
      <c r="N160" s="29" t="n"/>
      <c r="O160" s="29" t="n"/>
      <c r="P160" s="29" t="n"/>
      <c r="Q160" s="29" t="n"/>
    </row>
    <row r="161">
      <c r="A161" t="inlineStr">
        <is>
          <t>Init</t>
        </is>
      </c>
      <c r="B161" t="inlineStr">
        <is>
          <t>SBOL Object Type</t>
        </is>
      </c>
      <c r="C161" t="inlineStr">
        <is>
          <t>sbol_objectType</t>
        </is>
      </c>
      <c r="E161">
        <f>CONCATENATE("http://sbols.org/v",Init!$B$1,"#")</f>
        <v/>
      </c>
      <c r="F161" t="inlineStr">
        <is>
          <t>String</t>
        </is>
      </c>
      <c r="G161" t="inlineStr">
        <is>
          <t>""</t>
        </is>
      </c>
      <c r="I161" s="1" t="b">
        <v>0</v>
      </c>
      <c r="J161" s="1" t="b">
        <v>0</v>
      </c>
      <c r="K161" s="1" t="b">
        <v>0</v>
      </c>
      <c r="L161" s="1" t="b">
        <v>0</v>
      </c>
      <c r="M161" s="1" t="b">
        <v>0</v>
      </c>
    </row>
    <row r="162">
      <c r="A162" t="inlineStr">
        <is>
          <t>Init</t>
        </is>
      </c>
      <c r="B162" t="inlineStr">
        <is>
          <t>Molecule Type</t>
        </is>
      </c>
      <c r="C162" t="inlineStr">
        <is>
          <t>sbol_types</t>
        </is>
      </c>
      <c r="E162">
        <f>CONCATENATE("http://sbols.org/v",Init!$B$1,"#")</f>
        <v/>
      </c>
      <c r="F162" t="inlineStr">
        <is>
          <t>URI</t>
        </is>
      </c>
      <c r="G162" t="inlineStr">
        <is>
          <t>""</t>
        </is>
      </c>
      <c r="I162" s="1" t="b">
        <v>0</v>
      </c>
      <c r="J162" s="1" t="b">
        <v>1</v>
      </c>
      <c r="K162" s="1" t="b">
        <v>0</v>
      </c>
      <c r="L162" s="1" t="b">
        <v>0</v>
      </c>
      <c r="M162" s="1" t="b">
        <v>0</v>
      </c>
      <c r="N162" t="inlineStr">
        <is>
          <t>molecule_types</t>
        </is>
      </c>
      <c r="O162" t="inlineStr">
        <is>
          <t>A</t>
        </is>
      </c>
      <c r="P162" t="inlineStr">
        <is>
          <t>B</t>
        </is>
      </c>
    </row>
    <row r="163">
      <c r="A163" t="inlineStr">
        <is>
          <t>Init</t>
        </is>
      </c>
      <c r="B163" t="inlineStr">
        <is>
          <t>Role</t>
        </is>
      </c>
      <c r="C163" t="inlineStr">
        <is>
          <t>sbol_roles</t>
        </is>
      </c>
      <c r="E163">
        <f>CONCATENATE("http://sbols.org/v",Init!$B$1,"#")</f>
        <v/>
      </c>
      <c r="F163" t="inlineStr">
        <is>
          <t>URI</t>
        </is>
      </c>
      <c r="G163" t="inlineStr">
        <is>
          <t>":"</t>
        </is>
      </c>
      <c r="I163" s="1" t="b">
        <v>0</v>
      </c>
      <c r="J163" s="1" t="b">
        <v>1</v>
      </c>
      <c r="K163" s="1" t="b">
        <v>0</v>
      </c>
      <c r="L163" s="1" t="b">
        <v>0</v>
      </c>
      <c r="M163" s="1" t="b">
        <v>0</v>
      </c>
      <c r="N163" t="inlineStr">
        <is>
          <t>Ontology Terms</t>
        </is>
      </c>
      <c r="O163" t="inlineStr">
        <is>
          <t>A</t>
        </is>
      </c>
      <c r="P163" t="inlineStr">
        <is>
          <t>B</t>
        </is>
      </c>
      <c r="Q163" t="inlineStr">
        <is>
          <t>SO</t>
        </is>
      </c>
    </row>
  </sheetData>
  <conditionalFormatting sqref="I2:M3 I5:M13 I19:M20 I22:M29 I35:M45 I51:M52 I54:M60 I66:M67 I69:M76 I82:M83 I85:M90 I96:M97 I99:M103 I112:I115 I122:M128 I133:M140 I161:M163">
    <cfRule type="cellIs" priority="287" operator="equal" dxfId="7">
      <formula>TRUE</formula>
    </cfRule>
    <cfRule type="cellIs" priority="288" operator="equal" dxfId="6">
      <formula>FALSE</formula>
    </cfRule>
  </conditionalFormatting>
  <conditionalFormatting sqref="I4:M4">
    <cfRule type="cellIs" priority="281" operator="equal" dxfId="7">
      <formula>TRUE</formula>
    </cfRule>
    <cfRule type="cellIs" priority="282" operator="equal" dxfId="6">
      <formula>FALSE</formula>
    </cfRule>
  </conditionalFormatting>
  <conditionalFormatting sqref="I21:M21">
    <cfRule type="cellIs" priority="275" operator="equal" dxfId="7">
      <formula>TRUE</formula>
    </cfRule>
    <cfRule type="cellIs" priority="276" operator="equal" dxfId="6">
      <formula>FALSE</formula>
    </cfRule>
  </conditionalFormatting>
  <conditionalFormatting sqref="I53:M53">
    <cfRule type="cellIs" priority="273" operator="equal" dxfId="7">
      <formula>TRUE</formula>
    </cfRule>
    <cfRule type="cellIs" priority="274" operator="equal" dxfId="6">
      <formula>FALSE</formula>
    </cfRule>
  </conditionalFormatting>
  <conditionalFormatting sqref="I68:M68">
    <cfRule type="cellIs" priority="271" operator="equal" dxfId="7">
      <formula>TRUE</formula>
    </cfRule>
    <cfRule type="cellIs" priority="272" operator="equal" dxfId="6">
      <formula>FALSE</formula>
    </cfRule>
  </conditionalFormatting>
  <conditionalFormatting sqref="I84:M84">
    <cfRule type="cellIs" priority="269" operator="equal" dxfId="7">
      <formula>TRUE</formula>
    </cfRule>
    <cfRule type="cellIs" priority="270" operator="equal" dxfId="6">
      <formula>FALSE</formula>
    </cfRule>
  </conditionalFormatting>
  <conditionalFormatting sqref="I98:M98">
    <cfRule type="cellIs" priority="267" operator="equal" dxfId="7">
      <formula>TRUE</formula>
    </cfRule>
    <cfRule type="cellIs" priority="268" operator="equal" dxfId="6">
      <formula>FALSE</formula>
    </cfRule>
  </conditionalFormatting>
  <conditionalFormatting sqref="I109:M110 J112:M115">
    <cfRule type="cellIs" priority="261" operator="equal" dxfId="7">
      <formula>TRUE</formula>
    </cfRule>
    <cfRule type="cellIs" priority="262" operator="equal" dxfId="6">
      <formula>FALSE</formula>
    </cfRule>
  </conditionalFormatting>
  <conditionalFormatting sqref="I111:M111">
    <cfRule type="cellIs" priority="259" operator="equal" dxfId="7">
      <formula>TRUE</formula>
    </cfRule>
    <cfRule type="cellIs" priority="260" operator="equal" dxfId="6">
      <formula>FALSE</formula>
    </cfRule>
  </conditionalFormatting>
  <conditionalFormatting sqref="I116:I117">
    <cfRule type="cellIs" priority="257" operator="equal" dxfId="7">
      <formula>TRUE</formula>
    </cfRule>
    <cfRule type="cellIs" priority="258" operator="equal" dxfId="6">
      <formula>FALSE</formula>
    </cfRule>
  </conditionalFormatting>
  <conditionalFormatting sqref="J116">
    <cfRule type="cellIs" priority="255" operator="equal" dxfId="7">
      <formula>TRUE</formula>
    </cfRule>
    <cfRule type="cellIs" priority="256" operator="equal" dxfId="6">
      <formula>FALSE</formula>
    </cfRule>
  </conditionalFormatting>
  <conditionalFormatting sqref="J117">
    <cfRule type="cellIs" priority="253" operator="equal" dxfId="7">
      <formula>TRUE</formula>
    </cfRule>
    <cfRule type="cellIs" priority="254" operator="equal" dxfId="6">
      <formula>FALSE</formula>
    </cfRule>
  </conditionalFormatting>
  <conditionalFormatting sqref="K116">
    <cfRule type="cellIs" priority="251" operator="equal" dxfId="7">
      <formula>TRUE</formula>
    </cfRule>
    <cfRule type="cellIs" priority="252" operator="equal" dxfId="6">
      <formula>FALSE</formula>
    </cfRule>
  </conditionalFormatting>
  <conditionalFormatting sqref="K117">
    <cfRule type="cellIs" priority="249" operator="equal" dxfId="7">
      <formula>TRUE</formula>
    </cfRule>
    <cfRule type="cellIs" priority="250" operator="equal" dxfId="6">
      <formula>FALSE</formula>
    </cfRule>
  </conditionalFormatting>
  <conditionalFormatting sqref="L116">
    <cfRule type="cellIs" priority="247" operator="equal" dxfId="7">
      <formula>TRUE</formula>
    </cfRule>
    <cfRule type="cellIs" priority="248" operator="equal" dxfId="6">
      <formula>FALSE</formula>
    </cfRule>
  </conditionalFormatting>
  <conditionalFormatting sqref="L117">
    <cfRule type="cellIs" priority="245" operator="equal" dxfId="7">
      <formula>TRUE</formula>
    </cfRule>
    <cfRule type="cellIs" priority="246" operator="equal" dxfId="6">
      <formula>FALSE</formula>
    </cfRule>
  </conditionalFormatting>
  <conditionalFormatting sqref="M116">
    <cfRule type="cellIs" priority="243" operator="equal" dxfId="7">
      <formula>TRUE</formula>
    </cfRule>
    <cfRule type="cellIs" priority="244" operator="equal" dxfId="6">
      <formula>FALSE</formula>
    </cfRule>
  </conditionalFormatting>
  <conditionalFormatting sqref="M117">
    <cfRule type="cellIs" priority="241" operator="equal" dxfId="7">
      <formula>TRUE</formula>
    </cfRule>
    <cfRule type="cellIs" priority="242" operator="equal" dxfId="6">
      <formula>FALSE</formula>
    </cfRule>
  </conditionalFormatting>
  <conditionalFormatting sqref="I128:I129">
    <cfRule type="cellIs" priority="239" operator="equal" dxfId="7">
      <formula>TRUE</formula>
    </cfRule>
    <cfRule type="cellIs" priority="240" operator="equal" dxfId="6">
      <formula>FALSE</formula>
    </cfRule>
  </conditionalFormatting>
  <conditionalFormatting sqref="I123:M123">
    <cfRule type="cellIs" priority="237" operator="equal" dxfId="7">
      <formula>TRUE</formula>
    </cfRule>
    <cfRule type="cellIs" priority="238" operator="equal" dxfId="6">
      <formula>FALSE</formula>
    </cfRule>
  </conditionalFormatting>
  <conditionalFormatting sqref="J128:J129">
    <cfRule type="cellIs" priority="235" operator="equal" dxfId="7">
      <formula>TRUE</formula>
    </cfRule>
    <cfRule type="cellIs" priority="236" operator="equal" dxfId="6">
      <formula>FALSE</formula>
    </cfRule>
  </conditionalFormatting>
  <conditionalFormatting sqref="K128:K129">
    <cfRule type="cellIs" priority="233" operator="equal" dxfId="7">
      <formula>TRUE</formula>
    </cfRule>
    <cfRule type="cellIs" priority="234" operator="equal" dxfId="6">
      <formula>FALSE</formula>
    </cfRule>
  </conditionalFormatting>
  <conditionalFormatting sqref="L128:L129">
    <cfRule type="cellIs" priority="231" operator="equal" dxfId="7">
      <formula>TRUE</formula>
    </cfRule>
    <cfRule type="cellIs" priority="232" operator="equal" dxfId="6">
      <formula>FALSE</formula>
    </cfRule>
  </conditionalFormatting>
  <conditionalFormatting sqref="M128:M129">
    <cfRule type="cellIs" priority="229" operator="equal" dxfId="7">
      <formula>TRUE</formula>
    </cfRule>
    <cfRule type="cellIs" priority="230" operator="equal" dxfId="6">
      <formula>FALSE</formula>
    </cfRule>
  </conditionalFormatting>
  <conditionalFormatting sqref="I135:M135">
    <cfRule type="cellIs" priority="225" operator="equal" dxfId="7">
      <formula>TRUE</formula>
    </cfRule>
    <cfRule type="cellIs" priority="226" operator="equal" dxfId="6">
      <formula>FALSE</formula>
    </cfRule>
  </conditionalFormatting>
  <conditionalFormatting sqref="I140:I142">
    <cfRule type="cellIs" priority="223" operator="equal" dxfId="7">
      <formula>TRUE</formula>
    </cfRule>
    <cfRule type="cellIs" priority="224" operator="equal" dxfId="6">
      <formula>FALSE</formula>
    </cfRule>
  </conditionalFormatting>
  <conditionalFormatting sqref="J140:J141">
    <cfRule type="cellIs" priority="221" operator="equal" dxfId="7">
      <formula>TRUE</formula>
    </cfRule>
    <cfRule type="cellIs" priority="222" operator="equal" dxfId="6">
      <formula>FALSE</formula>
    </cfRule>
  </conditionalFormatting>
  <conditionalFormatting sqref="J141:J142">
    <cfRule type="cellIs" priority="219" operator="equal" dxfId="7">
      <formula>TRUE</formula>
    </cfRule>
    <cfRule type="cellIs" priority="220" operator="equal" dxfId="6">
      <formula>FALSE</formula>
    </cfRule>
  </conditionalFormatting>
  <conditionalFormatting sqref="K140:K141">
    <cfRule type="cellIs" priority="217" operator="equal" dxfId="7">
      <formula>TRUE</formula>
    </cfRule>
    <cfRule type="cellIs" priority="218" operator="equal" dxfId="6">
      <formula>FALSE</formula>
    </cfRule>
  </conditionalFormatting>
  <conditionalFormatting sqref="K141:K142">
    <cfRule type="cellIs" priority="215" operator="equal" dxfId="7">
      <formula>TRUE</formula>
    </cfRule>
    <cfRule type="cellIs" priority="216" operator="equal" dxfId="6">
      <formula>FALSE</formula>
    </cfRule>
  </conditionalFormatting>
  <conditionalFormatting sqref="L140:L141">
    <cfRule type="cellIs" priority="213" operator="equal" dxfId="7">
      <formula>TRUE</formula>
    </cfRule>
    <cfRule type="cellIs" priority="214" operator="equal" dxfId="6">
      <formula>FALSE</formula>
    </cfRule>
  </conditionalFormatting>
  <conditionalFormatting sqref="L141:L142">
    <cfRule type="cellIs" priority="211" operator="equal" dxfId="7">
      <formula>TRUE</formula>
    </cfRule>
    <cfRule type="cellIs" priority="212" operator="equal" dxfId="6">
      <formula>FALSE</formula>
    </cfRule>
  </conditionalFormatting>
  <conditionalFormatting sqref="M140:M141">
    <cfRule type="cellIs" priority="209" operator="equal" dxfId="7">
      <formula>TRUE</formula>
    </cfRule>
    <cfRule type="cellIs" priority="210" operator="equal" dxfId="6">
      <formula>FALSE</formula>
    </cfRule>
  </conditionalFormatting>
  <conditionalFormatting sqref="M141:M142">
    <cfRule type="cellIs" priority="207" operator="equal" dxfId="7">
      <formula>TRUE</formula>
    </cfRule>
    <cfRule type="cellIs" priority="208" operator="equal" dxfId="6">
      <formula>FALSE</formula>
    </cfRule>
  </conditionalFormatting>
  <conditionalFormatting sqref="I124:M124">
    <cfRule type="cellIs" priority="161" operator="equal" dxfId="7">
      <formula>TRUE</formula>
    </cfRule>
    <cfRule type="cellIs" priority="162" operator="equal" dxfId="6">
      <formula>FALSE</formula>
    </cfRule>
  </conditionalFormatting>
  <conditionalFormatting sqref="I136:M136">
    <cfRule type="cellIs" priority="159" operator="equal" dxfId="7">
      <formula>TRUE</formula>
    </cfRule>
    <cfRule type="cellIs" priority="160" operator="equal" dxfId="6">
      <formula>FALSE</formula>
    </cfRule>
  </conditionalFormatting>
  <conditionalFormatting sqref="I131:M131">
    <cfRule type="cellIs" priority="157" operator="equal" dxfId="7">
      <formula>TRUE</formula>
    </cfRule>
    <cfRule type="cellIs" priority="158" operator="equal" dxfId="6">
      <formula>FALSE</formula>
    </cfRule>
  </conditionalFormatting>
  <conditionalFormatting sqref="I132:M132">
    <cfRule type="cellIs" priority="155" operator="equal" dxfId="7">
      <formula>TRUE</formula>
    </cfRule>
    <cfRule type="cellIs" priority="156" operator="equal" dxfId="6">
      <formula>FALSE</formula>
    </cfRule>
  </conditionalFormatting>
  <conditionalFormatting sqref="I108:M108">
    <cfRule type="cellIs" priority="153" operator="equal" dxfId="7">
      <formula>TRUE</formula>
    </cfRule>
    <cfRule type="cellIs" priority="154" operator="equal" dxfId="6">
      <formula>FALSE</formula>
    </cfRule>
  </conditionalFormatting>
  <conditionalFormatting sqref="I106:M106">
    <cfRule type="cellIs" priority="151" operator="equal" dxfId="7">
      <formula>TRUE</formula>
    </cfRule>
    <cfRule type="cellIs" priority="152" operator="equal" dxfId="6">
      <formula>FALSE</formula>
    </cfRule>
  </conditionalFormatting>
  <conditionalFormatting sqref="I107:M107">
    <cfRule type="cellIs" priority="149" operator="equal" dxfId="7">
      <formula>TRUE</formula>
    </cfRule>
    <cfRule type="cellIs" priority="150" operator="equal" dxfId="6">
      <formula>FALSE</formula>
    </cfRule>
  </conditionalFormatting>
  <conditionalFormatting sqref="I95:M95">
    <cfRule type="cellIs" priority="147" operator="equal" dxfId="7">
      <formula>TRUE</formula>
    </cfRule>
    <cfRule type="cellIs" priority="148" operator="equal" dxfId="6">
      <formula>FALSE</formula>
    </cfRule>
  </conditionalFormatting>
  <conditionalFormatting sqref="I93:M93">
    <cfRule type="cellIs" priority="145" operator="equal" dxfId="7">
      <formula>TRUE</formula>
    </cfRule>
    <cfRule type="cellIs" priority="146" operator="equal" dxfId="6">
      <formula>FALSE</formula>
    </cfRule>
  </conditionalFormatting>
  <conditionalFormatting sqref="I94:M94">
    <cfRule type="cellIs" priority="143" operator="equal" dxfId="7">
      <formula>TRUE</formula>
    </cfRule>
    <cfRule type="cellIs" priority="144" operator="equal" dxfId="6">
      <formula>FALSE</formula>
    </cfRule>
  </conditionalFormatting>
  <conditionalFormatting sqref="I81:M81">
    <cfRule type="cellIs" priority="141" operator="equal" dxfId="7">
      <formula>TRUE</formula>
    </cfRule>
    <cfRule type="cellIs" priority="142" operator="equal" dxfId="6">
      <formula>FALSE</formula>
    </cfRule>
  </conditionalFormatting>
  <conditionalFormatting sqref="I79:M79">
    <cfRule type="cellIs" priority="139" operator="equal" dxfId="7">
      <formula>TRUE</formula>
    </cfRule>
    <cfRule type="cellIs" priority="140" operator="equal" dxfId="6">
      <formula>FALSE</formula>
    </cfRule>
  </conditionalFormatting>
  <conditionalFormatting sqref="I80:M80">
    <cfRule type="cellIs" priority="137" operator="equal" dxfId="7">
      <formula>TRUE</formula>
    </cfRule>
    <cfRule type="cellIs" priority="138" operator="equal" dxfId="6">
      <formula>FALSE</formula>
    </cfRule>
  </conditionalFormatting>
  <conditionalFormatting sqref="I65:M65">
    <cfRule type="cellIs" priority="135" operator="equal" dxfId="7">
      <formula>TRUE</formula>
    </cfRule>
    <cfRule type="cellIs" priority="136" operator="equal" dxfId="6">
      <formula>FALSE</formula>
    </cfRule>
  </conditionalFormatting>
  <conditionalFormatting sqref="I63:M63">
    <cfRule type="cellIs" priority="133" operator="equal" dxfId="7">
      <formula>TRUE</formula>
    </cfRule>
    <cfRule type="cellIs" priority="134" operator="equal" dxfId="6">
      <formula>FALSE</formula>
    </cfRule>
  </conditionalFormatting>
  <conditionalFormatting sqref="I64:M64">
    <cfRule type="cellIs" priority="131" operator="equal" dxfId="7">
      <formula>TRUE</formula>
    </cfRule>
    <cfRule type="cellIs" priority="132" operator="equal" dxfId="6">
      <formula>FALSE</formula>
    </cfRule>
  </conditionalFormatting>
  <conditionalFormatting sqref="I50:M50">
    <cfRule type="cellIs" priority="129" operator="equal" dxfId="7">
      <formula>TRUE</formula>
    </cfRule>
    <cfRule type="cellIs" priority="130" operator="equal" dxfId="6">
      <formula>FALSE</formula>
    </cfRule>
  </conditionalFormatting>
  <conditionalFormatting sqref="I48:M48">
    <cfRule type="cellIs" priority="127" operator="equal" dxfId="7">
      <formula>TRUE</formula>
    </cfRule>
    <cfRule type="cellIs" priority="128" operator="equal" dxfId="6">
      <formula>FALSE</formula>
    </cfRule>
  </conditionalFormatting>
  <conditionalFormatting sqref="I49:M49">
    <cfRule type="cellIs" priority="125" operator="equal" dxfId="7">
      <formula>TRUE</formula>
    </cfRule>
    <cfRule type="cellIs" priority="126" operator="equal" dxfId="6">
      <formula>FALSE</formula>
    </cfRule>
  </conditionalFormatting>
  <conditionalFormatting sqref="I34:M34">
    <cfRule type="cellIs" priority="123" operator="equal" dxfId="7">
      <formula>TRUE</formula>
    </cfRule>
    <cfRule type="cellIs" priority="124" operator="equal" dxfId="6">
      <formula>FALSE</formula>
    </cfRule>
  </conditionalFormatting>
  <conditionalFormatting sqref="I32:M32">
    <cfRule type="cellIs" priority="121" operator="equal" dxfId="7">
      <formula>TRUE</formula>
    </cfRule>
    <cfRule type="cellIs" priority="122" operator="equal" dxfId="6">
      <formula>FALSE</formula>
    </cfRule>
  </conditionalFormatting>
  <conditionalFormatting sqref="I33:M33">
    <cfRule type="cellIs" priority="119" operator="equal" dxfId="7">
      <formula>TRUE</formula>
    </cfRule>
    <cfRule type="cellIs" priority="120" operator="equal" dxfId="6">
      <formula>FALSE</formula>
    </cfRule>
  </conditionalFormatting>
  <conditionalFormatting sqref="I18:M18">
    <cfRule type="cellIs" priority="117" operator="equal" dxfId="7">
      <formula>TRUE</formula>
    </cfRule>
    <cfRule type="cellIs" priority="118" operator="equal" dxfId="6">
      <formula>FALSE</formula>
    </cfRule>
  </conditionalFormatting>
  <conditionalFormatting sqref="I16:M16">
    <cfRule type="cellIs" priority="115" operator="equal" dxfId="7">
      <formula>TRUE</formula>
    </cfRule>
    <cfRule type="cellIs" priority="116" operator="equal" dxfId="6">
      <formula>FALSE</formula>
    </cfRule>
  </conditionalFormatting>
  <conditionalFormatting sqref="I17:M17">
    <cfRule type="cellIs" priority="113" operator="equal" dxfId="7">
      <formula>TRUE</formula>
    </cfRule>
    <cfRule type="cellIs" priority="114" operator="equal" dxfId="6">
      <formula>FALSE</formula>
    </cfRule>
  </conditionalFormatting>
  <conditionalFormatting sqref="I146:M146">
    <cfRule type="cellIs" priority="111" operator="equal" dxfId="7">
      <formula>TRUE</formula>
    </cfRule>
    <cfRule type="cellIs" priority="112" operator="equal" dxfId="6">
      <formula>FALSE</formula>
    </cfRule>
  </conditionalFormatting>
  <conditionalFormatting sqref="I144:M144">
    <cfRule type="cellIs" priority="109" operator="equal" dxfId="7">
      <formula>TRUE</formula>
    </cfRule>
    <cfRule type="cellIs" priority="110" operator="equal" dxfId="6">
      <formula>FALSE</formula>
    </cfRule>
  </conditionalFormatting>
  <conditionalFormatting sqref="I145:M145">
    <cfRule type="cellIs" priority="107" operator="equal" dxfId="7">
      <formula>TRUE</formula>
    </cfRule>
    <cfRule type="cellIs" priority="108" operator="equal" dxfId="6">
      <formula>FALSE</formula>
    </cfRule>
  </conditionalFormatting>
  <conditionalFormatting sqref="I121:M121">
    <cfRule type="cellIs" priority="105" operator="equal" dxfId="7">
      <formula>TRUE</formula>
    </cfRule>
    <cfRule type="cellIs" priority="106" operator="equal" dxfId="6">
      <formula>FALSE</formula>
    </cfRule>
  </conditionalFormatting>
  <conditionalFormatting sqref="I119:M119">
    <cfRule type="cellIs" priority="103" operator="equal" dxfId="7">
      <formula>TRUE</formula>
    </cfRule>
    <cfRule type="cellIs" priority="104" operator="equal" dxfId="6">
      <formula>FALSE</formula>
    </cfRule>
  </conditionalFormatting>
  <conditionalFormatting sqref="I120:M120">
    <cfRule type="cellIs" priority="101" operator="equal" dxfId="7">
      <formula>TRUE</formula>
    </cfRule>
    <cfRule type="cellIs" priority="102" operator="equal" dxfId="6">
      <formula>FALSE</formula>
    </cfRule>
  </conditionalFormatting>
  <conditionalFormatting sqref="I14">
    <cfRule type="cellIs" priority="99" operator="equal" dxfId="7">
      <formula>TRUE</formula>
    </cfRule>
    <cfRule type="cellIs" priority="100" operator="equal" dxfId="6">
      <formula>FALSE</formula>
    </cfRule>
  </conditionalFormatting>
  <conditionalFormatting sqref="J14">
    <cfRule type="cellIs" priority="97" operator="equal" dxfId="7">
      <formula>TRUE</formula>
    </cfRule>
    <cfRule type="cellIs" priority="98" operator="equal" dxfId="6">
      <formula>FALSE</formula>
    </cfRule>
  </conditionalFormatting>
  <conditionalFormatting sqref="K14">
    <cfRule type="cellIs" priority="95" operator="equal" dxfId="7">
      <formula>TRUE</formula>
    </cfRule>
    <cfRule type="cellIs" priority="96" operator="equal" dxfId="6">
      <formula>FALSE</formula>
    </cfRule>
  </conditionalFormatting>
  <conditionalFormatting sqref="L14">
    <cfRule type="cellIs" priority="93" operator="equal" dxfId="7">
      <formula>TRUE</formula>
    </cfRule>
    <cfRule type="cellIs" priority="94" operator="equal" dxfId="6">
      <formula>FALSE</formula>
    </cfRule>
  </conditionalFormatting>
  <conditionalFormatting sqref="M14">
    <cfRule type="cellIs" priority="91" operator="equal" dxfId="7">
      <formula>TRUE</formula>
    </cfRule>
    <cfRule type="cellIs" priority="92" operator="equal" dxfId="6">
      <formula>FALSE</formula>
    </cfRule>
  </conditionalFormatting>
  <conditionalFormatting sqref="I30">
    <cfRule type="cellIs" priority="89" operator="equal" dxfId="7">
      <formula>TRUE</formula>
    </cfRule>
    <cfRule type="cellIs" priority="90" operator="equal" dxfId="6">
      <formula>FALSE</formula>
    </cfRule>
  </conditionalFormatting>
  <conditionalFormatting sqref="J30">
    <cfRule type="cellIs" priority="87" operator="equal" dxfId="7">
      <formula>TRUE</formula>
    </cfRule>
    <cfRule type="cellIs" priority="88" operator="equal" dxfId="6">
      <formula>FALSE</formula>
    </cfRule>
  </conditionalFormatting>
  <conditionalFormatting sqref="K30">
    <cfRule type="cellIs" priority="85" operator="equal" dxfId="7">
      <formula>TRUE</formula>
    </cfRule>
    <cfRule type="cellIs" priority="86" operator="equal" dxfId="6">
      <formula>FALSE</formula>
    </cfRule>
  </conditionalFormatting>
  <conditionalFormatting sqref="L30">
    <cfRule type="cellIs" priority="83" operator="equal" dxfId="7">
      <formula>TRUE</formula>
    </cfRule>
    <cfRule type="cellIs" priority="84" operator="equal" dxfId="6">
      <formula>FALSE</formula>
    </cfRule>
  </conditionalFormatting>
  <conditionalFormatting sqref="M30">
    <cfRule type="cellIs" priority="81" operator="equal" dxfId="7">
      <formula>TRUE</formula>
    </cfRule>
    <cfRule type="cellIs" priority="82" operator="equal" dxfId="6">
      <formula>FALSE</formula>
    </cfRule>
  </conditionalFormatting>
  <conditionalFormatting sqref="I46">
    <cfRule type="cellIs" priority="79" operator="equal" dxfId="7">
      <formula>TRUE</formula>
    </cfRule>
    <cfRule type="cellIs" priority="80" operator="equal" dxfId="6">
      <formula>FALSE</formula>
    </cfRule>
  </conditionalFormatting>
  <conditionalFormatting sqref="J46">
    <cfRule type="cellIs" priority="77" operator="equal" dxfId="7">
      <formula>TRUE</formula>
    </cfRule>
    <cfRule type="cellIs" priority="78" operator="equal" dxfId="6">
      <formula>FALSE</formula>
    </cfRule>
  </conditionalFormatting>
  <conditionalFormatting sqref="K46">
    <cfRule type="cellIs" priority="75" operator="equal" dxfId="7">
      <formula>TRUE</formula>
    </cfRule>
    <cfRule type="cellIs" priority="76" operator="equal" dxfId="6">
      <formula>FALSE</formula>
    </cfRule>
  </conditionalFormatting>
  <conditionalFormatting sqref="L46">
    <cfRule type="cellIs" priority="73" operator="equal" dxfId="7">
      <formula>TRUE</formula>
    </cfRule>
    <cfRule type="cellIs" priority="74" operator="equal" dxfId="6">
      <formula>FALSE</formula>
    </cfRule>
  </conditionalFormatting>
  <conditionalFormatting sqref="M46">
    <cfRule type="cellIs" priority="71" operator="equal" dxfId="7">
      <formula>TRUE</formula>
    </cfRule>
    <cfRule type="cellIs" priority="72" operator="equal" dxfId="6">
      <formula>FALSE</formula>
    </cfRule>
  </conditionalFormatting>
  <conditionalFormatting sqref="I61">
    <cfRule type="cellIs" priority="69" operator="equal" dxfId="7">
      <formula>TRUE</formula>
    </cfRule>
    <cfRule type="cellIs" priority="70" operator="equal" dxfId="6">
      <formula>FALSE</formula>
    </cfRule>
  </conditionalFormatting>
  <conditionalFormatting sqref="J61">
    <cfRule type="cellIs" priority="67" operator="equal" dxfId="7">
      <formula>TRUE</formula>
    </cfRule>
    <cfRule type="cellIs" priority="68" operator="equal" dxfId="6">
      <formula>FALSE</formula>
    </cfRule>
  </conditionalFormatting>
  <conditionalFormatting sqref="K61">
    <cfRule type="cellIs" priority="65" operator="equal" dxfId="7">
      <formula>TRUE</formula>
    </cfRule>
    <cfRule type="cellIs" priority="66" operator="equal" dxfId="6">
      <formula>FALSE</formula>
    </cfRule>
  </conditionalFormatting>
  <conditionalFormatting sqref="L61">
    <cfRule type="cellIs" priority="63" operator="equal" dxfId="7">
      <formula>TRUE</formula>
    </cfRule>
    <cfRule type="cellIs" priority="64" operator="equal" dxfId="6">
      <formula>FALSE</formula>
    </cfRule>
  </conditionalFormatting>
  <conditionalFormatting sqref="M61">
    <cfRule type="cellIs" priority="61" operator="equal" dxfId="7">
      <formula>TRUE</formula>
    </cfRule>
    <cfRule type="cellIs" priority="62" operator="equal" dxfId="6">
      <formula>FALSE</formula>
    </cfRule>
  </conditionalFormatting>
  <conditionalFormatting sqref="I77">
    <cfRule type="cellIs" priority="59" operator="equal" dxfId="7">
      <formula>TRUE</formula>
    </cfRule>
    <cfRule type="cellIs" priority="60" operator="equal" dxfId="6">
      <formula>FALSE</formula>
    </cfRule>
  </conditionalFormatting>
  <conditionalFormatting sqref="J77">
    <cfRule type="cellIs" priority="57" operator="equal" dxfId="7">
      <formula>TRUE</formula>
    </cfRule>
    <cfRule type="cellIs" priority="58" operator="equal" dxfId="6">
      <formula>FALSE</formula>
    </cfRule>
  </conditionalFormatting>
  <conditionalFormatting sqref="K77">
    <cfRule type="cellIs" priority="55" operator="equal" dxfId="7">
      <formula>TRUE</formula>
    </cfRule>
    <cfRule type="cellIs" priority="56" operator="equal" dxfId="6">
      <formula>FALSE</formula>
    </cfRule>
  </conditionalFormatting>
  <conditionalFormatting sqref="L77">
    <cfRule type="cellIs" priority="53" operator="equal" dxfId="7">
      <formula>TRUE</formula>
    </cfRule>
    <cfRule type="cellIs" priority="54" operator="equal" dxfId="6">
      <formula>FALSE</formula>
    </cfRule>
  </conditionalFormatting>
  <conditionalFormatting sqref="M77">
    <cfRule type="cellIs" priority="51" operator="equal" dxfId="7">
      <formula>TRUE</formula>
    </cfRule>
    <cfRule type="cellIs" priority="52" operator="equal" dxfId="6">
      <formula>FALSE</formula>
    </cfRule>
  </conditionalFormatting>
  <conditionalFormatting sqref="I91">
    <cfRule type="cellIs" priority="49" operator="equal" dxfId="7">
      <formula>TRUE</formula>
    </cfRule>
    <cfRule type="cellIs" priority="50" operator="equal" dxfId="6">
      <formula>FALSE</formula>
    </cfRule>
  </conditionalFormatting>
  <conditionalFormatting sqref="J91">
    <cfRule type="cellIs" priority="47" operator="equal" dxfId="7">
      <formula>TRUE</formula>
    </cfRule>
    <cfRule type="cellIs" priority="48" operator="equal" dxfId="6">
      <formula>FALSE</formula>
    </cfRule>
  </conditionalFormatting>
  <conditionalFormatting sqref="K91">
    <cfRule type="cellIs" priority="45" operator="equal" dxfId="7">
      <formula>TRUE</formula>
    </cfRule>
    <cfRule type="cellIs" priority="46" operator="equal" dxfId="6">
      <formula>FALSE</formula>
    </cfRule>
  </conditionalFormatting>
  <conditionalFormatting sqref="L91">
    <cfRule type="cellIs" priority="43" operator="equal" dxfId="7">
      <formula>TRUE</formula>
    </cfRule>
    <cfRule type="cellIs" priority="44" operator="equal" dxfId="6">
      <formula>FALSE</formula>
    </cfRule>
  </conditionalFormatting>
  <conditionalFormatting sqref="M91">
    <cfRule type="cellIs" priority="41" operator="equal" dxfId="7">
      <formula>TRUE</formula>
    </cfRule>
    <cfRule type="cellIs" priority="42" operator="equal" dxfId="6">
      <formula>FALSE</formula>
    </cfRule>
  </conditionalFormatting>
  <conditionalFormatting sqref="I104">
    <cfRule type="cellIs" priority="39" operator="equal" dxfId="7">
      <formula>TRUE</formula>
    </cfRule>
    <cfRule type="cellIs" priority="40" operator="equal" dxfId="6">
      <formula>FALSE</formula>
    </cfRule>
  </conditionalFormatting>
  <conditionalFormatting sqref="J104">
    <cfRule type="cellIs" priority="37" operator="equal" dxfId="7">
      <formula>TRUE</formula>
    </cfRule>
    <cfRule type="cellIs" priority="38" operator="equal" dxfId="6">
      <formula>FALSE</formula>
    </cfRule>
  </conditionalFormatting>
  <conditionalFormatting sqref="K104">
    <cfRule type="cellIs" priority="35" operator="equal" dxfId="7">
      <formula>TRUE</formula>
    </cfRule>
    <cfRule type="cellIs" priority="36" operator="equal" dxfId="6">
      <formula>FALSE</formula>
    </cfRule>
  </conditionalFormatting>
  <conditionalFormatting sqref="L104">
    <cfRule type="cellIs" priority="33" operator="equal" dxfId="7">
      <formula>TRUE</formula>
    </cfRule>
    <cfRule type="cellIs" priority="34" operator="equal" dxfId="6">
      <formula>FALSE</formula>
    </cfRule>
  </conditionalFormatting>
  <conditionalFormatting sqref="M104">
    <cfRule type="cellIs" priority="31" operator="equal" dxfId="7">
      <formula>TRUE</formula>
    </cfRule>
    <cfRule type="cellIs" priority="32" operator="equal" dxfId="6">
      <formula>FALSE</formula>
    </cfRule>
  </conditionalFormatting>
  <conditionalFormatting sqref="I150:M154">
    <cfRule type="cellIs" priority="29" operator="equal" dxfId="7">
      <formula>TRUE</formula>
    </cfRule>
    <cfRule type="cellIs" priority="30" operator="equal" dxfId="6">
      <formula>FALSE</formula>
    </cfRule>
  </conditionalFormatting>
  <conditionalFormatting sqref="I147:M148">
    <cfRule type="cellIs" priority="27" operator="equal" dxfId="7">
      <formula>TRUE</formula>
    </cfRule>
    <cfRule type="cellIs" priority="28" operator="equal" dxfId="6">
      <formula>FALSE</formula>
    </cfRule>
  </conditionalFormatting>
  <conditionalFormatting sqref="I149:M149">
    <cfRule type="cellIs" priority="25" operator="equal" dxfId="7">
      <formula>TRUE</formula>
    </cfRule>
    <cfRule type="cellIs" priority="26" operator="equal" dxfId="6">
      <formula>FALSE</formula>
    </cfRule>
  </conditionalFormatting>
  <conditionalFormatting sqref="I155:I156">
    <cfRule type="cellIs" priority="23" operator="equal" dxfId="7">
      <formula>TRUE</formula>
    </cfRule>
    <cfRule type="cellIs" priority="24" operator="equal" dxfId="6">
      <formula>FALSE</formula>
    </cfRule>
  </conditionalFormatting>
  <conditionalFormatting sqref="J155">
    <cfRule type="cellIs" priority="21" operator="equal" dxfId="7">
      <formula>TRUE</formula>
    </cfRule>
    <cfRule type="cellIs" priority="22" operator="equal" dxfId="6">
      <formula>FALSE</formula>
    </cfRule>
  </conditionalFormatting>
  <conditionalFormatting sqref="J156">
    <cfRule type="cellIs" priority="19" operator="equal" dxfId="7">
      <formula>TRUE</formula>
    </cfRule>
    <cfRule type="cellIs" priority="20" operator="equal" dxfId="6">
      <formula>FALSE</formula>
    </cfRule>
  </conditionalFormatting>
  <conditionalFormatting sqref="K155">
    <cfRule type="cellIs" priority="17" operator="equal" dxfId="7">
      <formula>TRUE</formula>
    </cfRule>
    <cfRule type="cellIs" priority="18" operator="equal" dxfId="6">
      <formula>FALSE</formula>
    </cfRule>
  </conditionalFormatting>
  <conditionalFormatting sqref="K156">
    <cfRule type="cellIs" priority="15" operator="equal" dxfId="7">
      <formula>TRUE</formula>
    </cfRule>
    <cfRule type="cellIs" priority="16" operator="equal" dxfId="6">
      <formula>FALSE</formula>
    </cfRule>
  </conditionalFormatting>
  <conditionalFormatting sqref="L155">
    <cfRule type="cellIs" priority="13" operator="equal" dxfId="7">
      <formula>TRUE</formula>
    </cfRule>
    <cfRule type="cellIs" priority="14" operator="equal" dxfId="6">
      <formula>FALSE</formula>
    </cfRule>
  </conditionalFormatting>
  <conditionalFormatting sqref="L156">
    <cfRule type="cellIs" priority="11" operator="equal" dxfId="7">
      <formula>TRUE</formula>
    </cfRule>
    <cfRule type="cellIs" priority="12" operator="equal" dxfId="6">
      <formula>FALSE</formula>
    </cfRule>
  </conditionalFormatting>
  <conditionalFormatting sqref="M155">
    <cfRule type="cellIs" priority="9" operator="equal" dxfId="7">
      <formula>TRUE</formula>
    </cfRule>
    <cfRule type="cellIs" priority="10" operator="equal" dxfId="6">
      <formula>FALSE</formula>
    </cfRule>
  </conditionalFormatting>
  <conditionalFormatting sqref="M156">
    <cfRule type="cellIs" priority="7" operator="equal" dxfId="7">
      <formula>TRUE</formula>
    </cfRule>
    <cfRule type="cellIs" priority="8" operator="equal" dxfId="6">
      <formula>FALSE</formula>
    </cfRule>
  </conditionalFormatting>
  <conditionalFormatting sqref="I160:M160">
    <cfRule type="cellIs" priority="5" operator="equal" dxfId="7">
      <formula>TRUE</formula>
    </cfRule>
    <cfRule type="cellIs" priority="6" operator="equal" dxfId="6">
      <formula>FALSE</formula>
    </cfRule>
  </conditionalFormatting>
  <conditionalFormatting sqref="I158:M158">
    <cfRule type="cellIs" priority="3" operator="equal" dxfId="7">
      <formula>TRUE</formula>
    </cfRule>
    <cfRule type="cellIs" priority="4" operator="equal" dxfId="6">
      <formula>FALSE</formula>
    </cfRule>
  </conditionalFormatting>
  <conditionalFormatting sqref="I159:M159">
    <cfRule type="cellIs" priority="1" operator="equal" dxfId="7">
      <formula>TRUE</formula>
    </cfRule>
    <cfRule type="cellIs" priority="2" operator="equal" dxfId="6">
      <formula>FALSE</formula>
    </cfRule>
  </conditionalFormatting>
  <dataValidations count="1">
    <dataValidation sqref="I2:M14 I19:M30 I35:M46 I51:M61 I66:M77 I82:M91 I96:M104 I109:M117 I122:M129 I134:M142 I147:M156 I161:M163" showErrorMessage="1" showInputMessage="1" allowBlank="0" type="list">
      <formula1>"TRUE, FALSE"</formula1>
    </dataValidation>
  </dataValidations>
  <hyperlinks>
    <hyperlink xmlns:r="http://schemas.openxmlformats.org/officeDocument/2006/relationships" ref="E151" r:id="rId1"/>
  </hyperlinks>
  <pageMargins left="0.7" right="0.7" top="0.75" bottom="0.75" header="0.3" footer="0.3"/>
  <pageSetup orientation="portrait"/>
  <tableParts count="1">
    <tablePart xmlns:r="http://schemas.openxmlformats.org/officeDocument/2006/relationships" r:id="rId2"/>
  </tableParts>
</worksheet>
</file>

<file path=xl/worksheets/sheet15.xml><?xml version="1.0" encoding="utf-8"?>
<worksheet xmlns="http://schemas.openxmlformats.org/spreadsheetml/2006/main">
  <sheetPr codeName="Sheet16">
    <outlinePr summaryBelow="1" summaryRight="1"/>
    <pageSetUpPr/>
  </sheetPr>
  <dimension ref="A1:Z301"/>
  <sheetViews>
    <sheetView zoomScale="99" workbookViewId="0">
      <selection activeCell="V11" sqref="V11"/>
    </sheetView>
  </sheetViews>
  <sheetFormatPr baseColWidth="10" defaultColWidth="11" defaultRowHeight="15"/>
  <cols>
    <col width="22" customWidth="1" min="16" max="16"/>
  </cols>
  <sheetData>
    <row r="1">
      <c r="A1" t="inlineStr">
        <is>
          <t>promoter</t>
        </is>
      </c>
      <c r="B1" t="inlineStr">
        <is>
          <t>rbs</t>
        </is>
      </c>
      <c r="C1" t="inlineStr">
        <is>
          <t>cds</t>
        </is>
      </c>
      <c r="D1" t="inlineStr">
        <is>
          <t>terminator</t>
        </is>
      </c>
      <c r="E1" t="inlineStr">
        <is>
          <t>other</t>
        </is>
      </c>
      <c r="F1" t="inlineStr">
        <is>
          <t>protein</t>
        </is>
      </c>
      <c r="G1" t="inlineStr">
        <is>
          <t>complex</t>
        </is>
      </c>
      <c r="H1" t="inlineStr">
        <is>
          <t>chassis</t>
        </is>
      </c>
      <c r="I1" t="inlineStr">
        <is>
          <t>chemicals</t>
        </is>
      </c>
      <c r="J1" t="inlineStr">
        <is>
          <t>medias</t>
        </is>
      </c>
      <c r="P1" t="inlineStr">
        <is>
          <t>Allowed DNA characters</t>
        </is>
      </c>
      <c r="Q1" t="inlineStr">
        <is>
          <t>Allowed protein characters</t>
        </is>
      </c>
      <c r="V1" t="inlineStr">
        <is>
          <t>promoter</t>
        </is>
      </c>
      <c r="W1" t="inlineStr">
        <is>
          <t>rbs</t>
        </is>
      </c>
      <c r="X1" t="inlineStr">
        <is>
          <t>cds</t>
        </is>
      </c>
      <c r="Y1" t="inlineStr">
        <is>
          <t>terminator</t>
        </is>
      </c>
      <c r="Z1" t="inlineStr">
        <is>
          <t>other</t>
        </is>
      </c>
    </row>
    <row r="2">
      <c r="A2">
        <f>IF(promoter!B5=0,"",promoter!B5)</f>
        <v/>
      </c>
      <c r="B2">
        <f>IF(rbs!B5=0,"",rbs!B5)</f>
        <v/>
      </c>
      <c r="C2">
        <f>IF(cds!B5=0,"",cds!B5)</f>
        <v/>
      </c>
      <c r="D2">
        <f>IF(terminator!B5=0,"",terminator!B5)</f>
        <v/>
      </c>
      <c r="E2">
        <f>IF(other!B5=0,"",other!B5)</f>
        <v/>
      </c>
      <c r="F2">
        <f>IF(protein!B5=0,"",protein!B5)</f>
        <v/>
      </c>
      <c r="G2">
        <f>IF(complex!B5=0,"",complex!B5)</f>
        <v/>
      </c>
      <c r="H2">
        <f>IF(chassis!B5=0,"",chassis!B5)</f>
        <v/>
      </c>
      <c r="I2">
        <f>IF(chemicals!B5=0,"",chemicals!B5)</f>
        <v/>
      </c>
      <c r="J2">
        <f>IF(media!B5=0,"",media!B5)</f>
        <v/>
      </c>
      <c r="P2" t="inlineStr">
        <is>
          <t>A</t>
        </is>
      </c>
      <c r="Q2" s="35" t="inlineStr">
        <is>
          <t>A</t>
        </is>
      </c>
      <c r="R2" s="35" t="n"/>
      <c r="S2" s="35" t="n"/>
      <c r="V2">
        <f>IF(promoter!L5="","",promoter!L5)</f>
        <v/>
      </c>
      <c r="W2">
        <f>IF(rbs!J5="","",rbs!J5)</f>
        <v/>
      </c>
      <c r="X2">
        <f>IF(cds!K5="","",cds!K5)</f>
        <v/>
      </c>
      <c r="Y2">
        <f>IF(terminator!J5="","",terminator!J5)</f>
        <v/>
      </c>
      <c r="Z2">
        <f>IF(other!K5="","",other!K5)</f>
        <v/>
      </c>
    </row>
    <row r="3">
      <c r="A3">
        <f>IF(promoter!B6=0,"",promoter!B6)</f>
        <v/>
      </c>
      <c r="B3">
        <f>IF(rbs!B6=0,"",rbs!B6)</f>
        <v/>
      </c>
      <c r="C3">
        <f>IF(cds!B6=0,"",cds!B6)</f>
        <v/>
      </c>
      <c r="D3">
        <f>IF(terminator!B6=0,"",terminator!B6)</f>
        <v/>
      </c>
      <c r="E3">
        <f>IF(other!B6=0,"",other!B6)</f>
        <v/>
      </c>
      <c r="F3">
        <f>IF(protein!B6=0,"",protein!B6)</f>
        <v/>
      </c>
      <c r="G3">
        <f>IF(complex!B6=0,"",complex!B6)</f>
        <v/>
      </c>
      <c r="H3">
        <f>IF(chassis!B6=0,"",chassis!B6)</f>
        <v/>
      </c>
      <c r="I3">
        <f>IF(chemicals!B6=0,"",chemicals!B6)</f>
        <v/>
      </c>
      <c r="J3">
        <f>IF(media!B6=0,"",media!B6)</f>
        <v/>
      </c>
      <c r="P3" t="inlineStr">
        <is>
          <t>C</t>
        </is>
      </c>
      <c r="Q3" s="35" t="inlineStr">
        <is>
          <t>B</t>
        </is>
      </c>
      <c r="R3" s="35" t="n"/>
      <c r="S3" s="35" t="n"/>
      <c r="V3">
        <f>IF(promoter!L6="","",promoter!L6)</f>
        <v/>
      </c>
      <c r="W3">
        <f>IF(rbs!J6="","",rbs!J6)</f>
        <v/>
      </c>
      <c r="X3">
        <f>IF(cds!K6="","",cds!K6)</f>
        <v/>
      </c>
      <c r="Y3">
        <f>IF(terminator!J6="","",terminator!J6)</f>
        <v/>
      </c>
      <c r="Z3">
        <f>IF(other!K6="","",other!K6)</f>
        <v/>
      </c>
    </row>
    <row r="4">
      <c r="A4">
        <f>IF(promoter!B7=0,"",promoter!B7)</f>
        <v/>
      </c>
      <c r="B4">
        <f>IF(rbs!B7=0,"",rbs!B7)</f>
        <v/>
      </c>
      <c r="C4">
        <f>IF(cds!B7=0,"",cds!B7)</f>
        <v/>
      </c>
      <c r="D4">
        <f>IF(terminator!B7=0,"",terminator!B7)</f>
        <v/>
      </c>
      <c r="E4">
        <f>IF(other!B7=0,"",other!B7)</f>
        <v/>
      </c>
      <c r="F4">
        <f>IF(protein!B7=0,"",protein!B7)</f>
        <v/>
      </c>
      <c r="G4">
        <f>IF(complex!B7=0,"",complex!B7)</f>
        <v/>
      </c>
      <c r="H4">
        <f>IF(chassis!B7=0,"",chassis!B7)</f>
        <v/>
      </c>
      <c r="I4">
        <f>IF(chemicals!B7=0,"",chemicals!B7)</f>
        <v/>
      </c>
      <c r="J4">
        <f>IF(media!B7=0,"",media!B7)</f>
        <v/>
      </c>
      <c r="P4" t="inlineStr">
        <is>
          <t>G</t>
        </is>
      </c>
      <c r="Q4" s="35" t="inlineStr">
        <is>
          <t>C</t>
        </is>
      </c>
      <c r="R4" s="35" t="n"/>
      <c r="S4" s="35" t="n"/>
      <c r="V4">
        <f>IF(promoter!L7="","",promoter!L7)</f>
        <v/>
      </c>
      <c r="W4">
        <f>IF(rbs!J7="","",rbs!J7)</f>
        <v/>
      </c>
      <c r="X4">
        <f>IF(cds!K7="","",cds!K7)</f>
        <v/>
      </c>
      <c r="Y4">
        <f>IF(terminator!J7="","",terminator!J7)</f>
        <v/>
      </c>
      <c r="Z4">
        <f>IF(other!K7="","",other!K7)</f>
        <v/>
      </c>
    </row>
    <row r="5">
      <c r="A5">
        <f>IF(promoter!B8=0,"",promoter!B8)</f>
        <v/>
      </c>
      <c r="B5">
        <f>IF(rbs!B8=0,"",rbs!B8)</f>
        <v/>
      </c>
      <c r="C5">
        <f>IF(cds!B8=0,"",cds!B8)</f>
        <v/>
      </c>
      <c r="D5">
        <f>IF(terminator!B8=0,"",terminator!B8)</f>
        <v/>
      </c>
      <c r="E5">
        <f>IF(other!B8=0,"",other!B8)</f>
        <v/>
      </c>
      <c r="F5">
        <f>IF(protein!B8=0,"",protein!B8)</f>
        <v/>
      </c>
      <c r="G5">
        <f>IF(complex!B8=0,"",complex!B8)</f>
        <v/>
      </c>
      <c r="H5">
        <f>IF(chassis!B8=0,"",chassis!B8)</f>
        <v/>
      </c>
      <c r="I5">
        <f>IF(chemicals!B8=0,"",chemicals!B8)</f>
        <v/>
      </c>
      <c r="J5">
        <f>IF(media!B8=0,"",media!B8)</f>
        <v/>
      </c>
      <c r="P5" t="inlineStr">
        <is>
          <t>T</t>
        </is>
      </c>
      <c r="Q5" s="35" t="inlineStr">
        <is>
          <t>D</t>
        </is>
      </c>
      <c r="R5" s="35" t="n"/>
      <c r="S5" s="35" t="n"/>
      <c r="V5">
        <f>IF(promoter!L8="","",promoter!L8)</f>
        <v/>
      </c>
      <c r="W5">
        <f>IF(rbs!J8="","",rbs!J8)</f>
        <v/>
      </c>
      <c r="X5">
        <f>IF(cds!K8="","",cds!K8)</f>
        <v/>
      </c>
      <c r="Y5">
        <f>IF(terminator!J8="","",terminator!J8)</f>
        <v/>
      </c>
      <c r="Z5">
        <f>IF(other!K8="","",other!K8)</f>
        <v/>
      </c>
    </row>
    <row r="6">
      <c r="A6">
        <f>IF(promoter!B9=0,"",promoter!B9)</f>
        <v/>
      </c>
      <c r="B6">
        <f>IF(rbs!B9=0,"",rbs!B9)</f>
        <v/>
      </c>
      <c r="C6">
        <f>IF(cds!B9=0,"",cds!B9)</f>
        <v/>
      </c>
      <c r="D6">
        <f>IF(terminator!B9=0,"",terminator!B9)</f>
        <v/>
      </c>
      <c r="E6">
        <f>IF(other!B9=0,"",other!B9)</f>
        <v/>
      </c>
      <c r="F6">
        <f>IF(protein!B9=0,"",protein!B9)</f>
        <v/>
      </c>
      <c r="G6">
        <f>IF(complex!B9=0,"",complex!B9)</f>
        <v/>
      </c>
      <c r="H6">
        <f>IF(chassis!B9=0,"",chassis!B9)</f>
        <v/>
      </c>
      <c r="I6">
        <f>IF(chemicals!B9=0,"",chemicals!B9)</f>
        <v/>
      </c>
      <c r="J6">
        <f>IF(media!B9=0,"",media!B9)</f>
        <v/>
      </c>
      <c r="P6" t="inlineStr">
        <is>
          <t>R</t>
        </is>
      </c>
      <c r="Q6" s="35" t="inlineStr">
        <is>
          <t>E</t>
        </is>
      </c>
      <c r="R6" s="35" t="n"/>
      <c r="S6" s="35" t="n"/>
      <c r="V6">
        <f>IF(promoter!L9="","",promoter!L9)</f>
        <v/>
      </c>
      <c r="W6">
        <f>IF(rbs!J9="","",rbs!J9)</f>
        <v/>
      </c>
      <c r="X6">
        <f>IF(cds!K9="","",cds!K9)</f>
        <v/>
      </c>
      <c r="Y6">
        <f>IF(terminator!J9="","",terminator!J9)</f>
        <v/>
      </c>
      <c r="Z6">
        <f>IF(other!K9="","",other!K9)</f>
        <v/>
      </c>
    </row>
    <row r="7">
      <c r="A7">
        <f>IF(promoter!B10=0,"",promoter!B10)</f>
        <v/>
      </c>
      <c r="B7">
        <f>IF(rbs!B10=0,"",rbs!B10)</f>
        <v/>
      </c>
      <c r="C7">
        <f>IF(cds!B10=0,"",cds!B10)</f>
        <v/>
      </c>
      <c r="D7">
        <f>IF(terminator!B10=0,"",terminator!B10)</f>
        <v/>
      </c>
      <c r="E7">
        <f>IF(other!B10=0,"",other!B10)</f>
        <v/>
      </c>
      <c r="F7">
        <f>IF(protein!B10=0,"",protein!B10)</f>
        <v/>
      </c>
      <c r="G7">
        <f>IF(complex!B10=0,"",complex!B10)</f>
        <v/>
      </c>
      <c r="H7">
        <f>IF(chassis!B10=0,"",chassis!B10)</f>
        <v/>
      </c>
      <c r="I7">
        <f>IF(chemicals!B10=0,"",chemicals!B10)</f>
        <v/>
      </c>
      <c r="J7">
        <f>IF(media!B10=0,"",media!B10)</f>
        <v/>
      </c>
      <c r="P7" t="inlineStr">
        <is>
          <t>Y</t>
        </is>
      </c>
      <c r="Q7" s="35" t="inlineStr">
        <is>
          <t>F</t>
        </is>
      </c>
      <c r="R7" s="35" t="n"/>
      <c r="S7" s="35" t="n"/>
      <c r="V7">
        <f>IF(promoter!L10="","",promoter!L10)</f>
        <v/>
      </c>
      <c r="W7">
        <f>IF(rbs!J10="","",rbs!J10)</f>
        <v/>
      </c>
      <c r="X7">
        <f>IF(cds!K10="","",cds!K10)</f>
        <v/>
      </c>
      <c r="Y7">
        <f>IF(terminator!J10="","",terminator!J10)</f>
        <v/>
      </c>
      <c r="Z7">
        <f>IF(other!K10="","",other!K10)</f>
        <v/>
      </c>
    </row>
    <row r="8">
      <c r="A8">
        <f>IF(promoter!B11=0,"",promoter!B11)</f>
        <v/>
      </c>
      <c r="B8">
        <f>IF(rbs!B11=0,"",rbs!B11)</f>
        <v/>
      </c>
      <c r="C8">
        <f>IF(cds!B11=0,"",cds!B11)</f>
        <v/>
      </c>
      <c r="D8">
        <f>IF(terminator!B11=0,"",terminator!B11)</f>
        <v/>
      </c>
      <c r="E8">
        <f>IF(other!B11=0,"",other!B11)</f>
        <v/>
      </c>
      <c r="F8">
        <f>IF(protein!B11=0,"",protein!B11)</f>
        <v/>
      </c>
      <c r="G8">
        <f>IF(complex!B11=0,"",complex!B11)</f>
        <v/>
      </c>
      <c r="H8">
        <f>IF(chassis!B11=0,"",chassis!B11)</f>
        <v/>
      </c>
      <c r="I8">
        <f>IF(chemicals!B11=0,"",chemicals!B11)</f>
        <v/>
      </c>
      <c r="J8">
        <f>IF(media!B11=0,"",media!B11)</f>
        <v/>
      </c>
      <c r="P8" t="inlineStr">
        <is>
          <t>S</t>
        </is>
      </c>
      <c r="Q8" s="35" t="inlineStr">
        <is>
          <t>G</t>
        </is>
      </c>
      <c r="R8" s="35" t="n"/>
      <c r="S8" s="35" t="n"/>
      <c r="V8">
        <f>IF(promoter!L11="","",promoter!L11)</f>
        <v/>
      </c>
      <c r="W8">
        <f>IF(rbs!J11="","",rbs!J11)</f>
        <v/>
      </c>
      <c r="X8">
        <f>IF(cds!K11="","",cds!K11)</f>
        <v/>
      </c>
      <c r="Y8">
        <f>IF(terminator!J11="","",terminator!J11)</f>
        <v/>
      </c>
      <c r="Z8">
        <f>IF(other!K11="","",other!K11)</f>
        <v/>
      </c>
    </row>
    <row r="9">
      <c r="A9">
        <f>IF(promoter!B12=0,"",promoter!B12)</f>
        <v/>
      </c>
      <c r="B9">
        <f>IF(rbs!B12=0,"",rbs!B12)</f>
        <v/>
      </c>
      <c r="C9">
        <f>IF(cds!B12=0,"",cds!B12)</f>
        <v/>
      </c>
      <c r="D9">
        <f>IF(terminator!B12=0,"",terminator!B12)</f>
        <v/>
      </c>
      <c r="E9">
        <f>IF(other!B12=0,"",other!B12)</f>
        <v/>
      </c>
      <c r="F9">
        <f>IF(protein!B12=0,"",protein!B12)</f>
        <v/>
      </c>
      <c r="G9">
        <f>IF(complex!B12=0,"",complex!B12)</f>
        <v/>
      </c>
      <c r="H9">
        <f>IF(chassis!B12=0,"",chassis!B12)</f>
        <v/>
      </c>
      <c r="I9">
        <f>IF(chemicals!B12=0,"",chemicals!B12)</f>
        <v/>
      </c>
      <c r="J9">
        <f>IF(media!B12=0,"",media!B12)</f>
        <v/>
      </c>
      <c r="P9" t="inlineStr">
        <is>
          <t>W</t>
        </is>
      </c>
      <c r="Q9" s="35" t="inlineStr">
        <is>
          <t>H</t>
        </is>
      </c>
      <c r="R9" s="35" t="n"/>
      <c r="S9" s="35" t="n"/>
      <c r="V9">
        <f>IF(promoter!L12="","",promoter!L12)</f>
        <v/>
      </c>
      <c r="W9">
        <f>IF(rbs!J12="","",rbs!J12)</f>
        <v/>
      </c>
      <c r="X9">
        <f>IF(cds!K12="","",cds!K12)</f>
        <v/>
      </c>
      <c r="Y9">
        <f>IF(terminator!J12="","",terminator!J12)</f>
        <v/>
      </c>
      <c r="Z9">
        <f>IF(other!K12="","",other!K12)</f>
        <v/>
      </c>
    </row>
    <row r="10">
      <c r="A10">
        <f>IF(promoter!B13=0,"",promoter!B13)</f>
        <v/>
      </c>
      <c r="B10">
        <f>IF(rbs!B13=0,"",rbs!B13)</f>
        <v/>
      </c>
      <c r="C10">
        <f>IF(cds!B13=0,"",cds!B13)</f>
        <v/>
      </c>
      <c r="D10">
        <f>IF(terminator!B13=0,"",terminator!B13)</f>
        <v/>
      </c>
      <c r="E10">
        <f>IF(other!B13=0,"",other!B13)</f>
        <v/>
      </c>
      <c r="F10">
        <f>IF(protein!B13=0,"",protein!B13)</f>
        <v/>
      </c>
      <c r="G10">
        <f>IF(complex!B13=0,"",complex!B13)</f>
        <v/>
      </c>
      <c r="H10">
        <f>IF(chassis!B13=0,"",chassis!B13)</f>
        <v/>
      </c>
      <c r="I10">
        <f>IF(chemicals!B13=0,"",chemicals!B13)</f>
        <v/>
      </c>
      <c r="J10">
        <f>IF(media!B13=0,"",media!B13)</f>
        <v/>
      </c>
      <c r="P10" t="inlineStr">
        <is>
          <t>K</t>
        </is>
      </c>
      <c r="Q10" s="35" t="inlineStr">
        <is>
          <t>I</t>
        </is>
      </c>
      <c r="R10" s="35" t="n"/>
      <c r="S10" s="35" t="n"/>
      <c r="V10">
        <f>IF(promoter!L13="","",promoter!L13)</f>
        <v/>
      </c>
      <c r="W10">
        <f>IF(rbs!J13="","",rbs!J13)</f>
        <v/>
      </c>
      <c r="X10">
        <f>IF(cds!K13="","",cds!K13)</f>
        <v/>
      </c>
      <c r="Y10">
        <f>IF(terminator!J13="","",terminator!J13)</f>
        <v/>
      </c>
      <c r="Z10">
        <f>IF(other!K13="","",other!K13)</f>
        <v/>
      </c>
    </row>
    <row r="11">
      <c r="A11">
        <f>IF(promoter!B14=0,"",promoter!B14)</f>
        <v/>
      </c>
      <c r="B11">
        <f>IF(rbs!B14=0,"",rbs!B14)</f>
        <v/>
      </c>
      <c r="C11">
        <f>IF(cds!B14=0,"",cds!B14)</f>
        <v/>
      </c>
      <c r="D11">
        <f>IF(terminator!B14=0,"",terminator!B14)</f>
        <v/>
      </c>
      <c r="E11">
        <f>IF(other!B14=0,"",other!B14)</f>
        <v/>
      </c>
      <c r="F11">
        <f>IF(protein!B14=0,"",protein!B14)</f>
        <v/>
      </c>
      <c r="G11">
        <f>IF(complex!B14=0,"",complex!B14)</f>
        <v/>
      </c>
      <c r="H11">
        <f>IF(chassis!B14=0,"",chassis!B14)</f>
        <v/>
      </c>
      <c r="I11">
        <f>IF(chemicals!B14=0,"",chemicals!B14)</f>
        <v/>
      </c>
      <c r="J11">
        <f>IF(media!B14=0,"",media!B14)</f>
        <v/>
      </c>
      <c r="P11" t="inlineStr">
        <is>
          <t>M</t>
        </is>
      </c>
      <c r="Q11" s="35" t="inlineStr">
        <is>
          <t>J</t>
        </is>
      </c>
      <c r="R11" s="35" t="n"/>
      <c r="S11" s="35" t="n"/>
      <c r="V11">
        <f>IF(promoter!L14="","",promoter!L14)</f>
        <v/>
      </c>
      <c r="W11">
        <f>IF(rbs!J14="","",rbs!J14)</f>
        <v/>
      </c>
      <c r="X11">
        <f>IF(cds!K14="","",cds!K14)</f>
        <v/>
      </c>
      <c r="Y11">
        <f>IF(terminator!J14="","",terminator!J14)</f>
        <v/>
      </c>
      <c r="Z11">
        <f>IF(other!K14="","",other!K14)</f>
        <v/>
      </c>
    </row>
    <row r="12">
      <c r="A12">
        <f>IF(promoter!B15=0,"",promoter!B15)</f>
        <v/>
      </c>
      <c r="B12">
        <f>IF(rbs!B15=0,"",rbs!B15)</f>
        <v/>
      </c>
      <c r="C12">
        <f>IF(cds!B15=0,"",cds!B15)</f>
        <v/>
      </c>
      <c r="D12">
        <f>IF(terminator!B15=0,"",terminator!B15)</f>
        <v/>
      </c>
      <c r="E12">
        <f>IF(other!B15=0,"",other!B15)</f>
        <v/>
      </c>
      <c r="F12">
        <f>IF(protein!B15=0,"",protein!B15)</f>
        <v/>
      </c>
      <c r="G12">
        <f>IF(complex!B15=0,"",complex!B15)</f>
        <v/>
      </c>
      <c r="H12">
        <f>IF(chassis!B15=0,"",chassis!B15)</f>
        <v/>
      </c>
      <c r="I12">
        <f>IF(chemicals!B15=0,"",chemicals!B15)</f>
        <v/>
      </c>
      <c r="J12">
        <f>IF(media!B15=0,"",media!B15)</f>
        <v/>
      </c>
      <c r="P12" t="inlineStr">
        <is>
          <t>B</t>
        </is>
      </c>
      <c r="Q12" s="35" t="inlineStr">
        <is>
          <t>K</t>
        </is>
      </c>
      <c r="R12" s="35" t="n"/>
      <c r="S12" s="35" t="n"/>
      <c r="V12">
        <f>IF(promoter!L15="","",promoter!L15)</f>
        <v/>
      </c>
      <c r="W12">
        <f>IF(rbs!J15="","",rbs!J15)</f>
        <v/>
      </c>
      <c r="X12">
        <f>IF(cds!K15="","",cds!K15)</f>
        <v/>
      </c>
      <c r="Y12">
        <f>IF(terminator!J15="","",terminator!J15)</f>
        <v/>
      </c>
      <c r="Z12">
        <f>IF(other!K15="","",other!K15)</f>
        <v/>
      </c>
    </row>
    <row r="13">
      <c r="A13">
        <f>IF(promoter!B16=0,"",promoter!B16)</f>
        <v/>
      </c>
      <c r="B13">
        <f>IF(rbs!B16=0,"",rbs!B16)</f>
        <v/>
      </c>
      <c r="C13">
        <f>IF(cds!B16=0,"",cds!B16)</f>
        <v/>
      </c>
      <c r="D13">
        <f>IF(terminator!B16=0,"",terminator!B16)</f>
        <v/>
      </c>
      <c r="E13">
        <f>IF(other!B16=0,"",other!B16)</f>
        <v/>
      </c>
      <c r="F13">
        <f>IF(protein!B16=0,"",protein!B16)</f>
        <v/>
      </c>
      <c r="G13">
        <f>IF(complex!B16=0,"",complex!B16)</f>
        <v/>
      </c>
      <c r="H13">
        <f>IF(chassis!B16=0,"",chassis!B16)</f>
        <v/>
      </c>
      <c r="I13">
        <f>IF(chemicals!B16=0,"",chemicals!B16)</f>
        <v/>
      </c>
      <c r="J13">
        <f>IF(media!B16=0,"",media!B16)</f>
        <v/>
      </c>
      <c r="P13" t="inlineStr">
        <is>
          <t>D</t>
        </is>
      </c>
      <c r="Q13" s="35" t="inlineStr">
        <is>
          <t>L</t>
        </is>
      </c>
      <c r="R13" s="35" t="n"/>
      <c r="S13" s="35" t="n"/>
      <c r="V13">
        <f>IF(promoter!L16="","",promoter!L16)</f>
        <v/>
      </c>
      <c r="W13">
        <f>IF(rbs!J16="","",rbs!J16)</f>
        <v/>
      </c>
      <c r="X13">
        <f>IF(cds!K16="","",cds!K16)</f>
        <v/>
      </c>
      <c r="Y13">
        <f>IF(terminator!J16="","",terminator!J16)</f>
        <v/>
      </c>
      <c r="Z13">
        <f>IF(other!K16="","",other!K16)</f>
        <v/>
      </c>
    </row>
    <row r="14">
      <c r="A14">
        <f>IF(promoter!B17=0,"",promoter!B17)</f>
        <v/>
      </c>
      <c r="B14">
        <f>IF(rbs!B17=0,"",rbs!B17)</f>
        <v/>
      </c>
      <c r="C14">
        <f>IF(cds!B17=0,"",cds!B17)</f>
        <v/>
      </c>
      <c r="D14">
        <f>IF(terminator!B17=0,"",terminator!B17)</f>
        <v/>
      </c>
      <c r="E14">
        <f>IF(other!B17=0,"",other!B17)</f>
        <v/>
      </c>
      <c r="F14">
        <f>IF(protein!B17=0,"",protein!B17)</f>
        <v/>
      </c>
      <c r="G14">
        <f>IF(complex!B17=0,"",complex!B17)</f>
        <v/>
      </c>
      <c r="H14">
        <f>IF(chassis!B17=0,"",chassis!B17)</f>
        <v/>
      </c>
      <c r="I14">
        <f>IF(chemicals!B17=0,"",chemicals!B17)</f>
        <v/>
      </c>
      <c r="J14">
        <f>IF(media!B17=0,"",media!B17)</f>
        <v/>
      </c>
      <c r="P14" t="inlineStr">
        <is>
          <t>H</t>
        </is>
      </c>
      <c r="Q14" s="35" t="inlineStr">
        <is>
          <t>M</t>
        </is>
      </c>
      <c r="R14" s="35" t="n"/>
      <c r="S14" s="35" t="n"/>
      <c r="V14">
        <f>IF(promoter!L17="","",promoter!L17)</f>
        <v/>
      </c>
      <c r="W14">
        <f>IF(rbs!J17="","",rbs!J17)</f>
        <v/>
      </c>
      <c r="X14">
        <f>IF(cds!K17="","",cds!K17)</f>
        <v/>
      </c>
      <c r="Y14">
        <f>IF(terminator!J17="","",terminator!J17)</f>
        <v/>
      </c>
      <c r="Z14">
        <f>IF(other!K17="","",other!K17)</f>
        <v/>
      </c>
    </row>
    <row r="15">
      <c r="A15">
        <f>IF(promoter!B18=0,"",promoter!B18)</f>
        <v/>
      </c>
      <c r="B15">
        <f>IF(rbs!B18=0,"",rbs!B18)</f>
        <v/>
      </c>
      <c r="C15">
        <f>IF(cds!B18=0,"",cds!B18)</f>
        <v/>
      </c>
      <c r="D15">
        <f>IF(terminator!B18=0,"",terminator!B18)</f>
        <v/>
      </c>
      <c r="E15">
        <f>IF(other!B18=0,"",other!B18)</f>
        <v/>
      </c>
      <c r="F15">
        <f>IF(protein!B18=0,"",protein!B18)</f>
        <v/>
      </c>
      <c r="G15">
        <f>IF(complex!B18=0,"",complex!B18)</f>
        <v/>
      </c>
      <c r="H15">
        <f>IF(chassis!B18=0,"",chassis!B18)</f>
        <v/>
      </c>
      <c r="I15">
        <f>IF(chemicals!B18=0,"",chemicals!B18)</f>
        <v/>
      </c>
      <c r="J15">
        <f>IF(media!B18=0,"",media!B18)</f>
        <v/>
      </c>
      <c r="P15" t="inlineStr">
        <is>
          <t>V</t>
        </is>
      </c>
      <c r="Q15" s="35" t="inlineStr">
        <is>
          <t>N</t>
        </is>
      </c>
      <c r="R15" s="35" t="n"/>
      <c r="S15" s="35" t="n"/>
      <c r="V15">
        <f>IF(promoter!L18="","",promoter!L18)</f>
        <v/>
      </c>
      <c r="W15">
        <f>IF(rbs!J18="","",rbs!J18)</f>
        <v/>
      </c>
      <c r="X15">
        <f>IF(cds!K18="","",cds!K18)</f>
        <v/>
      </c>
      <c r="Y15">
        <f>IF(terminator!J18="","",terminator!J18)</f>
        <v/>
      </c>
      <c r="Z15">
        <f>IF(other!K18="","",other!K18)</f>
        <v/>
      </c>
    </row>
    <row r="16">
      <c r="A16">
        <f>IF(promoter!B19=0,"",promoter!B19)</f>
        <v/>
      </c>
      <c r="B16">
        <f>IF(rbs!B19=0,"",rbs!B19)</f>
        <v/>
      </c>
      <c r="C16">
        <f>IF(cds!B19=0,"",cds!B19)</f>
        <v/>
      </c>
      <c r="D16">
        <f>IF(terminator!B19=0,"",terminator!B19)</f>
        <v/>
      </c>
      <c r="E16">
        <f>IF(other!B19=0,"",other!B19)</f>
        <v/>
      </c>
      <c r="F16">
        <f>IF(protein!B19=0,"",protein!B19)</f>
        <v/>
      </c>
      <c r="G16">
        <f>IF(complex!B19=0,"",complex!B19)</f>
        <v/>
      </c>
      <c r="H16">
        <f>IF(chassis!B19=0,"",chassis!B19)</f>
        <v/>
      </c>
      <c r="I16">
        <f>IF(chemicals!B19=0,"",chemicals!B19)</f>
        <v/>
      </c>
      <c r="J16">
        <f>IF(media!B19=0,"",media!B19)</f>
        <v/>
      </c>
      <c r="P16" t="inlineStr">
        <is>
          <t>N</t>
        </is>
      </c>
      <c r="Q16" s="35" t="inlineStr">
        <is>
          <t>O</t>
        </is>
      </c>
      <c r="R16" s="35" t="n"/>
      <c r="S16" s="35" t="n"/>
      <c r="V16">
        <f>IF(promoter!L19="","",promoter!L19)</f>
        <v/>
      </c>
      <c r="W16">
        <f>IF(rbs!J19="","",rbs!J19)</f>
        <v/>
      </c>
      <c r="X16">
        <f>IF(cds!K19="","",cds!K19)</f>
        <v/>
      </c>
      <c r="Y16">
        <f>IF(terminator!J19="","",terminator!J19)</f>
        <v/>
      </c>
      <c r="Z16">
        <f>IF(other!K19="","",other!K19)</f>
        <v/>
      </c>
    </row>
    <row r="17">
      <c r="A17">
        <f>IF(promoter!B20=0,"",promoter!B20)</f>
        <v/>
      </c>
      <c r="B17">
        <f>IF(rbs!B20=0,"",rbs!B20)</f>
        <v/>
      </c>
      <c r="C17">
        <f>IF(cds!B20=0,"",cds!B20)</f>
        <v/>
      </c>
      <c r="D17">
        <f>IF(terminator!B20=0,"",terminator!B20)</f>
        <v/>
      </c>
      <c r="E17">
        <f>IF(other!B20=0,"",other!B20)</f>
        <v/>
      </c>
      <c r="F17">
        <f>IF(protein!B20=0,"",protein!B20)</f>
        <v/>
      </c>
      <c r="G17">
        <f>IF(complex!B20=0,"",complex!B20)</f>
        <v/>
      </c>
      <c r="H17">
        <f>IF(chassis!B20=0,"",chassis!B20)</f>
        <v/>
      </c>
      <c r="I17">
        <f>IF(chemicals!B20=0,"",chemicals!B20)</f>
        <v/>
      </c>
      <c r="J17">
        <f>IF(media!B20=0,"",media!B20)</f>
        <v/>
      </c>
      <c r="P17" t="inlineStr">
        <is>
          <t>.</t>
        </is>
      </c>
      <c r="Q17" s="35" t="inlineStr">
        <is>
          <t>P</t>
        </is>
      </c>
      <c r="R17" s="35" t="n"/>
      <c r="S17" s="35" t="n"/>
      <c r="V17">
        <f>IF(promoter!L20="","",promoter!L20)</f>
        <v/>
      </c>
      <c r="W17">
        <f>IF(rbs!J20="","",rbs!J20)</f>
        <v/>
      </c>
      <c r="X17">
        <f>IF(cds!K20="","",cds!K20)</f>
        <v/>
      </c>
      <c r="Y17">
        <f>IF(terminator!J20="","",terminator!J20)</f>
        <v/>
      </c>
      <c r="Z17">
        <f>IF(other!K20="","",other!K20)</f>
        <v/>
      </c>
    </row>
    <row r="18">
      <c r="A18">
        <f>IF(promoter!B21=0,"",promoter!B21)</f>
        <v/>
      </c>
      <c r="B18">
        <f>IF(rbs!B21=0,"",rbs!B21)</f>
        <v/>
      </c>
      <c r="C18">
        <f>IF(cds!B21=0,"",cds!B21)</f>
        <v/>
      </c>
      <c r="D18">
        <f>IF(terminator!B21=0,"",terminator!B21)</f>
        <v/>
      </c>
      <c r="E18">
        <f>IF(other!B21=0,"",other!B21)</f>
        <v/>
      </c>
      <c r="F18">
        <f>IF(protein!B21=0,"",protein!B21)</f>
        <v/>
      </c>
      <c r="G18">
        <f>IF(complex!B21=0,"",complex!B21)</f>
        <v/>
      </c>
      <c r="H18">
        <f>IF(chassis!B21=0,"",chassis!B21)</f>
        <v/>
      </c>
      <c r="I18">
        <f>IF(chemicals!B21=0,"",chemicals!B21)</f>
        <v/>
      </c>
      <c r="J18">
        <f>IF(media!B21=0,"",media!B21)</f>
        <v/>
      </c>
      <c r="P18" t="inlineStr">
        <is>
          <t>-</t>
        </is>
      </c>
      <c r="Q18" s="35" t="inlineStr">
        <is>
          <t>Q</t>
        </is>
      </c>
      <c r="R18" s="35" t="n"/>
      <c r="S18" s="35" t="n"/>
      <c r="V18">
        <f>IF(promoter!L21="","",promoter!L21)</f>
        <v/>
      </c>
      <c r="W18">
        <f>IF(rbs!J21="","",rbs!J21)</f>
        <v/>
      </c>
      <c r="X18">
        <f>IF(cds!K21="","",cds!K21)</f>
        <v/>
      </c>
      <c r="Y18">
        <f>IF(terminator!J21="","",terminator!J21)</f>
        <v/>
      </c>
      <c r="Z18">
        <f>IF(other!K21="","",other!K21)</f>
        <v/>
      </c>
    </row>
    <row r="19">
      <c r="A19">
        <f>IF(promoter!B22=0,"",promoter!B22)</f>
        <v/>
      </c>
      <c r="B19">
        <f>IF(rbs!B22=0,"",rbs!B22)</f>
        <v/>
      </c>
      <c r="C19">
        <f>IF(cds!B22=0,"",cds!B22)</f>
        <v/>
      </c>
      <c r="D19">
        <f>IF(terminator!B22=0,"",terminator!B22)</f>
        <v/>
      </c>
      <c r="E19">
        <f>IF(other!B22=0,"",other!B22)</f>
        <v/>
      </c>
      <c r="F19">
        <f>IF(protein!B22=0,"",protein!B22)</f>
        <v/>
      </c>
      <c r="G19">
        <f>IF(complex!B22=0,"",complex!B22)</f>
        <v/>
      </c>
      <c r="H19">
        <f>IF(chassis!B22=0,"",chassis!B22)</f>
        <v/>
      </c>
      <c r="I19">
        <f>IF(chemicals!B22=0,"",chemicals!B22)</f>
        <v/>
      </c>
      <c r="J19">
        <f>IF(media!B22=0,"",media!B22)</f>
        <v/>
      </c>
      <c r="P19" s="34" t="inlineStr">
        <is>
          <t>-</t>
        </is>
      </c>
      <c r="Q19" s="35" t="inlineStr">
        <is>
          <t>R</t>
        </is>
      </c>
      <c r="R19" s="35" t="n"/>
      <c r="S19" s="35" t="n"/>
      <c r="V19">
        <f>IF(promoter!L22="","",promoter!L22)</f>
        <v/>
      </c>
      <c r="W19">
        <f>IF(rbs!J22="","",rbs!J22)</f>
        <v/>
      </c>
      <c r="X19">
        <f>IF(cds!K22="","",cds!K22)</f>
        <v/>
      </c>
      <c r="Y19">
        <f>IF(terminator!J22="","",terminator!J22)</f>
        <v/>
      </c>
      <c r="Z19">
        <f>IF(other!K22="","",other!K22)</f>
        <v/>
      </c>
    </row>
    <row r="20">
      <c r="A20">
        <f>IF(promoter!B23=0,"",promoter!B23)</f>
        <v/>
      </c>
      <c r="B20">
        <f>IF(rbs!B23=0,"",rbs!B23)</f>
        <v/>
      </c>
      <c r="C20">
        <f>IF(cds!B23=0,"",cds!B23)</f>
        <v/>
      </c>
      <c r="D20">
        <f>IF(terminator!B23=0,"",terminator!B23)</f>
        <v/>
      </c>
      <c r="E20">
        <f>IF(other!B23=0,"",other!B23)</f>
        <v/>
      </c>
      <c r="F20">
        <f>IF(protein!B23=0,"",protein!B23)</f>
        <v/>
      </c>
      <c r="G20">
        <f>IF(complex!B23=0,"",complex!B23)</f>
        <v/>
      </c>
      <c r="H20">
        <f>IF(chassis!B23=0,"",chassis!B23)</f>
        <v/>
      </c>
      <c r="I20">
        <f>IF(chemicals!B23=0,"",chemicals!B23)</f>
        <v/>
      </c>
      <c r="J20">
        <f>IF(media!B23=0,"",media!B23)</f>
        <v/>
      </c>
      <c r="Q20" s="35" t="inlineStr">
        <is>
          <t>S</t>
        </is>
      </c>
      <c r="R20" s="35" t="n"/>
      <c r="S20" s="35" t="n"/>
      <c r="V20">
        <f>IF(promoter!L23="","",promoter!L23)</f>
        <v/>
      </c>
      <c r="W20">
        <f>IF(rbs!J23="","",rbs!J23)</f>
        <v/>
      </c>
      <c r="X20">
        <f>IF(cds!K23="","",cds!K23)</f>
        <v/>
      </c>
      <c r="Y20">
        <f>IF(terminator!J23="","",terminator!J23)</f>
        <v/>
      </c>
      <c r="Z20">
        <f>IF(other!K23="","",other!K23)</f>
        <v/>
      </c>
    </row>
    <row r="21">
      <c r="A21">
        <f>IF(promoter!B24=0,"",promoter!B24)</f>
        <v/>
      </c>
      <c r="B21">
        <f>IF(rbs!B24=0,"",rbs!B24)</f>
        <v/>
      </c>
      <c r="C21">
        <f>IF(cds!B24=0,"",cds!B24)</f>
        <v/>
      </c>
      <c r="D21">
        <f>IF(terminator!B24=0,"",terminator!B24)</f>
        <v/>
      </c>
      <c r="E21">
        <f>IF(other!B24=0,"",other!B24)</f>
        <v/>
      </c>
      <c r="F21">
        <f>IF(protein!B24=0,"",protein!B24)</f>
        <v/>
      </c>
      <c r="G21">
        <f>IF(complex!B24=0,"",complex!B24)</f>
        <v/>
      </c>
      <c r="H21">
        <f>IF(chassis!B24=0,"",chassis!B24)</f>
        <v/>
      </c>
      <c r="I21">
        <f>IF(chemicals!B24=0,"",chemicals!B24)</f>
        <v/>
      </c>
      <c r="J21">
        <f>IF(media!B24=0,"",media!B24)</f>
        <v/>
      </c>
      <c r="Q21" s="35" t="inlineStr">
        <is>
          <t>T</t>
        </is>
      </c>
      <c r="R21" s="35" t="n"/>
      <c r="S21" s="35" t="n"/>
      <c r="V21">
        <f>IF(promoter!L24="","",promoter!L24)</f>
        <v/>
      </c>
      <c r="W21">
        <f>IF(rbs!J24="","",rbs!J24)</f>
        <v/>
      </c>
      <c r="X21">
        <f>IF(cds!K24="","",cds!K24)</f>
        <v/>
      </c>
      <c r="Y21">
        <f>IF(terminator!J24="","",terminator!J24)</f>
        <v/>
      </c>
      <c r="Z21">
        <f>IF(other!K24="","",other!K24)</f>
        <v/>
      </c>
    </row>
    <row r="22">
      <c r="A22">
        <f>IF(promoter!B25=0,"",promoter!B25)</f>
        <v/>
      </c>
      <c r="B22">
        <f>IF(rbs!B25=0,"",rbs!B25)</f>
        <v/>
      </c>
      <c r="C22">
        <f>IF(cds!B25=0,"",cds!B25)</f>
        <v/>
      </c>
      <c r="D22">
        <f>IF(terminator!B25=0,"",terminator!B25)</f>
        <v/>
      </c>
      <c r="E22">
        <f>IF(other!B25=0,"",other!B25)</f>
        <v/>
      </c>
      <c r="F22">
        <f>IF(protein!B25=0,"",protein!B25)</f>
        <v/>
      </c>
      <c r="G22">
        <f>IF(complex!B25=0,"",complex!B25)</f>
        <v/>
      </c>
      <c r="H22">
        <f>IF(chassis!B25=0,"",chassis!B25)</f>
        <v/>
      </c>
      <c r="I22">
        <f>IF(chemicals!B25=0,"",chemicals!B25)</f>
        <v/>
      </c>
      <c r="J22">
        <f>IF(media!B25=0,"",media!B25)</f>
        <v/>
      </c>
      <c r="Q22" s="35" t="inlineStr">
        <is>
          <t>U</t>
        </is>
      </c>
      <c r="R22" s="35" t="n"/>
      <c r="S22" s="35" t="n"/>
      <c r="V22">
        <f>IF(promoter!L25="","",promoter!L25)</f>
        <v/>
      </c>
      <c r="W22">
        <f>IF(rbs!J25="","",rbs!J25)</f>
        <v/>
      </c>
      <c r="X22">
        <f>IF(cds!K25="","",cds!K25)</f>
        <v/>
      </c>
      <c r="Y22">
        <f>IF(terminator!J25="","",terminator!J25)</f>
        <v/>
      </c>
      <c r="Z22">
        <f>IF(other!K25="","",other!K25)</f>
        <v/>
      </c>
    </row>
    <row r="23">
      <c r="A23">
        <f>IF(promoter!B26=0,"",promoter!B26)</f>
        <v/>
      </c>
      <c r="B23">
        <f>IF(rbs!B26=0,"",rbs!B26)</f>
        <v/>
      </c>
      <c r="C23">
        <f>IF(cds!B26=0,"",cds!B26)</f>
        <v/>
      </c>
      <c r="D23">
        <f>IF(terminator!B26=0,"",terminator!B26)</f>
        <v/>
      </c>
      <c r="E23">
        <f>IF(other!B26=0,"",other!B26)</f>
        <v/>
      </c>
      <c r="F23">
        <f>IF(protein!B26=0,"",protein!B26)</f>
        <v/>
      </c>
      <c r="G23">
        <f>IF(complex!B26=0,"",complex!B26)</f>
        <v/>
      </c>
      <c r="H23">
        <f>IF(chassis!B26=0,"",chassis!B26)</f>
        <v/>
      </c>
      <c r="I23">
        <f>IF(chemicals!B26=0,"",chemicals!B26)</f>
        <v/>
      </c>
      <c r="J23">
        <f>IF(media!B26=0,"",media!B26)</f>
        <v/>
      </c>
      <c r="Q23" s="35" t="inlineStr">
        <is>
          <t>V</t>
        </is>
      </c>
      <c r="R23" s="35" t="n"/>
      <c r="S23" s="35" t="n"/>
      <c r="V23">
        <f>IF(promoter!L26="","",promoter!L26)</f>
        <v/>
      </c>
      <c r="W23">
        <f>IF(rbs!J26="","",rbs!J26)</f>
        <v/>
      </c>
      <c r="X23">
        <f>IF(cds!K26="","",cds!K26)</f>
        <v/>
      </c>
      <c r="Y23">
        <f>IF(terminator!J26="","",terminator!J26)</f>
        <v/>
      </c>
      <c r="Z23">
        <f>IF(other!K26="","",other!K26)</f>
        <v/>
      </c>
    </row>
    <row r="24">
      <c r="A24">
        <f>IF(promoter!B27=0,"",promoter!B27)</f>
        <v/>
      </c>
      <c r="B24">
        <f>IF(rbs!B27=0,"",rbs!B27)</f>
        <v/>
      </c>
      <c r="C24">
        <f>IF(cds!B27=0,"",cds!B27)</f>
        <v/>
      </c>
      <c r="D24">
        <f>IF(terminator!B27=0,"",terminator!B27)</f>
        <v/>
      </c>
      <c r="E24">
        <f>IF(other!B27=0,"",other!B27)</f>
        <v/>
      </c>
      <c r="F24">
        <f>IF(protein!B27=0,"",protein!B27)</f>
        <v/>
      </c>
      <c r="G24">
        <f>IF(complex!B27=0,"",complex!B27)</f>
        <v/>
      </c>
      <c r="H24">
        <f>IF(chassis!B27=0,"",chassis!B27)</f>
        <v/>
      </c>
      <c r="I24">
        <f>IF(chemicals!B27=0,"",chemicals!B27)</f>
        <v/>
      </c>
      <c r="J24">
        <f>IF(media!B27=0,"",media!B27)</f>
        <v/>
      </c>
      <c r="Q24" s="35" t="inlineStr">
        <is>
          <t>W</t>
        </is>
      </c>
      <c r="R24" s="35" t="n"/>
      <c r="S24" s="35" t="n"/>
      <c r="V24">
        <f>IF(promoter!L27="","",promoter!L27)</f>
        <v/>
      </c>
      <c r="W24">
        <f>IF(rbs!J27="","",rbs!J27)</f>
        <v/>
      </c>
      <c r="X24">
        <f>IF(cds!K27="","",cds!K27)</f>
        <v/>
      </c>
      <c r="Y24">
        <f>IF(terminator!J27="","",terminator!J27)</f>
        <v/>
      </c>
      <c r="Z24">
        <f>IF(other!K27="","",other!K27)</f>
        <v/>
      </c>
    </row>
    <row r="25">
      <c r="A25">
        <f>IF(promoter!B28=0,"",promoter!B28)</f>
        <v/>
      </c>
      <c r="B25">
        <f>IF(rbs!B28=0,"",rbs!B28)</f>
        <v/>
      </c>
      <c r="C25">
        <f>IF(cds!B28=0,"",cds!B28)</f>
        <v/>
      </c>
      <c r="D25">
        <f>IF(terminator!B28=0,"",terminator!B28)</f>
        <v/>
      </c>
      <c r="E25">
        <f>IF(other!B28=0,"",other!B28)</f>
        <v/>
      </c>
      <c r="F25">
        <f>IF(protein!B28=0,"",protein!B28)</f>
        <v/>
      </c>
      <c r="G25">
        <f>IF(complex!B28=0,"",complex!B28)</f>
        <v/>
      </c>
      <c r="H25">
        <f>IF(chassis!B28=0,"",chassis!B28)</f>
        <v/>
      </c>
      <c r="I25">
        <f>IF(chemicals!B28=0,"",chemicals!B28)</f>
        <v/>
      </c>
      <c r="J25">
        <f>IF(media!B28=0,"",media!B28)</f>
        <v/>
      </c>
      <c r="Q25" s="35" t="inlineStr">
        <is>
          <t>X</t>
        </is>
      </c>
      <c r="R25" s="35" t="n"/>
      <c r="S25" s="35" t="n"/>
      <c r="V25">
        <f>IF(promoter!L28="","",promoter!L28)</f>
        <v/>
      </c>
      <c r="W25">
        <f>IF(rbs!J28="","",rbs!J28)</f>
        <v/>
      </c>
      <c r="X25">
        <f>IF(cds!K28="","",cds!K28)</f>
        <v/>
      </c>
      <c r="Y25">
        <f>IF(terminator!J28="","",terminator!J28)</f>
        <v/>
      </c>
      <c r="Z25">
        <f>IF(other!K28="","",other!K28)</f>
        <v/>
      </c>
    </row>
    <row r="26">
      <c r="A26">
        <f>IF(promoter!B29=0,"",promoter!B29)</f>
        <v/>
      </c>
      <c r="B26">
        <f>IF(rbs!B29=0,"",rbs!B29)</f>
        <v/>
      </c>
      <c r="C26">
        <f>IF(cds!B29=0,"",cds!B29)</f>
        <v/>
      </c>
      <c r="D26">
        <f>IF(terminator!B29=0,"",terminator!B29)</f>
        <v/>
      </c>
      <c r="E26">
        <f>IF(other!B29=0,"",other!B29)</f>
        <v/>
      </c>
      <c r="F26">
        <f>IF(protein!B29=0,"",protein!B29)</f>
        <v/>
      </c>
      <c r="G26">
        <f>IF(complex!B29=0,"",complex!B29)</f>
        <v/>
      </c>
      <c r="H26">
        <f>IF(chassis!B29=0,"",chassis!B29)</f>
        <v/>
      </c>
      <c r="I26">
        <f>IF(chemicals!B29=0,"",chemicals!B29)</f>
        <v/>
      </c>
      <c r="J26">
        <f>IF(media!B29=0,"",media!B29)</f>
        <v/>
      </c>
      <c r="Q26" s="35" t="inlineStr">
        <is>
          <t>Y</t>
        </is>
      </c>
      <c r="R26" s="35" t="n"/>
      <c r="S26" s="35" t="n"/>
      <c r="V26">
        <f>IF(promoter!L29="","",promoter!L29)</f>
        <v/>
      </c>
      <c r="W26">
        <f>IF(rbs!J29="","",rbs!J29)</f>
        <v/>
      </c>
      <c r="X26">
        <f>IF(cds!K29="","",cds!K29)</f>
        <v/>
      </c>
      <c r="Y26">
        <f>IF(terminator!J29="","",terminator!J29)</f>
        <v/>
      </c>
      <c r="Z26">
        <f>IF(other!K29="","",other!K29)</f>
        <v/>
      </c>
    </row>
    <row r="27">
      <c r="A27">
        <f>IF(promoter!B30=0,"",promoter!B30)</f>
        <v/>
      </c>
      <c r="B27">
        <f>IF(rbs!B30=0,"",rbs!B30)</f>
        <v/>
      </c>
      <c r="C27">
        <f>IF(cds!B30=0,"",cds!B30)</f>
        <v/>
      </c>
      <c r="D27">
        <f>IF(terminator!B30=0,"",terminator!B30)</f>
        <v/>
      </c>
      <c r="E27">
        <f>IF(other!B30=0,"",other!B30)</f>
        <v/>
      </c>
      <c r="F27">
        <f>IF(protein!B30=0,"",protein!B30)</f>
        <v/>
      </c>
      <c r="G27">
        <f>IF(complex!B30=0,"",complex!B30)</f>
        <v/>
      </c>
      <c r="H27">
        <f>IF(chassis!B30=0,"",chassis!B30)</f>
        <v/>
      </c>
      <c r="I27">
        <f>IF(chemicals!B30=0,"",chemicals!B30)</f>
        <v/>
      </c>
      <c r="J27">
        <f>IF(media!B30=0,"",media!B30)</f>
        <v/>
      </c>
      <c r="Q27" s="35" t="inlineStr">
        <is>
          <t>Z</t>
        </is>
      </c>
      <c r="V27">
        <f>IF(promoter!L30="","",promoter!L30)</f>
        <v/>
      </c>
      <c r="W27">
        <f>IF(rbs!J30="","",rbs!J30)</f>
        <v/>
      </c>
      <c r="X27">
        <f>IF(cds!K30="","",cds!K30)</f>
        <v/>
      </c>
      <c r="Y27">
        <f>IF(terminator!J30="","",terminator!J30)</f>
        <v/>
      </c>
      <c r="Z27">
        <f>IF(other!K30="","",other!K30)</f>
        <v/>
      </c>
    </row>
    <row r="28">
      <c r="A28">
        <f>IF(promoter!B31=0,"",promoter!B31)</f>
        <v/>
      </c>
      <c r="B28">
        <f>IF(rbs!B31=0,"",rbs!B31)</f>
        <v/>
      </c>
      <c r="C28">
        <f>IF(cds!B31=0,"",cds!B31)</f>
        <v/>
      </c>
      <c r="D28">
        <f>IF(terminator!B31=0,"",terminator!B31)</f>
        <v/>
      </c>
      <c r="E28">
        <f>IF(other!B31=0,"",other!B31)</f>
        <v/>
      </c>
      <c r="F28">
        <f>IF(protein!B31=0,"",protein!B31)</f>
        <v/>
      </c>
      <c r="G28">
        <f>IF(complex!B31=0,"",complex!B31)</f>
        <v/>
      </c>
      <c r="H28">
        <f>IF(chassis!B31=0,"",chassis!B31)</f>
        <v/>
      </c>
      <c r="I28">
        <f>IF(chemicals!B31=0,"",chemicals!B31)</f>
        <v/>
      </c>
      <c r="J28">
        <f>IF(media!B31=0,"",media!B31)</f>
        <v/>
      </c>
      <c r="V28">
        <f>IF(promoter!L31="","",promoter!L31)</f>
        <v/>
      </c>
      <c r="W28">
        <f>IF(rbs!J31="","",rbs!J31)</f>
        <v/>
      </c>
      <c r="X28">
        <f>IF(cds!K31="","",cds!K31)</f>
        <v/>
      </c>
      <c r="Y28">
        <f>IF(terminator!J31="","",terminator!J31)</f>
        <v/>
      </c>
      <c r="Z28">
        <f>IF(other!K31="","",other!K31)</f>
        <v/>
      </c>
    </row>
    <row r="29">
      <c r="A29">
        <f>IF(promoter!B32=0,"",promoter!B32)</f>
        <v/>
      </c>
      <c r="B29">
        <f>IF(rbs!B32=0,"",rbs!B32)</f>
        <v/>
      </c>
      <c r="C29">
        <f>IF(cds!B32=0,"",cds!B32)</f>
        <v/>
      </c>
      <c r="D29">
        <f>IF(terminator!B32=0,"",terminator!B32)</f>
        <v/>
      </c>
      <c r="E29">
        <f>IF(other!B32=0,"",other!B32)</f>
        <v/>
      </c>
      <c r="F29">
        <f>IF(protein!B32=0,"",protein!B32)</f>
        <v/>
      </c>
      <c r="G29">
        <f>IF(complex!B32=0,"",complex!B32)</f>
        <v/>
      </c>
      <c r="H29">
        <f>IF(chassis!B32=0,"",chassis!B32)</f>
        <v/>
      </c>
      <c r="I29">
        <f>IF(chemicals!B32=0,"",chemicals!B32)</f>
        <v/>
      </c>
      <c r="J29">
        <f>IF(media!B32=0,"",media!B32)</f>
        <v/>
      </c>
      <c r="V29">
        <f>IF(promoter!L32="","",promoter!L32)</f>
        <v/>
      </c>
      <c r="W29">
        <f>IF(rbs!J32="","",rbs!J32)</f>
        <v/>
      </c>
      <c r="X29">
        <f>IF(cds!K32="","",cds!K32)</f>
        <v/>
      </c>
      <c r="Y29">
        <f>IF(terminator!J32="","",terminator!J32)</f>
        <v/>
      </c>
      <c r="Z29">
        <f>IF(other!K32="","",other!K32)</f>
        <v/>
      </c>
    </row>
    <row r="30">
      <c r="A30">
        <f>IF(promoter!B33=0,"",promoter!B33)</f>
        <v/>
      </c>
      <c r="B30">
        <f>IF(rbs!B33=0,"",rbs!B33)</f>
        <v/>
      </c>
      <c r="C30">
        <f>IF(cds!B33=0,"",cds!B33)</f>
        <v/>
      </c>
      <c r="D30">
        <f>IF(terminator!B33=0,"",terminator!B33)</f>
        <v/>
      </c>
      <c r="E30">
        <f>IF(other!B33=0,"",other!B33)</f>
        <v/>
      </c>
      <c r="F30">
        <f>IF(protein!B33=0,"",protein!B33)</f>
        <v/>
      </c>
      <c r="G30">
        <f>IF(complex!B33=0,"",complex!B33)</f>
        <v/>
      </c>
      <c r="H30">
        <f>IF(chassis!B33=0,"",chassis!B33)</f>
        <v/>
      </c>
      <c r="I30">
        <f>IF(chemicals!B33=0,"",chemicals!B33)</f>
        <v/>
      </c>
      <c r="J30">
        <f>IF(media!B33=0,"",media!B33)</f>
        <v/>
      </c>
      <c r="V30">
        <f>IF(promoter!L33="","",promoter!L33)</f>
        <v/>
      </c>
      <c r="W30">
        <f>IF(rbs!J33="","",rbs!J33)</f>
        <v/>
      </c>
      <c r="X30">
        <f>IF(cds!K33="","",cds!K33)</f>
        <v/>
      </c>
      <c r="Y30">
        <f>IF(terminator!J33="","",terminator!J33)</f>
        <v/>
      </c>
      <c r="Z30">
        <f>IF(other!K33="","",other!K33)</f>
        <v/>
      </c>
    </row>
    <row r="31">
      <c r="A31">
        <f>IF(promoter!B34=0,"",promoter!B34)</f>
        <v/>
      </c>
      <c r="B31">
        <f>IF(rbs!B34=0,"",rbs!B34)</f>
        <v/>
      </c>
      <c r="C31">
        <f>IF(cds!B34=0,"",cds!B34)</f>
        <v/>
      </c>
      <c r="D31">
        <f>IF(terminator!B34=0,"",terminator!B34)</f>
        <v/>
      </c>
      <c r="E31">
        <f>IF(other!B34=0,"",other!B34)</f>
        <v/>
      </c>
      <c r="F31">
        <f>IF(protein!B34=0,"",protein!B34)</f>
        <v/>
      </c>
      <c r="G31">
        <f>IF(complex!B34=0,"",complex!B34)</f>
        <v/>
      </c>
      <c r="H31">
        <f>IF(chassis!B34=0,"",chassis!B34)</f>
        <v/>
      </c>
      <c r="I31">
        <f>IF(chemicals!B34=0,"",chemicals!B34)</f>
        <v/>
      </c>
      <c r="J31">
        <f>IF(media!B34=0,"",media!B34)</f>
        <v/>
      </c>
      <c r="V31">
        <f>IF(promoter!L34="","",promoter!L34)</f>
        <v/>
      </c>
      <c r="W31">
        <f>IF(rbs!J34="","",rbs!J34)</f>
        <v/>
      </c>
      <c r="X31">
        <f>IF(cds!K34="","",cds!K34)</f>
        <v/>
      </c>
      <c r="Y31">
        <f>IF(terminator!J34="","",terminator!J34)</f>
        <v/>
      </c>
      <c r="Z31">
        <f>IF(other!K34="","",other!K34)</f>
        <v/>
      </c>
    </row>
    <row r="32">
      <c r="A32">
        <f>IF(promoter!B35=0,"",promoter!B35)</f>
        <v/>
      </c>
      <c r="B32">
        <f>IF(rbs!B35=0,"",rbs!B35)</f>
        <v/>
      </c>
      <c r="C32">
        <f>IF(cds!B35=0,"",cds!B35)</f>
        <v/>
      </c>
      <c r="D32">
        <f>IF(terminator!B35=0,"",terminator!B35)</f>
        <v/>
      </c>
      <c r="E32">
        <f>IF(other!B35=0,"",other!B35)</f>
        <v/>
      </c>
      <c r="F32">
        <f>IF(protein!B35=0,"",protein!B35)</f>
        <v/>
      </c>
      <c r="G32">
        <f>IF(complex!B35=0,"",complex!B35)</f>
        <v/>
      </c>
      <c r="H32">
        <f>IF(chassis!B35=0,"",chassis!B35)</f>
        <v/>
      </c>
      <c r="I32">
        <f>IF(chemicals!B35=0,"",chemicals!B35)</f>
        <v/>
      </c>
      <c r="J32">
        <f>IF(media!B35=0,"",media!B35)</f>
        <v/>
      </c>
      <c r="V32">
        <f>IF(promoter!L35="","",promoter!L35)</f>
        <v/>
      </c>
      <c r="W32">
        <f>IF(rbs!J35="","",rbs!J35)</f>
        <v/>
      </c>
      <c r="X32">
        <f>IF(cds!K35="","",cds!K35)</f>
        <v/>
      </c>
      <c r="Y32">
        <f>IF(terminator!J35="","",terminator!J35)</f>
        <v/>
      </c>
      <c r="Z32">
        <f>IF(other!K35="","",other!K35)</f>
        <v/>
      </c>
    </row>
    <row r="33">
      <c r="A33">
        <f>IF(promoter!B36=0,"",promoter!B36)</f>
        <v/>
      </c>
      <c r="B33">
        <f>IF(rbs!B36=0,"",rbs!B36)</f>
        <v/>
      </c>
      <c r="C33">
        <f>IF(cds!B36=0,"",cds!B36)</f>
        <v/>
      </c>
      <c r="D33">
        <f>IF(terminator!B36=0,"",terminator!B36)</f>
        <v/>
      </c>
      <c r="E33">
        <f>IF(other!B36=0,"",other!B36)</f>
        <v/>
      </c>
      <c r="F33">
        <f>IF(protein!B36=0,"",protein!B36)</f>
        <v/>
      </c>
      <c r="G33">
        <f>IF(complex!B36=0,"",complex!B36)</f>
        <v/>
      </c>
      <c r="H33">
        <f>IF(chassis!B36=0,"",chassis!B36)</f>
        <v/>
      </c>
      <c r="I33">
        <f>IF(chemicals!B36=0,"",chemicals!B36)</f>
        <v/>
      </c>
      <c r="J33">
        <f>IF(media!B36=0,"",media!B36)</f>
        <v/>
      </c>
      <c r="V33">
        <f>IF(promoter!L36="","",promoter!L36)</f>
        <v/>
      </c>
      <c r="W33">
        <f>IF(rbs!J36="","",rbs!J36)</f>
        <v/>
      </c>
      <c r="X33">
        <f>IF(cds!K36="","",cds!K36)</f>
        <v/>
      </c>
      <c r="Y33">
        <f>IF(terminator!J36="","",terminator!J36)</f>
        <v/>
      </c>
      <c r="Z33">
        <f>IF(other!K36="","",other!K36)</f>
        <v/>
      </c>
    </row>
    <row r="34">
      <c r="A34">
        <f>IF(promoter!B37=0,"",promoter!B37)</f>
        <v/>
      </c>
      <c r="B34">
        <f>IF(rbs!B37=0,"",rbs!B37)</f>
        <v/>
      </c>
      <c r="C34">
        <f>IF(cds!B37=0,"",cds!B37)</f>
        <v/>
      </c>
      <c r="D34">
        <f>IF(terminator!B37=0,"",terminator!B37)</f>
        <v/>
      </c>
      <c r="E34">
        <f>IF(other!B37=0,"",other!B37)</f>
        <v/>
      </c>
      <c r="F34">
        <f>IF(protein!B37=0,"",protein!B37)</f>
        <v/>
      </c>
      <c r="G34">
        <f>IF(complex!B37=0,"",complex!B37)</f>
        <v/>
      </c>
      <c r="H34">
        <f>IF(chassis!B37=0,"",chassis!B37)</f>
        <v/>
      </c>
      <c r="I34">
        <f>IF(chemicals!B37=0,"",chemicals!B37)</f>
        <v/>
      </c>
      <c r="J34">
        <f>IF(media!B37=0,"",media!B37)</f>
        <v/>
      </c>
      <c r="V34">
        <f>IF(promoter!L37="","",promoter!L37)</f>
        <v/>
      </c>
      <c r="W34">
        <f>IF(rbs!J37="","",rbs!J37)</f>
        <v/>
      </c>
      <c r="X34">
        <f>IF(cds!K37="","",cds!K37)</f>
        <v/>
      </c>
      <c r="Y34">
        <f>IF(terminator!J37="","",terminator!J37)</f>
        <v/>
      </c>
      <c r="Z34">
        <f>IF(other!K37="","",other!K37)</f>
        <v/>
      </c>
    </row>
    <row r="35">
      <c r="A35">
        <f>IF(promoter!B38=0,"",promoter!B38)</f>
        <v/>
      </c>
      <c r="B35">
        <f>IF(rbs!B38=0,"",rbs!B38)</f>
        <v/>
      </c>
      <c r="C35">
        <f>IF(cds!B38=0,"",cds!B38)</f>
        <v/>
      </c>
      <c r="D35">
        <f>IF(terminator!B38=0,"",terminator!B38)</f>
        <v/>
      </c>
      <c r="E35">
        <f>IF(other!B38=0,"",other!B38)</f>
        <v/>
      </c>
      <c r="F35">
        <f>IF(protein!B38=0,"",protein!B38)</f>
        <v/>
      </c>
      <c r="G35">
        <f>IF(complex!B38=0,"",complex!B38)</f>
        <v/>
      </c>
      <c r="H35">
        <f>IF(chassis!B38=0,"",chassis!B38)</f>
        <v/>
      </c>
      <c r="I35">
        <f>IF(chemicals!B38=0,"",chemicals!B38)</f>
        <v/>
      </c>
      <c r="J35">
        <f>IF(media!B38=0,"",media!B38)</f>
        <v/>
      </c>
      <c r="V35">
        <f>IF(promoter!L38="","",promoter!L38)</f>
        <v/>
      </c>
      <c r="W35">
        <f>IF(rbs!J38="","",rbs!J38)</f>
        <v/>
      </c>
      <c r="X35">
        <f>IF(cds!K38="","",cds!K38)</f>
        <v/>
      </c>
      <c r="Y35">
        <f>IF(terminator!J38="","",terminator!J38)</f>
        <v/>
      </c>
      <c r="Z35">
        <f>IF(other!K38="","",other!K38)</f>
        <v/>
      </c>
    </row>
    <row r="36">
      <c r="A36">
        <f>IF(promoter!B39=0,"",promoter!B39)</f>
        <v/>
      </c>
      <c r="B36">
        <f>IF(rbs!B39=0,"",rbs!B39)</f>
        <v/>
      </c>
      <c r="C36">
        <f>IF(cds!B39=0,"",cds!B39)</f>
        <v/>
      </c>
      <c r="D36">
        <f>IF(terminator!B39=0,"",terminator!B39)</f>
        <v/>
      </c>
      <c r="E36">
        <f>IF(other!B39=0,"",other!B39)</f>
        <v/>
      </c>
      <c r="F36">
        <f>IF(protein!B39=0,"",protein!B39)</f>
        <v/>
      </c>
      <c r="G36">
        <f>IF(complex!B39=0,"",complex!B39)</f>
        <v/>
      </c>
      <c r="H36">
        <f>IF(chassis!B39=0,"",chassis!B39)</f>
        <v/>
      </c>
      <c r="I36">
        <f>IF(chemicals!B39=0,"",chemicals!B39)</f>
        <v/>
      </c>
      <c r="J36">
        <f>IF(media!B39=0,"",media!B39)</f>
        <v/>
      </c>
      <c r="V36">
        <f>IF(promoter!L39="","",promoter!L39)</f>
        <v/>
      </c>
      <c r="W36">
        <f>IF(rbs!J39="","",rbs!J39)</f>
        <v/>
      </c>
      <c r="X36">
        <f>IF(cds!K39="","",cds!K39)</f>
        <v/>
      </c>
      <c r="Y36">
        <f>IF(terminator!J39="","",terminator!J39)</f>
        <v/>
      </c>
      <c r="Z36">
        <f>IF(other!K39="","",other!K39)</f>
        <v/>
      </c>
    </row>
    <row r="37">
      <c r="A37">
        <f>IF(promoter!B40=0,"",promoter!B40)</f>
        <v/>
      </c>
      <c r="B37">
        <f>IF(rbs!B40=0,"",rbs!B40)</f>
        <v/>
      </c>
      <c r="C37">
        <f>IF(cds!B40=0,"",cds!B40)</f>
        <v/>
      </c>
      <c r="D37">
        <f>IF(terminator!B40=0,"",terminator!B40)</f>
        <v/>
      </c>
      <c r="E37">
        <f>IF(other!B40=0,"",other!B40)</f>
        <v/>
      </c>
      <c r="F37">
        <f>IF(protein!B40=0,"",protein!B40)</f>
        <v/>
      </c>
      <c r="G37">
        <f>IF(complex!B40=0,"",complex!B40)</f>
        <v/>
      </c>
      <c r="H37">
        <f>IF(chassis!B40=0,"",chassis!B40)</f>
        <v/>
      </c>
      <c r="I37">
        <f>IF(chemicals!B40=0,"",chemicals!B40)</f>
        <v/>
      </c>
      <c r="J37">
        <f>IF(media!B40=0,"",media!B40)</f>
        <v/>
      </c>
      <c r="V37">
        <f>IF(promoter!L40="","",promoter!L40)</f>
        <v/>
      </c>
      <c r="W37">
        <f>IF(rbs!J40="","",rbs!J40)</f>
        <v/>
      </c>
      <c r="X37">
        <f>IF(cds!K40="","",cds!K40)</f>
        <v/>
      </c>
      <c r="Y37">
        <f>IF(terminator!J40="","",terminator!J40)</f>
        <v/>
      </c>
      <c r="Z37">
        <f>IF(other!K40="","",other!K40)</f>
        <v/>
      </c>
    </row>
    <row r="38">
      <c r="A38">
        <f>IF(promoter!B41=0,"",promoter!B41)</f>
        <v/>
      </c>
      <c r="B38">
        <f>IF(rbs!B41=0,"",rbs!B41)</f>
        <v/>
      </c>
      <c r="C38">
        <f>IF(cds!B41=0,"",cds!B41)</f>
        <v/>
      </c>
      <c r="D38">
        <f>IF(terminator!B41=0,"",terminator!B41)</f>
        <v/>
      </c>
      <c r="E38">
        <f>IF(other!B41=0,"",other!B41)</f>
        <v/>
      </c>
      <c r="F38">
        <f>IF(protein!B41=0,"",protein!B41)</f>
        <v/>
      </c>
      <c r="G38">
        <f>IF(complex!B41=0,"",complex!B41)</f>
        <v/>
      </c>
      <c r="H38">
        <f>IF(chassis!B41=0,"",chassis!B41)</f>
        <v/>
      </c>
      <c r="I38">
        <f>IF(chemicals!B41=0,"",chemicals!B41)</f>
        <v/>
      </c>
      <c r="J38">
        <f>IF(media!B41=0,"",media!B41)</f>
        <v/>
      </c>
      <c r="V38">
        <f>IF(promoter!L41="","",promoter!L41)</f>
        <v/>
      </c>
      <c r="W38">
        <f>IF(rbs!J41="","",rbs!J41)</f>
        <v/>
      </c>
      <c r="X38">
        <f>IF(cds!K41="","",cds!K41)</f>
        <v/>
      </c>
      <c r="Y38">
        <f>IF(terminator!J41="","",terminator!J41)</f>
        <v/>
      </c>
      <c r="Z38">
        <f>IF(other!K41="","",other!K41)</f>
        <v/>
      </c>
    </row>
    <row r="39">
      <c r="A39">
        <f>IF(promoter!B42=0,"",promoter!B42)</f>
        <v/>
      </c>
      <c r="B39">
        <f>IF(rbs!B42=0,"",rbs!B42)</f>
        <v/>
      </c>
      <c r="C39">
        <f>IF(cds!B42=0,"",cds!B42)</f>
        <v/>
      </c>
      <c r="D39">
        <f>IF(terminator!B42=0,"",terminator!B42)</f>
        <v/>
      </c>
      <c r="E39">
        <f>IF(other!B42=0,"",other!B42)</f>
        <v/>
      </c>
      <c r="F39">
        <f>IF(protein!B42=0,"",protein!B42)</f>
        <v/>
      </c>
      <c r="G39">
        <f>IF(complex!B42=0,"",complex!B42)</f>
        <v/>
      </c>
      <c r="H39">
        <f>IF(chassis!B42=0,"",chassis!B42)</f>
        <v/>
      </c>
      <c r="I39">
        <f>IF(chemicals!B42=0,"",chemicals!B42)</f>
        <v/>
      </c>
      <c r="J39">
        <f>IF(media!B42=0,"",media!B42)</f>
        <v/>
      </c>
      <c r="V39">
        <f>IF(promoter!L42="","",promoter!L42)</f>
        <v/>
      </c>
      <c r="W39">
        <f>IF(rbs!J42="","",rbs!J42)</f>
        <v/>
      </c>
      <c r="X39">
        <f>IF(cds!K42="","",cds!K42)</f>
        <v/>
      </c>
      <c r="Y39">
        <f>IF(terminator!J42="","",terminator!J42)</f>
        <v/>
      </c>
      <c r="Z39">
        <f>IF(other!K42="","",other!K42)</f>
        <v/>
      </c>
    </row>
    <row r="40">
      <c r="A40">
        <f>IF(promoter!B43=0,"",promoter!B43)</f>
        <v/>
      </c>
      <c r="B40">
        <f>IF(rbs!B43=0,"",rbs!B43)</f>
        <v/>
      </c>
      <c r="C40">
        <f>IF(cds!B43=0,"",cds!B43)</f>
        <v/>
      </c>
      <c r="D40">
        <f>IF(terminator!B43=0,"",terminator!B43)</f>
        <v/>
      </c>
      <c r="E40">
        <f>IF(other!B43=0,"",other!B43)</f>
        <v/>
      </c>
      <c r="F40">
        <f>IF(protein!B43=0,"",protein!B43)</f>
        <v/>
      </c>
      <c r="G40">
        <f>IF(complex!B43=0,"",complex!B43)</f>
        <v/>
      </c>
      <c r="H40">
        <f>IF(chassis!B43=0,"",chassis!B43)</f>
        <v/>
      </c>
      <c r="I40">
        <f>IF(chemicals!B43=0,"",chemicals!B43)</f>
        <v/>
      </c>
      <c r="J40">
        <f>IF(media!B43=0,"",media!B43)</f>
        <v/>
      </c>
      <c r="V40">
        <f>IF(promoter!L43="","",promoter!L43)</f>
        <v/>
      </c>
      <c r="W40">
        <f>IF(rbs!J43="","",rbs!J43)</f>
        <v/>
      </c>
      <c r="X40">
        <f>IF(cds!K43="","",cds!K43)</f>
        <v/>
      </c>
      <c r="Y40">
        <f>IF(terminator!J43="","",terminator!J43)</f>
        <v/>
      </c>
      <c r="Z40">
        <f>IF(other!K43="","",other!K43)</f>
        <v/>
      </c>
    </row>
    <row r="41">
      <c r="A41">
        <f>IF(promoter!B44=0,"",promoter!B44)</f>
        <v/>
      </c>
      <c r="B41">
        <f>IF(rbs!B44=0,"",rbs!B44)</f>
        <v/>
      </c>
      <c r="C41">
        <f>IF(cds!B44=0,"",cds!B44)</f>
        <v/>
      </c>
      <c r="D41">
        <f>IF(terminator!B44=0,"",terminator!B44)</f>
        <v/>
      </c>
      <c r="E41">
        <f>IF(other!B44=0,"",other!B44)</f>
        <v/>
      </c>
      <c r="F41">
        <f>IF(protein!B44=0,"",protein!B44)</f>
        <v/>
      </c>
      <c r="G41">
        <f>IF(complex!B44=0,"",complex!B44)</f>
        <v/>
      </c>
      <c r="H41">
        <f>IF(chassis!B44=0,"",chassis!B44)</f>
        <v/>
      </c>
      <c r="I41">
        <f>IF(chemicals!B44=0,"",chemicals!B44)</f>
        <v/>
      </c>
      <c r="J41">
        <f>IF(media!B44=0,"",media!B44)</f>
        <v/>
      </c>
      <c r="V41">
        <f>IF(promoter!L44="","",promoter!L44)</f>
        <v/>
      </c>
      <c r="W41">
        <f>IF(rbs!J44="","",rbs!J44)</f>
        <v/>
      </c>
      <c r="X41">
        <f>IF(cds!K44="","",cds!K44)</f>
        <v/>
      </c>
      <c r="Y41">
        <f>IF(terminator!J44="","",terminator!J44)</f>
        <v/>
      </c>
      <c r="Z41">
        <f>IF(other!K44="","",other!K44)</f>
        <v/>
      </c>
    </row>
    <row r="42">
      <c r="A42">
        <f>IF(promoter!B45=0,"",promoter!B45)</f>
        <v/>
      </c>
      <c r="B42">
        <f>IF(rbs!B45=0,"",rbs!B45)</f>
        <v/>
      </c>
      <c r="C42">
        <f>IF(cds!B45=0,"",cds!B45)</f>
        <v/>
      </c>
      <c r="D42">
        <f>IF(terminator!B45=0,"",terminator!B45)</f>
        <v/>
      </c>
      <c r="E42">
        <f>IF(other!B45=0,"",other!B45)</f>
        <v/>
      </c>
      <c r="F42">
        <f>IF(protein!B45=0,"",protein!B45)</f>
        <v/>
      </c>
      <c r="G42">
        <f>IF(complex!B45=0,"",complex!B45)</f>
        <v/>
      </c>
      <c r="H42">
        <f>IF(chassis!B45=0,"",chassis!B45)</f>
        <v/>
      </c>
      <c r="I42">
        <f>IF(chemicals!B45=0,"",chemicals!B45)</f>
        <v/>
      </c>
      <c r="J42">
        <f>IF(media!B45=0,"",media!B45)</f>
        <v/>
      </c>
      <c r="V42">
        <f>IF(promoter!L45="","",promoter!L45)</f>
        <v/>
      </c>
      <c r="W42">
        <f>IF(rbs!J45="","",rbs!J45)</f>
        <v/>
      </c>
      <c r="X42">
        <f>IF(cds!K45="","",cds!K45)</f>
        <v/>
      </c>
      <c r="Y42">
        <f>IF(terminator!J45="","",terminator!J45)</f>
        <v/>
      </c>
      <c r="Z42">
        <f>IF(other!K45="","",other!K45)</f>
        <v/>
      </c>
    </row>
    <row r="43">
      <c r="A43">
        <f>IF(promoter!B46=0,"",promoter!B46)</f>
        <v/>
      </c>
      <c r="B43">
        <f>IF(rbs!B46=0,"",rbs!B46)</f>
        <v/>
      </c>
      <c r="C43">
        <f>IF(cds!B46=0,"",cds!B46)</f>
        <v/>
      </c>
      <c r="D43">
        <f>IF(terminator!B46=0,"",terminator!B46)</f>
        <v/>
      </c>
      <c r="E43">
        <f>IF(other!B46=0,"",other!B46)</f>
        <v/>
      </c>
      <c r="F43">
        <f>IF(protein!B46=0,"",protein!B46)</f>
        <v/>
      </c>
      <c r="G43">
        <f>IF(complex!B46=0,"",complex!B46)</f>
        <v/>
      </c>
      <c r="H43">
        <f>IF(chassis!B46=0,"",chassis!B46)</f>
        <v/>
      </c>
      <c r="I43">
        <f>IF(chemicals!B46=0,"",chemicals!B46)</f>
        <v/>
      </c>
      <c r="J43">
        <f>IF(media!B46=0,"",media!B46)</f>
        <v/>
      </c>
      <c r="V43">
        <f>IF(promoter!L46="","",promoter!L46)</f>
        <v/>
      </c>
      <c r="W43">
        <f>IF(rbs!J46="","",rbs!J46)</f>
        <v/>
      </c>
      <c r="X43">
        <f>IF(cds!K46="","",cds!K46)</f>
        <v/>
      </c>
      <c r="Y43">
        <f>IF(terminator!J46="","",terminator!J46)</f>
        <v/>
      </c>
      <c r="Z43">
        <f>IF(other!K46="","",other!K46)</f>
        <v/>
      </c>
    </row>
    <row r="44">
      <c r="A44">
        <f>IF(promoter!B47=0,"",promoter!B47)</f>
        <v/>
      </c>
      <c r="B44">
        <f>IF(rbs!B47=0,"",rbs!B47)</f>
        <v/>
      </c>
      <c r="C44">
        <f>IF(cds!B47=0,"",cds!B47)</f>
        <v/>
      </c>
      <c r="D44">
        <f>IF(terminator!B47=0,"",terminator!B47)</f>
        <v/>
      </c>
      <c r="E44">
        <f>IF(other!B47=0,"",other!B47)</f>
        <v/>
      </c>
      <c r="F44">
        <f>IF(protein!B47=0,"",protein!B47)</f>
        <v/>
      </c>
      <c r="G44">
        <f>IF(complex!B47=0,"",complex!B47)</f>
        <v/>
      </c>
      <c r="H44">
        <f>IF(chassis!B47=0,"",chassis!B47)</f>
        <v/>
      </c>
      <c r="I44">
        <f>IF(chemicals!B47=0,"",chemicals!B47)</f>
        <v/>
      </c>
      <c r="J44">
        <f>IF(media!B47=0,"",media!B47)</f>
        <v/>
      </c>
      <c r="V44">
        <f>IF(promoter!L47="","",promoter!L47)</f>
        <v/>
      </c>
      <c r="W44">
        <f>IF(rbs!J47="","",rbs!J47)</f>
        <v/>
      </c>
      <c r="X44">
        <f>IF(cds!K47="","",cds!K47)</f>
        <v/>
      </c>
      <c r="Y44">
        <f>IF(terminator!J47="","",terminator!J47)</f>
        <v/>
      </c>
      <c r="Z44">
        <f>IF(other!K47="","",other!K47)</f>
        <v/>
      </c>
    </row>
    <row r="45">
      <c r="A45">
        <f>IF(promoter!B48=0,"",promoter!B48)</f>
        <v/>
      </c>
      <c r="B45">
        <f>IF(rbs!B48=0,"",rbs!B48)</f>
        <v/>
      </c>
      <c r="C45">
        <f>IF(cds!B48=0,"",cds!B48)</f>
        <v/>
      </c>
      <c r="D45">
        <f>IF(terminator!B48=0,"",terminator!B48)</f>
        <v/>
      </c>
      <c r="E45">
        <f>IF(other!B48=0,"",other!B48)</f>
        <v/>
      </c>
      <c r="F45">
        <f>IF(protein!B48=0,"",protein!B48)</f>
        <v/>
      </c>
      <c r="G45">
        <f>IF(complex!B48=0,"",complex!B48)</f>
        <v/>
      </c>
      <c r="H45">
        <f>IF(chassis!B48=0,"",chassis!B48)</f>
        <v/>
      </c>
      <c r="I45">
        <f>IF(chemicals!B48=0,"",chemicals!B48)</f>
        <v/>
      </c>
      <c r="J45">
        <f>IF(media!B48=0,"",media!B48)</f>
        <v/>
      </c>
      <c r="V45">
        <f>IF(promoter!L48="","",promoter!L48)</f>
        <v/>
      </c>
      <c r="W45">
        <f>IF(rbs!J48="","",rbs!J48)</f>
        <v/>
      </c>
      <c r="X45">
        <f>IF(cds!K48="","",cds!K48)</f>
        <v/>
      </c>
      <c r="Y45">
        <f>IF(terminator!J48="","",terminator!J48)</f>
        <v/>
      </c>
      <c r="Z45">
        <f>IF(other!K48="","",other!K48)</f>
        <v/>
      </c>
    </row>
    <row r="46">
      <c r="A46">
        <f>IF(promoter!B49=0,"",promoter!B49)</f>
        <v/>
      </c>
      <c r="B46">
        <f>IF(rbs!B49=0,"",rbs!B49)</f>
        <v/>
      </c>
      <c r="C46">
        <f>IF(cds!B49=0,"",cds!B49)</f>
        <v/>
      </c>
      <c r="D46">
        <f>IF(terminator!B49=0,"",terminator!B49)</f>
        <v/>
      </c>
      <c r="E46">
        <f>IF(other!B49=0,"",other!B49)</f>
        <v/>
      </c>
      <c r="F46">
        <f>IF(protein!B49=0,"",protein!B49)</f>
        <v/>
      </c>
      <c r="G46">
        <f>IF(complex!B49=0,"",complex!B49)</f>
        <v/>
      </c>
      <c r="H46">
        <f>IF(chassis!B49=0,"",chassis!B49)</f>
        <v/>
      </c>
      <c r="I46">
        <f>IF(chemicals!B49=0,"",chemicals!B49)</f>
        <v/>
      </c>
      <c r="J46">
        <f>IF(media!B49=0,"",media!B49)</f>
        <v/>
      </c>
      <c r="V46">
        <f>IF(promoter!L49="","",promoter!L49)</f>
        <v/>
      </c>
      <c r="W46">
        <f>IF(rbs!J49="","",rbs!J49)</f>
        <v/>
      </c>
      <c r="X46">
        <f>IF(cds!K49="","",cds!K49)</f>
        <v/>
      </c>
      <c r="Y46">
        <f>IF(terminator!J49="","",terminator!J49)</f>
        <v/>
      </c>
      <c r="Z46">
        <f>IF(other!K49="","",other!K49)</f>
        <v/>
      </c>
    </row>
    <row r="47">
      <c r="A47">
        <f>IF(promoter!B50=0,"",promoter!B50)</f>
        <v/>
      </c>
      <c r="B47">
        <f>IF(rbs!B50=0,"",rbs!B50)</f>
        <v/>
      </c>
      <c r="C47">
        <f>IF(cds!B50=0,"",cds!B50)</f>
        <v/>
      </c>
      <c r="D47">
        <f>IF(terminator!B50=0,"",terminator!B50)</f>
        <v/>
      </c>
      <c r="E47">
        <f>IF(other!B50=0,"",other!B50)</f>
        <v/>
      </c>
      <c r="F47">
        <f>IF(protein!B50=0,"",protein!B50)</f>
        <v/>
      </c>
      <c r="G47">
        <f>IF(complex!B50=0,"",complex!B50)</f>
        <v/>
      </c>
      <c r="H47">
        <f>IF(chassis!B50=0,"",chassis!B50)</f>
        <v/>
      </c>
      <c r="I47">
        <f>IF(chemicals!B50=0,"",chemicals!B50)</f>
        <v/>
      </c>
      <c r="J47">
        <f>IF(media!B50=0,"",media!B50)</f>
        <v/>
      </c>
      <c r="V47">
        <f>IF(promoter!L50="","",promoter!L50)</f>
        <v/>
      </c>
      <c r="W47">
        <f>IF(rbs!J50="","",rbs!J50)</f>
        <v/>
      </c>
      <c r="X47">
        <f>IF(cds!K50="","",cds!K50)</f>
        <v/>
      </c>
      <c r="Y47">
        <f>IF(terminator!J50="","",terminator!J50)</f>
        <v/>
      </c>
      <c r="Z47">
        <f>IF(other!K50="","",other!K50)</f>
        <v/>
      </c>
    </row>
    <row r="48">
      <c r="A48">
        <f>IF(promoter!B51=0,"",promoter!B51)</f>
        <v/>
      </c>
      <c r="B48">
        <f>IF(rbs!B51=0,"",rbs!B51)</f>
        <v/>
      </c>
      <c r="C48">
        <f>IF(cds!B51=0,"",cds!B51)</f>
        <v/>
      </c>
      <c r="D48">
        <f>IF(terminator!B51=0,"",terminator!B51)</f>
        <v/>
      </c>
      <c r="E48">
        <f>IF(other!B51=0,"",other!B51)</f>
        <v/>
      </c>
      <c r="F48">
        <f>IF(protein!B51=0,"",protein!B51)</f>
        <v/>
      </c>
      <c r="G48">
        <f>IF(complex!B51=0,"",complex!B51)</f>
        <v/>
      </c>
      <c r="H48">
        <f>IF(chassis!B51=0,"",chassis!B51)</f>
        <v/>
      </c>
      <c r="I48">
        <f>IF(chemicals!B51=0,"",chemicals!B51)</f>
        <v/>
      </c>
      <c r="J48">
        <f>IF(media!B51=0,"",media!B51)</f>
        <v/>
      </c>
      <c r="V48">
        <f>IF(promoter!L51="","",promoter!L51)</f>
        <v/>
      </c>
      <c r="W48">
        <f>IF(rbs!J51="","",rbs!J51)</f>
        <v/>
      </c>
      <c r="X48">
        <f>IF(cds!K51="","",cds!K51)</f>
        <v/>
      </c>
      <c r="Y48">
        <f>IF(terminator!J51="","",terminator!J51)</f>
        <v/>
      </c>
      <c r="Z48">
        <f>IF(other!K51="","",other!K51)</f>
        <v/>
      </c>
    </row>
    <row r="49">
      <c r="A49">
        <f>IF(promoter!B52=0,"",promoter!B52)</f>
        <v/>
      </c>
      <c r="B49">
        <f>IF(rbs!B52=0,"",rbs!B52)</f>
        <v/>
      </c>
      <c r="C49">
        <f>IF(cds!B52=0,"",cds!B52)</f>
        <v/>
      </c>
      <c r="D49">
        <f>IF(terminator!B52=0,"",terminator!B52)</f>
        <v/>
      </c>
      <c r="E49">
        <f>IF(other!B52=0,"",other!B52)</f>
        <v/>
      </c>
      <c r="F49">
        <f>IF(protein!B52=0,"",protein!B52)</f>
        <v/>
      </c>
      <c r="G49">
        <f>IF(complex!B52=0,"",complex!B52)</f>
        <v/>
      </c>
      <c r="H49">
        <f>IF(chassis!B52=0,"",chassis!B52)</f>
        <v/>
      </c>
      <c r="I49">
        <f>IF(chemicals!B52=0,"",chemicals!B52)</f>
        <v/>
      </c>
      <c r="J49">
        <f>IF(media!B52=0,"",media!B52)</f>
        <v/>
      </c>
      <c r="V49">
        <f>IF(promoter!L52="","",promoter!L52)</f>
        <v/>
      </c>
      <c r="W49">
        <f>IF(rbs!J52="","",rbs!J52)</f>
        <v/>
      </c>
      <c r="X49">
        <f>IF(cds!K52="","",cds!K52)</f>
        <v/>
      </c>
      <c r="Y49">
        <f>IF(terminator!J52="","",terminator!J52)</f>
        <v/>
      </c>
      <c r="Z49">
        <f>IF(other!K52="","",other!K52)</f>
        <v/>
      </c>
    </row>
    <row r="50">
      <c r="A50">
        <f>IF(promoter!B53=0,"",promoter!B53)</f>
        <v/>
      </c>
      <c r="B50">
        <f>IF(rbs!B53=0,"",rbs!B53)</f>
        <v/>
      </c>
      <c r="C50">
        <f>IF(cds!B53=0,"",cds!B53)</f>
        <v/>
      </c>
      <c r="D50">
        <f>IF(terminator!B53=0,"",terminator!B53)</f>
        <v/>
      </c>
      <c r="E50">
        <f>IF(other!B53=0,"",other!B53)</f>
        <v/>
      </c>
      <c r="F50">
        <f>IF(protein!B53=0,"",protein!B53)</f>
        <v/>
      </c>
      <c r="G50">
        <f>IF(complex!B53=0,"",complex!B53)</f>
        <v/>
      </c>
      <c r="H50">
        <f>IF(chassis!B53=0,"",chassis!B53)</f>
        <v/>
      </c>
      <c r="I50">
        <f>IF(chemicals!B53=0,"",chemicals!B53)</f>
        <v/>
      </c>
      <c r="J50">
        <f>IF(media!B53=0,"",media!B53)</f>
        <v/>
      </c>
      <c r="V50">
        <f>IF(promoter!L53="","",promoter!L53)</f>
        <v/>
      </c>
      <c r="W50">
        <f>IF(rbs!J53="","",rbs!J53)</f>
        <v/>
      </c>
      <c r="X50">
        <f>IF(cds!K53="","",cds!K53)</f>
        <v/>
      </c>
      <c r="Y50">
        <f>IF(terminator!J53="","",terminator!J53)</f>
        <v/>
      </c>
      <c r="Z50">
        <f>IF(other!K53="","",other!K53)</f>
        <v/>
      </c>
    </row>
    <row r="51">
      <c r="A51">
        <f>IF(promoter!B54=0,"",promoter!B54)</f>
        <v/>
      </c>
      <c r="B51">
        <f>IF(rbs!B54=0,"",rbs!B54)</f>
        <v/>
      </c>
      <c r="C51">
        <f>IF(cds!B54=0,"",cds!B54)</f>
        <v/>
      </c>
      <c r="D51">
        <f>IF(terminator!B54=0,"",terminator!B54)</f>
        <v/>
      </c>
      <c r="E51">
        <f>IF(other!B54=0,"",other!B54)</f>
        <v/>
      </c>
      <c r="F51">
        <f>IF(protein!B54=0,"",protein!B54)</f>
        <v/>
      </c>
      <c r="G51">
        <f>IF(complex!B54=0,"",complex!B54)</f>
        <v/>
      </c>
      <c r="H51">
        <f>IF(chassis!B54=0,"",chassis!B54)</f>
        <v/>
      </c>
      <c r="I51">
        <f>IF(chemicals!B54=0,"",chemicals!B54)</f>
        <v/>
      </c>
      <c r="J51">
        <f>IF(media!B54=0,"",media!B54)</f>
        <v/>
      </c>
      <c r="V51">
        <f>IF(promoter!L54="","",promoter!L54)</f>
        <v/>
      </c>
      <c r="W51">
        <f>IF(rbs!J54="","",rbs!J54)</f>
        <v/>
      </c>
      <c r="X51">
        <f>IF(cds!K54="","",cds!K54)</f>
        <v/>
      </c>
      <c r="Y51">
        <f>IF(terminator!J54="","",terminator!J54)</f>
        <v/>
      </c>
      <c r="Z51">
        <f>IF(other!K54="","",other!K54)</f>
        <v/>
      </c>
    </row>
    <row r="52">
      <c r="A52">
        <f>IF(promoter!B55=0,"",promoter!B55)</f>
        <v/>
      </c>
      <c r="B52">
        <f>IF(rbs!B55=0,"",rbs!B55)</f>
        <v/>
      </c>
      <c r="C52">
        <f>IF(cds!B55=0,"",cds!B55)</f>
        <v/>
      </c>
      <c r="D52">
        <f>IF(terminator!B55=0,"",terminator!B55)</f>
        <v/>
      </c>
      <c r="E52">
        <f>IF(other!B55=0,"",other!B55)</f>
        <v/>
      </c>
      <c r="F52">
        <f>IF(protein!B55=0,"",protein!B55)</f>
        <v/>
      </c>
      <c r="G52">
        <f>IF(complex!B55=0,"",complex!B55)</f>
        <v/>
      </c>
      <c r="H52">
        <f>IF(chassis!B55=0,"",chassis!B55)</f>
        <v/>
      </c>
      <c r="I52">
        <f>IF(chemicals!B55=0,"",chemicals!B55)</f>
        <v/>
      </c>
      <c r="J52">
        <f>IF(media!B55=0,"",media!B55)</f>
        <v/>
      </c>
      <c r="V52">
        <f>IF(promoter!L55="","",promoter!L55)</f>
        <v/>
      </c>
      <c r="W52">
        <f>IF(rbs!J55="","",rbs!J55)</f>
        <v/>
      </c>
      <c r="X52">
        <f>IF(cds!K55="","",cds!K55)</f>
        <v/>
      </c>
      <c r="Y52">
        <f>IF(terminator!J55="","",terminator!J55)</f>
        <v/>
      </c>
      <c r="Z52">
        <f>IF(other!K55="","",other!K55)</f>
        <v/>
      </c>
    </row>
    <row r="53">
      <c r="A53">
        <f>IF(promoter!B56=0,"",promoter!B56)</f>
        <v/>
      </c>
      <c r="B53">
        <f>IF(rbs!B56=0,"",rbs!B56)</f>
        <v/>
      </c>
      <c r="C53">
        <f>IF(cds!B56=0,"",cds!B56)</f>
        <v/>
      </c>
      <c r="D53">
        <f>IF(terminator!B56=0,"",terminator!B56)</f>
        <v/>
      </c>
      <c r="E53">
        <f>IF(other!B56=0,"",other!B56)</f>
        <v/>
      </c>
      <c r="F53">
        <f>IF(protein!B56=0,"",protein!B56)</f>
        <v/>
      </c>
      <c r="G53">
        <f>IF(complex!B56=0,"",complex!B56)</f>
        <v/>
      </c>
      <c r="H53">
        <f>IF(chassis!B56=0,"",chassis!B56)</f>
        <v/>
      </c>
      <c r="I53">
        <f>IF(chemicals!B56=0,"",chemicals!B56)</f>
        <v/>
      </c>
      <c r="J53">
        <f>IF(media!B56=0,"",media!B56)</f>
        <v/>
      </c>
      <c r="V53">
        <f>IF(promoter!L56="","",promoter!L56)</f>
        <v/>
      </c>
      <c r="W53">
        <f>IF(rbs!J56="","",rbs!J56)</f>
        <v/>
      </c>
      <c r="X53">
        <f>IF(cds!K56="","",cds!K56)</f>
        <v/>
      </c>
      <c r="Y53">
        <f>IF(terminator!J56="","",terminator!J56)</f>
        <v/>
      </c>
      <c r="Z53">
        <f>IF(other!K56="","",other!K56)</f>
        <v/>
      </c>
    </row>
    <row r="54">
      <c r="A54">
        <f>IF(promoter!B57=0,"",promoter!B57)</f>
        <v/>
      </c>
      <c r="B54">
        <f>IF(rbs!B57=0,"",rbs!B57)</f>
        <v/>
      </c>
      <c r="C54">
        <f>IF(cds!B57=0,"",cds!B57)</f>
        <v/>
      </c>
      <c r="D54">
        <f>IF(terminator!B57=0,"",terminator!B57)</f>
        <v/>
      </c>
      <c r="E54">
        <f>IF(other!B57=0,"",other!B57)</f>
        <v/>
      </c>
      <c r="F54">
        <f>IF(protein!B57=0,"",protein!B57)</f>
        <v/>
      </c>
      <c r="G54">
        <f>IF(complex!B57=0,"",complex!B57)</f>
        <v/>
      </c>
      <c r="H54">
        <f>IF(chassis!B57=0,"",chassis!B57)</f>
        <v/>
      </c>
      <c r="I54">
        <f>IF(chemicals!B57=0,"",chemicals!B57)</f>
        <v/>
      </c>
      <c r="J54">
        <f>IF(media!B57=0,"",media!B57)</f>
        <v/>
      </c>
      <c r="V54">
        <f>IF(promoter!L57="","",promoter!L57)</f>
        <v/>
      </c>
      <c r="W54">
        <f>IF(rbs!J57="","",rbs!J57)</f>
        <v/>
      </c>
      <c r="X54">
        <f>IF(cds!K57="","",cds!K57)</f>
        <v/>
      </c>
      <c r="Y54">
        <f>IF(terminator!J57="","",terminator!J57)</f>
        <v/>
      </c>
      <c r="Z54">
        <f>IF(other!K57="","",other!K57)</f>
        <v/>
      </c>
    </row>
    <row r="55">
      <c r="A55">
        <f>IF(promoter!B58=0,"",promoter!B58)</f>
        <v/>
      </c>
      <c r="B55">
        <f>IF(rbs!B58=0,"",rbs!B58)</f>
        <v/>
      </c>
      <c r="C55">
        <f>IF(cds!B58=0,"",cds!B58)</f>
        <v/>
      </c>
      <c r="D55">
        <f>IF(terminator!B58=0,"",terminator!B58)</f>
        <v/>
      </c>
      <c r="E55">
        <f>IF(other!B58=0,"",other!B58)</f>
        <v/>
      </c>
      <c r="F55">
        <f>IF(protein!B58=0,"",protein!B58)</f>
        <v/>
      </c>
      <c r="G55">
        <f>IF(complex!B58=0,"",complex!B58)</f>
        <v/>
      </c>
      <c r="H55">
        <f>IF(chassis!B58=0,"",chassis!B58)</f>
        <v/>
      </c>
      <c r="I55">
        <f>IF(chemicals!B58=0,"",chemicals!B58)</f>
        <v/>
      </c>
      <c r="J55">
        <f>IF(media!B58=0,"",media!B58)</f>
        <v/>
      </c>
      <c r="V55">
        <f>IF(promoter!L58="","",promoter!L58)</f>
        <v/>
      </c>
      <c r="W55">
        <f>IF(rbs!J58="","",rbs!J58)</f>
        <v/>
      </c>
      <c r="X55">
        <f>IF(cds!K58="","",cds!K58)</f>
        <v/>
      </c>
      <c r="Y55">
        <f>IF(terminator!J58="","",terminator!J58)</f>
        <v/>
      </c>
      <c r="Z55">
        <f>IF(other!K58="","",other!K58)</f>
        <v/>
      </c>
    </row>
    <row r="56">
      <c r="A56">
        <f>IF(promoter!B59=0,"",promoter!B59)</f>
        <v/>
      </c>
      <c r="B56">
        <f>IF(rbs!B59=0,"",rbs!B59)</f>
        <v/>
      </c>
      <c r="C56">
        <f>IF(cds!B59=0,"",cds!B59)</f>
        <v/>
      </c>
      <c r="D56">
        <f>IF(terminator!B59=0,"",terminator!B59)</f>
        <v/>
      </c>
      <c r="E56">
        <f>IF(other!B59=0,"",other!B59)</f>
        <v/>
      </c>
      <c r="F56">
        <f>IF(protein!B59=0,"",protein!B59)</f>
        <v/>
      </c>
      <c r="G56">
        <f>IF(complex!B59=0,"",complex!B59)</f>
        <v/>
      </c>
      <c r="H56">
        <f>IF(chassis!B59=0,"",chassis!B59)</f>
        <v/>
      </c>
      <c r="I56">
        <f>IF(chemicals!B59=0,"",chemicals!B59)</f>
        <v/>
      </c>
      <c r="J56">
        <f>IF(media!B59=0,"",media!B59)</f>
        <v/>
      </c>
      <c r="V56">
        <f>IF(promoter!L59="","",promoter!L59)</f>
        <v/>
      </c>
      <c r="W56">
        <f>IF(rbs!J59="","",rbs!J59)</f>
        <v/>
      </c>
      <c r="X56">
        <f>IF(cds!K59="","",cds!K59)</f>
        <v/>
      </c>
      <c r="Y56">
        <f>IF(terminator!J59="","",terminator!J59)</f>
        <v/>
      </c>
      <c r="Z56">
        <f>IF(other!K59="","",other!K59)</f>
        <v/>
      </c>
    </row>
    <row r="57">
      <c r="A57">
        <f>IF(promoter!B60=0,"",promoter!B60)</f>
        <v/>
      </c>
      <c r="B57">
        <f>IF(rbs!B60=0,"",rbs!B60)</f>
        <v/>
      </c>
      <c r="C57">
        <f>IF(cds!B60=0,"",cds!B60)</f>
        <v/>
      </c>
      <c r="D57">
        <f>IF(terminator!B60=0,"",terminator!B60)</f>
        <v/>
      </c>
      <c r="E57">
        <f>IF(other!B60=0,"",other!B60)</f>
        <v/>
      </c>
      <c r="F57">
        <f>IF(protein!B60=0,"",protein!B60)</f>
        <v/>
      </c>
      <c r="G57">
        <f>IF(complex!B60=0,"",complex!B60)</f>
        <v/>
      </c>
      <c r="H57">
        <f>IF(chassis!B60=0,"",chassis!B60)</f>
        <v/>
      </c>
      <c r="I57">
        <f>IF(chemicals!B60=0,"",chemicals!B60)</f>
        <v/>
      </c>
      <c r="J57">
        <f>IF(media!B60=0,"",media!B60)</f>
        <v/>
      </c>
      <c r="V57">
        <f>IF(promoter!L60="","",promoter!L60)</f>
        <v/>
      </c>
      <c r="W57">
        <f>IF(rbs!J60="","",rbs!J60)</f>
        <v/>
      </c>
      <c r="X57">
        <f>IF(cds!K60="","",cds!K60)</f>
        <v/>
      </c>
      <c r="Y57">
        <f>IF(terminator!J60="","",terminator!J60)</f>
        <v/>
      </c>
      <c r="Z57">
        <f>IF(other!K60="","",other!K60)</f>
        <v/>
      </c>
    </row>
    <row r="58">
      <c r="A58">
        <f>IF(promoter!B61=0,"",promoter!B61)</f>
        <v/>
      </c>
      <c r="B58">
        <f>IF(rbs!B61=0,"",rbs!B61)</f>
        <v/>
      </c>
      <c r="C58">
        <f>IF(cds!B61=0,"",cds!B61)</f>
        <v/>
      </c>
      <c r="D58">
        <f>IF(terminator!B61=0,"",terminator!B61)</f>
        <v/>
      </c>
      <c r="E58">
        <f>IF(other!B61=0,"",other!B61)</f>
        <v/>
      </c>
      <c r="F58">
        <f>IF(protein!B61=0,"",protein!B61)</f>
        <v/>
      </c>
      <c r="G58">
        <f>IF(complex!B61=0,"",complex!B61)</f>
        <v/>
      </c>
      <c r="H58">
        <f>IF(chassis!B61=0,"",chassis!B61)</f>
        <v/>
      </c>
      <c r="I58">
        <f>IF(chemicals!B61=0,"",chemicals!B61)</f>
        <v/>
      </c>
      <c r="J58">
        <f>IF(media!B61=0,"",media!B61)</f>
        <v/>
      </c>
      <c r="V58">
        <f>IF(promoter!L61="","",promoter!L61)</f>
        <v/>
      </c>
      <c r="W58">
        <f>IF(rbs!J61="","",rbs!J61)</f>
        <v/>
      </c>
      <c r="X58">
        <f>IF(cds!K61="","",cds!K61)</f>
        <v/>
      </c>
      <c r="Y58">
        <f>IF(terminator!J61="","",terminator!J61)</f>
        <v/>
      </c>
      <c r="Z58">
        <f>IF(other!K61="","",other!K61)</f>
        <v/>
      </c>
    </row>
    <row r="59">
      <c r="A59">
        <f>IF(promoter!B62=0,"",promoter!B62)</f>
        <v/>
      </c>
      <c r="B59">
        <f>IF(rbs!B62=0,"",rbs!B62)</f>
        <v/>
      </c>
      <c r="C59">
        <f>IF(cds!B62=0,"",cds!B62)</f>
        <v/>
      </c>
      <c r="D59">
        <f>IF(terminator!B62=0,"",terminator!B62)</f>
        <v/>
      </c>
      <c r="E59">
        <f>IF(other!B62=0,"",other!B62)</f>
        <v/>
      </c>
      <c r="F59">
        <f>IF(protein!B62=0,"",protein!B62)</f>
        <v/>
      </c>
      <c r="G59">
        <f>IF(complex!B62=0,"",complex!B62)</f>
        <v/>
      </c>
      <c r="H59">
        <f>IF(chassis!B62=0,"",chassis!B62)</f>
        <v/>
      </c>
      <c r="I59">
        <f>IF(chemicals!B62=0,"",chemicals!B62)</f>
        <v/>
      </c>
      <c r="J59">
        <f>IF(media!B62=0,"",media!B62)</f>
        <v/>
      </c>
      <c r="V59">
        <f>IF(promoter!L62="","",promoter!L62)</f>
        <v/>
      </c>
      <c r="W59">
        <f>IF(rbs!J62="","",rbs!J62)</f>
        <v/>
      </c>
      <c r="X59">
        <f>IF(cds!K62="","",cds!K62)</f>
        <v/>
      </c>
      <c r="Y59">
        <f>IF(terminator!J62="","",terminator!J62)</f>
        <v/>
      </c>
      <c r="Z59">
        <f>IF(other!K62="","",other!K62)</f>
        <v/>
      </c>
    </row>
    <row r="60">
      <c r="A60">
        <f>IF(promoter!B63=0,"",promoter!B63)</f>
        <v/>
      </c>
      <c r="B60">
        <f>IF(rbs!B63=0,"",rbs!B63)</f>
        <v/>
      </c>
      <c r="C60">
        <f>IF(cds!B63=0,"",cds!B63)</f>
        <v/>
      </c>
      <c r="D60">
        <f>IF(terminator!B63=0,"",terminator!B63)</f>
        <v/>
      </c>
      <c r="E60">
        <f>IF(other!B63=0,"",other!B63)</f>
        <v/>
      </c>
      <c r="F60">
        <f>IF(protein!B63=0,"",protein!B63)</f>
        <v/>
      </c>
      <c r="G60">
        <f>IF(complex!B63=0,"",complex!B63)</f>
        <v/>
      </c>
      <c r="H60">
        <f>IF(chassis!B63=0,"",chassis!B63)</f>
        <v/>
      </c>
      <c r="I60">
        <f>IF(chemicals!B63=0,"",chemicals!B63)</f>
        <v/>
      </c>
      <c r="J60">
        <f>IF(media!B63=0,"",media!B63)</f>
        <v/>
      </c>
      <c r="V60">
        <f>IF(promoter!L63="","",promoter!L63)</f>
        <v/>
      </c>
      <c r="W60">
        <f>IF(rbs!J63="","",rbs!J63)</f>
        <v/>
      </c>
      <c r="X60">
        <f>IF(cds!K63="","",cds!K63)</f>
        <v/>
      </c>
      <c r="Y60">
        <f>IF(terminator!J63="","",terminator!J63)</f>
        <v/>
      </c>
      <c r="Z60">
        <f>IF(other!K63="","",other!K63)</f>
        <v/>
      </c>
    </row>
    <row r="61">
      <c r="A61">
        <f>IF(promoter!B64=0,"",promoter!B64)</f>
        <v/>
      </c>
      <c r="B61">
        <f>IF(rbs!B64=0,"",rbs!B64)</f>
        <v/>
      </c>
      <c r="C61">
        <f>IF(cds!B64=0,"",cds!B64)</f>
        <v/>
      </c>
      <c r="D61">
        <f>IF(terminator!B64=0,"",terminator!B64)</f>
        <v/>
      </c>
      <c r="E61">
        <f>IF(other!B64=0,"",other!B64)</f>
        <v/>
      </c>
      <c r="F61">
        <f>IF(protein!B64=0,"",protein!B64)</f>
        <v/>
      </c>
      <c r="G61">
        <f>IF(complex!B64=0,"",complex!B64)</f>
        <v/>
      </c>
      <c r="H61">
        <f>IF(chassis!B64=0,"",chassis!B64)</f>
        <v/>
      </c>
      <c r="I61">
        <f>IF(chemicals!B64=0,"",chemicals!B64)</f>
        <v/>
      </c>
      <c r="J61">
        <f>IF(media!B64=0,"",media!B64)</f>
        <v/>
      </c>
      <c r="V61">
        <f>IF(promoter!L64="","",promoter!L64)</f>
        <v/>
      </c>
      <c r="W61">
        <f>IF(rbs!J64="","",rbs!J64)</f>
        <v/>
      </c>
      <c r="X61">
        <f>IF(cds!K64="","",cds!K64)</f>
        <v/>
      </c>
      <c r="Y61">
        <f>IF(terminator!J64="","",terminator!J64)</f>
        <v/>
      </c>
      <c r="Z61">
        <f>IF(other!K64="","",other!K64)</f>
        <v/>
      </c>
    </row>
    <row r="62">
      <c r="A62">
        <f>IF(promoter!B65=0,"",promoter!B65)</f>
        <v/>
      </c>
      <c r="B62">
        <f>IF(rbs!B65=0,"",rbs!B65)</f>
        <v/>
      </c>
      <c r="C62">
        <f>IF(cds!B65=0,"",cds!B65)</f>
        <v/>
      </c>
      <c r="D62">
        <f>IF(terminator!B65=0,"",terminator!B65)</f>
        <v/>
      </c>
      <c r="E62">
        <f>IF(other!B65=0,"",other!B65)</f>
        <v/>
      </c>
      <c r="F62">
        <f>IF(protein!B65=0,"",protein!B65)</f>
        <v/>
      </c>
      <c r="G62">
        <f>IF(complex!B65=0,"",complex!B65)</f>
        <v/>
      </c>
      <c r="H62">
        <f>IF(chassis!B65=0,"",chassis!B65)</f>
        <v/>
      </c>
      <c r="I62">
        <f>IF(chemicals!B65=0,"",chemicals!B65)</f>
        <v/>
      </c>
      <c r="J62">
        <f>IF(media!B65=0,"",media!B65)</f>
        <v/>
      </c>
      <c r="V62">
        <f>IF(promoter!L65="","",promoter!L65)</f>
        <v/>
      </c>
      <c r="W62">
        <f>IF(rbs!J65="","",rbs!J65)</f>
        <v/>
      </c>
      <c r="X62">
        <f>IF(cds!K65="","",cds!K65)</f>
        <v/>
      </c>
      <c r="Y62">
        <f>IF(terminator!J65="","",terminator!J65)</f>
        <v/>
      </c>
      <c r="Z62">
        <f>IF(other!K65="","",other!K65)</f>
        <v/>
      </c>
    </row>
    <row r="63">
      <c r="A63">
        <f>IF(promoter!B66=0,"",promoter!B66)</f>
        <v/>
      </c>
      <c r="B63">
        <f>IF(rbs!B66=0,"",rbs!B66)</f>
        <v/>
      </c>
      <c r="C63">
        <f>IF(cds!B66=0,"",cds!B66)</f>
        <v/>
      </c>
      <c r="D63">
        <f>IF(terminator!B66=0,"",terminator!B66)</f>
        <v/>
      </c>
      <c r="E63">
        <f>IF(other!B66=0,"",other!B66)</f>
        <v/>
      </c>
      <c r="F63">
        <f>IF(protein!B66=0,"",protein!B66)</f>
        <v/>
      </c>
      <c r="G63">
        <f>IF(complex!B66=0,"",complex!B66)</f>
        <v/>
      </c>
      <c r="H63">
        <f>IF(chassis!B66=0,"",chassis!B66)</f>
        <v/>
      </c>
      <c r="I63">
        <f>IF(chemicals!B66=0,"",chemicals!B66)</f>
        <v/>
      </c>
      <c r="J63">
        <f>IF(media!B66=0,"",media!B66)</f>
        <v/>
      </c>
      <c r="V63">
        <f>IF(promoter!L66="","",promoter!L66)</f>
        <v/>
      </c>
      <c r="W63">
        <f>IF(rbs!J66="","",rbs!J66)</f>
        <v/>
      </c>
      <c r="X63">
        <f>IF(cds!K66="","",cds!K66)</f>
        <v/>
      </c>
      <c r="Y63">
        <f>IF(terminator!J66="","",terminator!J66)</f>
        <v/>
      </c>
      <c r="Z63">
        <f>IF(other!K66="","",other!K66)</f>
        <v/>
      </c>
    </row>
    <row r="64">
      <c r="A64">
        <f>IF(promoter!B67=0,"",promoter!B67)</f>
        <v/>
      </c>
      <c r="B64">
        <f>IF(rbs!B67=0,"",rbs!B67)</f>
        <v/>
      </c>
      <c r="C64">
        <f>IF(cds!B67=0,"",cds!B67)</f>
        <v/>
      </c>
      <c r="D64">
        <f>IF(terminator!B67=0,"",terminator!B67)</f>
        <v/>
      </c>
      <c r="E64">
        <f>IF(other!B67=0,"",other!B67)</f>
        <v/>
      </c>
      <c r="F64">
        <f>IF(protein!B67=0,"",protein!B67)</f>
        <v/>
      </c>
      <c r="G64">
        <f>IF(complex!B67=0,"",complex!B67)</f>
        <v/>
      </c>
      <c r="H64">
        <f>IF(chassis!B67=0,"",chassis!B67)</f>
        <v/>
      </c>
      <c r="I64">
        <f>IF(chemicals!B67=0,"",chemicals!B67)</f>
        <v/>
      </c>
      <c r="J64">
        <f>IF(media!B67=0,"",media!B67)</f>
        <v/>
      </c>
      <c r="V64">
        <f>IF(promoter!L67="","",promoter!L67)</f>
        <v/>
      </c>
      <c r="W64">
        <f>IF(rbs!J67="","",rbs!J67)</f>
        <v/>
      </c>
      <c r="X64">
        <f>IF(cds!K67="","",cds!K67)</f>
        <v/>
      </c>
      <c r="Y64">
        <f>IF(terminator!J67="","",terminator!J67)</f>
        <v/>
      </c>
      <c r="Z64">
        <f>IF(other!K67="","",other!K67)</f>
        <v/>
      </c>
    </row>
    <row r="65">
      <c r="A65">
        <f>IF(promoter!B68=0,"",promoter!B68)</f>
        <v/>
      </c>
      <c r="B65">
        <f>IF(rbs!B68=0,"",rbs!B68)</f>
        <v/>
      </c>
      <c r="C65">
        <f>IF(cds!B68=0,"",cds!B68)</f>
        <v/>
      </c>
      <c r="D65">
        <f>IF(terminator!B68=0,"",terminator!B68)</f>
        <v/>
      </c>
      <c r="E65">
        <f>IF(other!B68=0,"",other!B68)</f>
        <v/>
      </c>
      <c r="F65">
        <f>IF(protein!B68=0,"",protein!B68)</f>
        <v/>
      </c>
      <c r="G65">
        <f>IF(complex!B68=0,"",complex!B68)</f>
        <v/>
      </c>
      <c r="H65">
        <f>IF(chassis!B68=0,"",chassis!B68)</f>
        <v/>
      </c>
      <c r="I65">
        <f>IF(chemicals!B68=0,"",chemicals!B68)</f>
        <v/>
      </c>
      <c r="J65">
        <f>IF(media!B68=0,"",media!B68)</f>
        <v/>
      </c>
      <c r="V65">
        <f>IF(promoter!L68="","",promoter!L68)</f>
        <v/>
      </c>
      <c r="W65">
        <f>IF(rbs!J68="","",rbs!J68)</f>
        <v/>
      </c>
      <c r="X65">
        <f>IF(cds!K68="","",cds!K68)</f>
        <v/>
      </c>
      <c r="Y65">
        <f>IF(terminator!J68="","",terminator!J68)</f>
        <v/>
      </c>
      <c r="Z65">
        <f>IF(other!K68="","",other!K68)</f>
        <v/>
      </c>
    </row>
    <row r="66">
      <c r="A66">
        <f>IF(promoter!B69=0,"",promoter!B69)</f>
        <v/>
      </c>
      <c r="B66">
        <f>IF(rbs!B69=0,"",rbs!B69)</f>
        <v/>
      </c>
      <c r="C66">
        <f>IF(cds!B69=0,"",cds!B69)</f>
        <v/>
      </c>
      <c r="D66">
        <f>IF(terminator!B69=0,"",terminator!B69)</f>
        <v/>
      </c>
      <c r="E66">
        <f>IF(other!B69=0,"",other!B69)</f>
        <v/>
      </c>
      <c r="F66">
        <f>IF(protein!B69=0,"",protein!B69)</f>
        <v/>
      </c>
      <c r="G66">
        <f>IF(complex!B69=0,"",complex!B69)</f>
        <v/>
      </c>
      <c r="H66">
        <f>IF(chassis!B69=0,"",chassis!B69)</f>
        <v/>
      </c>
      <c r="I66">
        <f>IF(chemicals!B69=0,"",chemicals!B69)</f>
        <v/>
      </c>
      <c r="J66">
        <f>IF(media!B69=0,"",media!B69)</f>
        <v/>
      </c>
      <c r="V66">
        <f>IF(promoter!L69="","",promoter!L69)</f>
        <v/>
      </c>
      <c r="W66">
        <f>IF(rbs!J69="","",rbs!J69)</f>
        <v/>
      </c>
      <c r="X66">
        <f>IF(cds!K69="","",cds!K69)</f>
        <v/>
      </c>
      <c r="Y66">
        <f>IF(terminator!J69="","",terminator!J69)</f>
        <v/>
      </c>
      <c r="Z66">
        <f>IF(other!K69="","",other!K69)</f>
        <v/>
      </c>
    </row>
    <row r="67">
      <c r="A67">
        <f>IF(promoter!B70=0,"",promoter!B70)</f>
        <v/>
      </c>
      <c r="B67">
        <f>IF(rbs!B70=0,"",rbs!B70)</f>
        <v/>
      </c>
      <c r="C67">
        <f>IF(cds!B70=0,"",cds!B70)</f>
        <v/>
      </c>
      <c r="D67">
        <f>IF(terminator!B70=0,"",terminator!B70)</f>
        <v/>
      </c>
      <c r="E67">
        <f>IF(other!B70=0,"",other!B70)</f>
        <v/>
      </c>
      <c r="F67">
        <f>IF(protein!B70=0,"",protein!B70)</f>
        <v/>
      </c>
      <c r="G67">
        <f>IF(complex!B70=0,"",complex!B70)</f>
        <v/>
      </c>
      <c r="H67">
        <f>IF(chassis!B70=0,"",chassis!B70)</f>
        <v/>
      </c>
      <c r="I67">
        <f>IF(chemicals!B70=0,"",chemicals!B70)</f>
        <v/>
      </c>
      <c r="J67">
        <f>IF(media!B70=0,"",media!B70)</f>
        <v/>
      </c>
      <c r="V67">
        <f>IF(promoter!L70="","",promoter!L70)</f>
        <v/>
      </c>
      <c r="W67">
        <f>IF(rbs!J70="","",rbs!J70)</f>
        <v/>
      </c>
      <c r="X67">
        <f>IF(cds!K70="","",cds!K70)</f>
        <v/>
      </c>
      <c r="Y67">
        <f>IF(terminator!J70="","",terminator!J70)</f>
        <v/>
      </c>
      <c r="Z67">
        <f>IF(other!K70="","",other!K70)</f>
        <v/>
      </c>
    </row>
    <row r="68">
      <c r="A68">
        <f>IF(promoter!B71=0,"",promoter!B71)</f>
        <v/>
      </c>
      <c r="B68">
        <f>IF(rbs!B71=0,"",rbs!B71)</f>
        <v/>
      </c>
      <c r="C68">
        <f>IF(cds!B71=0,"",cds!B71)</f>
        <v/>
      </c>
      <c r="D68">
        <f>IF(terminator!B71=0,"",terminator!B71)</f>
        <v/>
      </c>
      <c r="E68">
        <f>IF(other!B71=0,"",other!B71)</f>
        <v/>
      </c>
      <c r="F68">
        <f>IF(protein!B71=0,"",protein!B71)</f>
        <v/>
      </c>
      <c r="G68">
        <f>IF(complex!B71=0,"",complex!B71)</f>
        <v/>
      </c>
      <c r="H68">
        <f>IF(chassis!B71=0,"",chassis!B71)</f>
        <v/>
      </c>
      <c r="I68">
        <f>IF(chemicals!B71=0,"",chemicals!B71)</f>
        <v/>
      </c>
      <c r="J68">
        <f>IF(media!B71=0,"",media!B71)</f>
        <v/>
      </c>
      <c r="V68">
        <f>IF(promoter!L71="","",promoter!L71)</f>
        <v/>
      </c>
      <c r="W68">
        <f>IF(rbs!J71="","",rbs!J71)</f>
        <v/>
      </c>
      <c r="X68">
        <f>IF(cds!K71="","",cds!K71)</f>
        <v/>
      </c>
      <c r="Y68">
        <f>IF(terminator!J71="","",terminator!J71)</f>
        <v/>
      </c>
      <c r="Z68">
        <f>IF(other!K71="","",other!K71)</f>
        <v/>
      </c>
    </row>
    <row r="69">
      <c r="A69">
        <f>IF(promoter!B72=0,"",promoter!B72)</f>
        <v/>
      </c>
      <c r="B69">
        <f>IF(rbs!B72=0,"",rbs!B72)</f>
        <v/>
      </c>
      <c r="C69">
        <f>IF(cds!B72=0,"",cds!B72)</f>
        <v/>
      </c>
      <c r="D69">
        <f>IF(terminator!B72=0,"",terminator!B72)</f>
        <v/>
      </c>
      <c r="E69">
        <f>IF(other!B72=0,"",other!B72)</f>
        <v/>
      </c>
      <c r="F69">
        <f>IF(protein!B72=0,"",protein!B72)</f>
        <v/>
      </c>
      <c r="G69">
        <f>IF(complex!B72=0,"",complex!B72)</f>
        <v/>
      </c>
      <c r="H69">
        <f>IF(chassis!B72=0,"",chassis!B72)</f>
        <v/>
      </c>
      <c r="I69">
        <f>IF(chemicals!B72=0,"",chemicals!B72)</f>
        <v/>
      </c>
      <c r="J69">
        <f>IF(media!B72=0,"",media!B72)</f>
        <v/>
      </c>
      <c r="V69">
        <f>IF(promoter!L72="","",promoter!L72)</f>
        <v/>
      </c>
      <c r="W69">
        <f>IF(rbs!J72="","",rbs!J72)</f>
        <v/>
      </c>
      <c r="X69">
        <f>IF(cds!K72="","",cds!K72)</f>
        <v/>
      </c>
      <c r="Y69">
        <f>IF(terminator!J72="","",terminator!J72)</f>
        <v/>
      </c>
      <c r="Z69">
        <f>IF(other!K72="","",other!K72)</f>
        <v/>
      </c>
    </row>
    <row r="70">
      <c r="A70">
        <f>IF(promoter!B73=0,"",promoter!B73)</f>
        <v/>
      </c>
      <c r="B70">
        <f>IF(rbs!B73=0,"",rbs!B73)</f>
        <v/>
      </c>
      <c r="C70">
        <f>IF(cds!B73=0,"",cds!B73)</f>
        <v/>
      </c>
      <c r="D70">
        <f>IF(terminator!B73=0,"",terminator!B73)</f>
        <v/>
      </c>
      <c r="E70">
        <f>IF(other!B73=0,"",other!B73)</f>
        <v/>
      </c>
      <c r="F70">
        <f>IF(protein!B73=0,"",protein!B73)</f>
        <v/>
      </c>
      <c r="G70">
        <f>IF(complex!B73=0,"",complex!B73)</f>
        <v/>
      </c>
      <c r="H70">
        <f>IF(chassis!B73=0,"",chassis!B73)</f>
        <v/>
      </c>
      <c r="I70">
        <f>IF(chemicals!B73=0,"",chemicals!B73)</f>
        <v/>
      </c>
      <c r="J70">
        <f>IF(media!B73=0,"",media!B73)</f>
        <v/>
      </c>
      <c r="V70">
        <f>IF(promoter!L73="","",promoter!L73)</f>
        <v/>
      </c>
      <c r="W70">
        <f>IF(rbs!J73="","",rbs!J73)</f>
        <v/>
      </c>
      <c r="X70">
        <f>IF(cds!K73="","",cds!K73)</f>
        <v/>
      </c>
      <c r="Y70">
        <f>IF(terminator!J73="","",terminator!J73)</f>
        <v/>
      </c>
      <c r="Z70">
        <f>IF(other!K73="","",other!K73)</f>
        <v/>
      </c>
    </row>
    <row r="71">
      <c r="A71">
        <f>IF(promoter!B74=0,"",promoter!B74)</f>
        <v/>
      </c>
      <c r="B71">
        <f>IF(rbs!B74=0,"",rbs!B74)</f>
        <v/>
      </c>
      <c r="C71">
        <f>IF(cds!B74=0,"",cds!B74)</f>
        <v/>
      </c>
      <c r="D71">
        <f>IF(terminator!B74=0,"",terminator!B74)</f>
        <v/>
      </c>
      <c r="E71">
        <f>IF(other!B74=0,"",other!B74)</f>
        <v/>
      </c>
      <c r="F71">
        <f>IF(protein!B74=0,"",protein!B74)</f>
        <v/>
      </c>
      <c r="G71">
        <f>IF(complex!B74=0,"",complex!B74)</f>
        <v/>
      </c>
      <c r="H71">
        <f>IF(chassis!B74=0,"",chassis!B74)</f>
        <v/>
      </c>
      <c r="I71">
        <f>IF(chemicals!B74=0,"",chemicals!B74)</f>
        <v/>
      </c>
      <c r="J71">
        <f>IF(media!B74=0,"",media!B74)</f>
        <v/>
      </c>
      <c r="V71">
        <f>IF(promoter!L74="","",promoter!L74)</f>
        <v/>
      </c>
      <c r="W71">
        <f>IF(rbs!J74="","",rbs!J74)</f>
        <v/>
      </c>
      <c r="X71">
        <f>IF(cds!K74="","",cds!K74)</f>
        <v/>
      </c>
      <c r="Y71">
        <f>IF(terminator!J74="","",terminator!J74)</f>
        <v/>
      </c>
      <c r="Z71">
        <f>IF(other!K74="","",other!K74)</f>
        <v/>
      </c>
    </row>
    <row r="72">
      <c r="A72">
        <f>IF(promoter!B75=0,"",promoter!B75)</f>
        <v/>
      </c>
      <c r="B72">
        <f>IF(rbs!B75=0,"",rbs!B75)</f>
        <v/>
      </c>
      <c r="C72">
        <f>IF(cds!B75=0,"",cds!B75)</f>
        <v/>
      </c>
      <c r="D72">
        <f>IF(terminator!B75=0,"",terminator!B75)</f>
        <v/>
      </c>
      <c r="E72">
        <f>IF(other!B75=0,"",other!B75)</f>
        <v/>
      </c>
      <c r="F72">
        <f>IF(protein!B75=0,"",protein!B75)</f>
        <v/>
      </c>
      <c r="G72">
        <f>IF(complex!B75=0,"",complex!B75)</f>
        <v/>
      </c>
      <c r="H72">
        <f>IF(chassis!B75=0,"",chassis!B75)</f>
        <v/>
      </c>
      <c r="I72">
        <f>IF(chemicals!B75=0,"",chemicals!B75)</f>
        <v/>
      </c>
      <c r="J72">
        <f>IF(media!B75=0,"",media!B75)</f>
        <v/>
      </c>
      <c r="V72">
        <f>IF(promoter!L75="","",promoter!L75)</f>
        <v/>
      </c>
      <c r="W72">
        <f>IF(rbs!J75="","",rbs!J75)</f>
        <v/>
      </c>
      <c r="X72">
        <f>IF(cds!K75="","",cds!K75)</f>
        <v/>
      </c>
      <c r="Y72">
        <f>IF(terminator!J75="","",terminator!J75)</f>
        <v/>
      </c>
      <c r="Z72">
        <f>IF(other!K75="","",other!K75)</f>
        <v/>
      </c>
    </row>
    <row r="73">
      <c r="A73">
        <f>IF(promoter!B76=0,"",promoter!B76)</f>
        <v/>
      </c>
      <c r="B73">
        <f>IF(rbs!B76=0,"",rbs!B76)</f>
        <v/>
      </c>
      <c r="C73">
        <f>IF(cds!B76=0,"",cds!B76)</f>
        <v/>
      </c>
      <c r="D73">
        <f>IF(terminator!B76=0,"",terminator!B76)</f>
        <v/>
      </c>
      <c r="E73">
        <f>IF(other!B76=0,"",other!B76)</f>
        <v/>
      </c>
      <c r="F73">
        <f>IF(protein!B76=0,"",protein!B76)</f>
        <v/>
      </c>
      <c r="G73">
        <f>IF(complex!B76=0,"",complex!B76)</f>
        <v/>
      </c>
      <c r="H73">
        <f>IF(chassis!B76=0,"",chassis!B76)</f>
        <v/>
      </c>
      <c r="I73">
        <f>IF(chemicals!B76=0,"",chemicals!B76)</f>
        <v/>
      </c>
      <c r="J73">
        <f>IF(media!B76=0,"",media!B76)</f>
        <v/>
      </c>
      <c r="V73">
        <f>IF(promoter!L76="","",promoter!L76)</f>
        <v/>
      </c>
      <c r="W73">
        <f>IF(rbs!J76="","",rbs!J76)</f>
        <v/>
      </c>
      <c r="X73">
        <f>IF(cds!K76="","",cds!K76)</f>
        <v/>
      </c>
      <c r="Y73">
        <f>IF(terminator!J76="","",terminator!J76)</f>
        <v/>
      </c>
      <c r="Z73">
        <f>IF(other!K76="","",other!K76)</f>
        <v/>
      </c>
    </row>
    <row r="74">
      <c r="A74">
        <f>IF(promoter!B77=0,"",promoter!B77)</f>
        <v/>
      </c>
      <c r="B74">
        <f>IF(rbs!B77=0,"",rbs!B77)</f>
        <v/>
      </c>
      <c r="C74">
        <f>IF(cds!B77=0,"",cds!B77)</f>
        <v/>
      </c>
      <c r="D74">
        <f>IF(terminator!B77=0,"",terminator!B77)</f>
        <v/>
      </c>
      <c r="E74">
        <f>IF(other!B77=0,"",other!B77)</f>
        <v/>
      </c>
      <c r="F74">
        <f>IF(protein!B77=0,"",protein!B77)</f>
        <v/>
      </c>
      <c r="G74">
        <f>IF(complex!B77=0,"",complex!B77)</f>
        <v/>
      </c>
      <c r="H74">
        <f>IF(chassis!B77=0,"",chassis!B77)</f>
        <v/>
      </c>
      <c r="I74">
        <f>IF(chemicals!B77=0,"",chemicals!B77)</f>
        <v/>
      </c>
      <c r="J74">
        <f>IF(media!B77=0,"",media!B77)</f>
        <v/>
      </c>
      <c r="V74">
        <f>IF(promoter!L77="","",promoter!L77)</f>
        <v/>
      </c>
      <c r="W74">
        <f>IF(rbs!J77="","",rbs!J77)</f>
        <v/>
      </c>
      <c r="X74">
        <f>IF(cds!K77="","",cds!K77)</f>
        <v/>
      </c>
      <c r="Y74">
        <f>IF(terminator!J77="","",terminator!J77)</f>
        <v/>
      </c>
      <c r="Z74">
        <f>IF(other!K77="","",other!K77)</f>
        <v/>
      </c>
    </row>
    <row r="75">
      <c r="A75">
        <f>IF(promoter!B78=0,"",promoter!B78)</f>
        <v/>
      </c>
      <c r="B75">
        <f>IF(rbs!B78=0,"",rbs!B78)</f>
        <v/>
      </c>
      <c r="C75">
        <f>IF(cds!B78=0,"",cds!B78)</f>
        <v/>
      </c>
      <c r="D75">
        <f>IF(terminator!B78=0,"",terminator!B78)</f>
        <v/>
      </c>
      <c r="E75">
        <f>IF(other!B78=0,"",other!B78)</f>
        <v/>
      </c>
      <c r="F75">
        <f>IF(protein!B78=0,"",protein!B78)</f>
        <v/>
      </c>
      <c r="G75">
        <f>IF(complex!B78=0,"",complex!B78)</f>
        <v/>
      </c>
      <c r="H75">
        <f>IF(chassis!B78=0,"",chassis!B78)</f>
        <v/>
      </c>
      <c r="I75">
        <f>IF(chemicals!B78=0,"",chemicals!B78)</f>
        <v/>
      </c>
      <c r="J75">
        <f>IF(media!B78=0,"",media!B78)</f>
        <v/>
      </c>
      <c r="V75">
        <f>IF(promoter!L78="","",promoter!L78)</f>
        <v/>
      </c>
      <c r="W75">
        <f>IF(rbs!J78="","",rbs!J78)</f>
        <v/>
      </c>
      <c r="X75">
        <f>IF(cds!K78="","",cds!K78)</f>
        <v/>
      </c>
      <c r="Y75">
        <f>IF(terminator!J78="","",terminator!J78)</f>
        <v/>
      </c>
      <c r="Z75">
        <f>IF(other!K78="","",other!K78)</f>
        <v/>
      </c>
    </row>
    <row r="76">
      <c r="A76">
        <f>IF(promoter!B79=0,"",promoter!B79)</f>
        <v/>
      </c>
      <c r="B76">
        <f>IF(rbs!B79=0,"",rbs!B79)</f>
        <v/>
      </c>
      <c r="C76">
        <f>IF(cds!B79=0,"",cds!B79)</f>
        <v/>
      </c>
      <c r="D76">
        <f>IF(terminator!B79=0,"",terminator!B79)</f>
        <v/>
      </c>
      <c r="E76">
        <f>IF(other!B79=0,"",other!B79)</f>
        <v/>
      </c>
      <c r="F76">
        <f>IF(protein!B79=0,"",protein!B79)</f>
        <v/>
      </c>
      <c r="G76">
        <f>IF(complex!B79=0,"",complex!B79)</f>
        <v/>
      </c>
      <c r="H76">
        <f>IF(chassis!B79=0,"",chassis!B79)</f>
        <v/>
      </c>
      <c r="I76">
        <f>IF(chemicals!B79=0,"",chemicals!B79)</f>
        <v/>
      </c>
      <c r="J76">
        <f>IF(media!B79=0,"",media!B79)</f>
        <v/>
      </c>
      <c r="V76">
        <f>IF(promoter!L79="","",promoter!L79)</f>
        <v/>
      </c>
      <c r="W76">
        <f>IF(rbs!J79="","",rbs!J79)</f>
        <v/>
      </c>
      <c r="X76">
        <f>IF(cds!K79="","",cds!K79)</f>
        <v/>
      </c>
      <c r="Y76">
        <f>IF(terminator!J79="","",terminator!J79)</f>
        <v/>
      </c>
      <c r="Z76">
        <f>IF(other!K79="","",other!K79)</f>
        <v/>
      </c>
    </row>
    <row r="77">
      <c r="A77">
        <f>IF(promoter!B80=0,"",promoter!B80)</f>
        <v/>
      </c>
      <c r="B77">
        <f>IF(rbs!B80=0,"",rbs!B80)</f>
        <v/>
      </c>
      <c r="C77">
        <f>IF(cds!B80=0,"",cds!B80)</f>
        <v/>
      </c>
      <c r="D77">
        <f>IF(terminator!B80=0,"",terminator!B80)</f>
        <v/>
      </c>
      <c r="E77">
        <f>IF(other!B80=0,"",other!B80)</f>
        <v/>
      </c>
      <c r="F77">
        <f>IF(protein!B80=0,"",protein!B80)</f>
        <v/>
      </c>
      <c r="G77">
        <f>IF(complex!B80=0,"",complex!B80)</f>
        <v/>
      </c>
      <c r="H77">
        <f>IF(chassis!B80=0,"",chassis!B80)</f>
        <v/>
      </c>
      <c r="I77">
        <f>IF(chemicals!B80=0,"",chemicals!B80)</f>
        <v/>
      </c>
      <c r="J77">
        <f>IF(media!B80=0,"",media!B80)</f>
        <v/>
      </c>
      <c r="V77">
        <f>IF(promoter!L80="","",promoter!L80)</f>
        <v/>
      </c>
      <c r="W77">
        <f>IF(rbs!J80="","",rbs!J80)</f>
        <v/>
      </c>
      <c r="X77">
        <f>IF(cds!K80="","",cds!K80)</f>
        <v/>
      </c>
      <c r="Y77">
        <f>IF(terminator!J80="","",terminator!J80)</f>
        <v/>
      </c>
      <c r="Z77">
        <f>IF(other!K80="","",other!K80)</f>
        <v/>
      </c>
    </row>
    <row r="78">
      <c r="A78">
        <f>IF(promoter!B81=0,"",promoter!B81)</f>
        <v/>
      </c>
      <c r="B78">
        <f>IF(rbs!B81=0,"",rbs!B81)</f>
        <v/>
      </c>
      <c r="C78">
        <f>IF(cds!B81=0,"",cds!B81)</f>
        <v/>
      </c>
      <c r="D78">
        <f>IF(terminator!B81=0,"",terminator!B81)</f>
        <v/>
      </c>
      <c r="E78">
        <f>IF(other!B81=0,"",other!B81)</f>
        <v/>
      </c>
      <c r="F78">
        <f>IF(protein!B81=0,"",protein!B81)</f>
        <v/>
      </c>
      <c r="G78">
        <f>IF(complex!B81=0,"",complex!B81)</f>
        <v/>
      </c>
      <c r="H78">
        <f>IF(chassis!B81=0,"",chassis!B81)</f>
        <v/>
      </c>
      <c r="I78">
        <f>IF(chemicals!B81=0,"",chemicals!B81)</f>
        <v/>
      </c>
      <c r="J78">
        <f>IF(media!B81=0,"",media!B81)</f>
        <v/>
      </c>
      <c r="V78">
        <f>IF(promoter!L81="","",promoter!L81)</f>
        <v/>
      </c>
      <c r="W78">
        <f>IF(rbs!J81="","",rbs!J81)</f>
        <v/>
      </c>
      <c r="X78">
        <f>IF(cds!K81="","",cds!K81)</f>
        <v/>
      </c>
      <c r="Y78">
        <f>IF(terminator!J81="","",terminator!J81)</f>
        <v/>
      </c>
      <c r="Z78">
        <f>IF(other!K81="","",other!K81)</f>
        <v/>
      </c>
    </row>
    <row r="79">
      <c r="A79">
        <f>IF(promoter!B82=0,"",promoter!B82)</f>
        <v/>
      </c>
      <c r="B79">
        <f>IF(rbs!B82=0,"",rbs!B82)</f>
        <v/>
      </c>
      <c r="C79">
        <f>IF(cds!B82=0,"",cds!B82)</f>
        <v/>
      </c>
      <c r="D79">
        <f>IF(terminator!B82=0,"",terminator!B82)</f>
        <v/>
      </c>
      <c r="E79">
        <f>IF(other!B82=0,"",other!B82)</f>
        <v/>
      </c>
      <c r="F79">
        <f>IF(protein!B82=0,"",protein!B82)</f>
        <v/>
      </c>
      <c r="G79">
        <f>IF(complex!B82=0,"",complex!B82)</f>
        <v/>
      </c>
      <c r="H79">
        <f>IF(chassis!B82=0,"",chassis!B82)</f>
        <v/>
      </c>
      <c r="I79">
        <f>IF(chemicals!B82=0,"",chemicals!B82)</f>
        <v/>
      </c>
      <c r="J79">
        <f>IF(media!B82=0,"",media!B82)</f>
        <v/>
      </c>
      <c r="V79">
        <f>IF(promoter!L82="","",promoter!L82)</f>
        <v/>
      </c>
      <c r="W79">
        <f>IF(rbs!J82="","",rbs!J82)</f>
        <v/>
      </c>
      <c r="X79">
        <f>IF(cds!K82="","",cds!K82)</f>
        <v/>
      </c>
      <c r="Y79">
        <f>IF(terminator!J82="","",terminator!J82)</f>
        <v/>
      </c>
      <c r="Z79">
        <f>IF(other!K82="","",other!K82)</f>
        <v/>
      </c>
    </row>
    <row r="80">
      <c r="A80">
        <f>IF(promoter!B83=0,"",promoter!B83)</f>
        <v/>
      </c>
      <c r="B80">
        <f>IF(rbs!B83=0,"",rbs!B83)</f>
        <v/>
      </c>
      <c r="C80">
        <f>IF(cds!B83=0,"",cds!B83)</f>
        <v/>
      </c>
      <c r="D80">
        <f>IF(terminator!B83=0,"",terminator!B83)</f>
        <v/>
      </c>
      <c r="E80">
        <f>IF(other!B83=0,"",other!B83)</f>
        <v/>
      </c>
      <c r="F80">
        <f>IF(protein!B83=0,"",protein!B83)</f>
        <v/>
      </c>
      <c r="G80">
        <f>IF(complex!B83=0,"",complex!B83)</f>
        <v/>
      </c>
      <c r="H80">
        <f>IF(chassis!B83=0,"",chassis!B83)</f>
        <v/>
      </c>
      <c r="I80">
        <f>IF(chemicals!B83=0,"",chemicals!B83)</f>
        <v/>
      </c>
      <c r="J80">
        <f>IF(media!B83=0,"",media!B83)</f>
        <v/>
      </c>
      <c r="V80">
        <f>IF(promoter!L83="","",promoter!L83)</f>
        <v/>
      </c>
      <c r="W80">
        <f>IF(rbs!J83="","",rbs!J83)</f>
        <v/>
      </c>
      <c r="X80">
        <f>IF(cds!K83="","",cds!K83)</f>
        <v/>
      </c>
      <c r="Y80">
        <f>IF(terminator!J83="","",terminator!J83)</f>
        <v/>
      </c>
      <c r="Z80">
        <f>IF(other!K83="","",other!K83)</f>
        <v/>
      </c>
    </row>
    <row r="81">
      <c r="A81">
        <f>IF(promoter!B84=0,"",promoter!B84)</f>
        <v/>
      </c>
      <c r="B81">
        <f>IF(rbs!B84=0,"",rbs!B84)</f>
        <v/>
      </c>
      <c r="C81">
        <f>IF(cds!B84=0,"",cds!B84)</f>
        <v/>
      </c>
      <c r="D81">
        <f>IF(terminator!B84=0,"",terminator!B84)</f>
        <v/>
      </c>
      <c r="E81">
        <f>IF(other!B84=0,"",other!B84)</f>
        <v/>
      </c>
      <c r="F81">
        <f>IF(protein!B84=0,"",protein!B84)</f>
        <v/>
      </c>
      <c r="G81">
        <f>IF(complex!B84=0,"",complex!B84)</f>
        <v/>
      </c>
      <c r="H81">
        <f>IF(chassis!B84=0,"",chassis!B84)</f>
        <v/>
      </c>
      <c r="I81">
        <f>IF(chemicals!B84=0,"",chemicals!B84)</f>
        <v/>
      </c>
      <c r="J81">
        <f>IF(media!B84=0,"",media!B84)</f>
        <v/>
      </c>
      <c r="V81">
        <f>IF(promoter!L84="","",promoter!L84)</f>
        <v/>
      </c>
      <c r="W81">
        <f>IF(rbs!J84="","",rbs!J84)</f>
        <v/>
      </c>
      <c r="X81">
        <f>IF(cds!K84="","",cds!K84)</f>
        <v/>
      </c>
      <c r="Y81">
        <f>IF(terminator!J84="","",terminator!J84)</f>
        <v/>
      </c>
      <c r="Z81">
        <f>IF(other!K84="","",other!K84)</f>
        <v/>
      </c>
    </row>
    <row r="82">
      <c r="A82">
        <f>IF(promoter!B85=0,"",promoter!B85)</f>
        <v/>
      </c>
      <c r="B82">
        <f>IF(rbs!B85=0,"",rbs!B85)</f>
        <v/>
      </c>
      <c r="C82">
        <f>IF(cds!B85=0,"",cds!B85)</f>
        <v/>
      </c>
      <c r="D82">
        <f>IF(terminator!B85=0,"",terminator!B85)</f>
        <v/>
      </c>
      <c r="E82">
        <f>IF(other!B85=0,"",other!B85)</f>
        <v/>
      </c>
      <c r="F82">
        <f>IF(protein!B85=0,"",protein!B85)</f>
        <v/>
      </c>
      <c r="G82">
        <f>IF(complex!B85=0,"",complex!B85)</f>
        <v/>
      </c>
      <c r="H82">
        <f>IF(chassis!B85=0,"",chassis!B85)</f>
        <v/>
      </c>
      <c r="I82">
        <f>IF(chemicals!B85=0,"",chemicals!B85)</f>
        <v/>
      </c>
      <c r="J82">
        <f>IF(media!B85=0,"",media!B85)</f>
        <v/>
      </c>
      <c r="V82">
        <f>IF(promoter!L85="","",promoter!L85)</f>
        <v/>
      </c>
      <c r="W82">
        <f>IF(rbs!J85="","",rbs!J85)</f>
        <v/>
      </c>
      <c r="X82">
        <f>IF(cds!K85="","",cds!K85)</f>
        <v/>
      </c>
      <c r="Y82">
        <f>IF(terminator!J85="","",terminator!J85)</f>
        <v/>
      </c>
      <c r="Z82">
        <f>IF(other!K85="","",other!K85)</f>
        <v/>
      </c>
    </row>
    <row r="83">
      <c r="A83">
        <f>IF(promoter!B86=0,"",promoter!B86)</f>
        <v/>
      </c>
      <c r="B83">
        <f>IF(rbs!B86=0,"",rbs!B86)</f>
        <v/>
      </c>
      <c r="C83">
        <f>IF(cds!B86=0,"",cds!B86)</f>
        <v/>
      </c>
      <c r="D83">
        <f>IF(terminator!B86=0,"",terminator!B86)</f>
        <v/>
      </c>
      <c r="E83">
        <f>IF(other!B86=0,"",other!B86)</f>
        <v/>
      </c>
      <c r="F83">
        <f>IF(protein!B86=0,"",protein!B86)</f>
        <v/>
      </c>
      <c r="G83">
        <f>IF(complex!B86=0,"",complex!B86)</f>
        <v/>
      </c>
      <c r="H83">
        <f>IF(chassis!B86=0,"",chassis!B86)</f>
        <v/>
      </c>
      <c r="I83">
        <f>IF(chemicals!B86=0,"",chemicals!B86)</f>
        <v/>
      </c>
      <c r="J83">
        <f>IF(media!B86=0,"",media!B86)</f>
        <v/>
      </c>
      <c r="V83">
        <f>IF(promoter!L86="","",promoter!L86)</f>
        <v/>
      </c>
      <c r="W83">
        <f>IF(rbs!J86="","",rbs!J86)</f>
        <v/>
      </c>
      <c r="X83">
        <f>IF(cds!K86="","",cds!K86)</f>
        <v/>
      </c>
      <c r="Y83">
        <f>IF(terminator!J86="","",terminator!J86)</f>
        <v/>
      </c>
      <c r="Z83">
        <f>IF(other!K86="","",other!K86)</f>
        <v/>
      </c>
    </row>
    <row r="84">
      <c r="A84">
        <f>IF(promoter!B87=0,"",promoter!B87)</f>
        <v/>
      </c>
      <c r="B84">
        <f>IF(rbs!B87=0,"",rbs!B87)</f>
        <v/>
      </c>
      <c r="C84">
        <f>IF(cds!B87=0,"",cds!B87)</f>
        <v/>
      </c>
      <c r="D84">
        <f>IF(terminator!B87=0,"",terminator!B87)</f>
        <v/>
      </c>
      <c r="E84">
        <f>IF(other!B87=0,"",other!B87)</f>
        <v/>
      </c>
      <c r="F84">
        <f>IF(protein!B87=0,"",protein!B87)</f>
        <v/>
      </c>
      <c r="G84">
        <f>IF(complex!B87=0,"",complex!B87)</f>
        <v/>
      </c>
      <c r="H84">
        <f>IF(chassis!B87=0,"",chassis!B87)</f>
        <v/>
      </c>
      <c r="I84">
        <f>IF(chemicals!B87=0,"",chemicals!B87)</f>
        <v/>
      </c>
      <c r="J84">
        <f>IF(media!B87=0,"",media!B87)</f>
        <v/>
      </c>
      <c r="V84">
        <f>IF(promoter!L87="","",promoter!L87)</f>
        <v/>
      </c>
      <c r="W84">
        <f>IF(rbs!J87="","",rbs!J87)</f>
        <v/>
      </c>
      <c r="X84">
        <f>IF(cds!K87="","",cds!K87)</f>
        <v/>
      </c>
      <c r="Y84">
        <f>IF(terminator!J87="","",terminator!J87)</f>
        <v/>
      </c>
      <c r="Z84">
        <f>IF(other!K87="","",other!K87)</f>
        <v/>
      </c>
    </row>
    <row r="85">
      <c r="A85">
        <f>IF(promoter!B88=0,"",promoter!B88)</f>
        <v/>
      </c>
      <c r="B85">
        <f>IF(rbs!B88=0,"",rbs!B88)</f>
        <v/>
      </c>
      <c r="C85">
        <f>IF(cds!B88=0,"",cds!B88)</f>
        <v/>
      </c>
      <c r="D85">
        <f>IF(terminator!B88=0,"",terminator!B88)</f>
        <v/>
      </c>
      <c r="E85">
        <f>IF(other!B88=0,"",other!B88)</f>
        <v/>
      </c>
      <c r="F85">
        <f>IF(protein!B88=0,"",protein!B88)</f>
        <v/>
      </c>
      <c r="G85">
        <f>IF(complex!B88=0,"",complex!B88)</f>
        <v/>
      </c>
      <c r="H85">
        <f>IF(chassis!B88=0,"",chassis!B88)</f>
        <v/>
      </c>
      <c r="I85">
        <f>IF(chemicals!B88=0,"",chemicals!B88)</f>
        <v/>
      </c>
      <c r="J85">
        <f>IF(media!B88=0,"",media!B88)</f>
        <v/>
      </c>
      <c r="V85">
        <f>IF(promoter!L88="","",promoter!L88)</f>
        <v/>
      </c>
      <c r="W85">
        <f>IF(rbs!J88="","",rbs!J88)</f>
        <v/>
      </c>
      <c r="X85">
        <f>IF(cds!K88="","",cds!K88)</f>
        <v/>
      </c>
      <c r="Y85">
        <f>IF(terminator!J88="","",terminator!J88)</f>
        <v/>
      </c>
      <c r="Z85">
        <f>IF(other!K88="","",other!K88)</f>
        <v/>
      </c>
    </row>
    <row r="86">
      <c r="A86">
        <f>IF(promoter!B89=0,"",promoter!B89)</f>
        <v/>
      </c>
      <c r="B86">
        <f>IF(rbs!B89=0,"",rbs!B89)</f>
        <v/>
      </c>
      <c r="C86">
        <f>IF(cds!B89=0,"",cds!B89)</f>
        <v/>
      </c>
      <c r="D86">
        <f>IF(terminator!B89=0,"",terminator!B89)</f>
        <v/>
      </c>
      <c r="E86">
        <f>IF(other!B89=0,"",other!B89)</f>
        <v/>
      </c>
      <c r="F86">
        <f>IF(protein!B89=0,"",protein!B89)</f>
        <v/>
      </c>
      <c r="G86">
        <f>IF(complex!B89=0,"",complex!B89)</f>
        <v/>
      </c>
      <c r="H86">
        <f>IF(chassis!B89=0,"",chassis!B89)</f>
        <v/>
      </c>
      <c r="I86">
        <f>IF(chemicals!B89=0,"",chemicals!B89)</f>
        <v/>
      </c>
      <c r="J86">
        <f>IF(media!B89=0,"",media!B89)</f>
        <v/>
      </c>
      <c r="V86">
        <f>IF(promoter!L89="","",promoter!L89)</f>
        <v/>
      </c>
      <c r="W86">
        <f>IF(rbs!J89="","",rbs!J89)</f>
        <v/>
      </c>
      <c r="X86">
        <f>IF(cds!K89="","",cds!K89)</f>
        <v/>
      </c>
      <c r="Y86">
        <f>IF(terminator!J89="","",terminator!J89)</f>
        <v/>
      </c>
      <c r="Z86">
        <f>IF(other!K89="","",other!K89)</f>
        <v/>
      </c>
    </row>
    <row r="87">
      <c r="A87">
        <f>IF(promoter!B90=0,"",promoter!B90)</f>
        <v/>
      </c>
      <c r="B87">
        <f>IF(rbs!B90=0,"",rbs!B90)</f>
        <v/>
      </c>
      <c r="C87">
        <f>IF(cds!B90=0,"",cds!B90)</f>
        <v/>
      </c>
      <c r="D87">
        <f>IF(terminator!B90=0,"",terminator!B90)</f>
        <v/>
      </c>
      <c r="E87">
        <f>IF(other!B90=0,"",other!B90)</f>
        <v/>
      </c>
      <c r="F87">
        <f>IF(protein!B90=0,"",protein!B90)</f>
        <v/>
      </c>
      <c r="G87">
        <f>IF(complex!B90=0,"",complex!B90)</f>
        <v/>
      </c>
      <c r="H87">
        <f>IF(chassis!B90=0,"",chassis!B90)</f>
        <v/>
      </c>
      <c r="I87">
        <f>IF(chemicals!B90=0,"",chemicals!B90)</f>
        <v/>
      </c>
      <c r="J87">
        <f>IF(media!B90=0,"",media!B90)</f>
        <v/>
      </c>
      <c r="V87">
        <f>IF(promoter!L90="","",promoter!L90)</f>
        <v/>
      </c>
      <c r="W87">
        <f>IF(rbs!J90="","",rbs!J90)</f>
        <v/>
      </c>
      <c r="X87">
        <f>IF(cds!K90="","",cds!K90)</f>
        <v/>
      </c>
      <c r="Y87">
        <f>IF(terminator!J90="","",terminator!J90)</f>
        <v/>
      </c>
      <c r="Z87">
        <f>IF(other!K90="","",other!K90)</f>
        <v/>
      </c>
    </row>
    <row r="88">
      <c r="A88">
        <f>IF(promoter!B91=0,"",promoter!B91)</f>
        <v/>
      </c>
      <c r="B88">
        <f>IF(rbs!B91=0,"",rbs!B91)</f>
        <v/>
      </c>
      <c r="C88">
        <f>IF(cds!B91=0,"",cds!B91)</f>
        <v/>
      </c>
      <c r="D88">
        <f>IF(terminator!B91=0,"",terminator!B91)</f>
        <v/>
      </c>
      <c r="E88">
        <f>IF(other!B91=0,"",other!B91)</f>
        <v/>
      </c>
      <c r="F88">
        <f>IF(protein!B91=0,"",protein!B91)</f>
        <v/>
      </c>
      <c r="G88">
        <f>IF(complex!B91=0,"",complex!B91)</f>
        <v/>
      </c>
      <c r="H88">
        <f>IF(chassis!B91=0,"",chassis!B91)</f>
        <v/>
      </c>
      <c r="I88">
        <f>IF(chemicals!B91=0,"",chemicals!B91)</f>
        <v/>
      </c>
      <c r="J88">
        <f>IF(media!B91=0,"",media!B91)</f>
        <v/>
      </c>
      <c r="V88">
        <f>IF(promoter!L91="","",promoter!L91)</f>
        <v/>
      </c>
      <c r="W88">
        <f>IF(rbs!J91="","",rbs!J91)</f>
        <v/>
      </c>
      <c r="X88">
        <f>IF(cds!K91="","",cds!K91)</f>
        <v/>
      </c>
      <c r="Y88">
        <f>IF(terminator!J91="","",terminator!J91)</f>
        <v/>
      </c>
      <c r="Z88">
        <f>IF(other!K91="","",other!K91)</f>
        <v/>
      </c>
    </row>
    <row r="89">
      <c r="A89">
        <f>IF(promoter!B92=0,"",promoter!B92)</f>
        <v/>
      </c>
      <c r="B89">
        <f>IF(rbs!B92=0,"",rbs!B92)</f>
        <v/>
      </c>
      <c r="C89">
        <f>IF(cds!B92=0,"",cds!B92)</f>
        <v/>
      </c>
      <c r="D89">
        <f>IF(terminator!B92=0,"",terminator!B92)</f>
        <v/>
      </c>
      <c r="E89">
        <f>IF(other!B92=0,"",other!B92)</f>
        <v/>
      </c>
      <c r="F89">
        <f>IF(protein!B92=0,"",protein!B92)</f>
        <v/>
      </c>
      <c r="G89">
        <f>IF(complex!B92=0,"",complex!B92)</f>
        <v/>
      </c>
      <c r="H89">
        <f>IF(chassis!B92=0,"",chassis!B92)</f>
        <v/>
      </c>
      <c r="I89">
        <f>IF(chemicals!B92=0,"",chemicals!B92)</f>
        <v/>
      </c>
      <c r="J89">
        <f>IF(media!B92=0,"",media!B92)</f>
        <v/>
      </c>
      <c r="V89">
        <f>IF(promoter!L92="","",promoter!L92)</f>
        <v/>
      </c>
      <c r="W89">
        <f>IF(rbs!J92="","",rbs!J92)</f>
        <v/>
      </c>
      <c r="X89">
        <f>IF(cds!K92="","",cds!K92)</f>
        <v/>
      </c>
      <c r="Y89">
        <f>IF(terminator!J92="","",terminator!J92)</f>
        <v/>
      </c>
      <c r="Z89">
        <f>IF(other!K92="","",other!K92)</f>
        <v/>
      </c>
    </row>
    <row r="90">
      <c r="A90">
        <f>IF(promoter!B93=0,"",promoter!B93)</f>
        <v/>
      </c>
      <c r="B90">
        <f>IF(rbs!B93=0,"",rbs!B93)</f>
        <v/>
      </c>
      <c r="C90">
        <f>IF(cds!B93=0,"",cds!B93)</f>
        <v/>
      </c>
      <c r="D90">
        <f>IF(terminator!B93=0,"",terminator!B93)</f>
        <v/>
      </c>
      <c r="E90">
        <f>IF(other!B93=0,"",other!B93)</f>
        <v/>
      </c>
      <c r="F90">
        <f>IF(protein!B93=0,"",protein!B93)</f>
        <v/>
      </c>
      <c r="G90">
        <f>IF(complex!B93=0,"",complex!B93)</f>
        <v/>
      </c>
      <c r="H90">
        <f>IF(chassis!B93=0,"",chassis!B93)</f>
        <v/>
      </c>
      <c r="I90">
        <f>IF(chemicals!B93=0,"",chemicals!B93)</f>
        <v/>
      </c>
      <c r="J90">
        <f>IF(media!B93=0,"",media!B93)</f>
        <v/>
      </c>
      <c r="V90">
        <f>IF(promoter!L93="","",promoter!L93)</f>
        <v/>
      </c>
      <c r="W90">
        <f>IF(rbs!J93="","",rbs!J93)</f>
        <v/>
      </c>
      <c r="X90">
        <f>IF(cds!K93="","",cds!K93)</f>
        <v/>
      </c>
      <c r="Y90">
        <f>IF(terminator!J93="","",terminator!J93)</f>
        <v/>
      </c>
      <c r="Z90">
        <f>IF(other!K93="","",other!K93)</f>
        <v/>
      </c>
    </row>
    <row r="91">
      <c r="A91">
        <f>IF(promoter!B94=0,"",promoter!B94)</f>
        <v/>
      </c>
      <c r="B91">
        <f>IF(rbs!B94=0,"",rbs!B94)</f>
        <v/>
      </c>
      <c r="C91">
        <f>IF(cds!B94=0,"",cds!B94)</f>
        <v/>
      </c>
      <c r="D91">
        <f>IF(terminator!B94=0,"",terminator!B94)</f>
        <v/>
      </c>
      <c r="E91">
        <f>IF(other!B94=0,"",other!B94)</f>
        <v/>
      </c>
      <c r="F91">
        <f>IF(protein!B94=0,"",protein!B94)</f>
        <v/>
      </c>
      <c r="G91">
        <f>IF(complex!B94=0,"",complex!B94)</f>
        <v/>
      </c>
      <c r="H91">
        <f>IF(chassis!B94=0,"",chassis!B94)</f>
        <v/>
      </c>
      <c r="I91">
        <f>IF(chemicals!B94=0,"",chemicals!B94)</f>
        <v/>
      </c>
      <c r="J91">
        <f>IF(media!B94=0,"",media!B94)</f>
        <v/>
      </c>
      <c r="V91">
        <f>IF(promoter!L94="","",promoter!L94)</f>
        <v/>
      </c>
      <c r="W91">
        <f>IF(rbs!J94="","",rbs!J94)</f>
        <v/>
      </c>
      <c r="X91">
        <f>IF(cds!K94="","",cds!K94)</f>
        <v/>
      </c>
      <c r="Y91">
        <f>IF(terminator!J94="","",terminator!J94)</f>
        <v/>
      </c>
      <c r="Z91">
        <f>IF(other!K94="","",other!K94)</f>
        <v/>
      </c>
    </row>
    <row r="92">
      <c r="A92">
        <f>IF(promoter!B95=0,"",promoter!B95)</f>
        <v/>
      </c>
      <c r="B92">
        <f>IF(rbs!B95=0,"",rbs!B95)</f>
        <v/>
      </c>
      <c r="C92">
        <f>IF(cds!B95=0,"",cds!B95)</f>
        <v/>
      </c>
      <c r="D92">
        <f>IF(terminator!B95=0,"",terminator!B95)</f>
        <v/>
      </c>
      <c r="E92">
        <f>IF(other!B95=0,"",other!B95)</f>
        <v/>
      </c>
      <c r="F92">
        <f>IF(protein!B95=0,"",protein!B95)</f>
        <v/>
      </c>
      <c r="G92">
        <f>IF(complex!B95=0,"",complex!B95)</f>
        <v/>
      </c>
      <c r="H92">
        <f>IF(chassis!B95=0,"",chassis!B95)</f>
        <v/>
      </c>
      <c r="I92">
        <f>IF(chemicals!B95=0,"",chemicals!B95)</f>
        <v/>
      </c>
      <c r="J92">
        <f>IF(media!B95=0,"",media!B95)</f>
        <v/>
      </c>
      <c r="V92">
        <f>IF(promoter!L95="","",promoter!L95)</f>
        <v/>
      </c>
      <c r="W92">
        <f>IF(rbs!J95="","",rbs!J95)</f>
        <v/>
      </c>
      <c r="X92">
        <f>IF(cds!K95="","",cds!K95)</f>
        <v/>
      </c>
      <c r="Y92">
        <f>IF(terminator!J95="","",terminator!J95)</f>
        <v/>
      </c>
      <c r="Z92">
        <f>IF(other!K95="","",other!K95)</f>
        <v/>
      </c>
    </row>
    <row r="93">
      <c r="A93">
        <f>IF(promoter!B96=0,"",promoter!B96)</f>
        <v/>
      </c>
      <c r="B93">
        <f>IF(rbs!B96=0,"",rbs!B96)</f>
        <v/>
      </c>
      <c r="C93">
        <f>IF(cds!B96=0,"",cds!B96)</f>
        <v/>
      </c>
      <c r="D93">
        <f>IF(terminator!B96=0,"",terminator!B96)</f>
        <v/>
      </c>
      <c r="E93">
        <f>IF(other!B96=0,"",other!B96)</f>
        <v/>
      </c>
      <c r="F93">
        <f>IF(protein!B96=0,"",protein!B96)</f>
        <v/>
      </c>
      <c r="G93">
        <f>IF(complex!B96=0,"",complex!B96)</f>
        <v/>
      </c>
      <c r="H93">
        <f>IF(chassis!B96=0,"",chassis!B96)</f>
        <v/>
      </c>
      <c r="I93">
        <f>IF(chemicals!B96=0,"",chemicals!B96)</f>
        <v/>
      </c>
      <c r="J93">
        <f>IF(media!B96=0,"",media!B96)</f>
        <v/>
      </c>
      <c r="V93">
        <f>IF(promoter!L96="","",promoter!L96)</f>
        <v/>
      </c>
      <c r="W93">
        <f>IF(rbs!J96="","",rbs!J96)</f>
        <v/>
      </c>
      <c r="X93">
        <f>IF(cds!K96="","",cds!K96)</f>
        <v/>
      </c>
      <c r="Y93">
        <f>IF(terminator!J96="","",terminator!J96)</f>
        <v/>
      </c>
      <c r="Z93">
        <f>IF(other!K96="","",other!K96)</f>
        <v/>
      </c>
    </row>
    <row r="94">
      <c r="A94">
        <f>IF(promoter!B97=0,"",promoter!B97)</f>
        <v/>
      </c>
      <c r="B94">
        <f>IF(rbs!B97=0,"",rbs!B97)</f>
        <v/>
      </c>
      <c r="C94">
        <f>IF(cds!B97=0,"",cds!B97)</f>
        <v/>
      </c>
      <c r="D94">
        <f>IF(terminator!B97=0,"",terminator!B97)</f>
        <v/>
      </c>
      <c r="E94">
        <f>IF(other!B97=0,"",other!B97)</f>
        <v/>
      </c>
      <c r="F94">
        <f>IF(protein!B97=0,"",protein!B97)</f>
        <v/>
      </c>
      <c r="G94">
        <f>IF(complex!B97=0,"",complex!B97)</f>
        <v/>
      </c>
      <c r="H94">
        <f>IF(chassis!B97=0,"",chassis!B97)</f>
        <v/>
      </c>
      <c r="I94">
        <f>IF(chemicals!B97=0,"",chemicals!B97)</f>
        <v/>
      </c>
      <c r="J94">
        <f>IF(media!B97=0,"",media!B97)</f>
        <v/>
      </c>
      <c r="V94">
        <f>IF(promoter!L97="","",promoter!L97)</f>
        <v/>
      </c>
      <c r="W94">
        <f>IF(rbs!J97="","",rbs!J97)</f>
        <v/>
      </c>
      <c r="X94">
        <f>IF(cds!K97="","",cds!K97)</f>
        <v/>
      </c>
      <c r="Y94">
        <f>IF(terminator!J97="","",terminator!J97)</f>
        <v/>
      </c>
      <c r="Z94">
        <f>IF(other!K97="","",other!K97)</f>
        <v/>
      </c>
    </row>
    <row r="95">
      <c r="A95">
        <f>IF(promoter!B98=0,"",promoter!B98)</f>
        <v/>
      </c>
      <c r="B95">
        <f>IF(rbs!B98=0,"",rbs!B98)</f>
        <v/>
      </c>
      <c r="C95">
        <f>IF(cds!B98=0,"",cds!B98)</f>
        <v/>
      </c>
      <c r="D95">
        <f>IF(terminator!B98=0,"",terminator!B98)</f>
        <v/>
      </c>
      <c r="E95">
        <f>IF(other!B98=0,"",other!B98)</f>
        <v/>
      </c>
      <c r="F95">
        <f>IF(protein!B98=0,"",protein!B98)</f>
        <v/>
      </c>
      <c r="G95">
        <f>IF(complex!B98=0,"",complex!B98)</f>
        <v/>
      </c>
      <c r="H95">
        <f>IF(chassis!B98=0,"",chassis!B98)</f>
        <v/>
      </c>
      <c r="I95">
        <f>IF(chemicals!B98=0,"",chemicals!B98)</f>
        <v/>
      </c>
      <c r="J95">
        <f>IF(media!B98=0,"",media!B98)</f>
        <v/>
      </c>
      <c r="V95">
        <f>IF(promoter!L98="","",promoter!L98)</f>
        <v/>
      </c>
      <c r="W95">
        <f>IF(rbs!J98="","",rbs!J98)</f>
        <v/>
      </c>
      <c r="X95">
        <f>IF(cds!K98="","",cds!K98)</f>
        <v/>
      </c>
      <c r="Y95">
        <f>IF(terminator!J98="","",terminator!J98)</f>
        <v/>
      </c>
      <c r="Z95">
        <f>IF(other!K98="","",other!K98)</f>
        <v/>
      </c>
    </row>
    <row r="96">
      <c r="A96">
        <f>IF(promoter!B99=0,"",promoter!B99)</f>
        <v/>
      </c>
      <c r="B96">
        <f>IF(rbs!B99=0,"",rbs!B99)</f>
        <v/>
      </c>
      <c r="C96">
        <f>IF(cds!B99=0,"",cds!B99)</f>
        <v/>
      </c>
      <c r="D96">
        <f>IF(terminator!B99=0,"",terminator!B99)</f>
        <v/>
      </c>
      <c r="E96">
        <f>IF(other!B99=0,"",other!B99)</f>
        <v/>
      </c>
      <c r="F96">
        <f>IF(protein!B99=0,"",protein!B99)</f>
        <v/>
      </c>
      <c r="G96">
        <f>IF(complex!B99=0,"",complex!B99)</f>
        <v/>
      </c>
      <c r="H96">
        <f>IF(chassis!B99=0,"",chassis!B99)</f>
        <v/>
      </c>
      <c r="I96">
        <f>IF(chemicals!B99=0,"",chemicals!B99)</f>
        <v/>
      </c>
      <c r="J96">
        <f>IF(media!B99=0,"",media!B99)</f>
        <v/>
      </c>
      <c r="V96">
        <f>IF(promoter!L99="","",promoter!L99)</f>
        <v/>
      </c>
      <c r="W96">
        <f>IF(rbs!J99="","",rbs!J99)</f>
        <v/>
      </c>
      <c r="X96">
        <f>IF(cds!K99="","",cds!K99)</f>
        <v/>
      </c>
      <c r="Y96">
        <f>IF(terminator!J99="","",terminator!J99)</f>
        <v/>
      </c>
      <c r="Z96">
        <f>IF(other!K99="","",other!K99)</f>
        <v/>
      </c>
    </row>
    <row r="97">
      <c r="A97">
        <f>IF(promoter!B100=0,"",promoter!B100)</f>
        <v/>
      </c>
      <c r="B97">
        <f>IF(rbs!B100=0,"",rbs!B100)</f>
        <v/>
      </c>
      <c r="C97">
        <f>IF(cds!B100=0,"",cds!B100)</f>
        <v/>
      </c>
      <c r="D97">
        <f>IF(terminator!B100=0,"",terminator!B100)</f>
        <v/>
      </c>
      <c r="E97">
        <f>IF(other!B100=0,"",other!B100)</f>
        <v/>
      </c>
      <c r="F97">
        <f>IF(protein!B100=0,"",protein!B100)</f>
        <v/>
      </c>
      <c r="G97">
        <f>IF(complex!B100=0,"",complex!B100)</f>
        <v/>
      </c>
      <c r="H97">
        <f>IF(chassis!B100=0,"",chassis!B100)</f>
        <v/>
      </c>
      <c r="I97">
        <f>IF(chemicals!B100=0,"",chemicals!B100)</f>
        <v/>
      </c>
      <c r="J97">
        <f>IF(media!B100=0,"",media!B100)</f>
        <v/>
      </c>
      <c r="V97">
        <f>IF(promoter!L100="","",promoter!L100)</f>
        <v/>
      </c>
      <c r="W97">
        <f>IF(rbs!J100="","",rbs!J100)</f>
        <v/>
      </c>
      <c r="X97">
        <f>IF(cds!K100="","",cds!K100)</f>
        <v/>
      </c>
      <c r="Y97">
        <f>IF(terminator!J100="","",terminator!J100)</f>
        <v/>
      </c>
      <c r="Z97">
        <f>IF(other!K100="","",other!K100)</f>
        <v/>
      </c>
    </row>
    <row r="98">
      <c r="A98">
        <f>IF(promoter!B101=0,"",promoter!B101)</f>
        <v/>
      </c>
      <c r="B98">
        <f>IF(rbs!B101=0,"",rbs!B101)</f>
        <v/>
      </c>
      <c r="C98">
        <f>IF(cds!B101=0,"",cds!B101)</f>
        <v/>
      </c>
      <c r="D98">
        <f>IF(terminator!B101=0,"",terminator!B101)</f>
        <v/>
      </c>
      <c r="E98">
        <f>IF(other!B101=0,"",other!B101)</f>
        <v/>
      </c>
      <c r="F98">
        <f>IF(protein!B101=0,"",protein!B101)</f>
        <v/>
      </c>
      <c r="G98">
        <f>IF(complex!B101=0,"",complex!B101)</f>
        <v/>
      </c>
      <c r="H98">
        <f>IF(chassis!B101=0,"",chassis!B101)</f>
        <v/>
      </c>
      <c r="I98">
        <f>IF(chemicals!B101=0,"",chemicals!B101)</f>
        <v/>
      </c>
      <c r="J98">
        <f>IF(media!B101=0,"",media!B101)</f>
        <v/>
      </c>
      <c r="V98">
        <f>IF(promoter!L101="","",promoter!L101)</f>
        <v/>
      </c>
      <c r="W98">
        <f>IF(rbs!J101="","",rbs!J101)</f>
        <v/>
      </c>
      <c r="X98">
        <f>IF(cds!K101="","",cds!K101)</f>
        <v/>
      </c>
      <c r="Y98">
        <f>IF(terminator!J101="","",terminator!J101)</f>
        <v/>
      </c>
      <c r="Z98">
        <f>IF(other!K101="","",other!K101)</f>
        <v/>
      </c>
    </row>
    <row r="99">
      <c r="A99">
        <f>IF(promoter!B102=0,"",promoter!B102)</f>
        <v/>
      </c>
      <c r="B99">
        <f>IF(rbs!B102=0,"",rbs!B102)</f>
        <v/>
      </c>
      <c r="C99">
        <f>IF(cds!B102=0,"",cds!B102)</f>
        <v/>
      </c>
      <c r="D99">
        <f>IF(terminator!B102=0,"",terminator!B102)</f>
        <v/>
      </c>
      <c r="E99">
        <f>IF(other!B102=0,"",other!B102)</f>
        <v/>
      </c>
      <c r="F99">
        <f>IF(protein!B102=0,"",protein!B102)</f>
        <v/>
      </c>
      <c r="G99">
        <f>IF(complex!B102=0,"",complex!B102)</f>
        <v/>
      </c>
      <c r="H99">
        <f>IF(chassis!B102=0,"",chassis!B102)</f>
        <v/>
      </c>
      <c r="I99">
        <f>IF(chemicals!B102=0,"",chemicals!B102)</f>
        <v/>
      </c>
      <c r="J99">
        <f>IF(media!B102=0,"",media!B102)</f>
        <v/>
      </c>
      <c r="V99">
        <f>IF(promoter!L102="","",promoter!L102)</f>
        <v/>
      </c>
      <c r="W99">
        <f>IF(rbs!J102="","",rbs!J102)</f>
        <v/>
      </c>
      <c r="X99">
        <f>IF(cds!K102="","",cds!K102)</f>
        <v/>
      </c>
      <c r="Y99">
        <f>IF(terminator!J102="","",terminator!J102)</f>
        <v/>
      </c>
      <c r="Z99">
        <f>IF(other!K102="","",other!K102)</f>
        <v/>
      </c>
    </row>
    <row r="100">
      <c r="A100">
        <f>IF(promoter!B103=0,"",promoter!B103)</f>
        <v/>
      </c>
      <c r="B100">
        <f>IF(rbs!B103=0,"",rbs!B103)</f>
        <v/>
      </c>
      <c r="C100">
        <f>IF(cds!B103=0,"",cds!B103)</f>
        <v/>
      </c>
      <c r="D100">
        <f>IF(terminator!B103=0,"",terminator!B103)</f>
        <v/>
      </c>
      <c r="E100">
        <f>IF(other!B103=0,"",other!B103)</f>
        <v/>
      </c>
      <c r="F100">
        <f>IF(protein!B103=0,"",protein!B103)</f>
        <v/>
      </c>
      <c r="G100">
        <f>IF(complex!B103=0,"",complex!B103)</f>
        <v/>
      </c>
      <c r="H100">
        <f>IF(chassis!B103=0,"",chassis!B103)</f>
        <v/>
      </c>
      <c r="I100">
        <f>IF(chemicals!B103=0,"",chemicals!B103)</f>
        <v/>
      </c>
      <c r="J100">
        <f>IF(media!B103=0,"",media!B103)</f>
        <v/>
      </c>
      <c r="V100">
        <f>IF(promoter!L103="","",promoter!L103)</f>
        <v/>
      </c>
      <c r="W100">
        <f>IF(rbs!J103="","",rbs!J103)</f>
        <v/>
      </c>
      <c r="X100">
        <f>IF(cds!K103="","",cds!K103)</f>
        <v/>
      </c>
      <c r="Y100">
        <f>IF(terminator!J103="","",terminator!J103)</f>
        <v/>
      </c>
      <c r="Z100">
        <f>IF(other!K103="","",other!K103)</f>
        <v/>
      </c>
    </row>
    <row r="101">
      <c r="A101">
        <f>IF(promoter!B104=0,"",promoter!B104)</f>
        <v/>
      </c>
      <c r="B101">
        <f>IF(rbs!B104=0,"",rbs!B104)</f>
        <v/>
      </c>
      <c r="C101">
        <f>IF(cds!B104=0,"",cds!B104)</f>
        <v/>
      </c>
      <c r="D101">
        <f>IF(terminator!B104=0,"",terminator!B104)</f>
        <v/>
      </c>
      <c r="E101">
        <f>IF(other!B104=0,"",other!B104)</f>
        <v/>
      </c>
      <c r="F101">
        <f>IF(protein!B104=0,"",protein!B104)</f>
        <v/>
      </c>
      <c r="G101">
        <f>IF(complex!B104=0,"",complex!B104)</f>
        <v/>
      </c>
      <c r="H101">
        <f>IF(chassis!B104=0,"",chassis!B104)</f>
        <v/>
      </c>
      <c r="I101">
        <f>IF(chemicals!B104=0,"",chemicals!B104)</f>
        <v/>
      </c>
      <c r="J101">
        <f>IF(media!B104=0,"",media!B104)</f>
        <v/>
      </c>
      <c r="V101">
        <f>IF(promoter!L104="","",promoter!L104)</f>
        <v/>
      </c>
      <c r="W101">
        <f>IF(rbs!J104="","",rbs!J104)</f>
        <v/>
      </c>
      <c r="X101">
        <f>IF(cds!K104="","",cds!K104)</f>
        <v/>
      </c>
      <c r="Y101">
        <f>IF(terminator!J104="","",terminator!J104)</f>
        <v/>
      </c>
      <c r="Z101">
        <f>IF(other!K104="","",other!K104)</f>
        <v/>
      </c>
    </row>
    <row r="102">
      <c r="A102">
        <f>IF(promoter!B105=0,"",promoter!B105)</f>
        <v/>
      </c>
      <c r="B102">
        <f>IF(rbs!B105=0,"",rbs!B105)</f>
        <v/>
      </c>
      <c r="C102">
        <f>IF(cds!B105=0,"",cds!B105)</f>
        <v/>
      </c>
      <c r="D102">
        <f>IF(terminator!B105=0,"",terminator!B105)</f>
        <v/>
      </c>
      <c r="E102">
        <f>IF(other!B105=0,"",other!B105)</f>
        <v/>
      </c>
      <c r="F102">
        <f>IF(protein!B105=0,"",protein!B105)</f>
        <v/>
      </c>
      <c r="G102">
        <f>IF(complex!B105=0,"",complex!B105)</f>
        <v/>
      </c>
      <c r="H102">
        <f>IF(chassis!B105=0,"",chassis!B105)</f>
        <v/>
      </c>
      <c r="I102">
        <f>IF(chemicals!B105=0,"",chemicals!B105)</f>
        <v/>
      </c>
      <c r="J102">
        <f>IF(media!B105=0,"",media!B105)</f>
        <v/>
      </c>
      <c r="V102">
        <f>IF(promoter!L105="","",promoter!L105)</f>
        <v/>
      </c>
      <c r="W102">
        <f>IF(rbs!J105="","",rbs!J105)</f>
        <v/>
      </c>
      <c r="X102">
        <f>IF(cds!K105="","",cds!K105)</f>
        <v/>
      </c>
      <c r="Y102">
        <f>IF(terminator!J105="","",terminator!J105)</f>
        <v/>
      </c>
      <c r="Z102">
        <f>IF(other!K105="","",other!K105)</f>
        <v/>
      </c>
    </row>
    <row r="103">
      <c r="A103">
        <f>IF(promoter!B106=0,"",promoter!B106)</f>
        <v/>
      </c>
      <c r="B103">
        <f>IF(rbs!B106=0,"",rbs!B106)</f>
        <v/>
      </c>
      <c r="C103">
        <f>IF(cds!B106=0,"",cds!B106)</f>
        <v/>
      </c>
      <c r="D103">
        <f>IF(terminator!B106=0,"",terminator!B106)</f>
        <v/>
      </c>
      <c r="E103">
        <f>IF(other!B106=0,"",other!B106)</f>
        <v/>
      </c>
      <c r="F103">
        <f>IF(protein!B106=0,"",protein!B106)</f>
        <v/>
      </c>
      <c r="G103">
        <f>IF(complex!B106=0,"",complex!B106)</f>
        <v/>
      </c>
      <c r="H103">
        <f>IF(chassis!B106=0,"",chassis!B106)</f>
        <v/>
      </c>
      <c r="I103">
        <f>IF(chemicals!B106=0,"",chemicals!B106)</f>
        <v/>
      </c>
      <c r="J103">
        <f>IF(media!B106=0,"",media!B106)</f>
        <v/>
      </c>
      <c r="V103">
        <f>IF(promoter!L106="","",promoter!L106)</f>
        <v/>
      </c>
      <c r="W103">
        <f>IF(rbs!J106="","",rbs!J106)</f>
        <v/>
      </c>
      <c r="X103">
        <f>IF(cds!K106="","",cds!K106)</f>
        <v/>
      </c>
      <c r="Y103">
        <f>IF(terminator!J106="","",terminator!J106)</f>
        <v/>
      </c>
      <c r="Z103">
        <f>IF(other!K106="","",other!K106)</f>
        <v/>
      </c>
    </row>
    <row r="104">
      <c r="A104">
        <f>IF(promoter!B107=0,"",promoter!B107)</f>
        <v/>
      </c>
      <c r="B104">
        <f>IF(rbs!B107=0,"",rbs!B107)</f>
        <v/>
      </c>
      <c r="C104">
        <f>IF(cds!B107=0,"",cds!B107)</f>
        <v/>
      </c>
      <c r="D104">
        <f>IF(terminator!B107=0,"",terminator!B107)</f>
        <v/>
      </c>
      <c r="E104">
        <f>IF(other!B107=0,"",other!B107)</f>
        <v/>
      </c>
      <c r="F104">
        <f>IF(protein!B107=0,"",protein!B107)</f>
        <v/>
      </c>
      <c r="G104">
        <f>IF(complex!B107=0,"",complex!B107)</f>
        <v/>
      </c>
      <c r="H104">
        <f>IF(chassis!B107=0,"",chassis!B107)</f>
        <v/>
      </c>
      <c r="I104">
        <f>IF(chemicals!B107=0,"",chemicals!B107)</f>
        <v/>
      </c>
      <c r="J104">
        <f>IF(media!B107=0,"",media!B107)</f>
        <v/>
      </c>
      <c r="V104">
        <f>IF(promoter!L107="","",promoter!L107)</f>
        <v/>
      </c>
      <c r="W104">
        <f>IF(rbs!J107="","",rbs!J107)</f>
        <v/>
      </c>
      <c r="X104">
        <f>IF(cds!K107="","",cds!K107)</f>
        <v/>
      </c>
      <c r="Y104">
        <f>IF(terminator!J107="","",terminator!J107)</f>
        <v/>
      </c>
      <c r="Z104">
        <f>IF(other!K107="","",other!K107)</f>
        <v/>
      </c>
    </row>
    <row r="105">
      <c r="A105">
        <f>IF(promoter!B108=0,"",promoter!B108)</f>
        <v/>
      </c>
      <c r="B105">
        <f>IF(rbs!B108=0,"",rbs!B108)</f>
        <v/>
      </c>
      <c r="C105">
        <f>IF(cds!B108=0,"",cds!B108)</f>
        <v/>
      </c>
      <c r="D105">
        <f>IF(terminator!B108=0,"",terminator!B108)</f>
        <v/>
      </c>
      <c r="E105">
        <f>IF(other!B108=0,"",other!B108)</f>
        <v/>
      </c>
      <c r="F105">
        <f>IF(protein!B108=0,"",protein!B108)</f>
        <v/>
      </c>
      <c r="G105">
        <f>IF(complex!B108=0,"",complex!B108)</f>
        <v/>
      </c>
      <c r="H105">
        <f>IF(chassis!B108=0,"",chassis!B108)</f>
        <v/>
      </c>
      <c r="I105">
        <f>IF(chemicals!B108=0,"",chemicals!B108)</f>
        <v/>
      </c>
      <c r="J105">
        <f>IF(media!B108=0,"",media!B108)</f>
        <v/>
      </c>
      <c r="V105">
        <f>IF(promoter!L108="","",promoter!L108)</f>
        <v/>
      </c>
      <c r="W105">
        <f>IF(rbs!J108="","",rbs!J108)</f>
        <v/>
      </c>
      <c r="X105">
        <f>IF(cds!K108="","",cds!K108)</f>
        <v/>
      </c>
      <c r="Y105">
        <f>IF(terminator!J108="","",terminator!J108)</f>
        <v/>
      </c>
      <c r="Z105">
        <f>IF(other!K108="","",other!K108)</f>
        <v/>
      </c>
    </row>
    <row r="106">
      <c r="A106">
        <f>IF(promoter!B109=0,"",promoter!B109)</f>
        <v/>
      </c>
      <c r="B106">
        <f>IF(rbs!B109=0,"",rbs!B109)</f>
        <v/>
      </c>
      <c r="C106">
        <f>IF(cds!B109=0,"",cds!B109)</f>
        <v/>
      </c>
      <c r="D106">
        <f>IF(terminator!B109=0,"",terminator!B109)</f>
        <v/>
      </c>
      <c r="E106">
        <f>IF(other!B109=0,"",other!B109)</f>
        <v/>
      </c>
      <c r="F106">
        <f>IF(protein!B109=0,"",protein!B109)</f>
        <v/>
      </c>
      <c r="G106">
        <f>IF(complex!B109=0,"",complex!B109)</f>
        <v/>
      </c>
      <c r="H106">
        <f>IF(chassis!B109=0,"",chassis!B109)</f>
        <v/>
      </c>
      <c r="I106">
        <f>IF(chemicals!B109=0,"",chemicals!B109)</f>
        <v/>
      </c>
      <c r="J106">
        <f>IF(media!B109=0,"",media!B109)</f>
        <v/>
      </c>
      <c r="V106">
        <f>IF(promoter!L109="","",promoter!L109)</f>
        <v/>
      </c>
      <c r="W106">
        <f>IF(rbs!J109="","",rbs!J109)</f>
        <v/>
      </c>
      <c r="X106">
        <f>IF(cds!K109="","",cds!K109)</f>
        <v/>
      </c>
      <c r="Y106">
        <f>IF(terminator!J109="","",terminator!J109)</f>
        <v/>
      </c>
      <c r="Z106">
        <f>IF(other!K109="","",other!K109)</f>
        <v/>
      </c>
    </row>
    <row r="107">
      <c r="A107">
        <f>IF(promoter!B110=0,"",promoter!B110)</f>
        <v/>
      </c>
      <c r="B107">
        <f>IF(rbs!B110=0,"",rbs!B110)</f>
        <v/>
      </c>
      <c r="C107">
        <f>IF(cds!B110=0,"",cds!B110)</f>
        <v/>
      </c>
      <c r="D107">
        <f>IF(terminator!B110=0,"",terminator!B110)</f>
        <v/>
      </c>
      <c r="E107">
        <f>IF(other!B110=0,"",other!B110)</f>
        <v/>
      </c>
      <c r="F107">
        <f>IF(protein!B110=0,"",protein!B110)</f>
        <v/>
      </c>
      <c r="G107">
        <f>IF(complex!B110=0,"",complex!B110)</f>
        <v/>
      </c>
      <c r="H107">
        <f>IF(chassis!B110=0,"",chassis!B110)</f>
        <v/>
      </c>
      <c r="I107">
        <f>IF(chemicals!B110=0,"",chemicals!B110)</f>
        <v/>
      </c>
      <c r="J107">
        <f>IF(media!B110=0,"",media!B110)</f>
        <v/>
      </c>
      <c r="V107">
        <f>IF(promoter!L110="","",promoter!L110)</f>
        <v/>
      </c>
      <c r="W107">
        <f>IF(rbs!J110="","",rbs!J110)</f>
        <v/>
      </c>
      <c r="X107">
        <f>IF(cds!K110="","",cds!K110)</f>
        <v/>
      </c>
      <c r="Y107">
        <f>IF(terminator!J110="","",terminator!J110)</f>
        <v/>
      </c>
      <c r="Z107">
        <f>IF(other!K110="","",other!K110)</f>
        <v/>
      </c>
    </row>
    <row r="108">
      <c r="A108">
        <f>IF(promoter!B111=0,"",promoter!B111)</f>
        <v/>
      </c>
      <c r="B108">
        <f>IF(rbs!B111=0,"",rbs!B111)</f>
        <v/>
      </c>
      <c r="C108">
        <f>IF(cds!B111=0,"",cds!B111)</f>
        <v/>
      </c>
      <c r="D108">
        <f>IF(terminator!B111=0,"",terminator!B111)</f>
        <v/>
      </c>
      <c r="E108">
        <f>IF(other!B111=0,"",other!B111)</f>
        <v/>
      </c>
      <c r="F108">
        <f>IF(protein!B111=0,"",protein!B111)</f>
        <v/>
      </c>
      <c r="G108">
        <f>IF(complex!B111=0,"",complex!B111)</f>
        <v/>
      </c>
      <c r="H108">
        <f>IF(chassis!B111=0,"",chassis!B111)</f>
        <v/>
      </c>
      <c r="I108">
        <f>IF(chemicals!B111=0,"",chemicals!B111)</f>
        <v/>
      </c>
      <c r="J108">
        <f>IF(media!B111=0,"",media!B111)</f>
        <v/>
      </c>
      <c r="V108">
        <f>IF(promoter!L111="","",promoter!L111)</f>
        <v/>
      </c>
      <c r="W108">
        <f>IF(rbs!J111="","",rbs!J111)</f>
        <v/>
      </c>
      <c r="X108">
        <f>IF(cds!K111="","",cds!K111)</f>
        <v/>
      </c>
      <c r="Y108">
        <f>IF(terminator!J111="","",terminator!J111)</f>
        <v/>
      </c>
      <c r="Z108">
        <f>IF(other!K111="","",other!K111)</f>
        <v/>
      </c>
    </row>
    <row r="109">
      <c r="A109">
        <f>IF(promoter!B112=0,"",promoter!B112)</f>
        <v/>
      </c>
      <c r="B109">
        <f>IF(rbs!B112=0,"",rbs!B112)</f>
        <v/>
      </c>
      <c r="C109">
        <f>IF(cds!B112=0,"",cds!B112)</f>
        <v/>
      </c>
      <c r="D109">
        <f>IF(terminator!B112=0,"",terminator!B112)</f>
        <v/>
      </c>
      <c r="E109">
        <f>IF(other!B112=0,"",other!B112)</f>
        <v/>
      </c>
      <c r="F109">
        <f>IF(protein!B112=0,"",protein!B112)</f>
        <v/>
      </c>
      <c r="G109">
        <f>IF(complex!B112=0,"",complex!B112)</f>
        <v/>
      </c>
      <c r="H109">
        <f>IF(chassis!B112=0,"",chassis!B112)</f>
        <v/>
      </c>
      <c r="I109">
        <f>IF(chemicals!B112=0,"",chemicals!B112)</f>
        <v/>
      </c>
      <c r="J109">
        <f>IF(media!B112=0,"",media!B112)</f>
        <v/>
      </c>
      <c r="V109">
        <f>IF(promoter!L112="","",promoter!L112)</f>
        <v/>
      </c>
      <c r="W109">
        <f>IF(rbs!J112="","",rbs!J112)</f>
        <v/>
      </c>
      <c r="X109">
        <f>IF(cds!K112="","",cds!K112)</f>
        <v/>
      </c>
      <c r="Y109">
        <f>IF(terminator!J112="","",terminator!J112)</f>
        <v/>
      </c>
      <c r="Z109">
        <f>IF(other!K112="","",other!K112)</f>
        <v/>
      </c>
    </row>
    <row r="110">
      <c r="A110">
        <f>IF(promoter!B113=0,"",promoter!B113)</f>
        <v/>
      </c>
      <c r="B110">
        <f>IF(rbs!B113=0,"",rbs!B113)</f>
        <v/>
      </c>
      <c r="C110">
        <f>IF(cds!B113=0,"",cds!B113)</f>
        <v/>
      </c>
      <c r="D110">
        <f>IF(terminator!B113=0,"",terminator!B113)</f>
        <v/>
      </c>
      <c r="E110">
        <f>IF(other!B113=0,"",other!B113)</f>
        <v/>
      </c>
      <c r="F110">
        <f>IF(protein!B113=0,"",protein!B113)</f>
        <v/>
      </c>
      <c r="G110">
        <f>IF(complex!B113=0,"",complex!B113)</f>
        <v/>
      </c>
      <c r="H110">
        <f>IF(chassis!B113=0,"",chassis!B113)</f>
        <v/>
      </c>
      <c r="I110">
        <f>IF(chemicals!B113=0,"",chemicals!B113)</f>
        <v/>
      </c>
      <c r="J110">
        <f>IF(media!B113=0,"",media!B113)</f>
        <v/>
      </c>
      <c r="V110">
        <f>IF(promoter!L113="","",promoter!L113)</f>
        <v/>
      </c>
      <c r="W110">
        <f>IF(rbs!J113="","",rbs!J113)</f>
        <v/>
      </c>
      <c r="X110">
        <f>IF(cds!K113="","",cds!K113)</f>
        <v/>
      </c>
      <c r="Y110">
        <f>IF(terminator!J113="","",terminator!J113)</f>
        <v/>
      </c>
      <c r="Z110">
        <f>IF(other!K113="","",other!K113)</f>
        <v/>
      </c>
    </row>
    <row r="111">
      <c r="A111">
        <f>IF(promoter!B114=0,"",promoter!B114)</f>
        <v/>
      </c>
      <c r="B111">
        <f>IF(rbs!B114=0,"",rbs!B114)</f>
        <v/>
      </c>
      <c r="C111">
        <f>IF(cds!B114=0,"",cds!B114)</f>
        <v/>
      </c>
      <c r="D111">
        <f>IF(terminator!B114=0,"",terminator!B114)</f>
        <v/>
      </c>
      <c r="E111">
        <f>IF(other!B114=0,"",other!B114)</f>
        <v/>
      </c>
      <c r="F111">
        <f>IF(protein!B114=0,"",protein!B114)</f>
        <v/>
      </c>
      <c r="G111">
        <f>IF(complex!B114=0,"",complex!B114)</f>
        <v/>
      </c>
      <c r="H111">
        <f>IF(chassis!B114=0,"",chassis!B114)</f>
        <v/>
      </c>
      <c r="I111">
        <f>IF(chemicals!B114=0,"",chemicals!B114)</f>
        <v/>
      </c>
      <c r="J111">
        <f>IF(media!B114=0,"",media!B114)</f>
        <v/>
      </c>
      <c r="V111">
        <f>IF(promoter!L114="","",promoter!L114)</f>
        <v/>
      </c>
      <c r="W111">
        <f>IF(rbs!J114="","",rbs!J114)</f>
        <v/>
      </c>
      <c r="X111">
        <f>IF(cds!K114="","",cds!K114)</f>
        <v/>
      </c>
      <c r="Y111">
        <f>IF(terminator!J114="","",terminator!J114)</f>
        <v/>
      </c>
      <c r="Z111">
        <f>IF(other!K114="","",other!K114)</f>
        <v/>
      </c>
    </row>
    <row r="112">
      <c r="A112">
        <f>IF(promoter!B115=0,"",promoter!B115)</f>
        <v/>
      </c>
      <c r="B112">
        <f>IF(rbs!B115=0,"",rbs!B115)</f>
        <v/>
      </c>
      <c r="C112">
        <f>IF(cds!B115=0,"",cds!B115)</f>
        <v/>
      </c>
      <c r="D112">
        <f>IF(terminator!B115=0,"",terminator!B115)</f>
        <v/>
      </c>
      <c r="E112">
        <f>IF(other!B115=0,"",other!B115)</f>
        <v/>
      </c>
      <c r="F112">
        <f>IF(protein!B115=0,"",protein!B115)</f>
        <v/>
      </c>
      <c r="G112">
        <f>IF(complex!B115=0,"",complex!B115)</f>
        <v/>
      </c>
      <c r="H112">
        <f>IF(chassis!B115=0,"",chassis!B115)</f>
        <v/>
      </c>
      <c r="I112">
        <f>IF(chemicals!B115=0,"",chemicals!B115)</f>
        <v/>
      </c>
      <c r="J112">
        <f>IF(media!B115=0,"",media!B115)</f>
        <v/>
      </c>
      <c r="V112">
        <f>IF(promoter!L115="","",promoter!L115)</f>
        <v/>
      </c>
      <c r="W112">
        <f>IF(rbs!J115="","",rbs!J115)</f>
        <v/>
      </c>
      <c r="X112">
        <f>IF(cds!K115="","",cds!K115)</f>
        <v/>
      </c>
      <c r="Y112">
        <f>IF(terminator!J115="","",terminator!J115)</f>
        <v/>
      </c>
      <c r="Z112">
        <f>IF(other!K115="","",other!K115)</f>
        <v/>
      </c>
    </row>
    <row r="113">
      <c r="A113">
        <f>IF(promoter!B116=0,"",promoter!B116)</f>
        <v/>
      </c>
      <c r="B113">
        <f>IF(rbs!B116=0,"",rbs!B116)</f>
        <v/>
      </c>
      <c r="C113">
        <f>IF(cds!B116=0,"",cds!B116)</f>
        <v/>
      </c>
      <c r="D113">
        <f>IF(terminator!B116=0,"",terminator!B116)</f>
        <v/>
      </c>
      <c r="E113">
        <f>IF(other!B116=0,"",other!B116)</f>
        <v/>
      </c>
      <c r="F113">
        <f>IF(protein!B116=0,"",protein!B116)</f>
        <v/>
      </c>
      <c r="G113">
        <f>IF(complex!B116=0,"",complex!B116)</f>
        <v/>
      </c>
      <c r="H113">
        <f>IF(chassis!B116=0,"",chassis!B116)</f>
        <v/>
      </c>
      <c r="I113">
        <f>IF(chemicals!B116=0,"",chemicals!B116)</f>
        <v/>
      </c>
      <c r="J113">
        <f>IF(media!B116=0,"",media!B116)</f>
        <v/>
      </c>
      <c r="V113">
        <f>IF(promoter!L116="","",promoter!L116)</f>
        <v/>
      </c>
      <c r="W113">
        <f>IF(rbs!J116="","",rbs!J116)</f>
        <v/>
      </c>
      <c r="X113">
        <f>IF(cds!K116="","",cds!K116)</f>
        <v/>
      </c>
      <c r="Y113">
        <f>IF(terminator!J116="","",terminator!J116)</f>
        <v/>
      </c>
      <c r="Z113">
        <f>IF(other!K116="","",other!K116)</f>
        <v/>
      </c>
    </row>
    <row r="114">
      <c r="A114">
        <f>IF(promoter!B117=0,"",promoter!B117)</f>
        <v/>
      </c>
      <c r="B114">
        <f>IF(rbs!B117=0,"",rbs!B117)</f>
        <v/>
      </c>
      <c r="C114">
        <f>IF(cds!B117=0,"",cds!B117)</f>
        <v/>
      </c>
      <c r="D114">
        <f>IF(terminator!B117=0,"",terminator!B117)</f>
        <v/>
      </c>
      <c r="E114">
        <f>IF(other!B117=0,"",other!B117)</f>
        <v/>
      </c>
      <c r="F114">
        <f>IF(protein!B117=0,"",protein!B117)</f>
        <v/>
      </c>
      <c r="G114">
        <f>IF(complex!B117=0,"",complex!B117)</f>
        <v/>
      </c>
      <c r="H114">
        <f>IF(chassis!B117=0,"",chassis!B117)</f>
        <v/>
      </c>
      <c r="I114">
        <f>IF(chemicals!B117=0,"",chemicals!B117)</f>
        <v/>
      </c>
      <c r="J114">
        <f>IF(media!B117=0,"",media!B117)</f>
        <v/>
      </c>
      <c r="V114">
        <f>IF(promoter!L117="","",promoter!L117)</f>
        <v/>
      </c>
      <c r="W114">
        <f>IF(rbs!J117="","",rbs!J117)</f>
        <v/>
      </c>
      <c r="X114">
        <f>IF(cds!K117="","",cds!K117)</f>
        <v/>
      </c>
      <c r="Y114">
        <f>IF(terminator!J117="","",terminator!J117)</f>
        <v/>
      </c>
      <c r="Z114">
        <f>IF(other!K117="","",other!K117)</f>
        <v/>
      </c>
    </row>
    <row r="115">
      <c r="A115">
        <f>IF(promoter!B118=0,"",promoter!B118)</f>
        <v/>
      </c>
      <c r="B115">
        <f>IF(rbs!B118=0,"",rbs!B118)</f>
        <v/>
      </c>
      <c r="C115">
        <f>IF(cds!B118=0,"",cds!B118)</f>
        <v/>
      </c>
      <c r="D115">
        <f>IF(terminator!B118=0,"",terminator!B118)</f>
        <v/>
      </c>
      <c r="E115">
        <f>IF(other!B118=0,"",other!B118)</f>
        <v/>
      </c>
      <c r="F115">
        <f>IF(protein!B118=0,"",protein!B118)</f>
        <v/>
      </c>
      <c r="G115">
        <f>IF(complex!B118=0,"",complex!B118)</f>
        <v/>
      </c>
      <c r="H115">
        <f>IF(chassis!B118=0,"",chassis!B118)</f>
        <v/>
      </c>
      <c r="I115">
        <f>IF(chemicals!B118=0,"",chemicals!B118)</f>
        <v/>
      </c>
      <c r="J115">
        <f>IF(media!B118=0,"",media!B118)</f>
        <v/>
      </c>
      <c r="V115">
        <f>IF(promoter!L118="","",promoter!L118)</f>
        <v/>
      </c>
      <c r="W115">
        <f>IF(rbs!J118="","",rbs!J118)</f>
        <v/>
      </c>
      <c r="X115">
        <f>IF(cds!K118="","",cds!K118)</f>
        <v/>
      </c>
      <c r="Y115">
        <f>IF(terminator!J118="","",terminator!J118)</f>
        <v/>
      </c>
      <c r="Z115">
        <f>IF(other!K118="","",other!K118)</f>
        <v/>
      </c>
    </row>
    <row r="116">
      <c r="A116">
        <f>IF(promoter!B119=0,"",promoter!B119)</f>
        <v/>
      </c>
      <c r="B116">
        <f>IF(rbs!B119=0,"",rbs!B119)</f>
        <v/>
      </c>
      <c r="C116">
        <f>IF(cds!B119=0,"",cds!B119)</f>
        <v/>
      </c>
      <c r="D116">
        <f>IF(terminator!B119=0,"",terminator!B119)</f>
        <v/>
      </c>
      <c r="E116">
        <f>IF(other!B119=0,"",other!B119)</f>
        <v/>
      </c>
      <c r="F116">
        <f>IF(protein!B119=0,"",protein!B119)</f>
        <v/>
      </c>
      <c r="G116">
        <f>IF(complex!B119=0,"",complex!B119)</f>
        <v/>
      </c>
      <c r="H116">
        <f>IF(chassis!B119=0,"",chassis!B119)</f>
        <v/>
      </c>
      <c r="I116">
        <f>IF(chemicals!B119=0,"",chemicals!B119)</f>
        <v/>
      </c>
      <c r="J116">
        <f>IF(media!B119=0,"",media!B119)</f>
        <v/>
      </c>
      <c r="V116">
        <f>IF(promoter!L119="","",promoter!L119)</f>
        <v/>
      </c>
      <c r="W116">
        <f>IF(rbs!J119="","",rbs!J119)</f>
        <v/>
      </c>
      <c r="X116">
        <f>IF(cds!K119="","",cds!K119)</f>
        <v/>
      </c>
      <c r="Y116">
        <f>IF(terminator!J119="","",terminator!J119)</f>
        <v/>
      </c>
      <c r="Z116">
        <f>IF(other!K119="","",other!K119)</f>
        <v/>
      </c>
    </row>
    <row r="117">
      <c r="A117">
        <f>IF(promoter!B120=0,"",promoter!B120)</f>
        <v/>
      </c>
      <c r="B117">
        <f>IF(rbs!B120=0,"",rbs!B120)</f>
        <v/>
      </c>
      <c r="C117">
        <f>IF(cds!B120=0,"",cds!B120)</f>
        <v/>
      </c>
      <c r="D117">
        <f>IF(terminator!B120=0,"",terminator!B120)</f>
        <v/>
      </c>
      <c r="E117">
        <f>IF(other!B120=0,"",other!B120)</f>
        <v/>
      </c>
      <c r="F117">
        <f>IF(protein!B120=0,"",protein!B120)</f>
        <v/>
      </c>
      <c r="G117">
        <f>IF(complex!B120=0,"",complex!B120)</f>
        <v/>
      </c>
      <c r="H117">
        <f>IF(chassis!B120=0,"",chassis!B120)</f>
        <v/>
      </c>
      <c r="I117">
        <f>IF(chemicals!B120=0,"",chemicals!B120)</f>
        <v/>
      </c>
      <c r="J117">
        <f>IF(media!B120=0,"",media!B120)</f>
        <v/>
      </c>
      <c r="V117">
        <f>IF(promoter!L120="","",promoter!L120)</f>
        <v/>
      </c>
      <c r="W117">
        <f>IF(rbs!J120="","",rbs!J120)</f>
        <v/>
      </c>
      <c r="X117">
        <f>IF(cds!K120="","",cds!K120)</f>
        <v/>
      </c>
      <c r="Y117">
        <f>IF(terminator!J120="","",terminator!J120)</f>
        <v/>
      </c>
      <c r="Z117">
        <f>IF(other!K120="","",other!K120)</f>
        <v/>
      </c>
    </row>
    <row r="118">
      <c r="A118">
        <f>IF(promoter!B121=0,"",promoter!B121)</f>
        <v/>
      </c>
      <c r="B118">
        <f>IF(rbs!B121=0,"",rbs!B121)</f>
        <v/>
      </c>
      <c r="C118">
        <f>IF(cds!B121=0,"",cds!B121)</f>
        <v/>
      </c>
      <c r="D118">
        <f>IF(terminator!B121=0,"",terminator!B121)</f>
        <v/>
      </c>
      <c r="E118">
        <f>IF(other!B121=0,"",other!B121)</f>
        <v/>
      </c>
      <c r="F118">
        <f>IF(protein!B121=0,"",protein!B121)</f>
        <v/>
      </c>
      <c r="G118">
        <f>IF(complex!B121=0,"",complex!B121)</f>
        <v/>
      </c>
      <c r="H118">
        <f>IF(chassis!B121=0,"",chassis!B121)</f>
        <v/>
      </c>
      <c r="I118">
        <f>IF(chemicals!B121=0,"",chemicals!B121)</f>
        <v/>
      </c>
      <c r="J118">
        <f>IF(media!B121=0,"",media!B121)</f>
        <v/>
      </c>
      <c r="V118">
        <f>IF(promoter!L121="","",promoter!L121)</f>
        <v/>
      </c>
      <c r="W118">
        <f>IF(rbs!J121="","",rbs!J121)</f>
        <v/>
      </c>
      <c r="X118">
        <f>IF(cds!K121="","",cds!K121)</f>
        <v/>
      </c>
      <c r="Y118">
        <f>IF(terminator!J121="","",terminator!J121)</f>
        <v/>
      </c>
      <c r="Z118">
        <f>IF(other!K121="","",other!K121)</f>
        <v/>
      </c>
    </row>
    <row r="119">
      <c r="A119">
        <f>IF(promoter!B122=0,"",promoter!B122)</f>
        <v/>
      </c>
      <c r="B119">
        <f>IF(rbs!B122=0,"",rbs!B122)</f>
        <v/>
      </c>
      <c r="C119">
        <f>IF(cds!B122=0,"",cds!B122)</f>
        <v/>
      </c>
      <c r="D119">
        <f>IF(terminator!B122=0,"",terminator!B122)</f>
        <v/>
      </c>
      <c r="E119">
        <f>IF(other!B122=0,"",other!B122)</f>
        <v/>
      </c>
      <c r="F119">
        <f>IF(protein!B122=0,"",protein!B122)</f>
        <v/>
      </c>
      <c r="G119">
        <f>IF(complex!B122=0,"",complex!B122)</f>
        <v/>
      </c>
      <c r="H119">
        <f>IF(chassis!B122=0,"",chassis!B122)</f>
        <v/>
      </c>
      <c r="I119">
        <f>IF(chemicals!B122=0,"",chemicals!B122)</f>
        <v/>
      </c>
      <c r="J119">
        <f>IF(media!B122=0,"",media!B122)</f>
        <v/>
      </c>
      <c r="V119">
        <f>IF(promoter!L122="","",promoter!L122)</f>
        <v/>
      </c>
      <c r="W119">
        <f>IF(rbs!J122="","",rbs!J122)</f>
        <v/>
      </c>
      <c r="X119">
        <f>IF(cds!K122="","",cds!K122)</f>
        <v/>
      </c>
      <c r="Y119">
        <f>IF(terminator!J122="","",terminator!J122)</f>
        <v/>
      </c>
      <c r="Z119">
        <f>IF(other!K122="","",other!K122)</f>
        <v/>
      </c>
    </row>
    <row r="120">
      <c r="A120">
        <f>IF(promoter!B123=0,"",promoter!B123)</f>
        <v/>
      </c>
      <c r="B120">
        <f>IF(rbs!B123=0,"",rbs!B123)</f>
        <v/>
      </c>
      <c r="C120">
        <f>IF(cds!B123=0,"",cds!B123)</f>
        <v/>
      </c>
      <c r="D120">
        <f>IF(terminator!B123=0,"",terminator!B123)</f>
        <v/>
      </c>
      <c r="E120">
        <f>IF(other!B123=0,"",other!B123)</f>
        <v/>
      </c>
      <c r="F120">
        <f>IF(protein!B123=0,"",protein!B123)</f>
        <v/>
      </c>
      <c r="G120">
        <f>IF(complex!B123=0,"",complex!B123)</f>
        <v/>
      </c>
      <c r="H120">
        <f>IF(chassis!B123=0,"",chassis!B123)</f>
        <v/>
      </c>
      <c r="I120">
        <f>IF(chemicals!B123=0,"",chemicals!B123)</f>
        <v/>
      </c>
      <c r="J120">
        <f>IF(media!B123=0,"",media!B123)</f>
        <v/>
      </c>
      <c r="V120">
        <f>IF(promoter!L123="","",promoter!L123)</f>
        <v/>
      </c>
      <c r="W120">
        <f>IF(rbs!J123="","",rbs!J123)</f>
        <v/>
      </c>
      <c r="X120">
        <f>IF(cds!K123="","",cds!K123)</f>
        <v/>
      </c>
      <c r="Y120">
        <f>IF(terminator!J123="","",terminator!J123)</f>
        <v/>
      </c>
      <c r="Z120">
        <f>IF(other!K123="","",other!K123)</f>
        <v/>
      </c>
    </row>
    <row r="121">
      <c r="A121">
        <f>IF(promoter!B124=0,"",promoter!B124)</f>
        <v/>
      </c>
      <c r="B121">
        <f>IF(rbs!B124=0,"",rbs!B124)</f>
        <v/>
      </c>
      <c r="C121">
        <f>IF(cds!B124=0,"",cds!B124)</f>
        <v/>
      </c>
      <c r="D121">
        <f>IF(terminator!B124=0,"",terminator!B124)</f>
        <v/>
      </c>
      <c r="E121">
        <f>IF(other!B124=0,"",other!B124)</f>
        <v/>
      </c>
      <c r="F121">
        <f>IF(protein!B124=0,"",protein!B124)</f>
        <v/>
      </c>
      <c r="G121">
        <f>IF(complex!B124=0,"",complex!B124)</f>
        <v/>
      </c>
      <c r="H121">
        <f>IF(chassis!B124=0,"",chassis!B124)</f>
        <v/>
      </c>
      <c r="I121">
        <f>IF(chemicals!B124=0,"",chemicals!B124)</f>
        <v/>
      </c>
      <c r="J121">
        <f>IF(media!B124=0,"",media!B124)</f>
        <v/>
      </c>
      <c r="V121">
        <f>IF(promoter!L124="","",promoter!L124)</f>
        <v/>
      </c>
      <c r="W121">
        <f>IF(rbs!J124="","",rbs!J124)</f>
        <v/>
      </c>
      <c r="X121">
        <f>IF(cds!K124="","",cds!K124)</f>
        <v/>
      </c>
      <c r="Y121">
        <f>IF(terminator!J124="","",terminator!J124)</f>
        <v/>
      </c>
      <c r="Z121">
        <f>IF(other!K124="","",other!K124)</f>
        <v/>
      </c>
    </row>
    <row r="122">
      <c r="A122">
        <f>IF(promoter!B125=0,"",promoter!B125)</f>
        <v/>
      </c>
      <c r="B122">
        <f>IF(rbs!B125=0,"",rbs!B125)</f>
        <v/>
      </c>
      <c r="C122">
        <f>IF(cds!B125=0,"",cds!B125)</f>
        <v/>
      </c>
      <c r="D122">
        <f>IF(terminator!B125=0,"",terminator!B125)</f>
        <v/>
      </c>
      <c r="E122">
        <f>IF(other!B125=0,"",other!B125)</f>
        <v/>
      </c>
      <c r="F122">
        <f>IF(protein!B125=0,"",protein!B125)</f>
        <v/>
      </c>
      <c r="G122">
        <f>IF(complex!B125=0,"",complex!B125)</f>
        <v/>
      </c>
      <c r="H122">
        <f>IF(chassis!B125=0,"",chassis!B125)</f>
        <v/>
      </c>
      <c r="I122">
        <f>IF(chemicals!B125=0,"",chemicals!B125)</f>
        <v/>
      </c>
      <c r="J122">
        <f>IF(media!B125=0,"",media!B125)</f>
        <v/>
      </c>
      <c r="V122">
        <f>IF(promoter!L125="","",promoter!L125)</f>
        <v/>
      </c>
      <c r="W122">
        <f>IF(rbs!J125="","",rbs!J125)</f>
        <v/>
      </c>
      <c r="X122">
        <f>IF(cds!K125="","",cds!K125)</f>
        <v/>
      </c>
      <c r="Y122">
        <f>IF(terminator!J125="","",terminator!J125)</f>
        <v/>
      </c>
      <c r="Z122">
        <f>IF(other!K125="","",other!K125)</f>
        <v/>
      </c>
    </row>
    <row r="123">
      <c r="A123">
        <f>IF(promoter!B126=0,"",promoter!B126)</f>
        <v/>
      </c>
      <c r="B123">
        <f>IF(rbs!B126=0,"",rbs!B126)</f>
        <v/>
      </c>
      <c r="C123">
        <f>IF(cds!B126=0,"",cds!B126)</f>
        <v/>
      </c>
      <c r="D123">
        <f>IF(terminator!B126=0,"",terminator!B126)</f>
        <v/>
      </c>
      <c r="E123">
        <f>IF(other!B126=0,"",other!B126)</f>
        <v/>
      </c>
      <c r="F123">
        <f>IF(protein!B126=0,"",protein!B126)</f>
        <v/>
      </c>
      <c r="G123">
        <f>IF(complex!B126=0,"",complex!B126)</f>
        <v/>
      </c>
      <c r="H123">
        <f>IF(chassis!B126=0,"",chassis!B126)</f>
        <v/>
      </c>
      <c r="I123">
        <f>IF(chemicals!B126=0,"",chemicals!B126)</f>
        <v/>
      </c>
      <c r="J123">
        <f>IF(media!B126=0,"",media!B126)</f>
        <v/>
      </c>
      <c r="V123">
        <f>IF(promoter!L126="","",promoter!L126)</f>
        <v/>
      </c>
      <c r="W123">
        <f>IF(rbs!J126="","",rbs!J126)</f>
        <v/>
      </c>
      <c r="X123">
        <f>IF(cds!K126="","",cds!K126)</f>
        <v/>
      </c>
      <c r="Y123">
        <f>IF(terminator!J126="","",terminator!J126)</f>
        <v/>
      </c>
      <c r="Z123">
        <f>IF(other!K126="","",other!K126)</f>
        <v/>
      </c>
    </row>
    <row r="124">
      <c r="A124">
        <f>IF(promoter!B127=0,"",promoter!B127)</f>
        <v/>
      </c>
      <c r="B124">
        <f>IF(rbs!B127=0,"",rbs!B127)</f>
        <v/>
      </c>
      <c r="C124">
        <f>IF(cds!B127=0,"",cds!B127)</f>
        <v/>
      </c>
      <c r="D124">
        <f>IF(terminator!B127=0,"",terminator!B127)</f>
        <v/>
      </c>
      <c r="E124">
        <f>IF(other!B127=0,"",other!B127)</f>
        <v/>
      </c>
      <c r="F124">
        <f>IF(protein!B127=0,"",protein!B127)</f>
        <v/>
      </c>
      <c r="G124">
        <f>IF(complex!B127=0,"",complex!B127)</f>
        <v/>
      </c>
      <c r="H124">
        <f>IF(chassis!B127=0,"",chassis!B127)</f>
        <v/>
      </c>
      <c r="I124">
        <f>IF(chemicals!B127=0,"",chemicals!B127)</f>
        <v/>
      </c>
      <c r="J124">
        <f>IF(media!B127=0,"",media!B127)</f>
        <v/>
      </c>
      <c r="V124">
        <f>IF(promoter!L127="","",promoter!L127)</f>
        <v/>
      </c>
      <c r="W124">
        <f>IF(rbs!J127="","",rbs!J127)</f>
        <v/>
      </c>
      <c r="X124">
        <f>IF(cds!K127="","",cds!K127)</f>
        <v/>
      </c>
      <c r="Y124">
        <f>IF(terminator!J127="","",terminator!J127)</f>
        <v/>
      </c>
      <c r="Z124">
        <f>IF(other!K127="","",other!K127)</f>
        <v/>
      </c>
    </row>
    <row r="125">
      <c r="A125">
        <f>IF(promoter!B128=0,"",promoter!B128)</f>
        <v/>
      </c>
      <c r="B125">
        <f>IF(rbs!B128=0,"",rbs!B128)</f>
        <v/>
      </c>
      <c r="C125">
        <f>IF(cds!B128=0,"",cds!B128)</f>
        <v/>
      </c>
      <c r="D125">
        <f>IF(terminator!B128=0,"",terminator!B128)</f>
        <v/>
      </c>
      <c r="E125">
        <f>IF(other!B128=0,"",other!B128)</f>
        <v/>
      </c>
      <c r="F125">
        <f>IF(protein!B128=0,"",protein!B128)</f>
        <v/>
      </c>
      <c r="G125">
        <f>IF(complex!B128=0,"",complex!B128)</f>
        <v/>
      </c>
      <c r="H125">
        <f>IF(chassis!B128=0,"",chassis!B128)</f>
        <v/>
      </c>
      <c r="I125">
        <f>IF(chemicals!B128=0,"",chemicals!B128)</f>
        <v/>
      </c>
      <c r="J125">
        <f>IF(media!B128=0,"",media!B128)</f>
        <v/>
      </c>
      <c r="V125">
        <f>IF(promoter!L128="","",promoter!L128)</f>
        <v/>
      </c>
      <c r="W125">
        <f>IF(rbs!J128="","",rbs!J128)</f>
        <v/>
      </c>
      <c r="X125">
        <f>IF(cds!K128="","",cds!K128)</f>
        <v/>
      </c>
      <c r="Y125">
        <f>IF(terminator!J128="","",terminator!J128)</f>
        <v/>
      </c>
      <c r="Z125">
        <f>IF(other!K128="","",other!K128)</f>
        <v/>
      </c>
    </row>
    <row r="126">
      <c r="A126">
        <f>IF(promoter!B129=0,"",promoter!B129)</f>
        <v/>
      </c>
      <c r="B126">
        <f>IF(rbs!B129=0,"",rbs!B129)</f>
        <v/>
      </c>
      <c r="C126">
        <f>IF(cds!B129=0,"",cds!B129)</f>
        <v/>
      </c>
      <c r="D126">
        <f>IF(terminator!B129=0,"",terminator!B129)</f>
        <v/>
      </c>
      <c r="E126">
        <f>IF(other!B129=0,"",other!B129)</f>
        <v/>
      </c>
      <c r="F126">
        <f>IF(protein!B129=0,"",protein!B129)</f>
        <v/>
      </c>
      <c r="G126">
        <f>IF(complex!B129=0,"",complex!B129)</f>
        <v/>
      </c>
      <c r="H126">
        <f>IF(chassis!B129=0,"",chassis!B129)</f>
        <v/>
      </c>
      <c r="I126">
        <f>IF(chemicals!B129=0,"",chemicals!B129)</f>
        <v/>
      </c>
      <c r="J126">
        <f>IF(media!B129=0,"",media!B129)</f>
        <v/>
      </c>
      <c r="V126">
        <f>IF(promoter!L129="","",promoter!L129)</f>
        <v/>
      </c>
      <c r="W126">
        <f>IF(rbs!J129="","",rbs!J129)</f>
        <v/>
      </c>
      <c r="X126">
        <f>IF(cds!K129="","",cds!K129)</f>
        <v/>
      </c>
      <c r="Y126">
        <f>IF(terminator!J129="","",terminator!J129)</f>
        <v/>
      </c>
      <c r="Z126">
        <f>IF(other!K129="","",other!K129)</f>
        <v/>
      </c>
    </row>
    <row r="127">
      <c r="A127">
        <f>IF(promoter!B130=0,"",promoter!B130)</f>
        <v/>
      </c>
      <c r="B127">
        <f>IF(rbs!B130=0,"",rbs!B130)</f>
        <v/>
      </c>
      <c r="C127">
        <f>IF(cds!B130=0,"",cds!B130)</f>
        <v/>
      </c>
      <c r="D127">
        <f>IF(terminator!B130=0,"",terminator!B130)</f>
        <v/>
      </c>
      <c r="E127">
        <f>IF(other!B130=0,"",other!B130)</f>
        <v/>
      </c>
      <c r="F127">
        <f>IF(protein!B130=0,"",protein!B130)</f>
        <v/>
      </c>
      <c r="G127">
        <f>IF(complex!B130=0,"",complex!B130)</f>
        <v/>
      </c>
      <c r="H127">
        <f>IF(chassis!B130=0,"",chassis!B130)</f>
        <v/>
      </c>
      <c r="I127">
        <f>IF(chemicals!B130=0,"",chemicals!B130)</f>
        <v/>
      </c>
      <c r="J127">
        <f>IF(media!B130=0,"",media!B130)</f>
        <v/>
      </c>
      <c r="V127">
        <f>IF(promoter!L130="","",promoter!L130)</f>
        <v/>
      </c>
      <c r="W127">
        <f>IF(rbs!J130="","",rbs!J130)</f>
        <v/>
      </c>
      <c r="X127">
        <f>IF(cds!K130="","",cds!K130)</f>
        <v/>
      </c>
      <c r="Y127">
        <f>IF(terminator!J130="","",terminator!J130)</f>
        <v/>
      </c>
      <c r="Z127">
        <f>IF(other!K130="","",other!K130)</f>
        <v/>
      </c>
    </row>
    <row r="128">
      <c r="A128">
        <f>IF(promoter!B131=0,"",promoter!B131)</f>
        <v/>
      </c>
      <c r="B128">
        <f>IF(rbs!B131=0,"",rbs!B131)</f>
        <v/>
      </c>
      <c r="C128">
        <f>IF(cds!B131=0,"",cds!B131)</f>
        <v/>
      </c>
      <c r="D128">
        <f>IF(terminator!B131=0,"",terminator!B131)</f>
        <v/>
      </c>
      <c r="E128">
        <f>IF(other!B131=0,"",other!B131)</f>
        <v/>
      </c>
      <c r="F128">
        <f>IF(protein!B131=0,"",protein!B131)</f>
        <v/>
      </c>
      <c r="G128">
        <f>IF(complex!B131=0,"",complex!B131)</f>
        <v/>
      </c>
      <c r="H128">
        <f>IF(chassis!B131=0,"",chassis!B131)</f>
        <v/>
      </c>
      <c r="I128">
        <f>IF(chemicals!B131=0,"",chemicals!B131)</f>
        <v/>
      </c>
      <c r="J128">
        <f>IF(media!B131=0,"",media!B131)</f>
        <v/>
      </c>
      <c r="V128">
        <f>IF(promoter!L131="","",promoter!L131)</f>
        <v/>
      </c>
      <c r="W128">
        <f>IF(rbs!J131="","",rbs!J131)</f>
        <v/>
      </c>
      <c r="X128">
        <f>IF(cds!K131="","",cds!K131)</f>
        <v/>
      </c>
      <c r="Y128">
        <f>IF(terminator!J131="","",terminator!J131)</f>
        <v/>
      </c>
      <c r="Z128">
        <f>IF(other!K131="","",other!K131)</f>
        <v/>
      </c>
    </row>
    <row r="129">
      <c r="A129">
        <f>IF(promoter!B132=0,"",promoter!B132)</f>
        <v/>
      </c>
      <c r="B129">
        <f>IF(rbs!B132=0,"",rbs!B132)</f>
        <v/>
      </c>
      <c r="C129">
        <f>IF(cds!B132=0,"",cds!B132)</f>
        <v/>
      </c>
      <c r="D129">
        <f>IF(terminator!B132=0,"",terminator!B132)</f>
        <v/>
      </c>
      <c r="E129">
        <f>IF(other!B132=0,"",other!B132)</f>
        <v/>
      </c>
      <c r="F129">
        <f>IF(protein!B132=0,"",protein!B132)</f>
        <v/>
      </c>
      <c r="G129">
        <f>IF(complex!B132=0,"",complex!B132)</f>
        <v/>
      </c>
      <c r="H129">
        <f>IF(chassis!B132=0,"",chassis!B132)</f>
        <v/>
      </c>
      <c r="I129">
        <f>IF(chemicals!B132=0,"",chemicals!B132)</f>
        <v/>
      </c>
      <c r="J129">
        <f>IF(media!B132=0,"",media!B132)</f>
        <v/>
      </c>
      <c r="V129">
        <f>IF(promoter!L132="","",promoter!L132)</f>
        <v/>
      </c>
      <c r="W129">
        <f>IF(rbs!J132="","",rbs!J132)</f>
        <v/>
      </c>
      <c r="X129">
        <f>IF(cds!K132="","",cds!K132)</f>
        <v/>
      </c>
      <c r="Y129">
        <f>IF(terminator!J132="","",terminator!J132)</f>
        <v/>
      </c>
      <c r="Z129">
        <f>IF(other!K132="","",other!K132)</f>
        <v/>
      </c>
    </row>
    <row r="130">
      <c r="A130">
        <f>IF(promoter!B133=0,"",promoter!B133)</f>
        <v/>
      </c>
      <c r="B130">
        <f>IF(rbs!B133=0,"",rbs!B133)</f>
        <v/>
      </c>
      <c r="C130">
        <f>IF(cds!B133=0,"",cds!B133)</f>
        <v/>
      </c>
      <c r="D130">
        <f>IF(terminator!B133=0,"",terminator!B133)</f>
        <v/>
      </c>
      <c r="E130">
        <f>IF(other!B133=0,"",other!B133)</f>
        <v/>
      </c>
      <c r="F130">
        <f>IF(protein!B133=0,"",protein!B133)</f>
        <v/>
      </c>
      <c r="G130">
        <f>IF(complex!B133=0,"",complex!B133)</f>
        <v/>
      </c>
      <c r="H130">
        <f>IF(chassis!B133=0,"",chassis!B133)</f>
        <v/>
      </c>
      <c r="I130">
        <f>IF(chemicals!B133=0,"",chemicals!B133)</f>
        <v/>
      </c>
      <c r="J130">
        <f>IF(media!B133=0,"",media!B133)</f>
        <v/>
      </c>
      <c r="V130">
        <f>IF(promoter!L133="","",promoter!L133)</f>
        <v/>
      </c>
      <c r="W130">
        <f>IF(rbs!J133="","",rbs!J133)</f>
        <v/>
      </c>
      <c r="X130">
        <f>IF(cds!K133="","",cds!K133)</f>
        <v/>
      </c>
      <c r="Y130">
        <f>IF(terminator!J133="","",terminator!J133)</f>
        <v/>
      </c>
      <c r="Z130">
        <f>IF(other!K133="","",other!K133)</f>
        <v/>
      </c>
    </row>
    <row r="131">
      <c r="A131">
        <f>IF(promoter!B134=0,"",promoter!B134)</f>
        <v/>
      </c>
      <c r="B131">
        <f>IF(rbs!B134=0,"",rbs!B134)</f>
        <v/>
      </c>
      <c r="C131">
        <f>IF(cds!B134=0,"",cds!B134)</f>
        <v/>
      </c>
      <c r="D131">
        <f>IF(terminator!B134=0,"",terminator!B134)</f>
        <v/>
      </c>
      <c r="E131">
        <f>IF(other!B134=0,"",other!B134)</f>
        <v/>
      </c>
      <c r="F131">
        <f>IF(protein!B134=0,"",protein!B134)</f>
        <v/>
      </c>
      <c r="G131">
        <f>IF(complex!B134=0,"",complex!B134)</f>
        <v/>
      </c>
      <c r="H131">
        <f>IF(chassis!B134=0,"",chassis!B134)</f>
        <v/>
      </c>
      <c r="I131">
        <f>IF(chemicals!B134=0,"",chemicals!B134)</f>
        <v/>
      </c>
      <c r="J131">
        <f>IF(media!B134=0,"",media!B134)</f>
        <v/>
      </c>
      <c r="V131">
        <f>IF(promoter!L134="","",promoter!L134)</f>
        <v/>
      </c>
      <c r="W131">
        <f>IF(rbs!J134="","",rbs!J134)</f>
        <v/>
      </c>
      <c r="X131">
        <f>IF(cds!K134="","",cds!K134)</f>
        <v/>
      </c>
      <c r="Y131">
        <f>IF(terminator!J134="","",terminator!J134)</f>
        <v/>
      </c>
      <c r="Z131">
        <f>IF(other!K134="","",other!K134)</f>
        <v/>
      </c>
    </row>
    <row r="132">
      <c r="A132">
        <f>IF(promoter!B135=0,"",promoter!B135)</f>
        <v/>
      </c>
      <c r="B132">
        <f>IF(rbs!B135=0,"",rbs!B135)</f>
        <v/>
      </c>
      <c r="C132">
        <f>IF(cds!B135=0,"",cds!B135)</f>
        <v/>
      </c>
      <c r="D132">
        <f>IF(terminator!B135=0,"",terminator!B135)</f>
        <v/>
      </c>
      <c r="E132">
        <f>IF(other!B135=0,"",other!B135)</f>
        <v/>
      </c>
      <c r="F132">
        <f>IF(protein!B135=0,"",protein!B135)</f>
        <v/>
      </c>
      <c r="G132">
        <f>IF(complex!B135=0,"",complex!B135)</f>
        <v/>
      </c>
      <c r="H132">
        <f>IF(chassis!B135=0,"",chassis!B135)</f>
        <v/>
      </c>
      <c r="I132">
        <f>IF(chemicals!B135=0,"",chemicals!B135)</f>
        <v/>
      </c>
      <c r="J132">
        <f>IF(media!B135=0,"",media!B135)</f>
        <v/>
      </c>
      <c r="V132">
        <f>IF(promoter!L135="","",promoter!L135)</f>
        <v/>
      </c>
      <c r="W132">
        <f>IF(rbs!J135="","",rbs!J135)</f>
        <v/>
      </c>
      <c r="X132">
        <f>IF(cds!K135="","",cds!K135)</f>
        <v/>
      </c>
      <c r="Y132">
        <f>IF(terminator!J135="","",terminator!J135)</f>
        <v/>
      </c>
      <c r="Z132">
        <f>IF(other!K135="","",other!K135)</f>
        <v/>
      </c>
    </row>
    <row r="133">
      <c r="A133">
        <f>IF(promoter!B136=0,"",promoter!B136)</f>
        <v/>
      </c>
      <c r="B133">
        <f>IF(rbs!B136=0,"",rbs!B136)</f>
        <v/>
      </c>
      <c r="C133">
        <f>IF(cds!B136=0,"",cds!B136)</f>
        <v/>
      </c>
      <c r="D133">
        <f>IF(terminator!B136=0,"",terminator!B136)</f>
        <v/>
      </c>
      <c r="E133">
        <f>IF(other!B136=0,"",other!B136)</f>
        <v/>
      </c>
      <c r="F133">
        <f>IF(protein!B136=0,"",protein!B136)</f>
        <v/>
      </c>
      <c r="G133">
        <f>IF(complex!B136=0,"",complex!B136)</f>
        <v/>
      </c>
      <c r="H133">
        <f>IF(chassis!B136=0,"",chassis!B136)</f>
        <v/>
      </c>
      <c r="I133">
        <f>IF(chemicals!B136=0,"",chemicals!B136)</f>
        <v/>
      </c>
      <c r="J133">
        <f>IF(media!B136=0,"",media!B136)</f>
        <v/>
      </c>
      <c r="V133">
        <f>IF(promoter!L136="","",promoter!L136)</f>
        <v/>
      </c>
      <c r="W133">
        <f>IF(rbs!J136="","",rbs!J136)</f>
        <v/>
      </c>
      <c r="X133">
        <f>IF(cds!K136="","",cds!K136)</f>
        <v/>
      </c>
      <c r="Y133">
        <f>IF(terminator!J136="","",terminator!J136)</f>
        <v/>
      </c>
      <c r="Z133">
        <f>IF(other!K136="","",other!K136)</f>
        <v/>
      </c>
    </row>
    <row r="134">
      <c r="A134">
        <f>IF(promoter!B137=0,"",promoter!B137)</f>
        <v/>
      </c>
      <c r="B134">
        <f>IF(rbs!B137=0,"",rbs!B137)</f>
        <v/>
      </c>
      <c r="C134">
        <f>IF(cds!B137=0,"",cds!B137)</f>
        <v/>
      </c>
      <c r="D134">
        <f>IF(terminator!B137=0,"",terminator!B137)</f>
        <v/>
      </c>
      <c r="E134">
        <f>IF(other!B137=0,"",other!B137)</f>
        <v/>
      </c>
      <c r="F134">
        <f>IF(protein!B137=0,"",protein!B137)</f>
        <v/>
      </c>
      <c r="G134">
        <f>IF(complex!B137=0,"",complex!B137)</f>
        <v/>
      </c>
      <c r="H134">
        <f>IF(chassis!B137=0,"",chassis!B137)</f>
        <v/>
      </c>
      <c r="I134">
        <f>IF(chemicals!B137=0,"",chemicals!B137)</f>
        <v/>
      </c>
      <c r="J134">
        <f>IF(media!B137=0,"",media!B137)</f>
        <v/>
      </c>
      <c r="V134">
        <f>IF(promoter!L137="","",promoter!L137)</f>
        <v/>
      </c>
      <c r="W134">
        <f>IF(rbs!J137="","",rbs!J137)</f>
        <v/>
      </c>
      <c r="X134">
        <f>IF(cds!K137="","",cds!K137)</f>
        <v/>
      </c>
      <c r="Y134">
        <f>IF(terminator!J137="","",terminator!J137)</f>
        <v/>
      </c>
      <c r="Z134">
        <f>IF(other!K137="","",other!K137)</f>
        <v/>
      </c>
    </row>
    <row r="135">
      <c r="A135">
        <f>IF(promoter!B138=0,"",promoter!B138)</f>
        <v/>
      </c>
      <c r="B135">
        <f>IF(rbs!B138=0,"",rbs!B138)</f>
        <v/>
      </c>
      <c r="C135">
        <f>IF(cds!B138=0,"",cds!B138)</f>
        <v/>
      </c>
      <c r="D135">
        <f>IF(terminator!B138=0,"",terminator!B138)</f>
        <v/>
      </c>
      <c r="E135">
        <f>IF(other!B138=0,"",other!B138)</f>
        <v/>
      </c>
      <c r="F135">
        <f>IF(protein!B138=0,"",protein!B138)</f>
        <v/>
      </c>
      <c r="G135">
        <f>IF(complex!B138=0,"",complex!B138)</f>
        <v/>
      </c>
      <c r="H135">
        <f>IF(chassis!B138=0,"",chassis!B138)</f>
        <v/>
      </c>
      <c r="I135">
        <f>IF(chemicals!B138=0,"",chemicals!B138)</f>
        <v/>
      </c>
      <c r="J135">
        <f>IF(media!B138=0,"",media!B138)</f>
        <v/>
      </c>
      <c r="V135">
        <f>IF(promoter!L138="","",promoter!L138)</f>
        <v/>
      </c>
      <c r="W135">
        <f>IF(rbs!J138="","",rbs!J138)</f>
        <v/>
      </c>
      <c r="X135">
        <f>IF(cds!K138="","",cds!K138)</f>
        <v/>
      </c>
      <c r="Y135">
        <f>IF(terminator!J138="","",terminator!J138)</f>
        <v/>
      </c>
      <c r="Z135">
        <f>IF(other!K138="","",other!K138)</f>
        <v/>
      </c>
    </row>
    <row r="136">
      <c r="A136">
        <f>IF(promoter!B139=0,"",promoter!B139)</f>
        <v/>
      </c>
      <c r="B136">
        <f>IF(rbs!B139=0,"",rbs!B139)</f>
        <v/>
      </c>
      <c r="C136">
        <f>IF(cds!B139=0,"",cds!B139)</f>
        <v/>
      </c>
      <c r="D136">
        <f>IF(terminator!B139=0,"",terminator!B139)</f>
        <v/>
      </c>
      <c r="E136">
        <f>IF(other!B139=0,"",other!B139)</f>
        <v/>
      </c>
      <c r="F136">
        <f>IF(protein!B139=0,"",protein!B139)</f>
        <v/>
      </c>
      <c r="G136">
        <f>IF(complex!B139=0,"",complex!B139)</f>
        <v/>
      </c>
      <c r="H136">
        <f>IF(chassis!B139=0,"",chassis!B139)</f>
        <v/>
      </c>
      <c r="I136">
        <f>IF(chemicals!B139=0,"",chemicals!B139)</f>
        <v/>
      </c>
      <c r="J136">
        <f>IF(media!B139=0,"",media!B139)</f>
        <v/>
      </c>
      <c r="V136">
        <f>IF(promoter!L139="","",promoter!L139)</f>
        <v/>
      </c>
      <c r="W136">
        <f>IF(rbs!J139="","",rbs!J139)</f>
        <v/>
      </c>
      <c r="X136">
        <f>IF(cds!K139="","",cds!K139)</f>
        <v/>
      </c>
      <c r="Y136">
        <f>IF(terminator!J139="","",terminator!J139)</f>
        <v/>
      </c>
      <c r="Z136">
        <f>IF(other!K139="","",other!K139)</f>
        <v/>
      </c>
    </row>
    <row r="137">
      <c r="A137">
        <f>IF(promoter!B140=0,"",promoter!B140)</f>
        <v/>
      </c>
      <c r="B137">
        <f>IF(rbs!B140=0,"",rbs!B140)</f>
        <v/>
      </c>
      <c r="C137">
        <f>IF(cds!B140=0,"",cds!B140)</f>
        <v/>
      </c>
      <c r="D137">
        <f>IF(terminator!B140=0,"",terminator!B140)</f>
        <v/>
      </c>
      <c r="E137">
        <f>IF(other!B140=0,"",other!B140)</f>
        <v/>
      </c>
      <c r="F137">
        <f>IF(protein!B140=0,"",protein!B140)</f>
        <v/>
      </c>
      <c r="G137">
        <f>IF(complex!B140=0,"",complex!B140)</f>
        <v/>
      </c>
      <c r="H137">
        <f>IF(chassis!B140=0,"",chassis!B140)</f>
        <v/>
      </c>
      <c r="I137">
        <f>IF(chemicals!B140=0,"",chemicals!B140)</f>
        <v/>
      </c>
      <c r="J137">
        <f>IF(media!B140=0,"",media!B140)</f>
        <v/>
      </c>
      <c r="V137">
        <f>IF(promoter!L140="","",promoter!L140)</f>
        <v/>
      </c>
      <c r="W137">
        <f>IF(rbs!J140="","",rbs!J140)</f>
        <v/>
      </c>
      <c r="X137">
        <f>IF(cds!K140="","",cds!K140)</f>
        <v/>
      </c>
      <c r="Y137">
        <f>IF(terminator!J140="","",terminator!J140)</f>
        <v/>
      </c>
      <c r="Z137">
        <f>IF(other!K140="","",other!K140)</f>
        <v/>
      </c>
    </row>
    <row r="138">
      <c r="A138">
        <f>IF(promoter!B141=0,"",promoter!B141)</f>
        <v/>
      </c>
      <c r="B138">
        <f>IF(rbs!B141=0,"",rbs!B141)</f>
        <v/>
      </c>
      <c r="C138">
        <f>IF(cds!B141=0,"",cds!B141)</f>
        <v/>
      </c>
      <c r="D138">
        <f>IF(terminator!B141=0,"",terminator!B141)</f>
        <v/>
      </c>
      <c r="E138">
        <f>IF(other!B141=0,"",other!B141)</f>
        <v/>
      </c>
      <c r="F138">
        <f>IF(protein!B141=0,"",protein!B141)</f>
        <v/>
      </c>
      <c r="G138">
        <f>IF(complex!B141=0,"",complex!B141)</f>
        <v/>
      </c>
      <c r="H138">
        <f>IF(chassis!B141=0,"",chassis!B141)</f>
        <v/>
      </c>
      <c r="I138">
        <f>IF(chemicals!B141=0,"",chemicals!B141)</f>
        <v/>
      </c>
      <c r="J138">
        <f>IF(media!B141=0,"",media!B141)</f>
        <v/>
      </c>
      <c r="V138">
        <f>IF(promoter!L141="","",promoter!L141)</f>
        <v/>
      </c>
      <c r="W138">
        <f>IF(rbs!J141="","",rbs!J141)</f>
        <v/>
      </c>
      <c r="X138">
        <f>IF(cds!K141="","",cds!K141)</f>
        <v/>
      </c>
      <c r="Y138">
        <f>IF(terminator!J141="","",terminator!J141)</f>
        <v/>
      </c>
      <c r="Z138">
        <f>IF(other!K141="","",other!K141)</f>
        <v/>
      </c>
    </row>
    <row r="139">
      <c r="A139">
        <f>IF(promoter!B142=0,"",promoter!B142)</f>
        <v/>
      </c>
      <c r="B139">
        <f>IF(rbs!B142=0,"",rbs!B142)</f>
        <v/>
      </c>
      <c r="C139">
        <f>IF(cds!B142=0,"",cds!B142)</f>
        <v/>
      </c>
      <c r="D139">
        <f>IF(terminator!B142=0,"",terminator!B142)</f>
        <v/>
      </c>
      <c r="E139">
        <f>IF(other!B142=0,"",other!B142)</f>
        <v/>
      </c>
      <c r="F139">
        <f>IF(protein!B142=0,"",protein!B142)</f>
        <v/>
      </c>
      <c r="G139">
        <f>IF(complex!B142=0,"",complex!B142)</f>
        <v/>
      </c>
      <c r="H139">
        <f>IF(chassis!B142=0,"",chassis!B142)</f>
        <v/>
      </c>
      <c r="I139">
        <f>IF(chemicals!B142=0,"",chemicals!B142)</f>
        <v/>
      </c>
      <c r="J139">
        <f>IF(media!B142=0,"",media!B142)</f>
        <v/>
      </c>
      <c r="V139">
        <f>IF(promoter!L142="","",promoter!L142)</f>
        <v/>
      </c>
      <c r="W139">
        <f>IF(rbs!J142="","",rbs!J142)</f>
        <v/>
      </c>
      <c r="X139">
        <f>IF(cds!K142="","",cds!K142)</f>
        <v/>
      </c>
      <c r="Y139">
        <f>IF(terminator!J142="","",terminator!J142)</f>
        <v/>
      </c>
      <c r="Z139">
        <f>IF(other!K142="","",other!K142)</f>
        <v/>
      </c>
    </row>
    <row r="140">
      <c r="A140">
        <f>IF(promoter!B143=0,"",promoter!B143)</f>
        <v/>
      </c>
      <c r="B140">
        <f>IF(rbs!B143=0,"",rbs!B143)</f>
        <v/>
      </c>
      <c r="C140">
        <f>IF(cds!B143=0,"",cds!B143)</f>
        <v/>
      </c>
      <c r="D140">
        <f>IF(terminator!B143=0,"",terminator!B143)</f>
        <v/>
      </c>
      <c r="E140">
        <f>IF(other!B143=0,"",other!B143)</f>
        <v/>
      </c>
      <c r="F140">
        <f>IF(protein!B143=0,"",protein!B143)</f>
        <v/>
      </c>
      <c r="G140">
        <f>IF(complex!B143=0,"",complex!B143)</f>
        <v/>
      </c>
      <c r="H140">
        <f>IF(chassis!B143=0,"",chassis!B143)</f>
        <v/>
      </c>
      <c r="I140">
        <f>IF(chemicals!B143=0,"",chemicals!B143)</f>
        <v/>
      </c>
      <c r="J140">
        <f>IF(media!B143=0,"",media!B143)</f>
        <v/>
      </c>
      <c r="V140">
        <f>IF(promoter!L143="","",promoter!L143)</f>
        <v/>
      </c>
      <c r="W140">
        <f>IF(rbs!J143="","",rbs!J143)</f>
        <v/>
      </c>
      <c r="X140">
        <f>IF(cds!K143="","",cds!K143)</f>
        <v/>
      </c>
      <c r="Y140">
        <f>IF(terminator!J143="","",terminator!J143)</f>
        <v/>
      </c>
      <c r="Z140">
        <f>IF(other!K143="","",other!K143)</f>
        <v/>
      </c>
    </row>
    <row r="141">
      <c r="A141">
        <f>IF(promoter!B144=0,"",promoter!B144)</f>
        <v/>
      </c>
      <c r="B141">
        <f>IF(rbs!B144=0,"",rbs!B144)</f>
        <v/>
      </c>
      <c r="C141">
        <f>IF(cds!B144=0,"",cds!B144)</f>
        <v/>
      </c>
      <c r="D141">
        <f>IF(terminator!B144=0,"",terminator!B144)</f>
        <v/>
      </c>
      <c r="E141">
        <f>IF(other!B144=0,"",other!B144)</f>
        <v/>
      </c>
      <c r="F141">
        <f>IF(protein!B144=0,"",protein!B144)</f>
        <v/>
      </c>
      <c r="G141">
        <f>IF(complex!B144=0,"",complex!B144)</f>
        <v/>
      </c>
      <c r="H141">
        <f>IF(chassis!B144=0,"",chassis!B144)</f>
        <v/>
      </c>
      <c r="I141">
        <f>IF(chemicals!B144=0,"",chemicals!B144)</f>
        <v/>
      </c>
      <c r="J141">
        <f>IF(media!B144=0,"",media!B144)</f>
        <v/>
      </c>
      <c r="V141">
        <f>IF(promoter!L144="","",promoter!L144)</f>
        <v/>
      </c>
      <c r="W141">
        <f>IF(rbs!J144="","",rbs!J144)</f>
        <v/>
      </c>
      <c r="X141">
        <f>IF(cds!K144="","",cds!K144)</f>
        <v/>
      </c>
      <c r="Y141">
        <f>IF(terminator!J144="","",terminator!J144)</f>
        <v/>
      </c>
      <c r="Z141">
        <f>IF(other!K144="","",other!K144)</f>
        <v/>
      </c>
    </row>
    <row r="142">
      <c r="A142">
        <f>IF(promoter!B145=0,"",promoter!B145)</f>
        <v/>
      </c>
      <c r="B142">
        <f>IF(rbs!B145=0,"",rbs!B145)</f>
        <v/>
      </c>
      <c r="C142">
        <f>IF(cds!B145=0,"",cds!B145)</f>
        <v/>
      </c>
      <c r="D142">
        <f>IF(terminator!B145=0,"",terminator!B145)</f>
        <v/>
      </c>
      <c r="E142">
        <f>IF(other!B145=0,"",other!B145)</f>
        <v/>
      </c>
      <c r="F142">
        <f>IF(protein!B145=0,"",protein!B145)</f>
        <v/>
      </c>
      <c r="G142">
        <f>IF(complex!B145=0,"",complex!B145)</f>
        <v/>
      </c>
      <c r="H142">
        <f>IF(chassis!B145=0,"",chassis!B145)</f>
        <v/>
      </c>
      <c r="I142">
        <f>IF(chemicals!B145=0,"",chemicals!B145)</f>
        <v/>
      </c>
      <c r="J142">
        <f>IF(media!B145=0,"",media!B145)</f>
        <v/>
      </c>
      <c r="V142">
        <f>IF(promoter!L145="","",promoter!L145)</f>
        <v/>
      </c>
      <c r="W142">
        <f>IF(rbs!J145="","",rbs!J145)</f>
        <v/>
      </c>
      <c r="X142">
        <f>IF(cds!K145="","",cds!K145)</f>
        <v/>
      </c>
      <c r="Y142">
        <f>IF(terminator!J145="","",terminator!J145)</f>
        <v/>
      </c>
      <c r="Z142">
        <f>IF(other!K145="","",other!K145)</f>
        <v/>
      </c>
    </row>
    <row r="143">
      <c r="A143">
        <f>IF(promoter!B146=0,"",promoter!B146)</f>
        <v/>
      </c>
      <c r="B143">
        <f>IF(rbs!B146=0,"",rbs!B146)</f>
        <v/>
      </c>
      <c r="C143">
        <f>IF(cds!B146=0,"",cds!B146)</f>
        <v/>
      </c>
      <c r="D143">
        <f>IF(terminator!B146=0,"",terminator!B146)</f>
        <v/>
      </c>
      <c r="E143">
        <f>IF(other!B146=0,"",other!B146)</f>
        <v/>
      </c>
      <c r="F143">
        <f>IF(protein!B146=0,"",protein!B146)</f>
        <v/>
      </c>
      <c r="G143">
        <f>IF(complex!B146=0,"",complex!B146)</f>
        <v/>
      </c>
      <c r="H143">
        <f>IF(chassis!B146=0,"",chassis!B146)</f>
        <v/>
      </c>
      <c r="I143">
        <f>IF(chemicals!B146=0,"",chemicals!B146)</f>
        <v/>
      </c>
      <c r="J143">
        <f>IF(media!B146=0,"",media!B146)</f>
        <v/>
      </c>
      <c r="V143">
        <f>IF(promoter!L146="","",promoter!L146)</f>
        <v/>
      </c>
      <c r="W143">
        <f>IF(rbs!J146="","",rbs!J146)</f>
        <v/>
      </c>
      <c r="X143">
        <f>IF(cds!K146="","",cds!K146)</f>
        <v/>
      </c>
      <c r="Y143">
        <f>IF(terminator!J146="","",terminator!J146)</f>
        <v/>
      </c>
      <c r="Z143">
        <f>IF(other!K146="","",other!K146)</f>
        <v/>
      </c>
    </row>
    <row r="144">
      <c r="A144">
        <f>IF(promoter!B147=0,"",promoter!B147)</f>
        <v/>
      </c>
      <c r="B144">
        <f>IF(rbs!B147=0,"",rbs!B147)</f>
        <v/>
      </c>
      <c r="C144">
        <f>IF(cds!B147=0,"",cds!B147)</f>
        <v/>
      </c>
      <c r="D144">
        <f>IF(terminator!B147=0,"",terminator!B147)</f>
        <v/>
      </c>
      <c r="E144">
        <f>IF(other!B147=0,"",other!B147)</f>
        <v/>
      </c>
      <c r="F144">
        <f>IF(protein!B147=0,"",protein!B147)</f>
        <v/>
      </c>
      <c r="G144">
        <f>IF(complex!B147=0,"",complex!B147)</f>
        <v/>
      </c>
      <c r="H144">
        <f>IF(chassis!B147=0,"",chassis!B147)</f>
        <v/>
      </c>
      <c r="I144">
        <f>IF(chemicals!B147=0,"",chemicals!B147)</f>
        <v/>
      </c>
      <c r="J144">
        <f>IF(media!B147=0,"",media!B147)</f>
        <v/>
      </c>
      <c r="V144">
        <f>IF(promoter!L147="","",promoter!L147)</f>
        <v/>
      </c>
      <c r="W144">
        <f>IF(rbs!J147="","",rbs!J147)</f>
        <v/>
      </c>
      <c r="X144">
        <f>IF(cds!K147="","",cds!K147)</f>
        <v/>
      </c>
      <c r="Y144">
        <f>IF(terminator!J147="","",terminator!J147)</f>
        <v/>
      </c>
      <c r="Z144">
        <f>IF(other!K147="","",other!K147)</f>
        <v/>
      </c>
    </row>
    <row r="145">
      <c r="A145">
        <f>IF(promoter!B148=0,"",promoter!B148)</f>
        <v/>
      </c>
      <c r="B145">
        <f>IF(rbs!B148=0,"",rbs!B148)</f>
        <v/>
      </c>
      <c r="C145">
        <f>IF(cds!B148=0,"",cds!B148)</f>
        <v/>
      </c>
      <c r="D145">
        <f>IF(terminator!B148=0,"",terminator!B148)</f>
        <v/>
      </c>
      <c r="E145">
        <f>IF(other!B148=0,"",other!B148)</f>
        <v/>
      </c>
      <c r="F145">
        <f>IF(protein!B148=0,"",protein!B148)</f>
        <v/>
      </c>
      <c r="G145">
        <f>IF(complex!B148=0,"",complex!B148)</f>
        <v/>
      </c>
      <c r="H145">
        <f>IF(chassis!B148=0,"",chassis!B148)</f>
        <v/>
      </c>
      <c r="I145">
        <f>IF(chemicals!B148=0,"",chemicals!B148)</f>
        <v/>
      </c>
      <c r="J145">
        <f>IF(media!B148=0,"",media!B148)</f>
        <v/>
      </c>
      <c r="V145">
        <f>IF(promoter!L148="","",promoter!L148)</f>
        <v/>
      </c>
      <c r="W145">
        <f>IF(rbs!J148="","",rbs!J148)</f>
        <v/>
      </c>
      <c r="X145">
        <f>IF(cds!K148="","",cds!K148)</f>
        <v/>
      </c>
      <c r="Y145">
        <f>IF(terminator!J148="","",terminator!J148)</f>
        <v/>
      </c>
      <c r="Z145">
        <f>IF(other!K148="","",other!K148)</f>
        <v/>
      </c>
    </row>
    <row r="146">
      <c r="A146">
        <f>IF(promoter!B149=0,"",promoter!B149)</f>
        <v/>
      </c>
      <c r="B146">
        <f>IF(rbs!B149=0,"",rbs!B149)</f>
        <v/>
      </c>
      <c r="C146">
        <f>IF(cds!B149=0,"",cds!B149)</f>
        <v/>
      </c>
      <c r="D146">
        <f>IF(terminator!B149=0,"",terminator!B149)</f>
        <v/>
      </c>
      <c r="E146">
        <f>IF(other!B149=0,"",other!B149)</f>
        <v/>
      </c>
      <c r="F146">
        <f>IF(protein!B149=0,"",protein!B149)</f>
        <v/>
      </c>
      <c r="G146">
        <f>IF(complex!B149=0,"",complex!B149)</f>
        <v/>
      </c>
      <c r="H146">
        <f>IF(chassis!B149=0,"",chassis!B149)</f>
        <v/>
      </c>
      <c r="I146">
        <f>IF(chemicals!B149=0,"",chemicals!B149)</f>
        <v/>
      </c>
      <c r="J146">
        <f>IF(media!B149=0,"",media!B149)</f>
        <v/>
      </c>
      <c r="V146">
        <f>IF(promoter!L149="","",promoter!L149)</f>
        <v/>
      </c>
      <c r="W146">
        <f>IF(rbs!J149="","",rbs!J149)</f>
        <v/>
      </c>
      <c r="X146">
        <f>IF(cds!K149="","",cds!K149)</f>
        <v/>
      </c>
      <c r="Y146">
        <f>IF(terminator!J149="","",terminator!J149)</f>
        <v/>
      </c>
      <c r="Z146">
        <f>IF(other!K149="","",other!K149)</f>
        <v/>
      </c>
    </row>
    <row r="147">
      <c r="A147">
        <f>IF(promoter!B150=0,"",promoter!B150)</f>
        <v/>
      </c>
      <c r="B147">
        <f>IF(rbs!B150=0,"",rbs!B150)</f>
        <v/>
      </c>
      <c r="C147">
        <f>IF(cds!B150=0,"",cds!B150)</f>
        <v/>
      </c>
      <c r="D147">
        <f>IF(terminator!B150=0,"",terminator!B150)</f>
        <v/>
      </c>
      <c r="E147">
        <f>IF(other!B150=0,"",other!B150)</f>
        <v/>
      </c>
      <c r="F147">
        <f>IF(protein!B150=0,"",protein!B150)</f>
        <v/>
      </c>
      <c r="G147">
        <f>IF(complex!B150=0,"",complex!B150)</f>
        <v/>
      </c>
      <c r="H147">
        <f>IF(chassis!B150=0,"",chassis!B150)</f>
        <v/>
      </c>
      <c r="I147">
        <f>IF(chemicals!B150=0,"",chemicals!B150)</f>
        <v/>
      </c>
      <c r="J147">
        <f>IF(media!B150=0,"",media!B150)</f>
        <v/>
      </c>
      <c r="V147">
        <f>IF(promoter!L150="","",promoter!L150)</f>
        <v/>
      </c>
      <c r="W147">
        <f>IF(rbs!J150="","",rbs!J150)</f>
        <v/>
      </c>
      <c r="X147">
        <f>IF(cds!K150="","",cds!K150)</f>
        <v/>
      </c>
      <c r="Y147">
        <f>IF(terminator!J150="","",terminator!J150)</f>
        <v/>
      </c>
      <c r="Z147">
        <f>IF(other!K150="","",other!K150)</f>
        <v/>
      </c>
    </row>
    <row r="148">
      <c r="A148">
        <f>IF(promoter!B151=0,"",promoter!B151)</f>
        <v/>
      </c>
      <c r="B148">
        <f>IF(rbs!B151=0,"",rbs!B151)</f>
        <v/>
      </c>
      <c r="C148">
        <f>IF(cds!B151=0,"",cds!B151)</f>
        <v/>
      </c>
      <c r="D148">
        <f>IF(terminator!B151=0,"",terminator!B151)</f>
        <v/>
      </c>
      <c r="E148">
        <f>IF(other!B151=0,"",other!B151)</f>
        <v/>
      </c>
      <c r="F148">
        <f>IF(protein!B151=0,"",protein!B151)</f>
        <v/>
      </c>
      <c r="G148">
        <f>IF(complex!B151=0,"",complex!B151)</f>
        <v/>
      </c>
      <c r="H148">
        <f>IF(chassis!B151=0,"",chassis!B151)</f>
        <v/>
      </c>
      <c r="I148">
        <f>IF(chemicals!B151=0,"",chemicals!B151)</f>
        <v/>
      </c>
      <c r="J148">
        <f>IF(media!B151=0,"",media!B151)</f>
        <v/>
      </c>
      <c r="V148">
        <f>IF(promoter!L151="","",promoter!L151)</f>
        <v/>
      </c>
      <c r="W148">
        <f>IF(rbs!J151="","",rbs!J151)</f>
        <v/>
      </c>
      <c r="X148">
        <f>IF(cds!K151="","",cds!K151)</f>
        <v/>
      </c>
      <c r="Y148">
        <f>IF(terminator!J151="","",terminator!J151)</f>
        <v/>
      </c>
      <c r="Z148">
        <f>IF(other!K151="","",other!K151)</f>
        <v/>
      </c>
    </row>
    <row r="149">
      <c r="A149">
        <f>IF(promoter!B152=0,"",promoter!B152)</f>
        <v/>
      </c>
      <c r="B149">
        <f>IF(rbs!B152=0,"",rbs!B152)</f>
        <v/>
      </c>
      <c r="C149">
        <f>IF(cds!B152=0,"",cds!B152)</f>
        <v/>
      </c>
      <c r="D149">
        <f>IF(terminator!B152=0,"",terminator!B152)</f>
        <v/>
      </c>
      <c r="E149">
        <f>IF(other!B152=0,"",other!B152)</f>
        <v/>
      </c>
      <c r="F149">
        <f>IF(protein!B152=0,"",protein!B152)</f>
        <v/>
      </c>
      <c r="G149">
        <f>IF(complex!B152=0,"",complex!B152)</f>
        <v/>
      </c>
      <c r="H149">
        <f>IF(chassis!B152=0,"",chassis!B152)</f>
        <v/>
      </c>
      <c r="I149">
        <f>IF(chemicals!B152=0,"",chemicals!B152)</f>
        <v/>
      </c>
      <c r="J149">
        <f>IF(media!B152=0,"",media!B152)</f>
        <v/>
      </c>
      <c r="V149">
        <f>IF(promoter!L152="","",promoter!L152)</f>
        <v/>
      </c>
      <c r="W149">
        <f>IF(rbs!J152="","",rbs!J152)</f>
        <v/>
      </c>
      <c r="X149">
        <f>IF(cds!K152="","",cds!K152)</f>
        <v/>
      </c>
      <c r="Y149">
        <f>IF(terminator!J152="","",terminator!J152)</f>
        <v/>
      </c>
      <c r="Z149">
        <f>IF(other!K152="","",other!K152)</f>
        <v/>
      </c>
    </row>
    <row r="150">
      <c r="A150">
        <f>IF(promoter!B153=0,"",promoter!B153)</f>
        <v/>
      </c>
      <c r="B150">
        <f>IF(rbs!B153=0,"",rbs!B153)</f>
        <v/>
      </c>
      <c r="C150">
        <f>IF(cds!B153=0,"",cds!B153)</f>
        <v/>
      </c>
      <c r="D150">
        <f>IF(terminator!B153=0,"",terminator!B153)</f>
        <v/>
      </c>
      <c r="E150">
        <f>IF(other!B153=0,"",other!B153)</f>
        <v/>
      </c>
      <c r="F150">
        <f>IF(protein!B153=0,"",protein!B153)</f>
        <v/>
      </c>
      <c r="G150">
        <f>IF(complex!B153=0,"",complex!B153)</f>
        <v/>
      </c>
      <c r="H150">
        <f>IF(chassis!B153=0,"",chassis!B153)</f>
        <v/>
      </c>
      <c r="I150">
        <f>IF(chemicals!B153=0,"",chemicals!B153)</f>
        <v/>
      </c>
      <c r="J150">
        <f>IF(media!B153=0,"",media!B153)</f>
        <v/>
      </c>
      <c r="V150">
        <f>IF(promoter!L153="","",promoter!L153)</f>
        <v/>
      </c>
      <c r="W150">
        <f>IF(rbs!J153="","",rbs!J153)</f>
        <v/>
      </c>
      <c r="X150">
        <f>IF(cds!K153="","",cds!K153)</f>
        <v/>
      </c>
      <c r="Y150">
        <f>IF(terminator!J153="","",terminator!J153)</f>
        <v/>
      </c>
      <c r="Z150">
        <f>IF(other!K153="","",other!K153)</f>
        <v/>
      </c>
    </row>
    <row r="151">
      <c r="A151">
        <f>IF(promoter!B154=0,"",promoter!B154)</f>
        <v/>
      </c>
      <c r="B151">
        <f>IF(rbs!B154=0,"",rbs!B154)</f>
        <v/>
      </c>
      <c r="C151">
        <f>IF(cds!B154=0,"",cds!B154)</f>
        <v/>
      </c>
      <c r="D151">
        <f>IF(terminator!B154=0,"",terminator!B154)</f>
        <v/>
      </c>
      <c r="E151">
        <f>IF(other!B154=0,"",other!B154)</f>
        <v/>
      </c>
      <c r="F151">
        <f>IF(protein!B154=0,"",protein!B154)</f>
        <v/>
      </c>
      <c r="G151">
        <f>IF(complex!B154=0,"",complex!B154)</f>
        <v/>
      </c>
      <c r="H151">
        <f>IF(chassis!B154=0,"",chassis!B154)</f>
        <v/>
      </c>
      <c r="I151">
        <f>IF(chemicals!B154=0,"",chemicals!B154)</f>
        <v/>
      </c>
      <c r="J151">
        <f>IF(media!B154=0,"",media!B154)</f>
        <v/>
      </c>
      <c r="V151">
        <f>IF(promoter!L154="","",promoter!L154)</f>
        <v/>
      </c>
      <c r="W151">
        <f>IF(rbs!J154="","",rbs!J154)</f>
        <v/>
      </c>
      <c r="X151">
        <f>IF(cds!K154="","",cds!K154)</f>
        <v/>
      </c>
      <c r="Y151">
        <f>IF(terminator!J154="","",terminator!J154)</f>
        <v/>
      </c>
      <c r="Z151">
        <f>IF(other!K154="","",other!K154)</f>
        <v/>
      </c>
    </row>
    <row r="152">
      <c r="A152">
        <f>IF(promoter!B155=0,"",promoter!B155)</f>
        <v/>
      </c>
      <c r="B152">
        <f>IF(rbs!B155=0,"",rbs!B155)</f>
        <v/>
      </c>
      <c r="C152">
        <f>IF(cds!B155=0,"",cds!B155)</f>
        <v/>
      </c>
      <c r="D152">
        <f>IF(terminator!B155=0,"",terminator!B155)</f>
        <v/>
      </c>
      <c r="E152">
        <f>IF(other!B155=0,"",other!B155)</f>
        <v/>
      </c>
      <c r="F152">
        <f>IF(protein!B155=0,"",protein!B155)</f>
        <v/>
      </c>
      <c r="G152">
        <f>IF(complex!B155=0,"",complex!B155)</f>
        <v/>
      </c>
      <c r="H152">
        <f>IF(chassis!B155=0,"",chassis!B155)</f>
        <v/>
      </c>
      <c r="I152">
        <f>IF(chemicals!B155=0,"",chemicals!B155)</f>
        <v/>
      </c>
      <c r="J152">
        <f>IF(media!B155=0,"",media!B155)</f>
        <v/>
      </c>
      <c r="V152">
        <f>IF(promoter!L155="","",promoter!L155)</f>
        <v/>
      </c>
      <c r="W152">
        <f>IF(rbs!J155="","",rbs!J155)</f>
        <v/>
      </c>
      <c r="X152">
        <f>IF(cds!K155="","",cds!K155)</f>
        <v/>
      </c>
      <c r="Y152">
        <f>IF(terminator!J155="","",terminator!J155)</f>
        <v/>
      </c>
      <c r="Z152">
        <f>IF(other!K155="","",other!K155)</f>
        <v/>
      </c>
    </row>
    <row r="153">
      <c r="A153">
        <f>IF(promoter!B156=0,"",promoter!B156)</f>
        <v/>
      </c>
      <c r="B153">
        <f>IF(rbs!B156=0,"",rbs!B156)</f>
        <v/>
      </c>
      <c r="C153">
        <f>IF(cds!B156=0,"",cds!B156)</f>
        <v/>
      </c>
      <c r="D153">
        <f>IF(terminator!B156=0,"",terminator!B156)</f>
        <v/>
      </c>
      <c r="E153">
        <f>IF(other!B156=0,"",other!B156)</f>
        <v/>
      </c>
      <c r="F153">
        <f>IF(protein!B156=0,"",protein!B156)</f>
        <v/>
      </c>
      <c r="G153">
        <f>IF(complex!B156=0,"",complex!B156)</f>
        <v/>
      </c>
      <c r="H153">
        <f>IF(chassis!B156=0,"",chassis!B156)</f>
        <v/>
      </c>
      <c r="I153">
        <f>IF(chemicals!B156=0,"",chemicals!B156)</f>
        <v/>
      </c>
      <c r="J153">
        <f>IF(media!B156=0,"",media!B156)</f>
        <v/>
      </c>
      <c r="V153">
        <f>IF(promoter!L156="","",promoter!L156)</f>
        <v/>
      </c>
      <c r="W153">
        <f>IF(rbs!J156="","",rbs!J156)</f>
        <v/>
      </c>
      <c r="X153">
        <f>IF(cds!K156="","",cds!K156)</f>
        <v/>
      </c>
      <c r="Y153">
        <f>IF(terminator!J156="","",terminator!J156)</f>
        <v/>
      </c>
      <c r="Z153">
        <f>IF(other!K156="","",other!K156)</f>
        <v/>
      </c>
    </row>
    <row r="154">
      <c r="A154">
        <f>IF(promoter!B157=0,"",promoter!B157)</f>
        <v/>
      </c>
      <c r="B154">
        <f>IF(rbs!B157=0,"",rbs!B157)</f>
        <v/>
      </c>
      <c r="C154">
        <f>IF(cds!B157=0,"",cds!B157)</f>
        <v/>
      </c>
      <c r="D154">
        <f>IF(terminator!B157=0,"",terminator!B157)</f>
        <v/>
      </c>
      <c r="E154">
        <f>IF(other!B157=0,"",other!B157)</f>
        <v/>
      </c>
      <c r="F154">
        <f>IF(protein!B157=0,"",protein!B157)</f>
        <v/>
      </c>
      <c r="G154">
        <f>IF(complex!B157=0,"",complex!B157)</f>
        <v/>
      </c>
      <c r="H154">
        <f>IF(chassis!B157=0,"",chassis!B157)</f>
        <v/>
      </c>
      <c r="I154">
        <f>IF(chemicals!B157=0,"",chemicals!B157)</f>
        <v/>
      </c>
      <c r="J154">
        <f>IF(media!B157=0,"",media!B157)</f>
        <v/>
      </c>
      <c r="V154">
        <f>IF(promoter!L157="","",promoter!L157)</f>
        <v/>
      </c>
      <c r="W154">
        <f>IF(rbs!J157="","",rbs!J157)</f>
        <v/>
      </c>
      <c r="X154">
        <f>IF(cds!K157="","",cds!K157)</f>
        <v/>
      </c>
      <c r="Y154">
        <f>IF(terminator!J157="","",terminator!J157)</f>
        <v/>
      </c>
      <c r="Z154">
        <f>IF(other!K157="","",other!K157)</f>
        <v/>
      </c>
    </row>
    <row r="155">
      <c r="A155">
        <f>IF(promoter!B158=0,"",promoter!B158)</f>
        <v/>
      </c>
      <c r="B155">
        <f>IF(rbs!B158=0,"",rbs!B158)</f>
        <v/>
      </c>
      <c r="C155">
        <f>IF(cds!B158=0,"",cds!B158)</f>
        <v/>
      </c>
      <c r="D155">
        <f>IF(terminator!B158=0,"",terminator!B158)</f>
        <v/>
      </c>
      <c r="E155">
        <f>IF(other!B158=0,"",other!B158)</f>
        <v/>
      </c>
      <c r="F155">
        <f>IF(protein!B158=0,"",protein!B158)</f>
        <v/>
      </c>
      <c r="G155">
        <f>IF(complex!B158=0,"",complex!B158)</f>
        <v/>
      </c>
      <c r="H155">
        <f>IF(chassis!B158=0,"",chassis!B158)</f>
        <v/>
      </c>
      <c r="I155">
        <f>IF(chemicals!B158=0,"",chemicals!B158)</f>
        <v/>
      </c>
      <c r="J155">
        <f>IF(media!B158=0,"",media!B158)</f>
        <v/>
      </c>
      <c r="V155">
        <f>IF(promoter!L158="","",promoter!L158)</f>
        <v/>
      </c>
      <c r="W155">
        <f>IF(rbs!J158="","",rbs!J158)</f>
        <v/>
      </c>
      <c r="X155">
        <f>IF(cds!K158="","",cds!K158)</f>
        <v/>
      </c>
      <c r="Y155">
        <f>IF(terminator!J158="","",terminator!J158)</f>
        <v/>
      </c>
      <c r="Z155">
        <f>IF(other!K158="","",other!K158)</f>
        <v/>
      </c>
    </row>
    <row r="156">
      <c r="A156">
        <f>IF(promoter!B159=0,"",promoter!B159)</f>
        <v/>
      </c>
      <c r="B156">
        <f>IF(rbs!B159=0,"",rbs!B159)</f>
        <v/>
      </c>
      <c r="C156">
        <f>IF(cds!B159=0,"",cds!B159)</f>
        <v/>
      </c>
      <c r="D156">
        <f>IF(terminator!B159=0,"",terminator!B159)</f>
        <v/>
      </c>
      <c r="E156">
        <f>IF(other!B159=0,"",other!B159)</f>
        <v/>
      </c>
      <c r="F156">
        <f>IF(protein!B159=0,"",protein!B159)</f>
        <v/>
      </c>
      <c r="G156">
        <f>IF(complex!B159=0,"",complex!B159)</f>
        <v/>
      </c>
      <c r="H156">
        <f>IF(chassis!B159=0,"",chassis!B159)</f>
        <v/>
      </c>
      <c r="I156">
        <f>IF(chemicals!B159=0,"",chemicals!B159)</f>
        <v/>
      </c>
      <c r="J156">
        <f>IF(media!B159=0,"",media!B159)</f>
        <v/>
      </c>
      <c r="V156">
        <f>IF(promoter!L159="","",promoter!L159)</f>
        <v/>
      </c>
      <c r="W156">
        <f>IF(rbs!J159="","",rbs!J159)</f>
        <v/>
      </c>
      <c r="X156">
        <f>IF(cds!K159="","",cds!K159)</f>
        <v/>
      </c>
      <c r="Y156">
        <f>IF(terminator!J159="","",terminator!J159)</f>
        <v/>
      </c>
      <c r="Z156">
        <f>IF(other!K159="","",other!K159)</f>
        <v/>
      </c>
    </row>
    <row r="157">
      <c r="A157">
        <f>IF(promoter!B160=0,"",promoter!B160)</f>
        <v/>
      </c>
      <c r="B157">
        <f>IF(rbs!B160=0,"",rbs!B160)</f>
        <v/>
      </c>
      <c r="C157">
        <f>IF(cds!B160=0,"",cds!B160)</f>
        <v/>
      </c>
      <c r="D157">
        <f>IF(terminator!B160=0,"",terminator!B160)</f>
        <v/>
      </c>
      <c r="E157">
        <f>IF(other!B160=0,"",other!B160)</f>
        <v/>
      </c>
      <c r="F157">
        <f>IF(protein!B160=0,"",protein!B160)</f>
        <v/>
      </c>
      <c r="G157">
        <f>IF(complex!B160=0,"",complex!B160)</f>
        <v/>
      </c>
      <c r="H157">
        <f>IF(chassis!B160=0,"",chassis!B160)</f>
        <v/>
      </c>
      <c r="I157">
        <f>IF(chemicals!B160=0,"",chemicals!B160)</f>
        <v/>
      </c>
      <c r="J157">
        <f>IF(media!B160=0,"",media!B160)</f>
        <v/>
      </c>
      <c r="V157">
        <f>IF(promoter!L160="","",promoter!L160)</f>
        <v/>
      </c>
      <c r="W157">
        <f>IF(rbs!J160="","",rbs!J160)</f>
        <v/>
      </c>
      <c r="X157">
        <f>IF(cds!K160="","",cds!K160)</f>
        <v/>
      </c>
      <c r="Y157">
        <f>IF(terminator!J160="","",terminator!J160)</f>
        <v/>
      </c>
      <c r="Z157">
        <f>IF(other!K160="","",other!K160)</f>
        <v/>
      </c>
    </row>
    <row r="158">
      <c r="A158">
        <f>IF(promoter!B161=0,"",promoter!B161)</f>
        <v/>
      </c>
      <c r="B158">
        <f>IF(rbs!B161=0,"",rbs!B161)</f>
        <v/>
      </c>
      <c r="C158">
        <f>IF(cds!B161=0,"",cds!B161)</f>
        <v/>
      </c>
      <c r="D158">
        <f>IF(terminator!B161=0,"",terminator!B161)</f>
        <v/>
      </c>
      <c r="E158">
        <f>IF(other!B161=0,"",other!B161)</f>
        <v/>
      </c>
      <c r="F158">
        <f>IF(protein!B161=0,"",protein!B161)</f>
        <v/>
      </c>
      <c r="G158">
        <f>IF(complex!B161=0,"",complex!B161)</f>
        <v/>
      </c>
      <c r="H158">
        <f>IF(chassis!B161=0,"",chassis!B161)</f>
        <v/>
      </c>
      <c r="I158">
        <f>IF(chemicals!B161=0,"",chemicals!B161)</f>
        <v/>
      </c>
      <c r="J158">
        <f>IF(media!B161=0,"",media!B161)</f>
        <v/>
      </c>
      <c r="V158">
        <f>IF(promoter!L161="","",promoter!L161)</f>
        <v/>
      </c>
      <c r="W158">
        <f>IF(rbs!J161="","",rbs!J161)</f>
        <v/>
      </c>
      <c r="X158">
        <f>IF(cds!K161="","",cds!K161)</f>
        <v/>
      </c>
      <c r="Y158">
        <f>IF(terminator!J161="","",terminator!J161)</f>
        <v/>
      </c>
      <c r="Z158">
        <f>IF(other!K161="","",other!K161)</f>
        <v/>
      </c>
    </row>
    <row r="159">
      <c r="A159">
        <f>IF(promoter!B162=0,"",promoter!B162)</f>
        <v/>
      </c>
      <c r="B159">
        <f>IF(rbs!B162=0,"",rbs!B162)</f>
        <v/>
      </c>
      <c r="C159">
        <f>IF(cds!B162=0,"",cds!B162)</f>
        <v/>
      </c>
      <c r="D159">
        <f>IF(terminator!B162=0,"",terminator!B162)</f>
        <v/>
      </c>
      <c r="E159">
        <f>IF(other!B162=0,"",other!B162)</f>
        <v/>
      </c>
      <c r="F159">
        <f>IF(protein!B162=0,"",protein!B162)</f>
        <v/>
      </c>
      <c r="G159">
        <f>IF(complex!B162=0,"",complex!B162)</f>
        <v/>
      </c>
      <c r="H159">
        <f>IF(chassis!B162=0,"",chassis!B162)</f>
        <v/>
      </c>
      <c r="I159">
        <f>IF(chemicals!B162=0,"",chemicals!B162)</f>
        <v/>
      </c>
      <c r="J159">
        <f>IF(media!B162=0,"",media!B162)</f>
        <v/>
      </c>
      <c r="V159">
        <f>IF(promoter!L162="","",promoter!L162)</f>
        <v/>
      </c>
      <c r="W159">
        <f>IF(rbs!J162="","",rbs!J162)</f>
        <v/>
      </c>
      <c r="X159">
        <f>IF(cds!K162="","",cds!K162)</f>
        <v/>
      </c>
      <c r="Y159">
        <f>IF(terminator!J162="","",terminator!J162)</f>
        <v/>
      </c>
      <c r="Z159">
        <f>IF(other!K162="","",other!K162)</f>
        <v/>
      </c>
    </row>
    <row r="160">
      <c r="A160">
        <f>IF(promoter!B163=0,"",promoter!B163)</f>
        <v/>
      </c>
      <c r="B160">
        <f>IF(rbs!B163=0,"",rbs!B163)</f>
        <v/>
      </c>
      <c r="C160">
        <f>IF(cds!B163=0,"",cds!B163)</f>
        <v/>
      </c>
      <c r="D160">
        <f>IF(terminator!B163=0,"",terminator!B163)</f>
        <v/>
      </c>
      <c r="E160">
        <f>IF(other!B163=0,"",other!B163)</f>
        <v/>
      </c>
      <c r="F160">
        <f>IF(protein!B163=0,"",protein!B163)</f>
        <v/>
      </c>
      <c r="G160">
        <f>IF(complex!B163=0,"",complex!B163)</f>
        <v/>
      </c>
      <c r="H160">
        <f>IF(chassis!B163=0,"",chassis!B163)</f>
        <v/>
      </c>
      <c r="I160">
        <f>IF(chemicals!B163=0,"",chemicals!B163)</f>
        <v/>
      </c>
      <c r="J160">
        <f>IF(media!B163=0,"",media!B163)</f>
        <v/>
      </c>
      <c r="V160">
        <f>IF(promoter!L163="","",promoter!L163)</f>
        <v/>
      </c>
      <c r="W160">
        <f>IF(rbs!J163="","",rbs!J163)</f>
        <v/>
      </c>
      <c r="X160">
        <f>IF(cds!K163="","",cds!K163)</f>
        <v/>
      </c>
      <c r="Y160">
        <f>IF(terminator!J163="","",terminator!J163)</f>
        <v/>
      </c>
      <c r="Z160">
        <f>IF(other!K163="","",other!K163)</f>
        <v/>
      </c>
    </row>
    <row r="161">
      <c r="A161">
        <f>IF(promoter!B164=0,"",promoter!B164)</f>
        <v/>
      </c>
      <c r="B161">
        <f>IF(rbs!B164=0,"",rbs!B164)</f>
        <v/>
      </c>
      <c r="C161">
        <f>IF(cds!B164=0,"",cds!B164)</f>
        <v/>
      </c>
      <c r="D161">
        <f>IF(terminator!B164=0,"",terminator!B164)</f>
        <v/>
      </c>
      <c r="E161">
        <f>IF(other!B164=0,"",other!B164)</f>
        <v/>
      </c>
      <c r="F161">
        <f>IF(protein!B164=0,"",protein!B164)</f>
        <v/>
      </c>
      <c r="G161">
        <f>IF(complex!B164=0,"",complex!B164)</f>
        <v/>
      </c>
      <c r="H161">
        <f>IF(chassis!B164=0,"",chassis!B164)</f>
        <v/>
      </c>
      <c r="I161">
        <f>IF(chemicals!B164=0,"",chemicals!B164)</f>
        <v/>
      </c>
      <c r="J161">
        <f>IF(media!B164=0,"",media!B164)</f>
        <v/>
      </c>
      <c r="V161">
        <f>IF(promoter!L164="","",promoter!L164)</f>
        <v/>
      </c>
      <c r="W161">
        <f>IF(rbs!J164="","",rbs!J164)</f>
        <v/>
      </c>
      <c r="X161">
        <f>IF(cds!K164="","",cds!K164)</f>
        <v/>
      </c>
      <c r="Y161">
        <f>IF(terminator!J164="","",terminator!J164)</f>
        <v/>
      </c>
      <c r="Z161">
        <f>IF(other!K164="","",other!K164)</f>
        <v/>
      </c>
    </row>
    <row r="162">
      <c r="A162">
        <f>IF(promoter!B165=0,"",promoter!B165)</f>
        <v/>
      </c>
      <c r="B162">
        <f>IF(rbs!B165=0,"",rbs!B165)</f>
        <v/>
      </c>
      <c r="C162">
        <f>IF(cds!B165=0,"",cds!B165)</f>
        <v/>
      </c>
      <c r="D162">
        <f>IF(terminator!B165=0,"",terminator!B165)</f>
        <v/>
      </c>
      <c r="E162">
        <f>IF(other!B165=0,"",other!B165)</f>
        <v/>
      </c>
      <c r="F162">
        <f>IF(protein!B165=0,"",protein!B165)</f>
        <v/>
      </c>
      <c r="G162">
        <f>IF(complex!B165=0,"",complex!B165)</f>
        <v/>
      </c>
      <c r="H162">
        <f>IF(chassis!B165=0,"",chassis!B165)</f>
        <v/>
      </c>
      <c r="I162">
        <f>IF(chemicals!B165=0,"",chemicals!B165)</f>
        <v/>
      </c>
      <c r="J162">
        <f>IF(media!B165=0,"",media!B165)</f>
        <v/>
      </c>
      <c r="V162">
        <f>IF(promoter!L165="","",promoter!L165)</f>
        <v/>
      </c>
      <c r="W162">
        <f>IF(rbs!J165="","",rbs!J165)</f>
        <v/>
      </c>
      <c r="X162">
        <f>IF(cds!K165="","",cds!K165)</f>
        <v/>
      </c>
      <c r="Y162">
        <f>IF(terminator!J165="","",terminator!J165)</f>
        <v/>
      </c>
      <c r="Z162">
        <f>IF(other!K165="","",other!K165)</f>
        <v/>
      </c>
    </row>
    <row r="163">
      <c r="A163">
        <f>IF(promoter!B166=0,"",promoter!B166)</f>
        <v/>
      </c>
      <c r="B163">
        <f>IF(rbs!B166=0,"",rbs!B166)</f>
        <v/>
      </c>
      <c r="C163">
        <f>IF(cds!B166=0,"",cds!B166)</f>
        <v/>
      </c>
      <c r="D163">
        <f>IF(terminator!B166=0,"",terminator!B166)</f>
        <v/>
      </c>
      <c r="E163">
        <f>IF(other!B166=0,"",other!B166)</f>
        <v/>
      </c>
      <c r="F163">
        <f>IF(protein!B166=0,"",protein!B166)</f>
        <v/>
      </c>
      <c r="G163">
        <f>IF(complex!B166=0,"",complex!B166)</f>
        <v/>
      </c>
      <c r="H163">
        <f>IF(chassis!B166=0,"",chassis!B166)</f>
        <v/>
      </c>
      <c r="I163">
        <f>IF(chemicals!B166=0,"",chemicals!B166)</f>
        <v/>
      </c>
      <c r="J163">
        <f>IF(media!B166=0,"",media!B166)</f>
        <v/>
      </c>
      <c r="V163">
        <f>IF(promoter!L166="","",promoter!L166)</f>
        <v/>
      </c>
      <c r="W163">
        <f>IF(rbs!J166="","",rbs!J166)</f>
        <v/>
      </c>
      <c r="X163">
        <f>IF(cds!K166="","",cds!K166)</f>
        <v/>
      </c>
      <c r="Y163">
        <f>IF(terminator!J166="","",terminator!J166)</f>
        <v/>
      </c>
      <c r="Z163">
        <f>IF(other!K166="","",other!K166)</f>
        <v/>
      </c>
    </row>
    <row r="164">
      <c r="A164">
        <f>IF(promoter!B167=0,"",promoter!B167)</f>
        <v/>
      </c>
      <c r="B164">
        <f>IF(rbs!B167=0,"",rbs!B167)</f>
        <v/>
      </c>
      <c r="C164">
        <f>IF(cds!B167=0,"",cds!B167)</f>
        <v/>
      </c>
      <c r="D164">
        <f>IF(terminator!B167=0,"",terminator!B167)</f>
        <v/>
      </c>
      <c r="E164">
        <f>IF(other!B167=0,"",other!B167)</f>
        <v/>
      </c>
      <c r="F164">
        <f>IF(protein!B167=0,"",protein!B167)</f>
        <v/>
      </c>
      <c r="G164">
        <f>IF(complex!B167=0,"",complex!B167)</f>
        <v/>
      </c>
      <c r="H164">
        <f>IF(chassis!B167=0,"",chassis!B167)</f>
        <v/>
      </c>
      <c r="I164">
        <f>IF(chemicals!B167=0,"",chemicals!B167)</f>
        <v/>
      </c>
      <c r="J164">
        <f>IF(media!B167=0,"",media!B167)</f>
        <v/>
      </c>
      <c r="V164">
        <f>IF(promoter!L167="","",promoter!L167)</f>
        <v/>
      </c>
      <c r="W164">
        <f>IF(rbs!J167="","",rbs!J167)</f>
        <v/>
      </c>
      <c r="X164">
        <f>IF(cds!K167="","",cds!K167)</f>
        <v/>
      </c>
      <c r="Y164">
        <f>IF(terminator!J167="","",terminator!J167)</f>
        <v/>
      </c>
      <c r="Z164">
        <f>IF(other!K167="","",other!K167)</f>
        <v/>
      </c>
    </row>
    <row r="165">
      <c r="A165">
        <f>IF(promoter!B168=0,"",promoter!B168)</f>
        <v/>
      </c>
      <c r="B165">
        <f>IF(rbs!B168=0,"",rbs!B168)</f>
        <v/>
      </c>
      <c r="C165">
        <f>IF(cds!B168=0,"",cds!B168)</f>
        <v/>
      </c>
      <c r="D165">
        <f>IF(terminator!B168=0,"",terminator!B168)</f>
        <v/>
      </c>
      <c r="E165">
        <f>IF(other!B168=0,"",other!B168)</f>
        <v/>
      </c>
      <c r="F165">
        <f>IF(protein!B168=0,"",protein!B168)</f>
        <v/>
      </c>
      <c r="G165">
        <f>IF(complex!B168=0,"",complex!B168)</f>
        <v/>
      </c>
      <c r="H165">
        <f>IF(chassis!B168=0,"",chassis!B168)</f>
        <v/>
      </c>
      <c r="I165">
        <f>IF(chemicals!B168=0,"",chemicals!B168)</f>
        <v/>
      </c>
      <c r="J165">
        <f>IF(media!B168=0,"",media!B168)</f>
        <v/>
      </c>
      <c r="V165">
        <f>IF(promoter!L168="","",promoter!L168)</f>
        <v/>
      </c>
      <c r="W165">
        <f>IF(rbs!J168="","",rbs!J168)</f>
        <v/>
      </c>
      <c r="X165">
        <f>IF(cds!K168="","",cds!K168)</f>
        <v/>
      </c>
      <c r="Y165">
        <f>IF(terminator!J168="","",terminator!J168)</f>
        <v/>
      </c>
      <c r="Z165">
        <f>IF(other!K168="","",other!K168)</f>
        <v/>
      </c>
    </row>
    <row r="166">
      <c r="A166">
        <f>IF(promoter!B169=0,"",promoter!B169)</f>
        <v/>
      </c>
      <c r="B166">
        <f>IF(rbs!B169=0,"",rbs!B169)</f>
        <v/>
      </c>
      <c r="C166">
        <f>IF(cds!B169=0,"",cds!B169)</f>
        <v/>
      </c>
      <c r="D166">
        <f>IF(terminator!B169=0,"",terminator!B169)</f>
        <v/>
      </c>
      <c r="E166">
        <f>IF(other!B169=0,"",other!B169)</f>
        <v/>
      </c>
      <c r="F166">
        <f>IF(protein!B169=0,"",protein!B169)</f>
        <v/>
      </c>
      <c r="G166">
        <f>IF(complex!B169=0,"",complex!B169)</f>
        <v/>
      </c>
      <c r="H166">
        <f>IF(chassis!B169=0,"",chassis!B169)</f>
        <v/>
      </c>
      <c r="I166">
        <f>IF(chemicals!B169=0,"",chemicals!B169)</f>
        <v/>
      </c>
      <c r="J166">
        <f>IF(media!B169=0,"",media!B169)</f>
        <v/>
      </c>
      <c r="V166">
        <f>IF(promoter!L169="","",promoter!L169)</f>
        <v/>
      </c>
      <c r="W166">
        <f>IF(rbs!J169="","",rbs!J169)</f>
        <v/>
      </c>
      <c r="X166">
        <f>IF(cds!K169="","",cds!K169)</f>
        <v/>
      </c>
      <c r="Y166">
        <f>IF(terminator!J169="","",terminator!J169)</f>
        <v/>
      </c>
      <c r="Z166">
        <f>IF(other!K169="","",other!K169)</f>
        <v/>
      </c>
    </row>
    <row r="167">
      <c r="A167">
        <f>IF(promoter!B170=0,"",promoter!B170)</f>
        <v/>
      </c>
      <c r="B167">
        <f>IF(rbs!B170=0,"",rbs!B170)</f>
        <v/>
      </c>
      <c r="C167">
        <f>IF(cds!B170=0,"",cds!B170)</f>
        <v/>
      </c>
      <c r="D167">
        <f>IF(terminator!B170=0,"",terminator!B170)</f>
        <v/>
      </c>
      <c r="E167">
        <f>IF(other!B170=0,"",other!B170)</f>
        <v/>
      </c>
      <c r="F167">
        <f>IF(protein!B170=0,"",protein!B170)</f>
        <v/>
      </c>
      <c r="G167">
        <f>IF(complex!B170=0,"",complex!B170)</f>
        <v/>
      </c>
      <c r="H167">
        <f>IF(chassis!B170=0,"",chassis!B170)</f>
        <v/>
      </c>
      <c r="I167">
        <f>IF(chemicals!B170=0,"",chemicals!B170)</f>
        <v/>
      </c>
      <c r="J167">
        <f>IF(media!B170=0,"",media!B170)</f>
        <v/>
      </c>
      <c r="V167">
        <f>IF(promoter!L170="","",promoter!L170)</f>
        <v/>
      </c>
      <c r="W167">
        <f>IF(rbs!J170="","",rbs!J170)</f>
        <v/>
      </c>
      <c r="X167">
        <f>IF(cds!K170="","",cds!K170)</f>
        <v/>
      </c>
      <c r="Y167">
        <f>IF(terminator!J170="","",terminator!J170)</f>
        <v/>
      </c>
      <c r="Z167">
        <f>IF(other!K170="","",other!K170)</f>
        <v/>
      </c>
    </row>
    <row r="168">
      <c r="A168">
        <f>IF(promoter!B171=0,"",promoter!B171)</f>
        <v/>
      </c>
      <c r="B168">
        <f>IF(rbs!B171=0,"",rbs!B171)</f>
        <v/>
      </c>
      <c r="C168">
        <f>IF(cds!B171=0,"",cds!B171)</f>
        <v/>
      </c>
      <c r="D168">
        <f>IF(terminator!B171=0,"",terminator!B171)</f>
        <v/>
      </c>
      <c r="E168">
        <f>IF(other!B171=0,"",other!B171)</f>
        <v/>
      </c>
      <c r="F168">
        <f>IF(protein!B171=0,"",protein!B171)</f>
        <v/>
      </c>
      <c r="G168">
        <f>IF(complex!B171=0,"",complex!B171)</f>
        <v/>
      </c>
      <c r="H168">
        <f>IF(chassis!B171=0,"",chassis!B171)</f>
        <v/>
      </c>
      <c r="I168">
        <f>IF(chemicals!B171=0,"",chemicals!B171)</f>
        <v/>
      </c>
      <c r="J168">
        <f>IF(media!B171=0,"",media!B171)</f>
        <v/>
      </c>
      <c r="V168">
        <f>IF(promoter!L171="","",promoter!L171)</f>
        <v/>
      </c>
      <c r="W168">
        <f>IF(rbs!J171="","",rbs!J171)</f>
        <v/>
      </c>
      <c r="X168">
        <f>IF(cds!K171="","",cds!K171)</f>
        <v/>
      </c>
      <c r="Y168">
        <f>IF(terminator!J171="","",terminator!J171)</f>
        <v/>
      </c>
      <c r="Z168">
        <f>IF(other!K171="","",other!K171)</f>
        <v/>
      </c>
    </row>
    <row r="169">
      <c r="A169">
        <f>IF(promoter!B172=0,"",promoter!B172)</f>
        <v/>
      </c>
      <c r="B169">
        <f>IF(rbs!B172=0,"",rbs!B172)</f>
        <v/>
      </c>
      <c r="C169">
        <f>IF(cds!B172=0,"",cds!B172)</f>
        <v/>
      </c>
      <c r="D169">
        <f>IF(terminator!B172=0,"",terminator!B172)</f>
        <v/>
      </c>
      <c r="E169">
        <f>IF(other!B172=0,"",other!B172)</f>
        <v/>
      </c>
      <c r="F169">
        <f>IF(protein!B172=0,"",protein!B172)</f>
        <v/>
      </c>
      <c r="G169">
        <f>IF(complex!B172=0,"",complex!B172)</f>
        <v/>
      </c>
      <c r="H169">
        <f>IF(chassis!B172=0,"",chassis!B172)</f>
        <v/>
      </c>
      <c r="I169">
        <f>IF(chemicals!B172=0,"",chemicals!B172)</f>
        <v/>
      </c>
      <c r="J169">
        <f>IF(media!B172=0,"",media!B172)</f>
        <v/>
      </c>
      <c r="V169">
        <f>IF(promoter!L172="","",promoter!L172)</f>
        <v/>
      </c>
      <c r="W169">
        <f>IF(rbs!J172="","",rbs!J172)</f>
        <v/>
      </c>
      <c r="X169">
        <f>IF(cds!K172="","",cds!K172)</f>
        <v/>
      </c>
      <c r="Y169">
        <f>IF(terminator!J172="","",terminator!J172)</f>
        <v/>
      </c>
      <c r="Z169">
        <f>IF(other!K172="","",other!K172)</f>
        <v/>
      </c>
    </row>
    <row r="170">
      <c r="A170">
        <f>IF(promoter!B173=0,"",promoter!B173)</f>
        <v/>
      </c>
      <c r="B170">
        <f>IF(rbs!B173=0,"",rbs!B173)</f>
        <v/>
      </c>
      <c r="C170">
        <f>IF(cds!B173=0,"",cds!B173)</f>
        <v/>
      </c>
      <c r="D170">
        <f>IF(terminator!B173=0,"",terminator!B173)</f>
        <v/>
      </c>
      <c r="E170">
        <f>IF(other!B173=0,"",other!B173)</f>
        <v/>
      </c>
      <c r="F170">
        <f>IF(protein!B173=0,"",protein!B173)</f>
        <v/>
      </c>
      <c r="G170">
        <f>IF(complex!B173=0,"",complex!B173)</f>
        <v/>
      </c>
      <c r="H170">
        <f>IF(chassis!B173=0,"",chassis!B173)</f>
        <v/>
      </c>
      <c r="I170">
        <f>IF(chemicals!B173=0,"",chemicals!B173)</f>
        <v/>
      </c>
      <c r="J170">
        <f>IF(media!B173=0,"",media!B173)</f>
        <v/>
      </c>
      <c r="V170">
        <f>IF(promoter!L173="","",promoter!L173)</f>
        <v/>
      </c>
      <c r="W170">
        <f>IF(rbs!J173="","",rbs!J173)</f>
        <v/>
      </c>
      <c r="X170">
        <f>IF(cds!K173="","",cds!K173)</f>
        <v/>
      </c>
      <c r="Y170">
        <f>IF(terminator!J173="","",terminator!J173)</f>
        <v/>
      </c>
      <c r="Z170">
        <f>IF(other!K173="","",other!K173)</f>
        <v/>
      </c>
    </row>
    <row r="171">
      <c r="A171">
        <f>IF(promoter!B174=0,"",promoter!B174)</f>
        <v/>
      </c>
      <c r="B171">
        <f>IF(rbs!B174=0,"",rbs!B174)</f>
        <v/>
      </c>
      <c r="C171">
        <f>IF(cds!B174=0,"",cds!B174)</f>
        <v/>
      </c>
      <c r="D171">
        <f>IF(terminator!B174=0,"",terminator!B174)</f>
        <v/>
      </c>
      <c r="E171">
        <f>IF(other!B174=0,"",other!B174)</f>
        <v/>
      </c>
      <c r="F171">
        <f>IF(protein!B174=0,"",protein!B174)</f>
        <v/>
      </c>
      <c r="G171">
        <f>IF(complex!B174=0,"",complex!B174)</f>
        <v/>
      </c>
      <c r="H171">
        <f>IF(chassis!B174=0,"",chassis!B174)</f>
        <v/>
      </c>
      <c r="I171">
        <f>IF(chemicals!B174=0,"",chemicals!B174)</f>
        <v/>
      </c>
      <c r="J171">
        <f>IF(media!B174=0,"",media!B174)</f>
        <v/>
      </c>
      <c r="V171">
        <f>IF(promoter!L174="","",promoter!L174)</f>
        <v/>
      </c>
      <c r="W171">
        <f>IF(rbs!J174="","",rbs!J174)</f>
        <v/>
      </c>
      <c r="X171">
        <f>IF(cds!K174="","",cds!K174)</f>
        <v/>
      </c>
      <c r="Y171">
        <f>IF(terminator!J174="","",terminator!J174)</f>
        <v/>
      </c>
      <c r="Z171">
        <f>IF(other!K174="","",other!K174)</f>
        <v/>
      </c>
    </row>
    <row r="172">
      <c r="A172">
        <f>IF(promoter!B175=0,"",promoter!B175)</f>
        <v/>
      </c>
      <c r="B172">
        <f>IF(rbs!B175=0,"",rbs!B175)</f>
        <v/>
      </c>
      <c r="C172">
        <f>IF(cds!B175=0,"",cds!B175)</f>
        <v/>
      </c>
      <c r="D172">
        <f>IF(terminator!B175=0,"",terminator!B175)</f>
        <v/>
      </c>
      <c r="E172">
        <f>IF(other!B175=0,"",other!B175)</f>
        <v/>
      </c>
      <c r="F172">
        <f>IF(protein!B175=0,"",protein!B175)</f>
        <v/>
      </c>
      <c r="G172">
        <f>IF(complex!B175=0,"",complex!B175)</f>
        <v/>
      </c>
      <c r="H172">
        <f>IF(chassis!B175=0,"",chassis!B175)</f>
        <v/>
      </c>
      <c r="I172">
        <f>IF(chemicals!B175=0,"",chemicals!B175)</f>
        <v/>
      </c>
      <c r="J172">
        <f>IF(media!B175=0,"",media!B175)</f>
        <v/>
      </c>
      <c r="V172">
        <f>IF(promoter!L175="","",promoter!L175)</f>
        <v/>
      </c>
      <c r="W172">
        <f>IF(rbs!J175="","",rbs!J175)</f>
        <v/>
      </c>
      <c r="X172">
        <f>IF(cds!K175="","",cds!K175)</f>
        <v/>
      </c>
      <c r="Y172">
        <f>IF(terminator!J175="","",terminator!J175)</f>
        <v/>
      </c>
      <c r="Z172">
        <f>IF(other!K175="","",other!K175)</f>
        <v/>
      </c>
    </row>
    <row r="173">
      <c r="A173">
        <f>IF(promoter!B176=0,"",promoter!B176)</f>
        <v/>
      </c>
      <c r="B173">
        <f>IF(rbs!B176=0,"",rbs!B176)</f>
        <v/>
      </c>
      <c r="C173">
        <f>IF(cds!B176=0,"",cds!B176)</f>
        <v/>
      </c>
      <c r="D173">
        <f>IF(terminator!B176=0,"",terminator!B176)</f>
        <v/>
      </c>
      <c r="E173">
        <f>IF(other!B176=0,"",other!B176)</f>
        <v/>
      </c>
      <c r="F173">
        <f>IF(protein!B176=0,"",protein!B176)</f>
        <v/>
      </c>
      <c r="G173">
        <f>IF(complex!B176=0,"",complex!B176)</f>
        <v/>
      </c>
      <c r="H173">
        <f>IF(chassis!B176=0,"",chassis!B176)</f>
        <v/>
      </c>
      <c r="I173">
        <f>IF(chemicals!B176=0,"",chemicals!B176)</f>
        <v/>
      </c>
      <c r="J173">
        <f>IF(media!B176=0,"",media!B176)</f>
        <v/>
      </c>
      <c r="V173">
        <f>IF(promoter!L176="","",promoter!L176)</f>
        <v/>
      </c>
      <c r="W173">
        <f>IF(rbs!J176="","",rbs!J176)</f>
        <v/>
      </c>
      <c r="X173">
        <f>IF(cds!K176="","",cds!K176)</f>
        <v/>
      </c>
      <c r="Y173">
        <f>IF(terminator!J176="","",terminator!J176)</f>
        <v/>
      </c>
      <c r="Z173">
        <f>IF(other!K176="","",other!K176)</f>
        <v/>
      </c>
    </row>
    <row r="174">
      <c r="A174">
        <f>IF(promoter!B177=0,"",promoter!B177)</f>
        <v/>
      </c>
      <c r="B174">
        <f>IF(rbs!B177=0,"",rbs!B177)</f>
        <v/>
      </c>
      <c r="C174">
        <f>IF(cds!B177=0,"",cds!B177)</f>
        <v/>
      </c>
      <c r="D174">
        <f>IF(terminator!B177=0,"",terminator!B177)</f>
        <v/>
      </c>
      <c r="E174">
        <f>IF(other!B177=0,"",other!B177)</f>
        <v/>
      </c>
      <c r="F174">
        <f>IF(protein!B177=0,"",protein!B177)</f>
        <v/>
      </c>
      <c r="G174">
        <f>IF(complex!B177=0,"",complex!B177)</f>
        <v/>
      </c>
      <c r="H174">
        <f>IF(chassis!B177=0,"",chassis!B177)</f>
        <v/>
      </c>
      <c r="I174">
        <f>IF(chemicals!B177=0,"",chemicals!B177)</f>
        <v/>
      </c>
      <c r="J174">
        <f>IF(media!B177=0,"",media!B177)</f>
        <v/>
      </c>
      <c r="V174">
        <f>IF(promoter!L177="","",promoter!L177)</f>
        <v/>
      </c>
      <c r="W174">
        <f>IF(rbs!J177="","",rbs!J177)</f>
        <v/>
      </c>
      <c r="X174">
        <f>IF(cds!K177="","",cds!K177)</f>
        <v/>
      </c>
      <c r="Y174">
        <f>IF(terminator!J177="","",terminator!J177)</f>
        <v/>
      </c>
      <c r="Z174">
        <f>IF(other!K177="","",other!K177)</f>
        <v/>
      </c>
    </row>
    <row r="175">
      <c r="A175">
        <f>IF(promoter!B178=0,"",promoter!B178)</f>
        <v/>
      </c>
      <c r="B175">
        <f>IF(rbs!B178=0,"",rbs!B178)</f>
        <v/>
      </c>
      <c r="C175">
        <f>IF(cds!B178=0,"",cds!B178)</f>
        <v/>
      </c>
      <c r="D175">
        <f>IF(terminator!B178=0,"",terminator!B178)</f>
        <v/>
      </c>
      <c r="E175">
        <f>IF(other!B178=0,"",other!B178)</f>
        <v/>
      </c>
      <c r="F175">
        <f>IF(protein!B178=0,"",protein!B178)</f>
        <v/>
      </c>
      <c r="G175">
        <f>IF(complex!B178=0,"",complex!B178)</f>
        <v/>
      </c>
      <c r="H175">
        <f>IF(chassis!B178=0,"",chassis!B178)</f>
        <v/>
      </c>
      <c r="I175">
        <f>IF(chemicals!B178=0,"",chemicals!B178)</f>
        <v/>
      </c>
      <c r="J175">
        <f>IF(media!B178=0,"",media!B178)</f>
        <v/>
      </c>
      <c r="V175">
        <f>IF(promoter!L178="","",promoter!L178)</f>
        <v/>
      </c>
      <c r="W175">
        <f>IF(rbs!J178="","",rbs!J178)</f>
        <v/>
      </c>
      <c r="X175">
        <f>IF(cds!K178="","",cds!K178)</f>
        <v/>
      </c>
      <c r="Y175">
        <f>IF(terminator!J178="","",terminator!J178)</f>
        <v/>
      </c>
      <c r="Z175">
        <f>IF(other!K178="","",other!K178)</f>
        <v/>
      </c>
    </row>
    <row r="176">
      <c r="A176">
        <f>IF(promoter!B179=0,"",promoter!B179)</f>
        <v/>
      </c>
      <c r="B176">
        <f>IF(rbs!B179=0,"",rbs!B179)</f>
        <v/>
      </c>
      <c r="C176">
        <f>IF(cds!B179=0,"",cds!B179)</f>
        <v/>
      </c>
      <c r="D176">
        <f>IF(terminator!B179=0,"",terminator!B179)</f>
        <v/>
      </c>
      <c r="E176">
        <f>IF(other!B179=0,"",other!B179)</f>
        <v/>
      </c>
      <c r="F176">
        <f>IF(protein!B179=0,"",protein!B179)</f>
        <v/>
      </c>
      <c r="G176">
        <f>IF(complex!B179=0,"",complex!B179)</f>
        <v/>
      </c>
      <c r="H176">
        <f>IF(chassis!B179=0,"",chassis!B179)</f>
        <v/>
      </c>
      <c r="I176">
        <f>IF(chemicals!B179=0,"",chemicals!B179)</f>
        <v/>
      </c>
      <c r="J176">
        <f>IF(media!B179=0,"",media!B179)</f>
        <v/>
      </c>
      <c r="V176">
        <f>IF(promoter!L179="","",promoter!L179)</f>
        <v/>
      </c>
      <c r="W176">
        <f>IF(rbs!J179="","",rbs!J179)</f>
        <v/>
      </c>
      <c r="X176">
        <f>IF(cds!K179="","",cds!K179)</f>
        <v/>
      </c>
      <c r="Y176">
        <f>IF(terminator!J179="","",terminator!J179)</f>
        <v/>
      </c>
      <c r="Z176">
        <f>IF(other!K179="","",other!K179)</f>
        <v/>
      </c>
    </row>
    <row r="177">
      <c r="A177">
        <f>IF(promoter!B180=0,"",promoter!B180)</f>
        <v/>
      </c>
      <c r="B177">
        <f>IF(rbs!B180=0,"",rbs!B180)</f>
        <v/>
      </c>
      <c r="C177">
        <f>IF(cds!B180=0,"",cds!B180)</f>
        <v/>
      </c>
      <c r="D177">
        <f>IF(terminator!B180=0,"",terminator!B180)</f>
        <v/>
      </c>
      <c r="E177">
        <f>IF(other!B180=0,"",other!B180)</f>
        <v/>
      </c>
      <c r="F177">
        <f>IF(protein!B180=0,"",protein!B180)</f>
        <v/>
      </c>
      <c r="G177">
        <f>IF(complex!B180=0,"",complex!B180)</f>
        <v/>
      </c>
      <c r="H177">
        <f>IF(chassis!B180=0,"",chassis!B180)</f>
        <v/>
      </c>
      <c r="I177">
        <f>IF(chemicals!B180=0,"",chemicals!B180)</f>
        <v/>
      </c>
      <c r="J177">
        <f>IF(media!B180=0,"",media!B180)</f>
        <v/>
      </c>
      <c r="V177">
        <f>IF(promoter!L180="","",promoter!L180)</f>
        <v/>
      </c>
      <c r="W177">
        <f>IF(rbs!J180="","",rbs!J180)</f>
        <v/>
      </c>
      <c r="X177">
        <f>IF(cds!K180="","",cds!K180)</f>
        <v/>
      </c>
      <c r="Y177">
        <f>IF(terminator!J180="","",terminator!J180)</f>
        <v/>
      </c>
      <c r="Z177">
        <f>IF(other!K180="","",other!K180)</f>
        <v/>
      </c>
    </row>
    <row r="178">
      <c r="A178">
        <f>IF(promoter!B181=0,"",promoter!B181)</f>
        <v/>
      </c>
      <c r="B178">
        <f>IF(rbs!B181=0,"",rbs!B181)</f>
        <v/>
      </c>
      <c r="C178">
        <f>IF(cds!B181=0,"",cds!B181)</f>
        <v/>
      </c>
      <c r="D178">
        <f>IF(terminator!B181=0,"",terminator!B181)</f>
        <v/>
      </c>
      <c r="E178">
        <f>IF(other!B181=0,"",other!B181)</f>
        <v/>
      </c>
      <c r="F178">
        <f>IF(protein!B181=0,"",protein!B181)</f>
        <v/>
      </c>
      <c r="G178">
        <f>IF(complex!B181=0,"",complex!B181)</f>
        <v/>
      </c>
      <c r="H178">
        <f>IF(chassis!B181=0,"",chassis!B181)</f>
        <v/>
      </c>
      <c r="I178">
        <f>IF(chemicals!B181=0,"",chemicals!B181)</f>
        <v/>
      </c>
      <c r="J178">
        <f>IF(media!B181=0,"",media!B181)</f>
        <v/>
      </c>
      <c r="V178">
        <f>IF(promoter!L181="","",promoter!L181)</f>
        <v/>
      </c>
      <c r="W178">
        <f>IF(rbs!J181="","",rbs!J181)</f>
        <v/>
      </c>
      <c r="X178">
        <f>IF(cds!K181="","",cds!K181)</f>
        <v/>
      </c>
      <c r="Y178">
        <f>IF(terminator!J181="","",terminator!J181)</f>
        <v/>
      </c>
      <c r="Z178">
        <f>IF(other!K181="","",other!K181)</f>
        <v/>
      </c>
    </row>
    <row r="179">
      <c r="A179">
        <f>IF(promoter!B182=0,"",promoter!B182)</f>
        <v/>
      </c>
      <c r="B179">
        <f>IF(rbs!B182=0,"",rbs!B182)</f>
        <v/>
      </c>
      <c r="C179">
        <f>IF(cds!B182=0,"",cds!B182)</f>
        <v/>
      </c>
      <c r="D179">
        <f>IF(terminator!B182=0,"",terminator!B182)</f>
        <v/>
      </c>
      <c r="E179">
        <f>IF(other!B182=0,"",other!B182)</f>
        <v/>
      </c>
      <c r="F179">
        <f>IF(protein!B182=0,"",protein!B182)</f>
        <v/>
      </c>
      <c r="G179">
        <f>IF(complex!B182=0,"",complex!B182)</f>
        <v/>
      </c>
      <c r="H179">
        <f>IF(chassis!B182=0,"",chassis!B182)</f>
        <v/>
      </c>
      <c r="I179">
        <f>IF(chemicals!B182=0,"",chemicals!B182)</f>
        <v/>
      </c>
      <c r="J179">
        <f>IF(media!B182=0,"",media!B182)</f>
        <v/>
      </c>
      <c r="V179">
        <f>IF(promoter!L182="","",promoter!L182)</f>
        <v/>
      </c>
      <c r="W179">
        <f>IF(rbs!J182="","",rbs!J182)</f>
        <v/>
      </c>
      <c r="X179">
        <f>IF(cds!K182="","",cds!K182)</f>
        <v/>
      </c>
      <c r="Y179">
        <f>IF(terminator!J182="","",terminator!J182)</f>
        <v/>
      </c>
      <c r="Z179">
        <f>IF(other!K182="","",other!K182)</f>
        <v/>
      </c>
    </row>
    <row r="180">
      <c r="A180">
        <f>IF(promoter!B183=0,"",promoter!B183)</f>
        <v/>
      </c>
      <c r="B180">
        <f>IF(rbs!B183=0,"",rbs!B183)</f>
        <v/>
      </c>
      <c r="C180">
        <f>IF(cds!B183=0,"",cds!B183)</f>
        <v/>
      </c>
      <c r="D180">
        <f>IF(terminator!B183=0,"",terminator!B183)</f>
        <v/>
      </c>
      <c r="E180">
        <f>IF(other!B183=0,"",other!B183)</f>
        <v/>
      </c>
      <c r="F180">
        <f>IF(protein!B183=0,"",protein!B183)</f>
        <v/>
      </c>
      <c r="G180">
        <f>IF(complex!B183=0,"",complex!B183)</f>
        <v/>
      </c>
      <c r="H180">
        <f>IF(chassis!B183=0,"",chassis!B183)</f>
        <v/>
      </c>
      <c r="I180">
        <f>IF(chemicals!B183=0,"",chemicals!B183)</f>
        <v/>
      </c>
      <c r="J180">
        <f>IF(media!B183=0,"",media!B183)</f>
        <v/>
      </c>
      <c r="V180">
        <f>IF(promoter!L183="","",promoter!L183)</f>
        <v/>
      </c>
      <c r="W180">
        <f>IF(rbs!J183="","",rbs!J183)</f>
        <v/>
      </c>
      <c r="X180">
        <f>IF(cds!K183="","",cds!K183)</f>
        <v/>
      </c>
      <c r="Y180">
        <f>IF(terminator!J183="","",terminator!J183)</f>
        <v/>
      </c>
      <c r="Z180">
        <f>IF(other!K183="","",other!K183)</f>
        <v/>
      </c>
    </row>
    <row r="181">
      <c r="A181">
        <f>IF(promoter!B184=0,"",promoter!B184)</f>
        <v/>
      </c>
      <c r="B181">
        <f>IF(rbs!B184=0,"",rbs!B184)</f>
        <v/>
      </c>
      <c r="C181">
        <f>IF(cds!B184=0,"",cds!B184)</f>
        <v/>
      </c>
      <c r="D181">
        <f>IF(terminator!B184=0,"",terminator!B184)</f>
        <v/>
      </c>
      <c r="E181">
        <f>IF(other!B184=0,"",other!B184)</f>
        <v/>
      </c>
      <c r="F181">
        <f>IF(protein!B184=0,"",protein!B184)</f>
        <v/>
      </c>
      <c r="G181">
        <f>IF(complex!B184=0,"",complex!B184)</f>
        <v/>
      </c>
      <c r="H181">
        <f>IF(chassis!B184=0,"",chassis!B184)</f>
        <v/>
      </c>
      <c r="I181">
        <f>IF(chemicals!B184=0,"",chemicals!B184)</f>
        <v/>
      </c>
      <c r="J181">
        <f>IF(media!B184=0,"",media!B184)</f>
        <v/>
      </c>
      <c r="V181">
        <f>IF(promoter!L184="","",promoter!L184)</f>
        <v/>
      </c>
      <c r="W181">
        <f>IF(rbs!J184="","",rbs!J184)</f>
        <v/>
      </c>
      <c r="X181">
        <f>IF(cds!K184="","",cds!K184)</f>
        <v/>
      </c>
      <c r="Y181">
        <f>IF(terminator!J184="","",terminator!J184)</f>
        <v/>
      </c>
      <c r="Z181">
        <f>IF(other!K184="","",other!K184)</f>
        <v/>
      </c>
    </row>
    <row r="182">
      <c r="A182">
        <f>IF(promoter!B185=0,"",promoter!B185)</f>
        <v/>
      </c>
      <c r="B182">
        <f>IF(rbs!B185=0,"",rbs!B185)</f>
        <v/>
      </c>
      <c r="C182">
        <f>IF(cds!B185=0,"",cds!B185)</f>
        <v/>
      </c>
      <c r="D182">
        <f>IF(terminator!B185=0,"",terminator!B185)</f>
        <v/>
      </c>
      <c r="E182">
        <f>IF(other!B185=0,"",other!B185)</f>
        <v/>
      </c>
      <c r="F182">
        <f>IF(protein!B185=0,"",protein!B185)</f>
        <v/>
      </c>
      <c r="G182">
        <f>IF(complex!B185=0,"",complex!B185)</f>
        <v/>
      </c>
      <c r="H182">
        <f>IF(chassis!B185=0,"",chassis!B185)</f>
        <v/>
      </c>
      <c r="I182">
        <f>IF(chemicals!B185=0,"",chemicals!B185)</f>
        <v/>
      </c>
      <c r="J182">
        <f>IF(media!B185=0,"",media!B185)</f>
        <v/>
      </c>
      <c r="V182">
        <f>IF(promoter!L185="","",promoter!L185)</f>
        <v/>
      </c>
      <c r="W182">
        <f>IF(rbs!J185="","",rbs!J185)</f>
        <v/>
      </c>
      <c r="X182">
        <f>IF(cds!K185="","",cds!K185)</f>
        <v/>
      </c>
      <c r="Y182">
        <f>IF(terminator!J185="","",terminator!J185)</f>
        <v/>
      </c>
      <c r="Z182">
        <f>IF(other!K185="","",other!K185)</f>
        <v/>
      </c>
    </row>
    <row r="183">
      <c r="A183">
        <f>IF(promoter!B186=0,"",promoter!B186)</f>
        <v/>
      </c>
      <c r="B183">
        <f>IF(rbs!B186=0,"",rbs!B186)</f>
        <v/>
      </c>
      <c r="C183">
        <f>IF(cds!B186=0,"",cds!B186)</f>
        <v/>
      </c>
      <c r="D183">
        <f>IF(terminator!B186=0,"",terminator!B186)</f>
        <v/>
      </c>
      <c r="E183">
        <f>IF(other!B186=0,"",other!B186)</f>
        <v/>
      </c>
      <c r="F183">
        <f>IF(protein!B186=0,"",protein!B186)</f>
        <v/>
      </c>
      <c r="G183">
        <f>IF(complex!B186=0,"",complex!B186)</f>
        <v/>
      </c>
      <c r="H183">
        <f>IF(chassis!B186=0,"",chassis!B186)</f>
        <v/>
      </c>
      <c r="I183">
        <f>IF(chemicals!B186=0,"",chemicals!B186)</f>
        <v/>
      </c>
      <c r="J183">
        <f>IF(media!B186=0,"",media!B186)</f>
        <v/>
      </c>
      <c r="V183">
        <f>IF(promoter!L186="","",promoter!L186)</f>
        <v/>
      </c>
      <c r="W183">
        <f>IF(rbs!J186="","",rbs!J186)</f>
        <v/>
      </c>
      <c r="X183">
        <f>IF(cds!K186="","",cds!K186)</f>
        <v/>
      </c>
      <c r="Y183">
        <f>IF(terminator!J186="","",terminator!J186)</f>
        <v/>
      </c>
      <c r="Z183">
        <f>IF(other!K186="","",other!K186)</f>
        <v/>
      </c>
    </row>
    <row r="184">
      <c r="A184">
        <f>IF(promoter!B187=0,"",promoter!B187)</f>
        <v/>
      </c>
      <c r="B184">
        <f>IF(rbs!B187=0,"",rbs!B187)</f>
        <v/>
      </c>
      <c r="C184">
        <f>IF(cds!B187=0,"",cds!B187)</f>
        <v/>
      </c>
      <c r="D184">
        <f>IF(terminator!B187=0,"",terminator!B187)</f>
        <v/>
      </c>
      <c r="E184">
        <f>IF(other!B187=0,"",other!B187)</f>
        <v/>
      </c>
      <c r="F184">
        <f>IF(protein!B187=0,"",protein!B187)</f>
        <v/>
      </c>
      <c r="G184">
        <f>IF(complex!B187=0,"",complex!B187)</f>
        <v/>
      </c>
      <c r="H184">
        <f>IF(chassis!B187=0,"",chassis!B187)</f>
        <v/>
      </c>
      <c r="I184">
        <f>IF(chemicals!B187=0,"",chemicals!B187)</f>
        <v/>
      </c>
      <c r="J184">
        <f>IF(media!B187=0,"",media!B187)</f>
        <v/>
      </c>
      <c r="V184">
        <f>IF(promoter!L187="","",promoter!L187)</f>
        <v/>
      </c>
      <c r="W184">
        <f>IF(rbs!J187="","",rbs!J187)</f>
        <v/>
      </c>
      <c r="X184">
        <f>IF(cds!K187="","",cds!K187)</f>
        <v/>
      </c>
      <c r="Y184">
        <f>IF(terminator!J187="","",terminator!J187)</f>
        <v/>
      </c>
      <c r="Z184">
        <f>IF(other!K187="","",other!K187)</f>
        <v/>
      </c>
    </row>
    <row r="185">
      <c r="A185">
        <f>IF(promoter!B188=0,"",promoter!B188)</f>
        <v/>
      </c>
      <c r="B185">
        <f>IF(rbs!B188=0,"",rbs!B188)</f>
        <v/>
      </c>
      <c r="C185">
        <f>IF(cds!B188=0,"",cds!B188)</f>
        <v/>
      </c>
      <c r="D185">
        <f>IF(terminator!B188=0,"",terminator!B188)</f>
        <v/>
      </c>
      <c r="E185">
        <f>IF(other!B188=0,"",other!B188)</f>
        <v/>
      </c>
      <c r="F185">
        <f>IF(protein!B188=0,"",protein!B188)</f>
        <v/>
      </c>
      <c r="G185">
        <f>IF(complex!B188=0,"",complex!B188)</f>
        <v/>
      </c>
      <c r="H185">
        <f>IF(chassis!B188=0,"",chassis!B188)</f>
        <v/>
      </c>
      <c r="I185">
        <f>IF(chemicals!B188=0,"",chemicals!B188)</f>
        <v/>
      </c>
      <c r="J185">
        <f>IF(media!B188=0,"",media!B188)</f>
        <v/>
      </c>
      <c r="V185">
        <f>IF(promoter!L188="","",promoter!L188)</f>
        <v/>
      </c>
      <c r="W185">
        <f>IF(rbs!J188="","",rbs!J188)</f>
        <v/>
      </c>
      <c r="X185">
        <f>IF(cds!K188="","",cds!K188)</f>
        <v/>
      </c>
      <c r="Y185">
        <f>IF(terminator!J188="","",terminator!J188)</f>
        <v/>
      </c>
      <c r="Z185">
        <f>IF(other!K188="","",other!K188)</f>
        <v/>
      </c>
    </row>
    <row r="186">
      <c r="A186">
        <f>IF(promoter!B189=0,"",promoter!B189)</f>
        <v/>
      </c>
      <c r="B186">
        <f>IF(rbs!B189=0,"",rbs!B189)</f>
        <v/>
      </c>
      <c r="C186">
        <f>IF(cds!B189=0,"",cds!B189)</f>
        <v/>
      </c>
      <c r="D186">
        <f>IF(terminator!B189=0,"",terminator!B189)</f>
        <v/>
      </c>
      <c r="E186">
        <f>IF(other!B189=0,"",other!B189)</f>
        <v/>
      </c>
      <c r="F186">
        <f>IF(protein!B189=0,"",protein!B189)</f>
        <v/>
      </c>
      <c r="G186">
        <f>IF(complex!B189=0,"",complex!B189)</f>
        <v/>
      </c>
      <c r="H186">
        <f>IF(chassis!B189=0,"",chassis!B189)</f>
        <v/>
      </c>
      <c r="I186">
        <f>IF(chemicals!B189=0,"",chemicals!B189)</f>
        <v/>
      </c>
      <c r="J186">
        <f>IF(media!B189=0,"",media!B189)</f>
        <v/>
      </c>
      <c r="V186">
        <f>IF(promoter!L189="","",promoter!L189)</f>
        <v/>
      </c>
      <c r="W186">
        <f>IF(rbs!J189="","",rbs!J189)</f>
        <v/>
      </c>
      <c r="X186">
        <f>IF(cds!K189="","",cds!K189)</f>
        <v/>
      </c>
      <c r="Y186">
        <f>IF(terminator!J189="","",terminator!J189)</f>
        <v/>
      </c>
      <c r="Z186">
        <f>IF(other!K189="","",other!K189)</f>
        <v/>
      </c>
    </row>
    <row r="187">
      <c r="A187">
        <f>IF(promoter!B190=0,"",promoter!B190)</f>
        <v/>
      </c>
      <c r="B187">
        <f>IF(rbs!B190=0,"",rbs!B190)</f>
        <v/>
      </c>
      <c r="C187">
        <f>IF(cds!B190=0,"",cds!B190)</f>
        <v/>
      </c>
      <c r="D187">
        <f>IF(terminator!B190=0,"",terminator!B190)</f>
        <v/>
      </c>
      <c r="E187">
        <f>IF(other!B190=0,"",other!B190)</f>
        <v/>
      </c>
      <c r="F187">
        <f>IF(protein!B190=0,"",protein!B190)</f>
        <v/>
      </c>
      <c r="G187">
        <f>IF(complex!B190=0,"",complex!B190)</f>
        <v/>
      </c>
      <c r="H187">
        <f>IF(chassis!B190=0,"",chassis!B190)</f>
        <v/>
      </c>
      <c r="I187">
        <f>IF(chemicals!B190=0,"",chemicals!B190)</f>
        <v/>
      </c>
      <c r="J187">
        <f>IF(media!B190=0,"",media!B190)</f>
        <v/>
      </c>
      <c r="V187">
        <f>IF(promoter!L190="","",promoter!L190)</f>
        <v/>
      </c>
      <c r="W187">
        <f>IF(rbs!J190="","",rbs!J190)</f>
        <v/>
      </c>
      <c r="X187">
        <f>IF(cds!K190="","",cds!K190)</f>
        <v/>
      </c>
      <c r="Y187">
        <f>IF(terminator!J190="","",terminator!J190)</f>
        <v/>
      </c>
      <c r="Z187">
        <f>IF(other!K190="","",other!K190)</f>
        <v/>
      </c>
    </row>
    <row r="188">
      <c r="A188">
        <f>IF(promoter!B191=0,"",promoter!B191)</f>
        <v/>
      </c>
      <c r="B188">
        <f>IF(rbs!B191=0,"",rbs!B191)</f>
        <v/>
      </c>
      <c r="C188">
        <f>IF(cds!B191=0,"",cds!B191)</f>
        <v/>
      </c>
      <c r="D188">
        <f>IF(terminator!B191=0,"",terminator!B191)</f>
        <v/>
      </c>
      <c r="E188">
        <f>IF(other!B191=0,"",other!B191)</f>
        <v/>
      </c>
      <c r="F188">
        <f>IF(protein!B191=0,"",protein!B191)</f>
        <v/>
      </c>
      <c r="G188">
        <f>IF(complex!B191=0,"",complex!B191)</f>
        <v/>
      </c>
      <c r="H188">
        <f>IF(chassis!B191=0,"",chassis!B191)</f>
        <v/>
      </c>
      <c r="I188">
        <f>IF(chemicals!B191=0,"",chemicals!B191)</f>
        <v/>
      </c>
      <c r="J188">
        <f>IF(media!B191=0,"",media!B191)</f>
        <v/>
      </c>
      <c r="V188">
        <f>IF(promoter!L191="","",promoter!L191)</f>
        <v/>
      </c>
      <c r="W188">
        <f>IF(rbs!J191="","",rbs!J191)</f>
        <v/>
      </c>
      <c r="X188">
        <f>IF(cds!K191="","",cds!K191)</f>
        <v/>
      </c>
      <c r="Y188">
        <f>IF(terminator!J191="","",terminator!J191)</f>
        <v/>
      </c>
      <c r="Z188">
        <f>IF(other!K191="","",other!K191)</f>
        <v/>
      </c>
    </row>
    <row r="189">
      <c r="A189">
        <f>IF(promoter!B192=0,"",promoter!B192)</f>
        <v/>
      </c>
      <c r="B189">
        <f>IF(rbs!B192=0,"",rbs!B192)</f>
        <v/>
      </c>
      <c r="C189">
        <f>IF(cds!B192=0,"",cds!B192)</f>
        <v/>
      </c>
      <c r="D189">
        <f>IF(terminator!B192=0,"",terminator!B192)</f>
        <v/>
      </c>
      <c r="E189">
        <f>IF(other!B192=0,"",other!B192)</f>
        <v/>
      </c>
      <c r="F189">
        <f>IF(protein!B192=0,"",protein!B192)</f>
        <v/>
      </c>
      <c r="G189">
        <f>IF(complex!B192=0,"",complex!B192)</f>
        <v/>
      </c>
      <c r="H189">
        <f>IF(chassis!B192=0,"",chassis!B192)</f>
        <v/>
      </c>
      <c r="I189">
        <f>IF(chemicals!B192=0,"",chemicals!B192)</f>
        <v/>
      </c>
      <c r="J189">
        <f>IF(media!B192=0,"",media!B192)</f>
        <v/>
      </c>
      <c r="V189">
        <f>IF(promoter!L192="","",promoter!L192)</f>
        <v/>
      </c>
      <c r="W189">
        <f>IF(rbs!J192="","",rbs!J192)</f>
        <v/>
      </c>
      <c r="X189">
        <f>IF(cds!K192="","",cds!K192)</f>
        <v/>
      </c>
      <c r="Y189">
        <f>IF(terminator!J192="","",terminator!J192)</f>
        <v/>
      </c>
      <c r="Z189">
        <f>IF(other!K192="","",other!K192)</f>
        <v/>
      </c>
    </row>
    <row r="190">
      <c r="A190">
        <f>IF(promoter!B193=0,"",promoter!B193)</f>
        <v/>
      </c>
      <c r="B190">
        <f>IF(rbs!B193=0,"",rbs!B193)</f>
        <v/>
      </c>
      <c r="C190">
        <f>IF(cds!B193=0,"",cds!B193)</f>
        <v/>
      </c>
      <c r="D190">
        <f>IF(terminator!B193=0,"",terminator!B193)</f>
        <v/>
      </c>
      <c r="E190">
        <f>IF(other!B193=0,"",other!B193)</f>
        <v/>
      </c>
      <c r="F190">
        <f>IF(protein!B193=0,"",protein!B193)</f>
        <v/>
      </c>
      <c r="G190">
        <f>IF(complex!B193=0,"",complex!B193)</f>
        <v/>
      </c>
      <c r="H190">
        <f>IF(chassis!B193=0,"",chassis!B193)</f>
        <v/>
      </c>
      <c r="I190">
        <f>IF(chemicals!B193=0,"",chemicals!B193)</f>
        <v/>
      </c>
      <c r="J190">
        <f>IF(media!B193=0,"",media!B193)</f>
        <v/>
      </c>
      <c r="V190">
        <f>IF(promoter!L193="","",promoter!L193)</f>
        <v/>
      </c>
      <c r="W190">
        <f>IF(rbs!J193="","",rbs!J193)</f>
        <v/>
      </c>
      <c r="X190">
        <f>IF(cds!K193="","",cds!K193)</f>
        <v/>
      </c>
      <c r="Y190">
        <f>IF(terminator!J193="","",terminator!J193)</f>
        <v/>
      </c>
      <c r="Z190">
        <f>IF(other!K193="","",other!K193)</f>
        <v/>
      </c>
    </row>
    <row r="191">
      <c r="A191">
        <f>IF(promoter!B194=0,"",promoter!B194)</f>
        <v/>
      </c>
      <c r="B191">
        <f>IF(rbs!B194=0,"",rbs!B194)</f>
        <v/>
      </c>
      <c r="C191">
        <f>IF(cds!B194=0,"",cds!B194)</f>
        <v/>
      </c>
      <c r="D191">
        <f>IF(terminator!B194=0,"",terminator!B194)</f>
        <v/>
      </c>
      <c r="E191">
        <f>IF(other!B194=0,"",other!B194)</f>
        <v/>
      </c>
      <c r="F191">
        <f>IF(protein!B194=0,"",protein!B194)</f>
        <v/>
      </c>
      <c r="G191">
        <f>IF(complex!B194=0,"",complex!B194)</f>
        <v/>
      </c>
      <c r="H191">
        <f>IF(chassis!B194=0,"",chassis!B194)</f>
        <v/>
      </c>
      <c r="I191">
        <f>IF(chemicals!B194=0,"",chemicals!B194)</f>
        <v/>
      </c>
      <c r="J191">
        <f>IF(media!B194=0,"",media!B194)</f>
        <v/>
      </c>
      <c r="V191">
        <f>IF(promoter!L194="","",promoter!L194)</f>
        <v/>
      </c>
      <c r="W191">
        <f>IF(rbs!J194="","",rbs!J194)</f>
        <v/>
      </c>
      <c r="X191">
        <f>IF(cds!K194="","",cds!K194)</f>
        <v/>
      </c>
      <c r="Y191">
        <f>IF(terminator!J194="","",terminator!J194)</f>
        <v/>
      </c>
      <c r="Z191">
        <f>IF(other!K194="","",other!K194)</f>
        <v/>
      </c>
    </row>
    <row r="192">
      <c r="A192">
        <f>IF(promoter!B195=0,"",promoter!B195)</f>
        <v/>
      </c>
      <c r="B192">
        <f>IF(rbs!B195=0,"",rbs!B195)</f>
        <v/>
      </c>
      <c r="C192">
        <f>IF(cds!B195=0,"",cds!B195)</f>
        <v/>
      </c>
      <c r="D192">
        <f>IF(terminator!B195=0,"",terminator!B195)</f>
        <v/>
      </c>
      <c r="E192">
        <f>IF(other!B195=0,"",other!B195)</f>
        <v/>
      </c>
      <c r="F192">
        <f>IF(protein!B195=0,"",protein!B195)</f>
        <v/>
      </c>
      <c r="G192">
        <f>IF(complex!B195=0,"",complex!B195)</f>
        <v/>
      </c>
      <c r="H192">
        <f>IF(chassis!B195=0,"",chassis!B195)</f>
        <v/>
      </c>
      <c r="I192">
        <f>IF(chemicals!B195=0,"",chemicals!B195)</f>
        <v/>
      </c>
      <c r="J192">
        <f>IF(media!B195=0,"",media!B195)</f>
        <v/>
      </c>
      <c r="V192">
        <f>IF(promoter!L195="","",promoter!L195)</f>
        <v/>
      </c>
      <c r="W192">
        <f>IF(rbs!J195="","",rbs!J195)</f>
        <v/>
      </c>
      <c r="X192">
        <f>IF(cds!K195="","",cds!K195)</f>
        <v/>
      </c>
      <c r="Y192">
        <f>IF(terminator!J195="","",terminator!J195)</f>
        <v/>
      </c>
      <c r="Z192">
        <f>IF(other!K195="","",other!K195)</f>
        <v/>
      </c>
    </row>
    <row r="193">
      <c r="A193">
        <f>IF(promoter!B196=0,"",promoter!B196)</f>
        <v/>
      </c>
      <c r="B193">
        <f>IF(rbs!B196=0,"",rbs!B196)</f>
        <v/>
      </c>
      <c r="C193">
        <f>IF(cds!B196=0,"",cds!B196)</f>
        <v/>
      </c>
      <c r="D193">
        <f>IF(terminator!B196=0,"",terminator!B196)</f>
        <v/>
      </c>
      <c r="E193">
        <f>IF(other!B196=0,"",other!B196)</f>
        <v/>
      </c>
      <c r="F193">
        <f>IF(protein!B196=0,"",protein!B196)</f>
        <v/>
      </c>
      <c r="G193">
        <f>IF(complex!B196=0,"",complex!B196)</f>
        <v/>
      </c>
      <c r="H193">
        <f>IF(chassis!B196=0,"",chassis!B196)</f>
        <v/>
      </c>
      <c r="I193">
        <f>IF(chemicals!B196=0,"",chemicals!B196)</f>
        <v/>
      </c>
      <c r="J193">
        <f>IF(media!B196=0,"",media!B196)</f>
        <v/>
      </c>
      <c r="V193">
        <f>IF(promoter!L196="","",promoter!L196)</f>
        <v/>
      </c>
      <c r="W193">
        <f>IF(rbs!J196="","",rbs!J196)</f>
        <v/>
      </c>
      <c r="X193">
        <f>IF(cds!K196="","",cds!K196)</f>
        <v/>
      </c>
      <c r="Y193">
        <f>IF(terminator!J196="","",terminator!J196)</f>
        <v/>
      </c>
      <c r="Z193">
        <f>IF(other!K196="","",other!K196)</f>
        <v/>
      </c>
    </row>
    <row r="194">
      <c r="A194">
        <f>IF(promoter!B197=0,"",promoter!B197)</f>
        <v/>
      </c>
      <c r="B194">
        <f>IF(rbs!B197=0,"",rbs!B197)</f>
        <v/>
      </c>
      <c r="C194">
        <f>IF(cds!B197=0,"",cds!B197)</f>
        <v/>
      </c>
      <c r="D194">
        <f>IF(terminator!B197=0,"",terminator!B197)</f>
        <v/>
      </c>
      <c r="E194">
        <f>IF(other!B197=0,"",other!B197)</f>
        <v/>
      </c>
      <c r="F194">
        <f>IF(protein!B197=0,"",protein!B197)</f>
        <v/>
      </c>
      <c r="G194">
        <f>IF(complex!B197=0,"",complex!B197)</f>
        <v/>
      </c>
      <c r="H194">
        <f>IF(chassis!B197=0,"",chassis!B197)</f>
        <v/>
      </c>
      <c r="I194">
        <f>IF(chemicals!B197=0,"",chemicals!B197)</f>
        <v/>
      </c>
      <c r="J194">
        <f>IF(media!B197=0,"",media!B197)</f>
        <v/>
      </c>
      <c r="V194">
        <f>IF(promoter!L197="","",promoter!L197)</f>
        <v/>
      </c>
      <c r="W194">
        <f>IF(rbs!J197="","",rbs!J197)</f>
        <v/>
      </c>
      <c r="X194">
        <f>IF(cds!K197="","",cds!K197)</f>
        <v/>
      </c>
      <c r="Y194">
        <f>IF(terminator!J197="","",terminator!J197)</f>
        <v/>
      </c>
      <c r="Z194">
        <f>IF(other!K197="","",other!K197)</f>
        <v/>
      </c>
    </row>
    <row r="195">
      <c r="A195">
        <f>IF(promoter!B198=0,"",promoter!B198)</f>
        <v/>
      </c>
      <c r="B195">
        <f>IF(rbs!B198=0,"",rbs!B198)</f>
        <v/>
      </c>
      <c r="C195">
        <f>IF(cds!B198=0,"",cds!B198)</f>
        <v/>
      </c>
      <c r="D195">
        <f>IF(terminator!B198=0,"",terminator!B198)</f>
        <v/>
      </c>
      <c r="E195">
        <f>IF(other!B198=0,"",other!B198)</f>
        <v/>
      </c>
      <c r="F195">
        <f>IF(protein!B198=0,"",protein!B198)</f>
        <v/>
      </c>
      <c r="G195">
        <f>IF(complex!B198=0,"",complex!B198)</f>
        <v/>
      </c>
      <c r="H195">
        <f>IF(chassis!B198=0,"",chassis!B198)</f>
        <v/>
      </c>
      <c r="I195">
        <f>IF(chemicals!B198=0,"",chemicals!B198)</f>
        <v/>
      </c>
      <c r="J195">
        <f>IF(media!B198=0,"",media!B198)</f>
        <v/>
      </c>
      <c r="V195">
        <f>IF(promoter!L198="","",promoter!L198)</f>
        <v/>
      </c>
      <c r="W195">
        <f>IF(rbs!J198="","",rbs!J198)</f>
        <v/>
      </c>
      <c r="X195">
        <f>IF(cds!K198="","",cds!K198)</f>
        <v/>
      </c>
      <c r="Y195">
        <f>IF(terminator!J198="","",terminator!J198)</f>
        <v/>
      </c>
      <c r="Z195">
        <f>IF(other!K198="","",other!K198)</f>
        <v/>
      </c>
    </row>
    <row r="196">
      <c r="A196">
        <f>IF(promoter!B199=0,"",promoter!B199)</f>
        <v/>
      </c>
      <c r="B196">
        <f>IF(rbs!B199=0,"",rbs!B199)</f>
        <v/>
      </c>
      <c r="C196">
        <f>IF(cds!B199=0,"",cds!B199)</f>
        <v/>
      </c>
      <c r="D196">
        <f>IF(terminator!B199=0,"",terminator!B199)</f>
        <v/>
      </c>
      <c r="E196">
        <f>IF(other!B199=0,"",other!B199)</f>
        <v/>
      </c>
      <c r="F196">
        <f>IF(protein!B199=0,"",protein!B199)</f>
        <v/>
      </c>
      <c r="G196">
        <f>IF(complex!B199=0,"",complex!B199)</f>
        <v/>
      </c>
      <c r="H196">
        <f>IF(chassis!B199=0,"",chassis!B199)</f>
        <v/>
      </c>
      <c r="I196">
        <f>IF(chemicals!B199=0,"",chemicals!B199)</f>
        <v/>
      </c>
      <c r="J196">
        <f>IF(media!B199=0,"",media!B199)</f>
        <v/>
      </c>
      <c r="V196">
        <f>IF(promoter!L199="","",promoter!L199)</f>
        <v/>
      </c>
      <c r="W196">
        <f>IF(rbs!J199="","",rbs!J199)</f>
        <v/>
      </c>
      <c r="X196">
        <f>IF(cds!K199="","",cds!K199)</f>
        <v/>
      </c>
      <c r="Y196">
        <f>IF(terminator!J199="","",terminator!J199)</f>
        <v/>
      </c>
      <c r="Z196">
        <f>IF(other!K199="","",other!K199)</f>
        <v/>
      </c>
    </row>
    <row r="197">
      <c r="A197">
        <f>IF(promoter!B200=0,"",promoter!B200)</f>
        <v/>
      </c>
      <c r="B197">
        <f>IF(rbs!B200=0,"",rbs!B200)</f>
        <v/>
      </c>
      <c r="C197">
        <f>IF(cds!B200=0,"",cds!B200)</f>
        <v/>
      </c>
      <c r="D197">
        <f>IF(terminator!B200=0,"",terminator!B200)</f>
        <v/>
      </c>
      <c r="E197">
        <f>IF(other!B200=0,"",other!B200)</f>
        <v/>
      </c>
      <c r="F197">
        <f>IF(protein!B200=0,"",protein!B200)</f>
        <v/>
      </c>
      <c r="G197">
        <f>IF(complex!B200=0,"",complex!B200)</f>
        <v/>
      </c>
      <c r="H197">
        <f>IF(chassis!B200=0,"",chassis!B200)</f>
        <v/>
      </c>
      <c r="I197">
        <f>IF(chemicals!B200=0,"",chemicals!B200)</f>
        <v/>
      </c>
      <c r="J197">
        <f>IF(media!B200=0,"",media!B200)</f>
        <v/>
      </c>
      <c r="V197">
        <f>IF(promoter!L200="","",promoter!L200)</f>
        <v/>
      </c>
      <c r="W197">
        <f>IF(rbs!J200="","",rbs!J200)</f>
        <v/>
      </c>
      <c r="X197">
        <f>IF(cds!K200="","",cds!K200)</f>
        <v/>
      </c>
      <c r="Y197">
        <f>IF(terminator!J200="","",terminator!J200)</f>
        <v/>
      </c>
      <c r="Z197">
        <f>IF(other!K200="","",other!K200)</f>
        <v/>
      </c>
    </row>
    <row r="198">
      <c r="A198">
        <f>IF(promoter!B201=0,"",promoter!B201)</f>
        <v/>
      </c>
      <c r="B198">
        <f>IF(rbs!B201=0,"",rbs!B201)</f>
        <v/>
      </c>
      <c r="C198">
        <f>IF(cds!B201=0,"",cds!B201)</f>
        <v/>
      </c>
      <c r="D198">
        <f>IF(terminator!B201=0,"",terminator!B201)</f>
        <v/>
      </c>
      <c r="E198">
        <f>IF(other!B201=0,"",other!B201)</f>
        <v/>
      </c>
      <c r="F198">
        <f>IF(protein!B201=0,"",protein!B201)</f>
        <v/>
      </c>
      <c r="G198">
        <f>IF(complex!B201=0,"",complex!B201)</f>
        <v/>
      </c>
      <c r="H198">
        <f>IF(chassis!B201=0,"",chassis!B201)</f>
        <v/>
      </c>
      <c r="I198">
        <f>IF(chemicals!B201=0,"",chemicals!B201)</f>
        <v/>
      </c>
      <c r="J198">
        <f>IF(media!B201=0,"",media!B201)</f>
        <v/>
      </c>
      <c r="V198">
        <f>IF(promoter!L201="","",promoter!L201)</f>
        <v/>
      </c>
      <c r="W198">
        <f>IF(rbs!J201="","",rbs!J201)</f>
        <v/>
      </c>
      <c r="X198">
        <f>IF(cds!K201="","",cds!K201)</f>
        <v/>
      </c>
      <c r="Y198">
        <f>IF(terminator!J201="","",terminator!J201)</f>
        <v/>
      </c>
      <c r="Z198">
        <f>IF(other!K201="","",other!K201)</f>
        <v/>
      </c>
    </row>
    <row r="199">
      <c r="A199">
        <f>IF(promoter!B202=0,"",promoter!B202)</f>
        <v/>
      </c>
      <c r="B199">
        <f>IF(rbs!B202=0,"",rbs!B202)</f>
        <v/>
      </c>
      <c r="C199">
        <f>IF(cds!B202=0,"",cds!B202)</f>
        <v/>
      </c>
      <c r="D199">
        <f>IF(terminator!B202=0,"",terminator!B202)</f>
        <v/>
      </c>
      <c r="E199">
        <f>IF(other!B202=0,"",other!B202)</f>
        <v/>
      </c>
      <c r="F199">
        <f>IF(protein!B202=0,"",protein!B202)</f>
        <v/>
      </c>
      <c r="G199">
        <f>IF(complex!B202=0,"",complex!B202)</f>
        <v/>
      </c>
      <c r="H199">
        <f>IF(chassis!B202=0,"",chassis!B202)</f>
        <v/>
      </c>
      <c r="I199">
        <f>IF(chemicals!B202=0,"",chemicals!B202)</f>
        <v/>
      </c>
      <c r="J199">
        <f>IF(media!B202=0,"",media!B202)</f>
        <v/>
      </c>
      <c r="V199">
        <f>IF(promoter!L202="","",promoter!L202)</f>
        <v/>
      </c>
      <c r="W199">
        <f>IF(rbs!J202="","",rbs!J202)</f>
        <v/>
      </c>
      <c r="X199">
        <f>IF(cds!K202="","",cds!K202)</f>
        <v/>
      </c>
      <c r="Y199">
        <f>IF(terminator!J202="","",terminator!J202)</f>
        <v/>
      </c>
      <c r="Z199">
        <f>IF(other!K202="","",other!K202)</f>
        <v/>
      </c>
    </row>
    <row r="200">
      <c r="A200">
        <f>IF(promoter!B203=0,"",promoter!B203)</f>
        <v/>
      </c>
      <c r="B200">
        <f>IF(rbs!B203=0,"",rbs!B203)</f>
        <v/>
      </c>
      <c r="C200">
        <f>IF(cds!B203=0,"",cds!B203)</f>
        <v/>
      </c>
      <c r="D200">
        <f>IF(terminator!B203=0,"",terminator!B203)</f>
        <v/>
      </c>
      <c r="E200">
        <f>IF(other!B203=0,"",other!B203)</f>
        <v/>
      </c>
      <c r="F200">
        <f>IF(protein!B203=0,"",protein!B203)</f>
        <v/>
      </c>
      <c r="G200">
        <f>IF(complex!B203=0,"",complex!B203)</f>
        <v/>
      </c>
      <c r="H200">
        <f>IF(chassis!B203=0,"",chassis!B203)</f>
        <v/>
      </c>
      <c r="I200">
        <f>IF(chemicals!B203=0,"",chemicals!B203)</f>
        <v/>
      </c>
      <c r="J200">
        <f>IF(media!B203=0,"",media!B203)</f>
        <v/>
      </c>
      <c r="V200">
        <f>IF(promoter!L203="","",promoter!L203)</f>
        <v/>
      </c>
      <c r="W200">
        <f>IF(rbs!J203="","",rbs!J203)</f>
        <v/>
      </c>
      <c r="X200">
        <f>IF(cds!K203="","",cds!K203)</f>
        <v/>
      </c>
      <c r="Y200">
        <f>IF(terminator!J203="","",terminator!J203)</f>
        <v/>
      </c>
      <c r="Z200">
        <f>IF(other!K203="","",other!K203)</f>
        <v/>
      </c>
    </row>
    <row r="201">
      <c r="H201">
        <f>IF(chassis!B204=0,"",chassis!B204)</f>
        <v/>
      </c>
      <c r="V201">
        <f>IF(promoter!L204="","",promoter!L204)</f>
        <v/>
      </c>
      <c r="W201">
        <f>IF(rbs!J204="","",rbs!J204)</f>
        <v/>
      </c>
      <c r="X201">
        <f>IF(cds!K204="","",cds!K204)</f>
        <v/>
      </c>
      <c r="Y201">
        <f>IF(terminator!J204="","",terminator!J204)</f>
        <v/>
      </c>
      <c r="Z201">
        <f>IF(other!K204="","",other!K204)</f>
        <v/>
      </c>
    </row>
    <row r="202">
      <c r="H202">
        <f>IF(chassis!B205=0,"",chassis!B205)</f>
        <v/>
      </c>
      <c r="V202">
        <f>IF(promoter!L205="","",promoter!L205)</f>
        <v/>
      </c>
      <c r="W202">
        <f>IF(rbs!J205="","",rbs!J205)</f>
        <v/>
      </c>
      <c r="X202">
        <f>IF(cds!K205="","",cds!K205)</f>
        <v/>
      </c>
      <c r="Y202">
        <f>IF(terminator!J205="","",terminator!J205)</f>
        <v/>
      </c>
      <c r="Z202">
        <f>IF(other!K205="","",other!K205)</f>
        <v/>
      </c>
    </row>
    <row r="203">
      <c r="H203">
        <f>IF(chassis!B206=0,"",chassis!B206)</f>
        <v/>
      </c>
      <c r="V203">
        <f>IF(promoter!L206="","",promoter!L206)</f>
        <v/>
      </c>
      <c r="W203">
        <f>IF(rbs!J206="","",rbs!J206)</f>
        <v/>
      </c>
      <c r="X203">
        <f>IF(cds!K206="","",cds!K206)</f>
        <v/>
      </c>
      <c r="Y203">
        <f>IF(terminator!J206="","",terminator!J206)</f>
        <v/>
      </c>
      <c r="Z203">
        <f>IF(other!K206="","",other!K206)</f>
        <v/>
      </c>
    </row>
    <row r="204">
      <c r="H204">
        <f>IF(chassis!B207=0,"",chassis!B207)</f>
        <v/>
      </c>
      <c r="V204">
        <f>IF(promoter!L207="","",promoter!L207)</f>
        <v/>
      </c>
      <c r="W204">
        <f>IF(rbs!J207="","",rbs!J207)</f>
        <v/>
      </c>
      <c r="X204">
        <f>IF(cds!K207="","",cds!K207)</f>
        <v/>
      </c>
      <c r="Y204">
        <f>IF(terminator!J207="","",terminator!J207)</f>
        <v/>
      </c>
      <c r="Z204">
        <f>IF(other!K207="","",other!K207)</f>
        <v/>
      </c>
    </row>
    <row r="205">
      <c r="H205">
        <f>IF(chassis!B208=0,"",chassis!B208)</f>
        <v/>
      </c>
      <c r="V205">
        <f>IF(promoter!L208="","",promoter!L208)</f>
        <v/>
      </c>
      <c r="W205">
        <f>IF(rbs!J208="","",rbs!J208)</f>
        <v/>
      </c>
      <c r="X205">
        <f>IF(cds!K208="","",cds!K208)</f>
        <v/>
      </c>
      <c r="Y205">
        <f>IF(terminator!J208="","",terminator!J208)</f>
        <v/>
      </c>
      <c r="Z205">
        <f>IF(other!K208="","",other!K208)</f>
        <v/>
      </c>
    </row>
    <row r="206">
      <c r="H206">
        <f>IF(chassis!B209=0,"",chassis!B209)</f>
        <v/>
      </c>
      <c r="V206">
        <f>IF(promoter!L209="","",promoter!L209)</f>
        <v/>
      </c>
      <c r="W206">
        <f>IF(rbs!J209="","",rbs!J209)</f>
        <v/>
      </c>
      <c r="X206">
        <f>IF(cds!K209="","",cds!K209)</f>
        <v/>
      </c>
      <c r="Y206">
        <f>IF(terminator!J209="","",terminator!J209)</f>
        <v/>
      </c>
      <c r="Z206">
        <f>IF(other!K209="","",other!K209)</f>
        <v/>
      </c>
    </row>
    <row r="207">
      <c r="H207">
        <f>IF(chassis!B210=0,"",chassis!B210)</f>
        <v/>
      </c>
      <c r="V207">
        <f>IF(promoter!L210="","",promoter!L210)</f>
        <v/>
      </c>
      <c r="W207">
        <f>IF(rbs!J210="","",rbs!J210)</f>
        <v/>
      </c>
      <c r="X207">
        <f>IF(cds!K210="","",cds!K210)</f>
        <v/>
      </c>
      <c r="Y207">
        <f>IF(terminator!J210="","",terminator!J210)</f>
        <v/>
      </c>
      <c r="Z207">
        <f>IF(other!K210="","",other!K210)</f>
        <v/>
      </c>
    </row>
    <row r="208">
      <c r="H208">
        <f>IF(chassis!B211=0,"",chassis!B211)</f>
        <v/>
      </c>
      <c r="V208">
        <f>IF(promoter!L211="","",promoter!L211)</f>
        <v/>
      </c>
      <c r="W208">
        <f>IF(rbs!J211="","",rbs!J211)</f>
        <v/>
      </c>
      <c r="X208">
        <f>IF(cds!K211="","",cds!K211)</f>
        <v/>
      </c>
      <c r="Y208">
        <f>IF(terminator!J211="","",terminator!J211)</f>
        <v/>
      </c>
      <c r="Z208">
        <f>IF(other!K211="","",other!K211)</f>
        <v/>
      </c>
    </row>
    <row r="209">
      <c r="H209">
        <f>IF(chassis!B212=0,"",chassis!B212)</f>
        <v/>
      </c>
      <c r="V209">
        <f>IF(promoter!L212="","",promoter!L212)</f>
        <v/>
      </c>
      <c r="W209">
        <f>IF(rbs!J212="","",rbs!J212)</f>
        <v/>
      </c>
      <c r="X209">
        <f>IF(cds!K212="","",cds!K212)</f>
        <v/>
      </c>
      <c r="Y209">
        <f>IF(terminator!J212="","",terminator!J212)</f>
        <v/>
      </c>
      <c r="Z209">
        <f>IF(other!K212="","",other!K212)</f>
        <v/>
      </c>
    </row>
    <row r="210">
      <c r="H210">
        <f>IF(chassis!B213=0,"",chassis!B213)</f>
        <v/>
      </c>
      <c r="V210">
        <f>IF(promoter!L213="","",promoter!L213)</f>
        <v/>
      </c>
      <c r="W210">
        <f>IF(rbs!J213="","",rbs!J213)</f>
        <v/>
      </c>
      <c r="X210">
        <f>IF(cds!K213="","",cds!K213)</f>
        <v/>
      </c>
      <c r="Y210">
        <f>IF(terminator!J213="","",terminator!J213)</f>
        <v/>
      </c>
      <c r="Z210">
        <f>IF(other!K213="","",other!K213)</f>
        <v/>
      </c>
    </row>
    <row r="211">
      <c r="H211">
        <f>IF(chassis!B214=0,"",chassis!B214)</f>
        <v/>
      </c>
      <c r="V211">
        <f>IF(promoter!L214="","",promoter!L214)</f>
        <v/>
      </c>
      <c r="W211">
        <f>IF(rbs!J214="","",rbs!J214)</f>
        <v/>
      </c>
      <c r="X211">
        <f>IF(cds!K214="","",cds!K214)</f>
        <v/>
      </c>
      <c r="Y211">
        <f>IF(terminator!J214="","",terminator!J214)</f>
        <v/>
      </c>
      <c r="Z211">
        <f>IF(other!K214="","",other!K214)</f>
        <v/>
      </c>
    </row>
    <row r="212">
      <c r="H212">
        <f>IF(chassis!B215=0,"",chassis!B215)</f>
        <v/>
      </c>
      <c r="V212">
        <f>IF(promoter!L215="","",promoter!L215)</f>
        <v/>
      </c>
      <c r="W212">
        <f>IF(rbs!J215="","",rbs!J215)</f>
        <v/>
      </c>
      <c r="X212">
        <f>IF(cds!K215="","",cds!K215)</f>
        <v/>
      </c>
      <c r="Y212">
        <f>IF(terminator!J215="","",terminator!J215)</f>
        <v/>
      </c>
      <c r="Z212">
        <f>IF(other!K215="","",other!K215)</f>
        <v/>
      </c>
    </row>
    <row r="213">
      <c r="H213">
        <f>IF(chassis!B216=0,"",chassis!B216)</f>
        <v/>
      </c>
      <c r="V213">
        <f>IF(promoter!L216="","",promoter!L216)</f>
        <v/>
      </c>
      <c r="W213">
        <f>IF(rbs!J216="","",rbs!J216)</f>
        <v/>
      </c>
      <c r="X213">
        <f>IF(cds!K216="","",cds!K216)</f>
        <v/>
      </c>
      <c r="Y213">
        <f>IF(terminator!J216="","",terminator!J216)</f>
        <v/>
      </c>
      <c r="Z213">
        <f>IF(other!K216="","",other!K216)</f>
        <v/>
      </c>
    </row>
    <row r="214">
      <c r="H214">
        <f>IF(chassis!B217=0,"",chassis!B217)</f>
        <v/>
      </c>
      <c r="V214">
        <f>IF(promoter!L217="","",promoter!L217)</f>
        <v/>
      </c>
      <c r="W214">
        <f>IF(rbs!J217="","",rbs!J217)</f>
        <v/>
      </c>
      <c r="X214">
        <f>IF(cds!K217="","",cds!K217)</f>
        <v/>
      </c>
      <c r="Y214">
        <f>IF(terminator!J217="","",terminator!J217)</f>
        <v/>
      </c>
      <c r="Z214">
        <f>IF(other!K217="","",other!K217)</f>
        <v/>
      </c>
    </row>
    <row r="215">
      <c r="H215">
        <f>IF(chassis!B218=0,"",chassis!B218)</f>
        <v/>
      </c>
      <c r="V215">
        <f>IF(promoter!L218="","",promoter!L218)</f>
        <v/>
      </c>
      <c r="W215">
        <f>IF(rbs!J218="","",rbs!J218)</f>
        <v/>
      </c>
      <c r="X215">
        <f>IF(cds!K218="","",cds!K218)</f>
        <v/>
      </c>
      <c r="Y215">
        <f>IF(terminator!J218="","",terminator!J218)</f>
        <v/>
      </c>
      <c r="Z215">
        <f>IF(other!K218="","",other!K218)</f>
        <v/>
      </c>
    </row>
    <row r="216">
      <c r="H216">
        <f>IF(chassis!B219=0,"",chassis!B219)</f>
        <v/>
      </c>
      <c r="V216">
        <f>IF(promoter!L219="","",promoter!L219)</f>
        <v/>
      </c>
      <c r="W216">
        <f>IF(rbs!J219="","",rbs!J219)</f>
        <v/>
      </c>
      <c r="X216">
        <f>IF(cds!K219="","",cds!K219)</f>
        <v/>
      </c>
      <c r="Y216">
        <f>IF(terminator!J219="","",terminator!J219)</f>
        <v/>
      </c>
      <c r="Z216">
        <f>IF(other!K219="","",other!K219)</f>
        <v/>
      </c>
    </row>
    <row r="217">
      <c r="H217">
        <f>IF(chassis!B220=0,"",chassis!B220)</f>
        <v/>
      </c>
      <c r="V217">
        <f>IF(promoter!L220="","",promoter!L220)</f>
        <v/>
      </c>
      <c r="W217">
        <f>IF(rbs!J220="","",rbs!J220)</f>
        <v/>
      </c>
      <c r="X217">
        <f>IF(cds!K220="","",cds!K220)</f>
        <v/>
      </c>
      <c r="Y217">
        <f>IF(terminator!J220="","",terminator!J220)</f>
        <v/>
      </c>
      <c r="Z217">
        <f>IF(other!K220="","",other!K220)</f>
        <v/>
      </c>
    </row>
    <row r="218">
      <c r="H218">
        <f>IF(chassis!B221=0,"",chassis!B221)</f>
        <v/>
      </c>
      <c r="V218">
        <f>IF(promoter!L221="","",promoter!L221)</f>
        <v/>
      </c>
      <c r="W218">
        <f>IF(rbs!J221="","",rbs!J221)</f>
        <v/>
      </c>
      <c r="X218">
        <f>IF(cds!K221="","",cds!K221)</f>
        <v/>
      </c>
      <c r="Y218">
        <f>IF(terminator!J221="","",terminator!J221)</f>
        <v/>
      </c>
      <c r="Z218">
        <f>IF(other!K221="","",other!K221)</f>
        <v/>
      </c>
    </row>
    <row r="219">
      <c r="H219">
        <f>IF(chassis!B222=0,"",chassis!B222)</f>
        <v/>
      </c>
      <c r="V219">
        <f>IF(promoter!L222="","",promoter!L222)</f>
        <v/>
      </c>
      <c r="W219">
        <f>IF(rbs!J222="","",rbs!J222)</f>
        <v/>
      </c>
      <c r="X219">
        <f>IF(cds!K222="","",cds!K222)</f>
        <v/>
      </c>
      <c r="Y219">
        <f>IF(terminator!J222="","",terminator!J222)</f>
        <v/>
      </c>
      <c r="Z219">
        <f>IF(other!K222="","",other!K222)</f>
        <v/>
      </c>
    </row>
    <row r="220">
      <c r="H220">
        <f>IF(chassis!B223=0,"",chassis!B223)</f>
        <v/>
      </c>
      <c r="V220">
        <f>IF(promoter!L223="","",promoter!L223)</f>
        <v/>
      </c>
      <c r="W220">
        <f>IF(rbs!J223="","",rbs!J223)</f>
        <v/>
      </c>
      <c r="X220">
        <f>IF(cds!K223="","",cds!K223)</f>
        <v/>
      </c>
      <c r="Y220">
        <f>IF(terminator!J223="","",terminator!J223)</f>
        <v/>
      </c>
      <c r="Z220">
        <f>IF(other!K223="","",other!K223)</f>
        <v/>
      </c>
    </row>
    <row r="221">
      <c r="H221">
        <f>IF(chassis!B224=0,"",chassis!B224)</f>
        <v/>
      </c>
      <c r="V221">
        <f>IF(promoter!L224="","",promoter!L224)</f>
        <v/>
      </c>
      <c r="W221">
        <f>IF(rbs!J224="","",rbs!J224)</f>
        <v/>
      </c>
      <c r="X221">
        <f>IF(cds!K224="","",cds!K224)</f>
        <v/>
      </c>
      <c r="Y221">
        <f>IF(terminator!J224="","",terminator!J224)</f>
        <v/>
      </c>
      <c r="Z221">
        <f>IF(other!K224="","",other!K224)</f>
        <v/>
      </c>
    </row>
    <row r="222">
      <c r="H222">
        <f>IF(chassis!B225=0,"",chassis!B225)</f>
        <v/>
      </c>
      <c r="V222">
        <f>IF(promoter!L225="","",promoter!L225)</f>
        <v/>
      </c>
      <c r="W222">
        <f>IF(rbs!J225="","",rbs!J225)</f>
        <v/>
      </c>
      <c r="X222">
        <f>IF(cds!K225="","",cds!K225)</f>
        <v/>
      </c>
      <c r="Y222">
        <f>IF(terminator!J225="","",terminator!J225)</f>
        <v/>
      </c>
      <c r="Z222">
        <f>IF(other!K225="","",other!K225)</f>
        <v/>
      </c>
    </row>
    <row r="223">
      <c r="H223">
        <f>IF(chassis!B226=0,"",chassis!B226)</f>
        <v/>
      </c>
      <c r="V223">
        <f>IF(promoter!L226="","",promoter!L226)</f>
        <v/>
      </c>
      <c r="W223">
        <f>IF(rbs!J226="","",rbs!J226)</f>
        <v/>
      </c>
      <c r="X223">
        <f>IF(cds!K226="","",cds!K226)</f>
        <v/>
      </c>
      <c r="Y223">
        <f>IF(terminator!J226="","",terminator!J226)</f>
        <v/>
      </c>
      <c r="Z223">
        <f>IF(other!K226="","",other!K226)</f>
        <v/>
      </c>
    </row>
    <row r="224">
      <c r="H224">
        <f>IF(chassis!B227=0,"",chassis!B227)</f>
        <v/>
      </c>
      <c r="V224">
        <f>IF(promoter!L227="","",promoter!L227)</f>
        <v/>
      </c>
      <c r="W224">
        <f>IF(rbs!J227="","",rbs!J227)</f>
        <v/>
      </c>
      <c r="X224">
        <f>IF(cds!K227="","",cds!K227)</f>
        <v/>
      </c>
      <c r="Y224">
        <f>IF(terminator!J227="","",terminator!J227)</f>
        <v/>
      </c>
      <c r="Z224">
        <f>IF(other!K227="","",other!K227)</f>
        <v/>
      </c>
    </row>
    <row r="225">
      <c r="H225">
        <f>IF(chassis!B228=0,"",chassis!B228)</f>
        <v/>
      </c>
      <c r="V225">
        <f>IF(promoter!L228="","",promoter!L228)</f>
        <v/>
      </c>
      <c r="W225">
        <f>IF(rbs!J228="","",rbs!J228)</f>
        <v/>
      </c>
      <c r="X225">
        <f>IF(cds!K228="","",cds!K228)</f>
        <v/>
      </c>
      <c r="Y225">
        <f>IF(terminator!J228="","",terminator!J228)</f>
        <v/>
      </c>
      <c r="Z225">
        <f>IF(other!K228="","",other!K228)</f>
        <v/>
      </c>
    </row>
    <row r="226">
      <c r="H226">
        <f>IF(chassis!B229=0,"",chassis!B229)</f>
        <v/>
      </c>
      <c r="V226">
        <f>IF(promoter!L229="","",promoter!L229)</f>
        <v/>
      </c>
      <c r="W226">
        <f>IF(rbs!J229="","",rbs!J229)</f>
        <v/>
      </c>
      <c r="X226">
        <f>IF(cds!K229="","",cds!K229)</f>
        <v/>
      </c>
      <c r="Y226">
        <f>IF(terminator!J229="","",terminator!J229)</f>
        <v/>
      </c>
      <c r="Z226">
        <f>IF(other!K229="","",other!K229)</f>
        <v/>
      </c>
    </row>
    <row r="227">
      <c r="H227">
        <f>IF(chassis!B230=0,"",chassis!B230)</f>
        <v/>
      </c>
      <c r="V227">
        <f>IF(promoter!L230="","",promoter!L230)</f>
        <v/>
      </c>
      <c r="W227">
        <f>IF(rbs!J230="","",rbs!J230)</f>
        <v/>
      </c>
      <c r="X227">
        <f>IF(cds!K230="","",cds!K230)</f>
        <v/>
      </c>
      <c r="Y227">
        <f>IF(terminator!J230="","",terminator!J230)</f>
        <v/>
      </c>
      <c r="Z227">
        <f>IF(other!K230="","",other!K230)</f>
        <v/>
      </c>
    </row>
    <row r="228">
      <c r="H228">
        <f>IF(chassis!B231=0,"",chassis!B231)</f>
        <v/>
      </c>
      <c r="V228">
        <f>IF(promoter!L231="","",promoter!L231)</f>
        <v/>
      </c>
      <c r="W228">
        <f>IF(rbs!J231="","",rbs!J231)</f>
        <v/>
      </c>
      <c r="X228">
        <f>IF(cds!K231="","",cds!K231)</f>
        <v/>
      </c>
      <c r="Y228">
        <f>IF(terminator!J231="","",terminator!J231)</f>
        <v/>
      </c>
      <c r="Z228">
        <f>IF(other!K231="","",other!K231)</f>
        <v/>
      </c>
    </row>
    <row r="229">
      <c r="H229">
        <f>IF(chassis!B232=0,"",chassis!B232)</f>
        <v/>
      </c>
      <c r="V229">
        <f>IF(promoter!L232="","",promoter!L232)</f>
        <v/>
      </c>
      <c r="W229">
        <f>IF(rbs!J232="","",rbs!J232)</f>
        <v/>
      </c>
      <c r="X229">
        <f>IF(cds!K232="","",cds!K232)</f>
        <v/>
      </c>
      <c r="Y229">
        <f>IF(terminator!J232="","",terminator!J232)</f>
        <v/>
      </c>
      <c r="Z229">
        <f>IF(other!K232="","",other!K232)</f>
        <v/>
      </c>
    </row>
    <row r="230">
      <c r="H230">
        <f>IF(chassis!B233=0,"",chassis!B233)</f>
        <v/>
      </c>
      <c r="V230">
        <f>IF(promoter!L233="","",promoter!L233)</f>
        <v/>
      </c>
      <c r="W230">
        <f>IF(rbs!J233="","",rbs!J233)</f>
        <v/>
      </c>
      <c r="X230">
        <f>IF(cds!K233="","",cds!K233)</f>
        <v/>
      </c>
      <c r="Y230">
        <f>IF(terminator!J233="","",terminator!J233)</f>
        <v/>
      </c>
      <c r="Z230">
        <f>IF(other!K233="","",other!K233)</f>
        <v/>
      </c>
    </row>
    <row r="231">
      <c r="H231">
        <f>IF(chassis!B234=0,"",chassis!B234)</f>
        <v/>
      </c>
      <c r="V231">
        <f>IF(promoter!L234="","",promoter!L234)</f>
        <v/>
      </c>
      <c r="W231">
        <f>IF(rbs!J234="","",rbs!J234)</f>
        <v/>
      </c>
      <c r="X231">
        <f>IF(cds!K234="","",cds!K234)</f>
        <v/>
      </c>
      <c r="Y231">
        <f>IF(terminator!J234="","",terminator!J234)</f>
        <v/>
      </c>
      <c r="Z231">
        <f>IF(other!K234="","",other!K234)</f>
        <v/>
      </c>
    </row>
    <row r="232">
      <c r="H232">
        <f>IF(chassis!B235=0,"",chassis!B235)</f>
        <v/>
      </c>
      <c r="V232">
        <f>IF(promoter!L235="","",promoter!L235)</f>
        <v/>
      </c>
      <c r="W232">
        <f>IF(rbs!J235="","",rbs!J235)</f>
        <v/>
      </c>
      <c r="X232">
        <f>IF(cds!K235="","",cds!K235)</f>
        <v/>
      </c>
      <c r="Y232">
        <f>IF(terminator!J235="","",terminator!J235)</f>
        <v/>
      </c>
      <c r="Z232">
        <f>IF(other!K235="","",other!K235)</f>
        <v/>
      </c>
    </row>
    <row r="233">
      <c r="H233">
        <f>IF(chassis!B236=0,"",chassis!B236)</f>
        <v/>
      </c>
      <c r="V233">
        <f>IF(promoter!L236="","",promoter!L236)</f>
        <v/>
      </c>
      <c r="W233">
        <f>IF(rbs!J236="","",rbs!J236)</f>
        <v/>
      </c>
      <c r="X233">
        <f>IF(cds!K236="","",cds!K236)</f>
        <v/>
      </c>
      <c r="Y233">
        <f>IF(terminator!J236="","",terminator!J236)</f>
        <v/>
      </c>
      <c r="Z233">
        <f>IF(other!K236="","",other!K236)</f>
        <v/>
      </c>
    </row>
    <row r="234">
      <c r="H234">
        <f>IF(chassis!B237=0,"",chassis!B237)</f>
        <v/>
      </c>
      <c r="V234">
        <f>IF(promoter!L237="","",promoter!L237)</f>
        <v/>
      </c>
      <c r="W234">
        <f>IF(rbs!J237="","",rbs!J237)</f>
        <v/>
      </c>
      <c r="X234">
        <f>IF(cds!K237="","",cds!K237)</f>
        <v/>
      </c>
      <c r="Y234">
        <f>IF(terminator!J237="","",terminator!J237)</f>
        <v/>
      </c>
      <c r="Z234">
        <f>IF(other!K237="","",other!K237)</f>
        <v/>
      </c>
    </row>
    <row r="235">
      <c r="H235">
        <f>IF(chassis!B238=0,"",chassis!B238)</f>
        <v/>
      </c>
      <c r="V235">
        <f>IF(promoter!L238="","",promoter!L238)</f>
        <v/>
      </c>
      <c r="W235">
        <f>IF(rbs!J238="","",rbs!J238)</f>
        <v/>
      </c>
      <c r="X235">
        <f>IF(cds!K238="","",cds!K238)</f>
        <v/>
      </c>
      <c r="Y235">
        <f>IF(terminator!J238="","",terminator!J238)</f>
        <v/>
      </c>
      <c r="Z235">
        <f>IF(other!K238="","",other!K238)</f>
        <v/>
      </c>
    </row>
    <row r="236">
      <c r="H236">
        <f>IF(chassis!B239=0,"",chassis!B239)</f>
        <v/>
      </c>
      <c r="V236">
        <f>IF(promoter!L239="","",promoter!L239)</f>
        <v/>
      </c>
      <c r="W236">
        <f>IF(rbs!J239="","",rbs!J239)</f>
        <v/>
      </c>
      <c r="X236">
        <f>IF(cds!K239="","",cds!K239)</f>
        <v/>
      </c>
      <c r="Y236">
        <f>IF(terminator!J239="","",terminator!J239)</f>
        <v/>
      </c>
      <c r="Z236">
        <f>IF(other!K239="","",other!K239)</f>
        <v/>
      </c>
    </row>
    <row r="237">
      <c r="H237">
        <f>IF(chassis!B240=0,"",chassis!B240)</f>
        <v/>
      </c>
      <c r="V237">
        <f>IF(promoter!L240="","",promoter!L240)</f>
        <v/>
      </c>
      <c r="W237">
        <f>IF(rbs!J240="","",rbs!J240)</f>
        <v/>
      </c>
      <c r="X237">
        <f>IF(cds!K240="","",cds!K240)</f>
        <v/>
      </c>
      <c r="Y237">
        <f>IF(terminator!J240="","",terminator!J240)</f>
        <v/>
      </c>
      <c r="Z237">
        <f>IF(other!K240="","",other!K240)</f>
        <v/>
      </c>
    </row>
    <row r="238">
      <c r="H238">
        <f>IF(chassis!B241=0,"",chassis!B241)</f>
        <v/>
      </c>
      <c r="V238">
        <f>IF(promoter!L241="","",promoter!L241)</f>
        <v/>
      </c>
      <c r="W238">
        <f>IF(rbs!J241="","",rbs!J241)</f>
        <v/>
      </c>
      <c r="X238">
        <f>IF(cds!K241="","",cds!K241)</f>
        <v/>
      </c>
      <c r="Y238">
        <f>IF(terminator!J241="","",terminator!J241)</f>
        <v/>
      </c>
      <c r="Z238">
        <f>IF(other!K241="","",other!K241)</f>
        <v/>
      </c>
    </row>
    <row r="239">
      <c r="H239">
        <f>IF(chassis!B242=0,"",chassis!B242)</f>
        <v/>
      </c>
      <c r="V239">
        <f>IF(promoter!L242="","",promoter!L242)</f>
        <v/>
      </c>
      <c r="W239">
        <f>IF(rbs!J242="","",rbs!J242)</f>
        <v/>
      </c>
      <c r="X239">
        <f>IF(cds!K242="","",cds!K242)</f>
        <v/>
      </c>
      <c r="Y239">
        <f>IF(terminator!J242="","",terminator!J242)</f>
        <v/>
      </c>
      <c r="Z239">
        <f>IF(other!K242="","",other!K242)</f>
        <v/>
      </c>
    </row>
    <row r="240">
      <c r="H240">
        <f>IF(chassis!B243=0,"",chassis!B243)</f>
        <v/>
      </c>
      <c r="V240">
        <f>IF(promoter!L243="","",promoter!L243)</f>
        <v/>
      </c>
      <c r="W240">
        <f>IF(rbs!J243="","",rbs!J243)</f>
        <v/>
      </c>
      <c r="X240">
        <f>IF(cds!K243="","",cds!K243)</f>
        <v/>
      </c>
      <c r="Y240">
        <f>IF(terminator!J243="","",terminator!J243)</f>
        <v/>
      </c>
      <c r="Z240">
        <f>IF(other!K243="","",other!K243)</f>
        <v/>
      </c>
    </row>
    <row r="241">
      <c r="H241">
        <f>IF(chassis!B244=0,"",chassis!B244)</f>
        <v/>
      </c>
      <c r="V241">
        <f>IF(promoter!L244="","",promoter!L244)</f>
        <v/>
      </c>
      <c r="W241">
        <f>IF(rbs!J244="","",rbs!J244)</f>
        <v/>
      </c>
      <c r="X241">
        <f>IF(cds!K244="","",cds!K244)</f>
        <v/>
      </c>
      <c r="Y241">
        <f>IF(terminator!J244="","",terminator!J244)</f>
        <v/>
      </c>
      <c r="Z241">
        <f>IF(other!K244="","",other!K244)</f>
        <v/>
      </c>
    </row>
    <row r="242">
      <c r="H242">
        <f>IF(chassis!B245=0,"",chassis!B245)</f>
        <v/>
      </c>
      <c r="V242">
        <f>IF(promoter!L245="","",promoter!L245)</f>
        <v/>
      </c>
      <c r="W242">
        <f>IF(rbs!J245="","",rbs!J245)</f>
        <v/>
      </c>
      <c r="X242">
        <f>IF(cds!K245="","",cds!K245)</f>
        <v/>
      </c>
      <c r="Y242">
        <f>IF(terminator!J245="","",terminator!J245)</f>
        <v/>
      </c>
      <c r="Z242">
        <f>IF(other!K245="","",other!K245)</f>
        <v/>
      </c>
    </row>
    <row r="243">
      <c r="H243">
        <f>IF(chassis!B246=0,"",chassis!B246)</f>
        <v/>
      </c>
      <c r="V243">
        <f>IF(promoter!L246="","",promoter!L246)</f>
        <v/>
      </c>
      <c r="W243">
        <f>IF(rbs!J246="","",rbs!J246)</f>
        <v/>
      </c>
      <c r="X243">
        <f>IF(cds!K246="","",cds!K246)</f>
        <v/>
      </c>
      <c r="Y243">
        <f>IF(terminator!J246="","",terminator!J246)</f>
        <v/>
      </c>
      <c r="Z243">
        <f>IF(other!K246="","",other!K246)</f>
        <v/>
      </c>
    </row>
    <row r="244">
      <c r="H244">
        <f>IF(chassis!B247=0,"",chassis!B247)</f>
        <v/>
      </c>
      <c r="V244">
        <f>IF(promoter!L247="","",promoter!L247)</f>
        <v/>
      </c>
      <c r="W244">
        <f>IF(rbs!J247="","",rbs!J247)</f>
        <v/>
      </c>
      <c r="X244">
        <f>IF(cds!K247="","",cds!K247)</f>
        <v/>
      </c>
      <c r="Y244">
        <f>IF(terminator!J247="","",terminator!J247)</f>
        <v/>
      </c>
      <c r="Z244">
        <f>IF(other!K247="","",other!K247)</f>
        <v/>
      </c>
    </row>
    <row r="245">
      <c r="H245">
        <f>IF(chassis!B248=0,"",chassis!B248)</f>
        <v/>
      </c>
      <c r="V245">
        <f>IF(promoter!L248="","",promoter!L248)</f>
        <v/>
      </c>
      <c r="W245">
        <f>IF(rbs!J248="","",rbs!J248)</f>
        <v/>
      </c>
      <c r="X245">
        <f>IF(cds!K248="","",cds!K248)</f>
        <v/>
      </c>
      <c r="Y245">
        <f>IF(terminator!J248="","",terminator!J248)</f>
        <v/>
      </c>
      <c r="Z245">
        <f>IF(other!K248="","",other!K248)</f>
        <v/>
      </c>
    </row>
    <row r="246">
      <c r="H246">
        <f>IF(chassis!B249=0,"",chassis!B249)</f>
        <v/>
      </c>
      <c r="V246">
        <f>IF(promoter!L249="","",promoter!L249)</f>
        <v/>
      </c>
      <c r="W246">
        <f>IF(rbs!J249="","",rbs!J249)</f>
        <v/>
      </c>
      <c r="X246">
        <f>IF(cds!K249="","",cds!K249)</f>
        <v/>
      </c>
      <c r="Y246">
        <f>IF(terminator!J249="","",terminator!J249)</f>
        <v/>
      </c>
      <c r="Z246">
        <f>IF(other!K249="","",other!K249)</f>
        <v/>
      </c>
    </row>
    <row r="247">
      <c r="H247">
        <f>IF(chassis!B250=0,"",chassis!B250)</f>
        <v/>
      </c>
      <c r="V247">
        <f>IF(promoter!L250="","",promoter!L250)</f>
        <v/>
      </c>
      <c r="W247">
        <f>IF(rbs!J250="","",rbs!J250)</f>
        <v/>
      </c>
      <c r="X247">
        <f>IF(cds!K250="","",cds!K250)</f>
        <v/>
      </c>
      <c r="Y247">
        <f>IF(terminator!J250="","",terminator!J250)</f>
        <v/>
      </c>
      <c r="Z247">
        <f>IF(other!K250="","",other!K250)</f>
        <v/>
      </c>
    </row>
    <row r="248">
      <c r="H248">
        <f>IF(chassis!B251=0,"",chassis!B251)</f>
        <v/>
      </c>
      <c r="V248">
        <f>IF(promoter!L251="","",promoter!L251)</f>
        <v/>
      </c>
      <c r="W248">
        <f>IF(rbs!J251="","",rbs!J251)</f>
        <v/>
      </c>
      <c r="X248">
        <f>IF(cds!K251="","",cds!K251)</f>
        <v/>
      </c>
      <c r="Y248">
        <f>IF(terminator!J251="","",terminator!J251)</f>
        <v/>
      </c>
      <c r="Z248">
        <f>IF(other!K251="","",other!K251)</f>
        <v/>
      </c>
    </row>
    <row r="249">
      <c r="H249">
        <f>IF(chassis!B252=0,"",chassis!B252)</f>
        <v/>
      </c>
      <c r="V249">
        <f>IF(promoter!L252="","",promoter!L252)</f>
        <v/>
      </c>
      <c r="W249">
        <f>IF(rbs!J252="","",rbs!J252)</f>
        <v/>
      </c>
      <c r="X249">
        <f>IF(cds!K252="","",cds!K252)</f>
        <v/>
      </c>
      <c r="Y249">
        <f>IF(terminator!J252="","",terminator!J252)</f>
        <v/>
      </c>
      <c r="Z249">
        <f>IF(other!K252="","",other!K252)</f>
        <v/>
      </c>
    </row>
    <row r="250">
      <c r="H250">
        <f>IF(chassis!B253=0,"",chassis!B253)</f>
        <v/>
      </c>
      <c r="V250">
        <f>IF(promoter!L253="","",promoter!L253)</f>
        <v/>
      </c>
      <c r="W250">
        <f>IF(rbs!J253="","",rbs!J253)</f>
        <v/>
      </c>
      <c r="X250">
        <f>IF(cds!K253="","",cds!K253)</f>
        <v/>
      </c>
      <c r="Y250">
        <f>IF(terminator!J253="","",terminator!J253)</f>
        <v/>
      </c>
      <c r="Z250">
        <f>IF(other!K253="","",other!K253)</f>
        <v/>
      </c>
    </row>
    <row r="251">
      <c r="H251">
        <f>IF(chassis!B254=0,"",chassis!B254)</f>
        <v/>
      </c>
      <c r="V251">
        <f>IF(promoter!L254="","",promoter!L254)</f>
        <v/>
      </c>
      <c r="W251">
        <f>IF(rbs!J254="","",rbs!J254)</f>
        <v/>
      </c>
      <c r="X251">
        <f>IF(cds!K254="","",cds!K254)</f>
        <v/>
      </c>
      <c r="Y251">
        <f>IF(terminator!J254="","",terminator!J254)</f>
        <v/>
      </c>
      <c r="Z251">
        <f>IF(other!K254="","",other!K254)</f>
        <v/>
      </c>
    </row>
    <row r="252">
      <c r="H252">
        <f>IF(chassis!B255=0,"",chassis!B255)</f>
        <v/>
      </c>
      <c r="V252">
        <f>IF(promoter!L255="","",promoter!L255)</f>
        <v/>
      </c>
      <c r="W252">
        <f>IF(rbs!J255="","",rbs!J255)</f>
        <v/>
      </c>
      <c r="X252">
        <f>IF(cds!K255="","",cds!K255)</f>
        <v/>
      </c>
      <c r="Y252">
        <f>IF(terminator!J255="","",terminator!J255)</f>
        <v/>
      </c>
      <c r="Z252">
        <f>IF(other!K255="","",other!K255)</f>
        <v/>
      </c>
    </row>
    <row r="253">
      <c r="H253">
        <f>IF(chassis!B256=0,"",chassis!B256)</f>
        <v/>
      </c>
      <c r="V253">
        <f>IF(promoter!L256="","",promoter!L256)</f>
        <v/>
      </c>
      <c r="W253">
        <f>IF(rbs!J256="","",rbs!J256)</f>
        <v/>
      </c>
      <c r="X253">
        <f>IF(cds!K256="","",cds!K256)</f>
        <v/>
      </c>
      <c r="Y253">
        <f>IF(terminator!J256="","",terminator!J256)</f>
        <v/>
      </c>
      <c r="Z253">
        <f>IF(other!K256="","",other!K256)</f>
        <v/>
      </c>
    </row>
    <row r="254">
      <c r="H254">
        <f>IF(chassis!B257=0,"",chassis!B257)</f>
        <v/>
      </c>
      <c r="V254">
        <f>IF(promoter!L257="","",promoter!L257)</f>
        <v/>
      </c>
      <c r="W254">
        <f>IF(rbs!J257="","",rbs!J257)</f>
        <v/>
      </c>
      <c r="X254">
        <f>IF(cds!K257="","",cds!K257)</f>
        <v/>
      </c>
      <c r="Y254">
        <f>IF(terminator!J257="","",terminator!J257)</f>
        <v/>
      </c>
      <c r="Z254">
        <f>IF(other!K257="","",other!K257)</f>
        <v/>
      </c>
    </row>
    <row r="255">
      <c r="H255">
        <f>IF(chassis!B258=0,"",chassis!B258)</f>
        <v/>
      </c>
      <c r="V255">
        <f>IF(promoter!L258="","",promoter!L258)</f>
        <v/>
      </c>
      <c r="W255">
        <f>IF(rbs!J258="","",rbs!J258)</f>
        <v/>
      </c>
      <c r="X255">
        <f>IF(cds!K258="","",cds!K258)</f>
        <v/>
      </c>
      <c r="Y255">
        <f>IF(terminator!J258="","",terminator!J258)</f>
        <v/>
      </c>
      <c r="Z255">
        <f>IF(other!K258="","",other!K258)</f>
        <v/>
      </c>
    </row>
    <row r="256">
      <c r="H256">
        <f>IF(chassis!B259=0,"",chassis!B259)</f>
        <v/>
      </c>
      <c r="V256">
        <f>IF(promoter!L259="","",promoter!L259)</f>
        <v/>
      </c>
      <c r="W256">
        <f>IF(rbs!J259="","",rbs!J259)</f>
        <v/>
      </c>
      <c r="X256">
        <f>IF(cds!K259="","",cds!K259)</f>
        <v/>
      </c>
      <c r="Y256">
        <f>IF(terminator!J259="","",terminator!J259)</f>
        <v/>
      </c>
      <c r="Z256">
        <f>IF(other!K259="","",other!K259)</f>
        <v/>
      </c>
    </row>
    <row r="257">
      <c r="H257">
        <f>IF(chassis!B260=0,"",chassis!B260)</f>
        <v/>
      </c>
      <c r="V257">
        <f>IF(promoter!L260="","",promoter!L260)</f>
        <v/>
      </c>
      <c r="W257">
        <f>IF(rbs!J260="","",rbs!J260)</f>
        <v/>
      </c>
      <c r="X257">
        <f>IF(cds!K260="","",cds!K260)</f>
        <v/>
      </c>
      <c r="Y257">
        <f>IF(terminator!J260="","",terminator!J260)</f>
        <v/>
      </c>
      <c r="Z257">
        <f>IF(other!K260="","",other!K260)</f>
        <v/>
      </c>
    </row>
    <row r="258">
      <c r="H258">
        <f>IF(chassis!B261=0,"",chassis!B261)</f>
        <v/>
      </c>
      <c r="V258">
        <f>IF(promoter!L261="","",promoter!L261)</f>
        <v/>
      </c>
      <c r="W258">
        <f>IF(rbs!J261="","",rbs!J261)</f>
        <v/>
      </c>
      <c r="X258">
        <f>IF(cds!K261="","",cds!K261)</f>
        <v/>
      </c>
      <c r="Y258">
        <f>IF(terminator!J261="","",terminator!J261)</f>
        <v/>
      </c>
      <c r="Z258">
        <f>IF(other!K261="","",other!K261)</f>
        <v/>
      </c>
    </row>
    <row r="259">
      <c r="H259">
        <f>IF(chassis!B262=0,"",chassis!B262)</f>
        <v/>
      </c>
      <c r="V259">
        <f>IF(promoter!L262="","",promoter!L262)</f>
        <v/>
      </c>
      <c r="W259">
        <f>IF(rbs!J262="","",rbs!J262)</f>
        <v/>
      </c>
      <c r="X259">
        <f>IF(cds!K262="","",cds!K262)</f>
        <v/>
      </c>
      <c r="Y259">
        <f>IF(terminator!J262="","",terminator!J262)</f>
        <v/>
      </c>
      <c r="Z259">
        <f>IF(other!K262="","",other!K262)</f>
        <v/>
      </c>
    </row>
    <row r="260">
      <c r="H260">
        <f>IF(chassis!B263=0,"",chassis!B263)</f>
        <v/>
      </c>
      <c r="V260">
        <f>IF(promoter!L263="","",promoter!L263)</f>
        <v/>
      </c>
      <c r="W260">
        <f>IF(rbs!J263="","",rbs!J263)</f>
        <v/>
      </c>
      <c r="X260">
        <f>IF(cds!K263="","",cds!K263)</f>
        <v/>
      </c>
      <c r="Y260">
        <f>IF(terminator!J263="","",terminator!J263)</f>
        <v/>
      </c>
      <c r="Z260">
        <f>IF(other!K263="","",other!K263)</f>
        <v/>
      </c>
    </row>
    <row r="261">
      <c r="H261">
        <f>IF(chassis!B264=0,"",chassis!B264)</f>
        <v/>
      </c>
      <c r="V261">
        <f>IF(promoter!L264="","",promoter!L264)</f>
        <v/>
      </c>
      <c r="W261">
        <f>IF(rbs!J264="","",rbs!J264)</f>
        <v/>
      </c>
      <c r="X261">
        <f>IF(cds!K264="","",cds!K264)</f>
        <v/>
      </c>
      <c r="Y261">
        <f>IF(terminator!J264="","",terminator!J264)</f>
        <v/>
      </c>
      <c r="Z261">
        <f>IF(other!K264="","",other!K264)</f>
        <v/>
      </c>
    </row>
    <row r="262">
      <c r="H262">
        <f>IF(chassis!B265=0,"",chassis!B265)</f>
        <v/>
      </c>
      <c r="V262">
        <f>IF(promoter!L265="","",promoter!L265)</f>
        <v/>
      </c>
      <c r="W262">
        <f>IF(rbs!J265="","",rbs!J265)</f>
        <v/>
      </c>
      <c r="X262">
        <f>IF(cds!K265="","",cds!K265)</f>
        <v/>
      </c>
      <c r="Y262">
        <f>IF(terminator!J265="","",terminator!J265)</f>
        <v/>
      </c>
      <c r="Z262">
        <f>IF(other!K265="","",other!K265)</f>
        <v/>
      </c>
    </row>
    <row r="263">
      <c r="H263">
        <f>IF(chassis!B266=0,"",chassis!B266)</f>
        <v/>
      </c>
      <c r="V263">
        <f>IF(promoter!L266="","",promoter!L266)</f>
        <v/>
      </c>
      <c r="W263">
        <f>IF(rbs!J266="","",rbs!J266)</f>
        <v/>
      </c>
      <c r="X263">
        <f>IF(cds!K266="","",cds!K266)</f>
        <v/>
      </c>
      <c r="Y263">
        <f>IF(terminator!J266="","",terminator!J266)</f>
        <v/>
      </c>
      <c r="Z263">
        <f>IF(other!K266="","",other!K266)</f>
        <v/>
      </c>
    </row>
    <row r="264">
      <c r="H264">
        <f>IF(chassis!B267=0,"",chassis!B267)</f>
        <v/>
      </c>
      <c r="V264">
        <f>IF(promoter!L267="","",promoter!L267)</f>
        <v/>
      </c>
      <c r="W264">
        <f>IF(rbs!J267="","",rbs!J267)</f>
        <v/>
      </c>
      <c r="X264">
        <f>IF(cds!K267="","",cds!K267)</f>
        <v/>
      </c>
      <c r="Y264">
        <f>IF(terminator!J267="","",terminator!J267)</f>
        <v/>
      </c>
      <c r="Z264">
        <f>IF(other!K267="","",other!K267)</f>
        <v/>
      </c>
    </row>
    <row r="265">
      <c r="H265">
        <f>IF(chassis!B268=0,"",chassis!B268)</f>
        <v/>
      </c>
      <c r="V265">
        <f>IF(promoter!L268="","",promoter!L268)</f>
        <v/>
      </c>
      <c r="W265">
        <f>IF(rbs!J268="","",rbs!J268)</f>
        <v/>
      </c>
      <c r="X265">
        <f>IF(cds!K268="","",cds!K268)</f>
        <v/>
      </c>
      <c r="Y265">
        <f>IF(terminator!J268="","",terminator!J268)</f>
        <v/>
      </c>
      <c r="Z265">
        <f>IF(other!K268="","",other!K268)</f>
        <v/>
      </c>
    </row>
    <row r="266">
      <c r="H266">
        <f>IF(chassis!B269=0,"",chassis!B269)</f>
        <v/>
      </c>
      <c r="V266">
        <f>IF(promoter!L269="","",promoter!L269)</f>
        <v/>
      </c>
      <c r="W266">
        <f>IF(rbs!J269="","",rbs!J269)</f>
        <v/>
      </c>
      <c r="X266">
        <f>IF(cds!K269="","",cds!K269)</f>
        <v/>
      </c>
      <c r="Y266">
        <f>IF(terminator!J269="","",terminator!J269)</f>
        <v/>
      </c>
      <c r="Z266">
        <f>IF(other!K269="","",other!K269)</f>
        <v/>
      </c>
    </row>
    <row r="267">
      <c r="H267">
        <f>IF(chassis!B270=0,"",chassis!B270)</f>
        <v/>
      </c>
      <c r="V267">
        <f>IF(promoter!L270="","",promoter!L270)</f>
        <v/>
      </c>
      <c r="W267">
        <f>IF(rbs!J270="","",rbs!J270)</f>
        <v/>
      </c>
      <c r="X267">
        <f>IF(cds!K270="","",cds!K270)</f>
        <v/>
      </c>
      <c r="Y267">
        <f>IF(terminator!J270="","",terminator!J270)</f>
        <v/>
      </c>
      <c r="Z267">
        <f>IF(other!K270="","",other!K270)</f>
        <v/>
      </c>
    </row>
    <row r="268">
      <c r="H268">
        <f>IF(chassis!B271=0,"",chassis!B271)</f>
        <v/>
      </c>
      <c r="V268">
        <f>IF(promoter!L271="","",promoter!L271)</f>
        <v/>
      </c>
      <c r="W268">
        <f>IF(rbs!J271="","",rbs!J271)</f>
        <v/>
      </c>
      <c r="X268">
        <f>IF(cds!K271="","",cds!K271)</f>
        <v/>
      </c>
      <c r="Y268">
        <f>IF(terminator!J271="","",terminator!J271)</f>
        <v/>
      </c>
      <c r="Z268">
        <f>IF(other!K271="","",other!K271)</f>
        <v/>
      </c>
    </row>
    <row r="269">
      <c r="H269">
        <f>IF(chassis!B272=0,"",chassis!B272)</f>
        <v/>
      </c>
      <c r="V269">
        <f>IF(promoter!L272="","",promoter!L272)</f>
        <v/>
      </c>
      <c r="W269">
        <f>IF(rbs!J272="","",rbs!J272)</f>
        <v/>
      </c>
      <c r="X269">
        <f>IF(cds!K272="","",cds!K272)</f>
        <v/>
      </c>
      <c r="Y269">
        <f>IF(terminator!J272="","",terminator!J272)</f>
        <v/>
      </c>
      <c r="Z269">
        <f>IF(other!K272="","",other!K272)</f>
        <v/>
      </c>
    </row>
    <row r="270">
      <c r="H270">
        <f>IF(chassis!B273=0,"",chassis!B273)</f>
        <v/>
      </c>
      <c r="V270">
        <f>IF(promoter!L273="","",promoter!L273)</f>
        <v/>
      </c>
      <c r="W270">
        <f>IF(rbs!J273="","",rbs!J273)</f>
        <v/>
      </c>
      <c r="X270">
        <f>IF(cds!K273="","",cds!K273)</f>
        <v/>
      </c>
      <c r="Y270">
        <f>IF(terminator!J273="","",terminator!J273)</f>
        <v/>
      </c>
      <c r="Z270">
        <f>IF(other!K273="","",other!K273)</f>
        <v/>
      </c>
    </row>
    <row r="271">
      <c r="H271">
        <f>IF(chassis!B274=0,"",chassis!B274)</f>
        <v/>
      </c>
      <c r="V271">
        <f>IF(promoter!L274="","",promoter!L274)</f>
        <v/>
      </c>
      <c r="W271">
        <f>IF(rbs!J274="","",rbs!J274)</f>
        <v/>
      </c>
      <c r="X271">
        <f>IF(cds!K274="","",cds!K274)</f>
        <v/>
      </c>
      <c r="Y271">
        <f>IF(terminator!J274="","",terminator!J274)</f>
        <v/>
      </c>
      <c r="Z271">
        <f>IF(other!K274="","",other!K274)</f>
        <v/>
      </c>
    </row>
    <row r="272">
      <c r="H272">
        <f>IF(chassis!B275=0,"",chassis!B275)</f>
        <v/>
      </c>
      <c r="V272">
        <f>IF(promoter!L275="","",promoter!L275)</f>
        <v/>
      </c>
      <c r="W272">
        <f>IF(rbs!J275="","",rbs!J275)</f>
        <v/>
      </c>
      <c r="X272">
        <f>IF(cds!K275="","",cds!K275)</f>
        <v/>
      </c>
      <c r="Y272">
        <f>IF(terminator!J275="","",terminator!J275)</f>
        <v/>
      </c>
      <c r="Z272">
        <f>IF(other!K275="","",other!K275)</f>
        <v/>
      </c>
    </row>
    <row r="273">
      <c r="H273">
        <f>IF(chassis!B276=0,"",chassis!B276)</f>
        <v/>
      </c>
      <c r="V273">
        <f>IF(promoter!L276="","",promoter!L276)</f>
        <v/>
      </c>
      <c r="W273">
        <f>IF(rbs!J276="","",rbs!J276)</f>
        <v/>
      </c>
      <c r="X273">
        <f>IF(cds!K276="","",cds!K276)</f>
        <v/>
      </c>
      <c r="Y273">
        <f>IF(terminator!J276="","",terminator!J276)</f>
        <v/>
      </c>
      <c r="Z273">
        <f>IF(other!K276="","",other!K276)</f>
        <v/>
      </c>
    </row>
    <row r="274">
      <c r="H274">
        <f>IF(chassis!B277=0,"",chassis!B277)</f>
        <v/>
      </c>
      <c r="V274">
        <f>IF(promoter!L277="","",promoter!L277)</f>
        <v/>
      </c>
      <c r="W274">
        <f>IF(rbs!J277="","",rbs!J277)</f>
        <v/>
      </c>
      <c r="X274">
        <f>IF(cds!K277="","",cds!K277)</f>
        <v/>
      </c>
      <c r="Y274">
        <f>IF(terminator!J277="","",terminator!J277)</f>
        <v/>
      </c>
      <c r="Z274">
        <f>IF(other!K277="","",other!K277)</f>
        <v/>
      </c>
    </row>
    <row r="275">
      <c r="H275">
        <f>IF(chassis!B278=0,"",chassis!B278)</f>
        <v/>
      </c>
      <c r="V275">
        <f>IF(promoter!L278="","",promoter!L278)</f>
        <v/>
      </c>
      <c r="W275">
        <f>IF(rbs!J278="","",rbs!J278)</f>
        <v/>
      </c>
      <c r="X275">
        <f>IF(cds!K278="","",cds!K278)</f>
        <v/>
      </c>
      <c r="Y275">
        <f>IF(terminator!J278="","",terminator!J278)</f>
        <v/>
      </c>
      <c r="Z275">
        <f>IF(other!K278="","",other!K278)</f>
        <v/>
      </c>
    </row>
    <row r="276">
      <c r="H276">
        <f>IF(chassis!B279=0,"",chassis!B279)</f>
        <v/>
      </c>
      <c r="V276">
        <f>IF(promoter!L279="","",promoter!L279)</f>
        <v/>
      </c>
      <c r="W276">
        <f>IF(rbs!J279="","",rbs!J279)</f>
        <v/>
      </c>
      <c r="X276">
        <f>IF(cds!K279="","",cds!K279)</f>
        <v/>
      </c>
      <c r="Y276">
        <f>IF(terminator!J279="","",terminator!J279)</f>
        <v/>
      </c>
      <c r="Z276">
        <f>IF(other!K279="","",other!K279)</f>
        <v/>
      </c>
    </row>
    <row r="277">
      <c r="H277">
        <f>IF(chassis!B280=0,"",chassis!B280)</f>
        <v/>
      </c>
      <c r="V277">
        <f>IF(promoter!L280="","",promoter!L280)</f>
        <v/>
      </c>
      <c r="W277">
        <f>IF(rbs!J280="","",rbs!J280)</f>
        <v/>
      </c>
      <c r="X277">
        <f>IF(cds!K280="","",cds!K280)</f>
        <v/>
      </c>
      <c r="Y277">
        <f>IF(terminator!J280="","",terminator!J280)</f>
        <v/>
      </c>
      <c r="Z277">
        <f>IF(other!K280="","",other!K280)</f>
        <v/>
      </c>
    </row>
    <row r="278">
      <c r="H278">
        <f>IF(chassis!B281=0,"",chassis!B281)</f>
        <v/>
      </c>
      <c r="V278">
        <f>IF(promoter!L281="","",promoter!L281)</f>
        <v/>
      </c>
      <c r="W278">
        <f>IF(rbs!J281="","",rbs!J281)</f>
        <v/>
      </c>
      <c r="X278">
        <f>IF(cds!K281="","",cds!K281)</f>
        <v/>
      </c>
      <c r="Y278">
        <f>IF(terminator!J281="","",terminator!J281)</f>
        <v/>
      </c>
      <c r="Z278">
        <f>IF(other!K281="","",other!K281)</f>
        <v/>
      </c>
    </row>
    <row r="279">
      <c r="H279">
        <f>IF(chassis!B282=0,"",chassis!B282)</f>
        <v/>
      </c>
      <c r="V279">
        <f>IF(promoter!L282="","",promoter!L282)</f>
        <v/>
      </c>
      <c r="W279">
        <f>IF(rbs!J282="","",rbs!J282)</f>
        <v/>
      </c>
      <c r="X279">
        <f>IF(cds!K282="","",cds!K282)</f>
        <v/>
      </c>
      <c r="Y279">
        <f>IF(terminator!J282="","",terminator!J282)</f>
        <v/>
      </c>
      <c r="Z279">
        <f>IF(other!K282="","",other!K282)</f>
        <v/>
      </c>
    </row>
    <row r="280">
      <c r="H280">
        <f>IF(chassis!B283=0,"",chassis!B283)</f>
        <v/>
      </c>
      <c r="V280">
        <f>IF(promoter!L283="","",promoter!L283)</f>
        <v/>
      </c>
      <c r="W280">
        <f>IF(rbs!J283="","",rbs!J283)</f>
        <v/>
      </c>
      <c r="X280">
        <f>IF(cds!K283="","",cds!K283)</f>
        <v/>
      </c>
      <c r="Y280">
        <f>IF(terminator!J283="","",terminator!J283)</f>
        <v/>
      </c>
      <c r="Z280">
        <f>IF(other!K283="","",other!K283)</f>
        <v/>
      </c>
    </row>
    <row r="281">
      <c r="H281">
        <f>IF(chassis!B284=0,"",chassis!B284)</f>
        <v/>
      </c>
      <c r="V281">
        <f>IF(promoter!L284="","",promoter!L284)</f>
        <v/>
      </c>
      <c r="W281">
        <f>IF(rbs!J284="","",rbs!J284)</f>
        <v/>
      </c>
      <c r="X281">
        <f>IF(cds!K284="","",cds!K284)</f>
        <v/>
      </c>
      <c r="Y281">
        <f>IF(terminator!J284="","",terminator!J284)</f>
        <v/>
      </c>
      <c r="Z281">
        <f>IF(other!K284="","",other!K284)</f>
        <v/>
      </c>
    </row>
    <row r="282">
      <c r="H282">
        <f>IF(chassis!B285=0,"",chassis!B285)</f>
        <v/>
      </c>
      <c r="V282">
        <f>IF(promoter!L285="","",promoter!L285)</f>
        <v/>
      </c>
      <c r="W282">
        <f>IF(rbs!J285="","",rbs!J285)</f>
        <v/>
      </c>
      <c r="X282">
        <f>IF(cds!K285="","",cds!K285)</f>
        <v/>
      </c>
      <c r="Y282">
        <f>IF(terminator!J285="","",terminator!J285)</f>
        <v/>
      </c>
      <c r="Z282">
        <f>IF(other!K285="","",other!K285)</f>
        <v/>
      </c>
    </row>
    <row r="283">
      <c r="H283">
        <f>IF(chassis!B286=0,"",chassis!B286)</f>
        <v/>
      </c>
      <c r="V283">
        <f>IF(promoter!L286="","",promoter!L286)</f>
        <v/>
      </c>
      <c r="W283">
        <f>IF(rbs!J286="","",rbs!J286)</f>
        <v/>
      </c>
      <c r="X283">
        <f>IF(cds!K286="","",cds!K286)</f>
        <v/>
      </c>
      <c r="Y283">
        <f>IF(terminator!J286="","",terminator!J286)</f>
        <v/>
      </c>
      <c r="Z283">
        <f>IF(other!K286="","",other!K286)</f>
        <v/>
      </c>
    </row>
    <row r="284">
      <c r="H284">
        <f>IF(chassis!B287=0,"",chassis!B287)</f>
        <v/>
      </c>
      <c r="V284">
        <f>IF(promoter!L287="","",promoter!L287)</f>
        <v/>
      </c>
      <c r="W284">
        <f>IF(rbs!J287="","",rbs!J287)</f>
        <v/>
      </c>
      <c r="X284">
        <f>IF(cds!K287="","",cds!K287)</f>
        <v/>
      </c>
      <c r="Y284">
        <f>IF(terminator!J287="","",terminator!J287)</f>
        <v/>
      </c>
      <c r="Z284">
        <f>IF(other!K287="","",other!K287)</f>
        <v/>
      </c>
    </row>
    <row r="285">
      <c r="H285">
        <f>IF(chassis!B288=0,"",chassis!B288)</f>
        <v/>
      </c>
      <c r="V285">
        <f>IF(promoter!L288="","",promoter!L288)</f>
        <v/>
      </c>
      <c r="W285">
        <f>IF(rbs!J288="","",rbs!J288)</f>
        <v/>
      </c>
      <c r="X285">
        <f>IF(cds!K288="","",cds!K288)</f>
        <v/>
      </c>
      <c r="Y285">
        <f>IF(terminator!J288="","",terminator!J288)</f>
        <v/>
      </c>
      <c r="Z285">
        <f>IF(other!K288="","",other!K288)</f>
        <v/>
      </c>
    </row>
    <row r="286">
      <c r="H286">
        <f>IF(chassis!B289=0,"",chassis!B289)</f>
        <v/>
      </c>
      <c r="V286">
        <f>IF(promoter!L289="","",promoter!L289)</f>
        <v/>
      </c>
      <c r="W286">
        <f>IF(rbs!J289="","",rbs!J289)</f>
        <v/>
      </c>
      <c r="X286">
        <f>IF(cds!K289="","",cds!K289)</f>
        <v/>
      </c>
      <c r="Y286">
        <f>IF(terminator!J289="","",terminator!J289)</f>
        <v/>
      </c>
      <c r="Z286">
        <f>IF(other!K289="","",other!K289)</f>
        <v/>
      </c>
    </row>
    <row r="287">
      <c r="H287">
        <f>IF(chassis!B290=0,"",chassis!B290)</f>
        <v/>
      </c>
      <c r="V287">
        <f>IF(promoter!L290="","",promoter!L290)</f>
        <v/>
      </c>
      <c r="W287">
        <f>IF(rbs!J290="","",rbs!J290)</f>
        <v/>
      </c>
      <c r="X287">
        <f>IF(cds!K290="","",cds!K290)</f>
        <v/>
      </c>
      <c r="Y287">
        <f>IF(terminator!J290="","",terminator!J290)</f>
        <v/>
      </c>
      <c r="Z287">
        <f>IF(other!K290="","",other!K290)</f>
        <v/>
      </c>
    </row>
    <row r="288">
      <c r="H288">
        <f>IF(chassis!B291=0,"",chassis!B291)</f>
        <v/>
      </c>
      <c r="V288">
        <f>IF(promoter!L291="","",promoter!L291)</f>
        <v/>
      </c>
      <c r="W288">
        <f>IF(rbs!J291="","",rbs!J291)</f>
        <v/>
      </c>
      <c r="X288">
        <f>IF(cds!K291="","",cds!K291)</f>
        <v/>
      </c>
      <c r="Y288">
        <f>IF(terminator!J291="","",terminator!J291)</f>
        <v/>
      </c>
      <c r="Z288">
        <f>IF(other!K291="","",other!K291)</f>
        <v/>
      </c>
    </row>
    <row r="289">
      <c r="H289">
        <f>IF(chassis!B292=0,"",chassis!B292)</f>
        <v/>
      </c>
      <c r="V289">
        <f>IF(promoter!L292="","",promoter!L292)</f>
        <v/>
      </c>
      <c r="W289">
        <f>IF(rbs!J292="","",rbs!J292)</f>
        <v/>
      </c>
      <c r="X289">
        <f>IF(cds!K292="","",cds!K292)</f>
        <v/>
      </c>
      <c r="Y289">
        <f>IF(terminator!J292="","",terminator!J292)</f>
        <v/>
      </c>
      <c r="Z289">
        <f>IF(other!K292="","",other!K292)</f>
        <v/>
      </c>
    </row>
    <row r="290">
      <c r="H290">
        <f>IF(chassis!B293=0,"",chassis!B293)</f>
        <v/>
      </c>
      <c r="V290">
        <f>IF(promoter!L293="","",promoter!L293)</f>
        <v/>
      </c>
      <c r="W290">
        <f>IF(rbs!J293="","",rbs!J293)</f>
        <v/>
      </c>
      <c r="X290">
        <f>IF(cds!K293="","",cds!K293)</f>
        <v/>
      </c>
      <c r="Y290">
        <f>IF(terminator!J293="","",terminator!J293)</f>
        <v/>
      </c>
      <c r="Z290">
        <f>IF(other!K293="","",other!K293)</f>
        <v/>
      </c>
    </row>
    <row r="291">
      <c r="H291">
        <f>IF(chassis!B294=0,"",chassis!B294)</f>
        <v/>
      </c>
      <c r="V291">
        <f>IF(promoter!L294="","",promoter!L294)</f>
        <v/>
      </c>
      <c r="W291">
        <f>IF(rbs!J294="","",rbs!J294)</f>
        <v/>
      </c>
      <c r="X291">
        <f>IF(cds!K294="","",cds!K294)</f>
        <v/>
      </c>
      <c r="Y291">
        <f>IF(terminator!J294="","",terminator!J294)</f>
        <v/>
      </c>
      <c r="Z291">
        <f>IF(other!K294="","",other!K294)</f>
        <v/>
      </c>
    </row>
    <row r="292">
      <c r="H292">
        <f>IF(chassis!B295=0,"",chassis!B295)</f>
        <v/>
      </c>
      <c r="V292">
        <f>IF(promoter!L295="","",promoter!L295)</f>
        <v/>
      </c>
      <c r="W292">
        <f>IF(rbs!J295="","",rbs!J295)</f>
        <v/>
      </c>
      <c r="X292">
        <f>IF(cds!K295="","",cds!K295)</f>
        <v/>
      </c>
      <c r="Y292">
        <f>IF(terminator!J295="","",terminator!J295)</f>
        <v/>
      </c>
      <c r="Z292">
        <f>IF(other!K295="","",other!K295)</f>
        <v/>
      </c>
    </row>
    <row r="293">
      <c r="H293">
        <f>IF(chassis!B296=0,"",chassis!B296)</f>
        <v/>
      </c>
      <c r="V293">
        <f>IF(promoter!L296="","",promoter!L296)</f>
        <v/>
      </c>
      <c r="W293">
        <f>IF(rbs!J296="","",rbs!J296)</f>
        <v/>
      </c>
      <c r="X293">
        <f>IF(cds!K296="","",cds!K296)</f>
        <v/>
      </c>
      <c r="Y293">
        <f>IF(terminator!J296="","",terminator!J296)</f>
        <v/>
      </c>
      <c r="Z293">
        <f>IF(other!K296="","",other!K296)</f>
        <v/>
      </c>
    </row>
    <row r="294">
      <c r="H294">
        <f>IF(chassis!B297=0,"",chassis!B297)</f>
        <v/>
      </c>
      <c r="V294">
        <f>IF(promoter!L297="","",promoter!L297)</f>
        <v/>
      </c>
      <c r="W294">
        <f>IF(rbs!J297="","",rbs!J297)</f>
        <v/>
      </c>
      <c r="X294">
        <f>IF(cds!K297="","",cds!K297)</f>
        <v/>
      </c>
      <c r="Y294">
        <f>IF(terminator!J297="","",terminator!J297)</f>
        <v/>
      </c>
      <c r="Z294">
        <f>IF(other!K297="","",other!K297)</f>
        <v/>
      </c>
    </row>
    <row r="295">
      <c r="H295">
        <f>IF(chassis!B298=0,"",chassis!B298)</f>
        <v/>
      </c>
      <c r="V295">
        <f>IF(promoter!L298="","",promoter!L298)</f>
        <v/>
      </c>
      <c r="W295">
        <f>IF(rbs!J298="","",rbs!J298)</f>
        <v/>
      </c>
      <c r="X295">
        <f>IF(cds!K298="","",cds!K298)</f>
        <v/>
      </c>
      <c r="Y295">
        <f>IF(terminator!J298="","",terminator!J298)</f>
        <v/>
      </c>
      <c r="Z295">
        <f>IF(other!K298="","",other!K298)</f>
        <v/>
      </c>
    </row>
    <row r="296">
      <c r="H296">
        <f>IF(chassis!B299=0,"",chassis!B299)</f>
        <v/>
      </c>
      <c r="V296">
        <f>IF(promoter!L299="","",promoter!L299)</f>
        <v/>
      </c>
      <c r="W296">
        <f>IF(rbs!J299="","",rbs!J299)</f>
        <v/>
      </c>
      <c r="X296">
        <f>IF(cds!K299="","",cds!K299)</f>
        <v/>
      </c>
      <c r="Y296">
        <f>IF(terminator!J299="","",terminator!J299)</f>
        <v/>
      </c>
      <c r="Z296">
        <f>IF(other!K299="","",other!K299)</f>
        <v/>
      </c>
    </row>
    <row r="297">
      <c r="H297">
        <f>IF(chassis!B300=0,"",chassis!B300)</f>
        <v/>
      </c>
      <c r="V297">
        <f>IF(promoter!L300="","",promoter!L300)</f>
        <v/>
      </c>
      <c r="W297">
        <f>IF(rbs!J300="","",rbs!J300)</f>
        <v/>
      </c>
      <c r="X297">
        <f>IF(cds!K300="","",cds!K300)</f>
        <v/>
      </c>
      <c r="Y297">
        <f>IF(terminator!J300="","",terminator!J300)</f>
        <v/>
      </c>
      <c r="Z297">
        <f>IF(other!K300="","",other!K300)</f>
        <v/>
      </c>
    </row>
    <row r="298">
      <c r="H298">
        <f>IF(chassis!B301=0,"",chassis!B301)</f>
        <v/>
      </c>
      <c r="V298">
        <f>IF(promoter!L301="","",promoter!L301)</f>
        <v/>
      </c>
      <c r="W298">
        <f>IF(rbs!J301="","",rbs!J301)</f>
        <v/>
      </c>
      <c r="X298">
        <f>IF(cds!K301="","",cds!K301)</f>
        <v/>
      </c>
      <c r="Y298">
        <f>IF(terminator!J301="","",terminator!J301)</f>
        <v/>
      </c>
      <c r="Z298">
        <f>IF(other!K301="","",other!K301)</f>
        <v/>
      </c>
    </row>
    <row r="299">
      <c r="H299">
        <f>IF(chassis!B302=0,"",chassis!B302)</f>
        <v/>
      </c>
      <c r="V299">
        <f>IF(promoter!L302="","",promoter!L302)</f>
        <v/>
      </c>
      <c r="W299">
        <f>IF(rbs!J302="","",rbs!J302)</f>
        <v/>
      </c>
      <c r="X299">
        <f>IF(cds!K302="","",cds!K302)</f>
        <v/>
      </c>
      <c r="Y299">
        <f>IF(terminator!J302="","",terminator!J302)</f>
        <v/>
      </c>
      <c r="Z299">
        <f>IF(other!K302="","",other!K302)</f>
        <v/>
      </c>
    </row>
    <row r="300">
      <c r="H300">
        <f>IF(chassis!B303=0,"",chassis!B303)</f>
        <v/>
      </c>
      <c r="V300">
        <f>IF(promoter!L303="","",promoter!L303)</f>
        <v/>
      </c>
      <c r="W300">
        <f>IF(rbs!J303="","",rbs!J303)</f>
        <v/>
      </c>
      <c r="X300">
        <f>IF(cds!K303="","",cds!K303)</f>
        <v/>
      </c>
      <c r="Y300">
        <f>IF(terminator!J303="","",terminator!J303)</f>
        <v/>
      </c>
      <c r="Z300">
        <f>IF(other!K303="","",other!K303)</f>
        <v/>
      </c>
    </row>
    <row r="301">
      <c r="H301">
        <f>IF(chassis!B304=0,"",chassis!B304)</f>
        <v/>
      </c>
      <c r="V301">
        <f>IF(promoter!L304=0,"",promoter!L304)</f>
        <v/>
      </c>
      <c r="W301">
        <f>IF(rbs!J304=0,"",rbs!J304)</f>
        <v/>
      </c>
      <c r="X301">
        <f>IF(cds!J304=0,"",cds!J304)</f>
        <v/>
      </c>
      <c r="Y301">
        <f>IF(terminator!J304=0,"",terminator!J304)</f>
        <v/>
      </c>
      <c r="Z301">
        <f>IF(other!K304=0,"",other!K304)</f>
        <v/>
      </c>
    </row>
  </sheetData>
  <pageMargins left="0.7" right="0.7" top="0.75" bottom="0.75" header="0.3" footer="0.3"/>
  <pageSetup orientation="portrait"/>
</worksheet>
</file>

<file path=xl/worksheets/sheet16.xml><?xml version="1.0" encoding="utf-8"?>
<worksheet xmlns="http://schemas.openxmlformats.org/spreadsheetml/2006/main">
  <sheetPr codeName="Sheet12">
    <outlinePr summaryBelow="0"/>
    <pageSetUpPr/>
  </sheetPr>
  <dimension ref="A1:E2521"/>
  <sheetViews>
    <sheetView topLeftCell="A2507" zoomScale="111" workbookViewId="0">
      <selection activeCell="A2527" sqref="A2527"/>
    </sheetView>
  </sheetViews>
  <sheetFormatPr baseColWidth="10" defaultColWidth="8.6640625" defaultRowHeight="15"/>
  <cols>
    <col width="52.33203125" customWidth="1" min="1" max="1"/>
    <col width="12.5" customWidth="1" min="2" max="6"/>
    <col width="12.5" bestFit="1" customWidth="1" min="7" max="12"/>
  </cols>
  <sheetData>
    <row r="1" ht="15.75" customFormat="1" customHeight="1" s="2">
      <c r="A1" s="2" t="inlineStr">
        <is>
          <t>Role</t>
        </is>
      </c>
      <c r="B1" s="2" t="inlineStr">
        <is>
          <t>URI</t>
        </is>
      </c>
      <c r="C1" s="2" t="inlineStr">
        <is>
          <t>Synonyms</t>
        </is>
      </c>
      <c r="E1" s="2" t="inlineStr">
        <is>
          <t>Circular Drop down</t>
        </is>
      </c>
    </row>
    <row r="2" ht="15.75" customHeight="1">
      <c r="A2" t="inlineStr">
        <is>
          <t>CDS</t>
        </is>
      </c>
      <c r="B2" s="11" t="inlineStr">
        <is>
          <t>http://identifiers.org/so/SO:0000316</t>
        </is>
      </c>
      <c r="C2" t="inlineStr">
        <is>
          <t>['INSDC_feature:CDS', 'coding_sequence', 'coding sequence']</t>
        </is>
      </c>
      <c r="E2" t="inlineStr">
        <is>
          <t>true</t>
        </is>
      </c>
    </row>
    <row r="3" ht="15.75" customHeight="1">
      <c r="A3" t="inlineStr">
        <is>
          <t>promoter</t>
        </is>
      </c>
      <c r="B3" t="inlineStr">
        <is>
          <t>http://identifiers.org/so/SO:0000167</t>
        </is>
      </c>
      <c r="C3" t="inlineStr">
        <is>
          <t>['INSDC_feature:regulatory', 'promoter sequence', 'INSDC_qualifier:promoter']</t>
        </is>
      </c>
      <c r="E3" t="inlineStr">
        <is>
          <t>false</t>
        </is>
      </c>
    </row>
    <row r="4" ht="15.75" customHeight="1">
      <c r="A4" t="inlineStr">
        <is>
          <t>ribosome_entry_site</t>
        </is>
      </c>
      <c r="B4" t="inlineStr">
        <is>
          <t>http://identifiers.org/so/SO:0000139</t>
        </is>
      </c>
      <c r="C4" t="inlineStr">
        <is>
          <t>['INSDC_feature:regulatory', 'INSDC_qualifier:ribosome_binding_site', 'ribosome entry site']</t>
        </is>
      </c>
    </row>
    <row r="5" ht="15.75" customHeight="1">
      <c r="A5" t="inlineStr">
        <is>
          <t>terminator</t>
        </is>
      </c>
      <c r="B5" t="inlineStr">
        <is>
          <t>http://identifiers.org/so/SO:0000141</t>
        </is>
      </c>
      <c r="C5" t="inlineStr">
        <is>
          <t>['INSDC_qualifier:terminator', 'terminator sequence', 'INSDC_feature:regulatory']</t>
        </is>
      </c>
    </row>
    <row r="6" ht="15.75" customHeight="1">
      <c r="A6" t="inlineStr">
        <is>
          <t>origin_of_replication</t>
        </is>
      </c>
      <c r="B6" t="inlineStr">
        <is>
          <t>http://identifiers.org/so/SO:0000296</t>
        </is>
      </c>
      <c r="C6" t="inlineStr">
        <is>
          <t>['ori', 'INSDC_feature:rep_origin', 'origin of replication']</t>
        </is>
      </c>
    </row>
    <row r="7" ht="15.75" customHeight="1">
      <c r="A7" t="inlineStr">
        <is>
          <t>oriT</t>
        </is>
      </c>
      <c r="B7" t="inlineStr">
        <is>
          <t>http://identifiers.org/so/SO:0000724</t>
        </is>
      </c>
      <c r="C7" t="inlineStr">
        <is>
          <t>['INSDC_feature:oriT', 'origin of transfer']</t>
        </is>
      </c>
    </row>
    <row r="8" ht="15.75" customHeight="1">
      <c r="A8" t="inlineStr">
        <is>
          <t>oriV</t>
        </is>
      </c>
      <c r="B8" t="inlineStr">
        <is>
          <t>http://identifiers.org/so/SO:0000952</t>
        </is>
      </c>
      <c r="C8" t="inlineStr">
        <is>
          <t>['origin of vegetative replication']</t>
        </is>
      </c>
    </row>
    <row r="9" ht="15.75" customHeight="1">
      <c r="A9" t="inlineStr">
        <is>
          <t>signal_peptide_region_of_CDS</t>
        </is>
      </c>
      <c r="B9" t="inlineStr">
        <is>
          <t>http://identifiers.org/so/SO:0002251</t>
        </is>
      </c>
      <c r="C9" t="inlineStr">
        <is>
          <t>['INSDC_feature:sig_peptide', 'Signal peptide region of CDS']</t>
        </is>
      </c>
    </row>
    <row r="10" ht="15.75" customHeight="1">
      <c r="A10" t="inlineStr">
        <is>
          <t>site_specific_recombination_target_region</t>
        </is>
      </c>
      <c r="B10" t="inlineStr">
        <is>
          <t>http://identifiers.org/so/SO:0000342</t>
        </is>
      </c>
      <c r="C10" t="inlineStr">
        <is>
          <t>['site specific recombination target region']</t>
        </is>
      </c>
    </row>
    <row r="11" ht="15.75" customHeight="1">
      <c r="A11" t="inlineStr">
        <is>
          <t>2A_self_cleaving_peptide_region</t>
        </is>
      </c>
      <c r="B11" t="inlineStr">
        <is>
          <t>http://identifiers.org/so/SO:0002224</t>
        </is>
      </c>
      <c r="C11" t="inlineStr">
        <is>
          <t>['2A polypeptide region', '2A self-cleaving polypeptide region']</t>
        </is>
      </c>
    </row>
    <row r="12" ht="15.75" customHeight="1">
      <c r="A12" t="inlineStr">
        <is>
          <t>2KB_downstream_variant</t>
        </is>
      </c>
      <c r="B12" t="inlineStr">
        <is>
          <t>http://identifiers.org/so/SO:0002083</t>
        </is>
      </c>
      <c r="C12" t="inlineStr">
        <is>
          <t>['Seattleseq:near-gene-3']</t>
        </is>
      </c>
    </row>
    <row r="13" ht="15.75" customHeight="1">
      <c r="A13" t="inlineStr">
        <is>
          <t>2KB_upstream_variant</t>
        </is>
      </c>
      <c r="B13" t="inlineStr">
        <is>
          <t>http://identifiers.org/so/SO:0001636</t>
        </is>
      </c>
      <c r="C13" t="inlineStr">
        <is>
          <t>['near-gene-5', '2KB upstream variant']</t>
        </is>
      </c>
    </row>
    <row r="14" ht="15.75" customHeight="1">
      <c r="A14" t="inlineStr">
        <is>
          <t>3_prime_UTR_elongation</t>
        </is>
      </c>
      <c r="B14" t="inlineStr">
        <is>
          <t>http://identifiers.org/so/SO:0002016</t>
        </is>
      </c>
      <c r="C14" t="inlineStr">
        <is>
          <t>['3 prime UTR elongation']</t>
        </is>
      </c>
    </row>
    <row r="15" ht="15.75" customHeight="1">
      <c r="A15" t="inlineStr">
        <is>
          <t>3_prime_UTR_exon_variant</t>
        </is>
      </c>
      <c r="B15" t="inlineStr">
        <is>
          <t>http://identifiers.org/so/SO:0002089</t>
        </is>
      </c>
      <c r="C15" t="inlineStr">
        <is>
          <t>['3 prime UTR exon variant']</t>
        </is>
      </c>
    </row>
    <row r="16" ht="15.75" customHeight="1">
      <c r="A16" t="inlineStr">
        <is>
          <t>3_prime_UTR_intron_variant</t>
        </is>
      </c>
      <c r="B16" t="inlineStr">
        <is>
          <t>http://identifiers.org/so/SO:0002090</t>
        </is>
      </c>
      <c r="C16" t="inlineStr">
        <is>
          <t>['3 prime UTR intron variant']</t>
        </is>
      </c>
    </row>
    <row r="17" ht="15.75" customHeight="1">
      <c r="A17" t="inlineStr">
        <is>
          <t>3_prime_UTR_truncation</t>
        </is>
      </c>
      <c r="B17" t="inlineStr">
        <is>
          <t>http://identifiers.org/so/SO:0002015</t>
        </is>
      </c>
      <c r="C17" t="inlineStr">
        <is>
          <t>['Jannovar:3_prime_utr_truncation', 'snpEff:UTR_3_DELETED', '3 prime UTR truncation']</t>
        </is>
      </c>
    </row>
    <row r="18" ht="15.75" customHeight="1">
      <c r="A18" t="inlineStr">
        <is>
          <t>3_prime_UTR_variant</t>
        </is>
      </c>
      <c r="B18" t="inlineStr">
        <is>
          <t>http://identifiers.org/so/SO:0001624</t>
        </is>
      </c>
      <c r="C18" t="inlineStr">
        <is>
          <t>["3'UTR variant", 'three prime UTR variant', 'untranslated-3', 'VEP:3_prime_UTR_variant', 'VAAST:3_prime_UTR_variant', 'Seattleseq:3-prime-UTR', 'ANNOVAR:UTR3', 'snpEff:UTR_3_PRIME', '3PRIME_UTR', 'Jannovar:3_prime_utr_variant', 'VAAST:three_prime_UTR_variant']</t>
        </is>
      </c>
    </row>
    <row r="19" ht="15.75" customHeight="1">
      <c r="A19" t="inlineStr">
        <is>
          <t>3D_polypeptide_structure_variant</t>
        </is>
      </c>
      <c r="B19" t="inlineStr">
        <is>
          <t>http://identifiers.org/so/SO:0001599</t>
        </is>
      </c>
      <c r="C19" t="inlineStr">
        <is>
          <t>['3D polypeptide structure variant']</t>
        </is>
      </c>
    </row>
    <row r="20" ht="15.75" customHeight="1">
      <c r="A20" t="inlineStr">
        <is>
          <t>4_methylcytosine</t>
        </is>
      </c>
      <c r="B20" t="inlineStr">
        <is>
          <t>http://identifiers.org/so/SO:0001919</t>
        </is>
      </c>
      <c r="C20" t="inlineStr">
        <is>
          <t>['4-methylcytosine', 'N4 methylcytosine', 'm-4C', 'N4_methylcytosine', '4-mC', 'm4c', 'N4-methylcytosine']</t>
        </is>
      </c>
    </row>
    <row r="21" ht="15.75" customHeight="1">
      <c r="A21" t="inlineStr">
        <is>
          <t>5_carboxylcytosine</t>
        </is>
      </c>
      <c r="B21" t="inlineStr">
        <is>
          <t>http://identifiers.org/so/SO:0001966</t>
        </is>
      </c>
      <c r="C21" t="inlineStr">
        <is>
          <t>['5-caC', '5-carboxycytosine']</t>
        </is>
      </c>
    </row>
    <row r="22" ht="15.75" customHeight="1">
      <c r="A22" t="inlineStr">
        <is>
          <t>5_formylcytosine</t>
        </is>
      </c>
      <c r="B22" t="inlineStr">
        <is>
          <t>http://identifiers.org/so/SO:0001961</t>
        </is>
      </c>
      <c r="C22" t="inlineStr">
        <is>
          <t>['5-fC', '5-formylcytosine']</t>
        </is>
      </c>
    </row>
    <row r="23" ht="15.75" customHeight="1">
      <c r="A23" t="inlineStr">
        <is>
          <t>5_hydroxymethylcytosine</t>
        </is>
      </c>
      <c r="B23" t="inlineStr">
        <is>
          <t>http://identifiers.org/so/SO:0001960</t>
        </is>
      </c>
      <c r="C23" t="inlineStr">
        <is>
          <t>['5-hmC', '5-hydroxymethylcytosine']</t>
        </is>
      </c>
    </row>
    <row r="24" ht="15.75" customHeight="1">
      <c r="A24" t="inlineStr">
        <is>
          <t>5_methylcytosine</t>
        </is>
      </c>
      <c r="B24" t="inlineStr">
        <is>
          <t>http://identifiers.org/so/SO:0001918</t>
        </is>
      </c>
      <c r="C24" t="inlineStr">
        <is>
          <t>['m-5C', '5 methylcytosine', 'm5c', '5-mC']</t>
        </is>
      </c>
    </row>
    <row r="25" ht="15.75" customHeight="1">
      <c r="A25" t="inlineStr">
        <is>
          <t>5_prime_UTR_elongation</t>
        </is>
      </c>
      <c r="B25" t="inlineStr">
        <is>
          <t>http://identifiers.org/so/SO:0002014</t>
        </is>
      </c>
      <c r="C25" t="inlineStr">
        <is>
          <t>['5 prime UTR elongation']</t>
        </is>
      </c>
    </row>
    <row r="26" ht="15.75" customHeight="1">
      <c r="A26" t="inlineStr">
        <is>
          <t>5_prime_UTR_exon_variant</t>
        </is>
      </c>
      <c r="B26" t="inlineStr">
        <is>
          <t>http://identifiers.org/so/SO:0002092</t>
        </is>
      </c>
      <c r="C26" t="inlineStr">
        <is>
          <t>['5 prime UTR exon variant']</t>
        </is>
      </c>
    </row>
    <row r="27" ht="15.75" customHeight="1">
      <c r="A27" t="inlineStr">
        <is>
          <t>5_prime_UTR_intron_variant</t>
        </is>
      </c>
      <c r="B27" t="inlineStr">
        <is>
          <t>http://identifiers.org/so/SO:0002091</t>
        </is>
      </c>
      <c r="C27" t="inlineStr">
        <is>
          <t>['5 prime UTR intron variant']</t>
        </is>
      </c>
    </row>
    <row r="28" ht="15.75" customHeight="1">
      <c r="A28" t="inlineStr">
        <is>
          <t>5_prime_UTR_premature_start_codon_gain_variant</t>
        </is>
      </c>
      <c r="B28" t="inlineStr">
        <is>
          <t>http://identifiers.org/so/SO:0001988</t>
        </is>
      </c>
      <c r="C28" t="inlineStr">
        <is>
          <t>['Jannovar:5_prime_UTR_premature_start_codon_gain_variant', '5 prime UTR premature start codon gain variant', 'snpEff:START_GAINED']</t>
        </is>
      </c>
    </row>
    <row r="29" ht="15.75" customHeight="1">
      <c r="A29" t="inlineStr">
        <is>
          <t>5_prime_UTR_premature_start_codon_loss_variant</t>
        </is>
      </c>
      <c r="B29" t="inlineStr">
        <is>
          <t>http://identifiers.org/so/SO:0001989</t>
        </is>
      </c>
    </row>
    <row r="30" ht="15.75" customHeight="1">
      <c r="A30" t="inlineStr">
        <is>
          <t>5_prime_UTR_premature_start_codon_variant</t>
        </is>
      </c>
      <c r="B30" t="inlineStr">
        <is>
          <t>http://identifiers.org/so/SO:0001983</t>
        </is>
      </c>
      <c r="C30" t="inlineStr">
        <is>
          <t>["5' UTR premature start codon variant"]</t>
        </is>
      </c>
    </row>
    <row r="31" ht="15.75" customHeight="1">
      <c r="A31" t="inlineStr">
        <is>
          <t>5_prime_UTR_truncation</t>
        </is>
      </c>
      <c r="B31" t="inlineStr">
        <is>
          <t>http://identifiers.org/so/SO:0002013</t>
        </is>
      </c>
      <c r="C31" t="inlineStr">
        <is>
          <t>['snpEff:UTR_5_DELETED', '5 prime UTR truncation', 'Jannovar:5_prime_utr_truncation']</t>
        </is>
      </c>
    </row>
    <row r="32" ht="15.75" customHeight="1">
      <c r="A32" t="inlineStr">
        <is>
          <t>5_prime_UTR_variant</t>
        </is>
      </c>
      <c r="B32" t="inlineStr">
        <is>
          <t>http://identifiers.org/so/SO:0001623</t>
        </is>
      </c>
      <c r="C32" t="inlineStr">
        <is>
          <t>['snpEff:UTR_5_PRIME', '5PRIME_UTR', 'untranslated-5', 'Seattleseq:5-prime-UTR', 'VAAST:five_prime_UTR_variant', "5'UTR variant", 'Jannovar:5_prime_utr_variant', 'ANNOVAR:UTR5', 'VEP:5_prime_UTR_variant', 'five prime UTR variant', 'VAAST:5_prime_UTR_variant']</t>
        </is>
      </c>
    </row>
    <row r="33" ht="15.75" customHeight="1">
      <c r="A33" t="inlineStr">
        <is>
          <t>500B_downstream_variant</t>
        </is>
      </c>
      <c r="B33" t="inlineStr">
        <is>
          <t>http://identifiers.org/so/SO:0001634</t>
        </is>
      </c>
      <c r="C33" t="inlineStr">
        <is>
          <t>['near-gene-3', '500B downstream variant']</t>
        </is>
      </c>
    </row>
    <row r="34" ht="15.75" customHeight="1">
      <c r="A34" t="inlineStr">
        <is>
          <t>5KB_downstream_variant</t>
        </is>
      </c>
      <c r="B34" t="inlineStr">
        <is>
          <t>http://identifiers.org/so/SO:0001633</t>
        </is>
      </c>
      <c r="C34" t="inlineStr">
        <is>
          <t>['Seattleseq:downstream-gene', '5KB downstream variant', 'within 5KB downstream', 'downstream']</t>
        </is>
      </c>
    </row>
    <row r="35" ht="15.75" customHeight="1">
      <c r="A35" t="inlineStr">
        <is>
          <t>5KB_upstream_variant</t>
        </is>
      </c>
      <c r="B35" t="inlineStr">
        <is>
          <t>http://identifiers.org/so/SO:0001635</t>
        </is>
      </c>
      <c r="C35" t="inlineStr">
        <is>
          <t>['Seattleseq:upstream-gene', '5kb upstream variant', 'upstream']</t>
        </is>
      </c>
    </row>
    <row r="36" ht="15.75" customHeight="1">
      <c r="A36" t="inlineStr">
        <is>
          <t>5S_SINE_retrotransposon</t>
        </is>
      </c>
      <c r="B36" t="inlineStr">
        <is>
          <t>http://identifiers.org/so/SO:0002276</t>
        </is>
      </c>
      <c r="C36" t="inlineStr">
        <is>
          <t>['5S SINE element', '5S SINE retrotransposon', 'RSS retrotransposon']</t>
        </is>
      </c>
    </row>
    <row r="37" ht="15.75" customHeight="1">
      <c r="A37" t="inlineStr">
        <is>
          <t>7SL_SINE_retrotransposon</t>
        </is>
      </c>
      <c r="B37" t="inlineStr">
        <is>
          <t>http://identifiers.org/so/SO:0002275</t>
        </is>
      </c>
      <c r="C37" t="inlineStr">
        <is>
          <t>['7SL SINE element', 'RSL retrotransposon', '7SL SINE retrotransposon']</t>
        </is>
      </c>
    </row>
    <row r="38" ht="15.75" customHeight="1">
      <c r="A38" t="inlineStr">
        <is>
          <t>8_oxoadenine</t>
        </is>
      </c>
      <c r="B38" t="inlineStr">
        <is>
          <t>http://identifiers.org/so/SO:0001967</t>
        </is>
      </c>
      <c r="C38" t="inlineStr">
        <is>
          <t>['8-oxoadenine', '8-oxoA']</t>
        </is>
      </c>
    </row>
    <row r="39" ht="15.75" customHeight="1">
      <c r="A39" t="inlineStr">
        <is>
          <t>8_oxoguanine</t>
        </is>
      </c>
      <c r="B39" t="inlineStr">
        <is>
          <t>http://identifiers.org/so/SO:0001965</t>
        </is>
      </c>
      <c r="C39" t="inlineStr">
        <is>
          <t>['8-oxoG', '8-oxoguanine']</t>
        </is>
      </c>
    </row>
    <row r="40" ht="15.75" customHeight="1">
      <c r="A40" t="inlineStr">
        <is>
          <t>A_box</t>
        </is>
      </c>
      <c r="B40" t="inlineStr">
        <is>
          <t>http://identifiers.org/so/SO:0000619</t>
        </is>
      </c>
      <c r="C40" t="inlineStr">
        <is>
          <t>['A-box']</t>
        </is>
      </c>
    </row>
    <row r="41" ht="15.75" customHeight="1">
      <c r="A41" t="inlineStr">
        <is>
          <t>A_box_type_1</t>
        </is>
      </c>
      <c r="B41" t="inlineStr">
        <is>
          <t>http://identifiers.org/so/SO:0001675</t>
        </is>
      </c>
      <c r="C41" t="inlineStr">
        <is>
          <t>['A box type 1']</t>
        </is>
      </c>
    </row>
    <row r="42" ht="15.75" customHeight="1">
      <c r="A42" t="inlineStr">
        <is>
          <t>A_box_type_2</t>
        </is>
      </c>
      <c r="B42" t="inlineStr">
        <is>
          <t>http://identifiers.org/so/SO:0001676</t>
        </is>
      </c>
      <c r="C42" t="inlineStr">
        <is>
          <t>['A box type 2']</t>
        </is>
      </c>
    </row>
    <row r="43" ht="15.75" customHeight="1">
      <c r="A43" t="inlineStr">
        <is>
          <t>A_minor_RNA_motif</t>
        </is>
      </c>
      <c r="B43" t="inlineStr">
        <is>
          <t>http://identifiers.org/so/SO:0000022</t>
        </is>
      </c>
      <c r="C43" t="inlineStr">
        <is>
          <t>['A minor RNA motif']</t>
        </is>
      </c>
    </row>
    <row r="44" ht="15.75" customHeight="1">
      <c r="A44" t="inlineStr">
        <is>
          <t>A_to_C_transversion</t>
        </is>
      </c>
      <c r="B44" t="inlineStr">
        <is>
          <t>http://identifiers.org/so/SO:1000024</t>
        </is>
      </c>
      <c r="C44" t="inlineStr">
        <is>
          <t>['A to C transversion']</t>
        </is>
      </c>
    </row>
    <row r="45" ht="15.75" customHeight="1">
      <c r="A45" t="inlineStr">
        <is>
          <t>A_to_G_transition</t>
        </is>
      </c>
      <c r="B45" t="inlineStr">
        <is>
          <t>http://identifiers.org/so/SO:1000015</t>
        </is>
      </c>
      <c r="C45" t="inlineStr">
        <is>
          <t>['A to G transition']</t>
        </is>
      </c>
    </row>
    <row r="46" ht="15.75" customHeight="1">
      <c r="A46" t="inlineStr">
        <is>
          <t>A_to_T_transversion</t>
        </is>
      </c>
      <c r="B46" t="inlineStr">
        <is>
          <t>http://identifiers.org/so/SO:1000025</t>
        </is>
      </c>
      <c r="C46" t="inlineStr">
        <is>
          <t>['A to T transversion']</t>
        </is>
      </c>
    </row>
    <row r="47" ht="15.75" customHeight="1">
      <c r="A47" t="inlineStr">
        <is>
          <t>AACCCT_box</t>
        </is>
      </c>
      <c r="B47" t="inlineStr">
        <is>
          <t>http://identifiers.org/so/SO:0001901</t>
        </is>
      </c>
      <c r="C47" t="inlineStr">
        <is>
          <t>['AACCCT box']</t>
        </is>
      </c>
    </row>
    <row r="48" ht="15.75" customHeight="1">
      <c r="A48" t="inlineStr">
        <is>
          <t>aberrant_processed_transcript</t>
        </is>
      </c>
      <c r="B48" t="inlineStr">
        <is>
          <t>http://identifiers.org/so/SO:0000681</t>
        </is>
      </c>
      <c r="C48" t="inlineStr">
        <is>
          <t>['aberrant processed transcript']</t>
        </is>
      </c>
    </row>
    <row r="49" ht="15.75" customHeight="1">
      <c r="A49" t="inlineStr">
        <is>
          <t>Ace2_UAS</t>
        </is>
      </c>
      <c r="B49" t="inlineStr">
        <is>
          <t>http://identifiers.org/so/SO:0001857</t>
        </is>
      </c>
      <c r="C49" t="inlineStr">
        <is>
          <t>['Ace2 upstream activating sequence']</t>
        </is>
      </c>
    </row>
    <row r="50" ht="15.75" customHeight="1">
      <c r="A50" t="inlineStr">
        <is>
          <t>active_peptide</t>
        </is>
      </c>
      <c r="B50" t="inlineStr">
        <is>
          <t>http://identifiers.org/so/SO:0001064</t>
        </is>
      </c>
      <c r="C50" t="inlineStr">
        <is>
          <t>['active peptide', 'peptide']</t>
        </is>
      </c>
    </row>
    <row r="51" ht="15.75" customHeight="1">
      <c r="A51" t="inlineStr">
        <is>
          <t>adaptive_island</t>
        </is>
      </c>
      <c r="B51" t="inlineStr">
        <is>
          <t>http://identifiers.org/so/SO:0000775</t>
        </is>
      </c>
      <c r="C51" t="inlineStr">
        <is>
          <t>['adaptive island']</t>
        </is>
      </c>
    </row>
    <row r="52" ht="15.75" customHeight="1">
      <c r="A52" t="inlineStr">
        <is>
          <t>AFLP_fragment</t>
        </is>
      </c>
      <c r="B52" t="inlineStr">
        <is>
          <t>http://identifiers.org/so/SO:0001830</t>
        </is>
      </c>
      <c r="C52" t="inlineStr">
        <is>
          <t>['AFLP fragment', 'AFLP', 'amplified fragment length polymorphism', 'amplified fragment length polymorphism PCR', 'AFLP-PCR']</t>
        </is>
      </c>
    </row>
    <row r="53" ht="15.75" customHeight="1">
      <c r="A53" t="inlineStr">
        <is>
          <t>alanine</t>
        </is>
      </c>
      <c r="B53" t="inlineStr">
        <is>
          <t>http://identifiers.org/so/SO:0001435</t>
        </is>
      </c>
      <c r="C53" t="inlineStr">
        <is>
          <t>['Ala', 'A']</t>
        </is>
      </c>
    </row>
    <row r="54" ht="15.75" customHeight="1">
      <c r="A54" t="inlineStr">
        <is>
          <t>alanine_tRNA_primary_transcript</t>
        </is>
      </c>
      <c r="B54" t="inlineStr">
        <is>
          <t>http://identifiers.org/so/SO:0000211</t>
        </is>
      </c>
      <c r="C54" t="inlineStr">
        <is>
          <t>['alanine tRNA primary transcript']</t>
        </is>
      </c>
    </row>
    <row r="55" ht="15.75" customHeight="1">
      <c r="A55" t="inlineStr">
        <is>
          <t>alanyl_tRNA</t>
        </is>
      </c>
      <c r="B55" t="inlineStr">
        <is>
          <t>http://identifiers.org/so/SO:0000254</t>
        </is>
      </c>
      <c r="C55" t="inlineStr">
        <is>
          <t>['alanyl-transfer ribonucleic acid', 'alanyl-transfer RNA', 'alanyl tRNA']</t>
        </is>
      </c>
    </row>
    <row r="56" ht="15.75" customHeight="1">
      <c r="A56" t="inlineStr">
        <is>
          <t>allele</t>
        </is>
      </c>
      <c r="B56" t="inlineStr">
        <is>
          <t>http://identifiers.org/so/SO:0001023</t>
        </is>
      </c>
      <c r="C56" t="inlineStr">
        <is>
          <t>['allelomorph']</t>
        </is>
      </c>
    </row>
    <row r="57" ht="15.75" customHeight="1">
      <c r="A57" t="inlineStr">
        <is>
          <t>allelic_frequency</t>
        </is>
      </c>
      <c r="B57" t="inlineStr">
        <is>
          <t>http://identifiers.org/so/SO:0002119</t>
        </is>
      </c>
    </row>
    <row r="58" ht="15.75" customHeight="1">
      <c r="A58" t="inlineStr">
        <is>
          <t>allelic_pseudogene</t>
        </is>
      </c>
      <c r="B58" t="inlineStr">
        <is>
          <t>http://identifiers.org/so/SO:0002189</t>
        </is>
      </c>
      <c r="C58" t="inlineStr">
        <is>
          <t>['INSDC_feature:gene', 'allelic pseudogene', 'INSDC_qualifier:allelic']</t>
        </is>
      </c>
    </row>
    <row r="59" ht="15.75" customHeight="1">
      <c r="A59" t="inlineStr">
        <is>
          <t>allelic_pseudogenic_rRNA</t>
        </is>
      </c>
      <c r="B59" t="inlineStr">
        <is>
          <t>http://identifiers.org/so/SO:0002196</t>
        </is>
      </c>
      <c r="C59" t="inlineStr">
        <is>
          <t>['INSDC_qualifier:allelic', 'INSDC_feature:rRNA', 'allelic pseudogenic rRNA']</t>
        </is>
      </c>
    </row>
    <row r="60" ht="15.75" customHeight="1">
      <c r="A60" t="inlineStr">
        <is>
          <t>allelic_pseudogenic_tRNA</t>
        </is>
      </c>
      <c r="B60" t="inlineStr">
        <is>
          <t>http://identifiers.org/so/SO:0002200</t>
        </is>
      </c>
      <c r="C60" t="inlineStr">
        <is>
          <t>['INSDC_feature:tRNA', 'allelic pseudogenic tRNA', 'INSDC_qualifier:allelic']</t>
        </is>
      </c>
    </row>
    <row r="61" ht="15.75" customHeight="1">
      <c r="A61" t="inlineStr">
        <is>
          <t>allelically_excluded</t>
        </is>
      </c>
      <c r="B61" t="inlineStr">
        <is>
          <t>http://identifiers.org/so/SO:0000137</t>
        </is>
      </c>
      <c r="C61" t="inlineStr">
        <is>
          <t>['allelically excluded']</t>
        </is>
      </c>
    </row>
    <row r="62" ht="15.75" customHeight="1">
      <c r="A62" t="inlineStr">
        <is>
          <t>allelically_excluded_gene</t>
        </is>
      </c>
      <c r="B62" t="inlineStr">
        <is>
          <t>http://identifiers.org/so/SO:0000897</t>
        </is>
      </c>
      <c r="C62" t="inlineStr">
        <is>
          <t>['allelically excluded gene']</t>
        </is>
      </c>
    </row>
    <row r="63" ht="15.75" customHeight="1">
      <c r="A63" t="inlineStr">
        <is>
          <t>allopolyploid</t>
        </is>
      </c>
      <c r="B63" t="inlineStr">
        <is>
          <t>http://identifiers.org/so/SO:0001256</t>
        </is>
      </c>
    </row>
    <row r="64" ht="15.75" customHeight="1">
      <c r="A64" t="inlineStr">
        <is>
          <t>alpha_beta_motif</t>
        </is>
      </c>
      <c r="B64" t="inlineStr">
        <is>
          <t>http://identifiers.org/so/SO:0100008</t>
        </is>
      </c>
      <c r="C64" t="inlineStr">
        <is>
          <t>['alpha beta motif']</t>
        </is>
      </c>
    </row>
    <row r="65" ht="15.75" customHeight="1">
      <c r="A65" t="inlineStr">
        <is>
          <t>alpha_helix</t>
        </is>
      </c>
      <c r="B65" t="inlineStr">
        <is>
          <t>http://identifiers.org/so/SO:0001117</t>
        </is>
      </c>
      <c r="C65" t="inlineStr">
        <is>
          <t>['a-helix', 'helix']</t>
        </is>
      </c>
    </row>
    <row r="66" ht="15.75" customHeight="1">
      <c r="A66" t="inlineStr">
        <is>
          <t>alteration_attribute</t>
        </is>
      </c>
      <c r="B66" t="inlineStr">
        <is>
          <t>http://identifiers.org/so/SO:0001508</t>
        </is>
      </c>
      <c r="C66" t="inlineStr">
        <is>
          <t>['alteration attribute']</t>
        </is>
      </c>
    </row>
    <row r="67" ht="15.75" customHeight="1">
      <c r="A67" t="inlineStr">
        <is>
          <t>alternate_sequence_site</t>
        </is>
      </c>
      <c r="B67" t="inlineStr">
        <is>
          <t>http://identifiers.org/so/SO:0001149</t>
        </is>
      </c>
      <c r="C67" t="inlineStr">
        <is>
          <t>['alternative_sequence', 'varsplic', 'sequence variation', 'isoform', 'var_seq']</t>
        </is>
      </c>
    </row>
    <row r="68" ht="15.75" customHeight="1">
      <c r="A68" t="inlineStr">
        <is>
          <t>alternately_spliced_gene_encodeing_one_transcript</t>
        </is>
      </c>
      <c r="B68" t="inlineStr">
        <is>
          <t>http://identifiers.org/so/SO:0000503</t>
        </is>
      </c>
    </row>
    <row r="69" ht="15.75" customHeight="1">
      <c r="A69" t="inlineStr">
        <is>
          <t>alternately_spliced_gene_encoding_greater_than_one_transcript</t>
        </is>
      </c>
      <c r="B69" t="inlineStr">
        <is>
          <t>http://identifiers.org/so/SO:0000543</t>
        </is>
      </c>
    </row>
    <row r="70" ht="15.75" customHeight="1">
      <c r="A70" t="inlineStr">
        <is>
          <t>alternatively_spliced</t>
        </is>
      </c>
      <c r="B70" t="inlineStr">
        <is>
          <t>http://identifiers.org/so/SO:0000877</t>
        </is>
      </c>
      <c r="C70" t="inlineStr">
        <is>
          <t>['alternatively spliced']</t>
        </is>
      </c>
    </row>
    <row r="71" ht="15.75" customHeight="1">
      <c r="A71" t="inlineStr">
        <is>
          <t>alternatively_spliced_gene_encoding_greater_than_1_polypeptide_coding_regions_overlapping</t>
        </is>
      </c>
      <c r="B71" t="inlineStr">
        <is>
          <t>http://identifiers.org/so/SO:1001194</t>
        </is>
      </c>
    </row>
    <row r="72" ht="15.75" customHeight="1">
      <c r="A72" t="inlineStr">
        <is>
          <t>alternatively_spliced_transcript</t>
        </is>
      </c>
      <c r="B72" t="inlineStr">
        <is>
          <t>http://identifiers.org/so/SO:1001187</t>
        </is>
      </c>
      <c r="C72" t="inlineStr">
        <is>
          <t>['alternatively spliced transcript']</t>
        </is>
      </c>
    </row>
    <row r="73" ht="15.75" customHeight="1">
      <c r="A73" t="inlineStr">
        <is>
          <t>alternatively_spliced_transcript_encoding_greater_than_1_polypeptide_different_start_codon_different_stop_codon_coding_regions_non_overlapping</t>
        </is>
      </c>
      <c r="B73" t="inlineStr">
        <is>
          <t>http://identifiers.org/so/SO:1001244</t>
        </is>
      </c>
      <c r="C73" t="inlineStr">
        <is>
          <t>['alternatively_spliced_transcript_encoding_greater_than_1_polypeptide_different_start_codon_different_stop_codon_coding_regions_non-overlapping']</t>
        </is>
      </c>
    </row>
    <row r="74" ht="15.75" customHeight="1">
      <c r="A74" t="inlineStr">
        <is>
          <t>Alu_deletion</t>
        </is>
      </c>
      <c r="B74" t="inlineStr">
        <is>
          <t>http://identifiers.org/so/SO:0002070</t>
        </is>
      </c>
    </row>
    <row r="75" ht="15.75" customHeight="1">
      <c r="A75" t="inlineStr">
        <is>
          <t>Alu_insertion</t>
        </is>
      </c>
      <c r="B75" t="inlineStr">
        <is>
          <t>http://identifiers.org/so/SO:0002063</t>
        </is>
      </c>
      <c r="C75" t="inlineStr">
        <is>
          <t>['Alu insertion']</t>
        </is>
      </c>
    </row>
    <row r="76" ht="15.75" customHeight="1">
      <c r="A76" t="inlineStr">
        <is>
          <t>ambisense_ssRNA_viral_sequence</t>
        </is>
      </c>
      <c r="B76" t="inlineStr">
        <is>
          <t>http://identifiers.org/so/SO:0001202</t>
        </is>
      </c>
      <c r="C76" t="inlineStr">
        <is>
          <t>['ambisense ssRNA viral sequence', 'ambisense single stranded RNA virus']</t>
        </is>
      </c>
    </row>
    <row r="77" ht="15.75" customHeight="1">
      <c r="A77" t="inlineStr">
        <is>
          <t>amino_acid</t>
        </is>
      </c>
      <c r="B77" t="inlineStr">
        <is>
          <t>http://identifiers.org/so/SO:0001237</t>
        </is>
      </c>
      <c r="C77" t="inlineStr">
        <is>
          <t>['amino acid']</t>
        </is>
      </c>
    </row>
    <row r="78" ht="15.75" customHeight="1">
      <c r="A78" t="inlineStr">
        <is>
          <t>amino_acid_deletion</t>
        </is>
      </c>
      <c r="B78" t="inlineStr">
        <is>
          <t>http://identifiers.org/so/SO:0001604</t>
        </is>
      </c>
      <c r="C78" t="inlineStr">
        <is>
          <t>['amino acid deletion']</t>
        </is>
      </c>
    </row>
    <row r="79" ht="15.75" customHeight="1">
      <c r="A79" t="inlineStr">
        <is>
          <t>amino_acid_insertion</t>
        </is>
      </c>
      <c r="B79" t="inlineStr">
        <is>
          <t>http://identifiers.org/so/SO:0001605</t>
        </is>
      </c>
      <c r="C79" t="inlineStr">
        <is>
          <t>['amino acid insertion']</t>
        </is>
      </c>
    </row>
    <row r="80" ht="15.75" customHeight="1">
      <c r="A80" t="inlineStr">
        <is>
          <t>amino_acid_substitution</t>
        </is>
      </c>
      <c r="B80" t="inlineStr">
        <is>
          <t>http://identifiers.org/so/SO:0001606</t>
        </is>
      </c>
      <c r="C80" t="inlineStr">
        <is>
          <t>['VAAST:amino_acid_substitution', 'amino acid substitution']</t>
        </is>
      </c>
    </row>
    <row r="81" ht="15.75" customHeight="1">
      <c r="A81" t="inlineStr">
        <is>
          <t>amplification_origin</t>
        </is>
      </c>
      <c r="B81" t="inlineStr">
        <is>
          <t>http://identifiers.org/so/SO:0000750</t>
        </is>
      </c>
      <c r="C81" t="inlineStr">
        <is>
          <t>['amplification origin']</t>
        </is>
      </c>
    </row>
    <row r="82" ht="15.75" customHeight="1">
      <c r="A82" t="inlineStr">
        <is>
          <t>anchor_binding_site</t>
        </is>
      </c>
      <c r="B82" t="inlineStr">
        <is>
          <t>http://identifiers.org/so/SO:0000977</t>
        </is>
      </c>
      <c r="C82" t="inlineStr">
        <is>
          <t>['anchor binding site']</t>
        </is>
      </c>
    </row>
    <row r="83" ht="15.75" customHeight="1">
      <c r="A83" t="inlineStr">
        <is>
          <t>anchor_region</t>
        </is>
      </c>
      <c r="B83" t="inlineStr">
        <is>
          <t>http://identifiers.org/so/SO:0000931</t>
        </is>
      </c>
      <c r="C83" t="inlineStr">
        <is>
          <t>['anchor region']</t>
        </is>
      </c>
    </row>
    <row r="84" ht="15.75" customHeight="1">
      <c r="A84" t="inlineStr">
        <is>
          <t>androgen_response_element</t>
        </is>
      </c>
      <c r="B84" t="inlineStr">
        <is>
          <t>http://identifiers.org/so/SO:0001853</t>
        </is>
      </c>
      <c r="C84" t="inlineStr">
        <is>
          <t>['androgen response element', 'ARE']</t>
        </is>
      </c>
    </row>
    <row r="85" ht="15.75" customHeight="1">
      <c r="A85" t="inlineStr">
        <is>
          <t>aneuploid</t>
        </is>
      </c>
      <c r="B85" t="inlineStr">
        <is>
          <t>http://identifiers.org/so/SO:0000054</t>
        </is>
      </c>
    </row>
    <row r="86" ht="15.75" customHeight="1">
      <c r="A86" t="inlineStr">
        <is>
          <t>aneuploid_chromosome</t>
        </is>
      </c>
      <c r="B86" t="inlineStr">
        <is>
          <t>http://identifiers.org/so/SO:0000550</t>
        </is>
      </c>
      <c r="C86" t="inlineStr">
        <is>
          <t>['aneuploid chromosome']</t>
        </is>
      </c>
    </row>
    <row r="87" ht="15.75" customHeight="1">
      <c r="A87" t="inlineStr">
        <is>
          <t>annotation_directed_improved_draft</t>
        </is>
      </c>
      <c r="B87" t="inlineStr">
        <is>
          <t>http://identifiers.org/so/SO:0001489</t>
        </is>
      </c>
      <c r="C87" t="inlineStr">
        <is>
          <t>['annotation directed improvement']</t>
        </is>
      </c>
    </row>
    <row r="88" ht="15.75" customHeight="1">
      <c r="A88" t="inlineStr">
        <is>
          <t>anti_ARRET</t>
        </is>
      </c>
      <c r="B88" t="inlineStr">
        <is>
          <t>http://identifiers.org/so/SO:0001926</t>
        </is>
      </c>
      <c r="C88" t="inlineStr">
        <is>
          <t>['anti-ARRET']</t>
        </is>
      </c>
    </row>
    <row r="89" ht="15.75" customHeight="1">
      <c r="A89" t="inlineStr">
        <is>
          <t>anticodon</t>
        </is>
      </c>
      <c r="B89" t="inlineStr">
        <is>
          <t>http://identifiers.org/so/SO:0001174</t>
        </is>
      </c>
      <c r="C89" t="inlineStr">
        <is>
          <t>['anti-codon']</t>
        </is>
      </c>
    </row>
    <row r="90" ht="15.75" customHeight="1">
      <c r="A90" t="inlineStr">
        <is>
          <t>anticodon_loop</t>
        </is>
      </c>
      <c r="B90" t="inlineStr">
        <is>
          <t>http://identifiers.org/so/SO:0001173</t>
        </is>
      </c>
      <c r="C90" t="inlineStr">
        <is>
          <t>['anticodon loop', 'anti-codon loop']</t>
        </is>
      </c>
    </row>
    <row r="91" ht="15.75" customHeight="1">
      <c r="A91" t="inlineStr">
        <is>
          <t>antiparallel_beta_strand</t>
        </is>
      </c>
      <c r="B91" t="inlineStr">
        <is>
          <t>http://identifiers.org/so/SO:0001112</t>
        </is>
      </c>
      <c r="C91" t="inlineStr">
        <is>
          <t>['antiparallel beta strand']</t>
        </is>
      </c>
    </row>
    <row r="92" ht="15.75" customHeight="1">
      <c r="A92" t="inlineStr">
        <is>
          <t>antisense</t>
        </is>
      </c>
      <c r="B92" t="inlineStr">
        <is>
          <t>http://identifiers.org/so/SO:0000077</t>
        </is>
      </c>
    </row>
    <row r="93" ht="15.75" customHeight="1">
      <c r="A93" t="inlineStr">
        <is>
          <t>antisense_lncRNA</t>
        </is>
      </c>
      <c r="B93" t="inlineStr">
        <is>
          <t>http://identifiers.org/so/SO:0001904</t>
        </is>
      </c>
      <c r="C93" t="inlineStr">
        <is>
          <t>['natural antisense transcript', 'antisense lncRNA']</t>
        </is>
      </c>
    </row>
    <row r="94" ht="15.75" customHeight="1">
      <c r="A94" t="inlineStr">
        <is>
          <t>antisense_lncRNA_gene</t>
        </is>
      </c>
      <c r="B94" t="inlineStr">
        <is>
          <t>http://identifiers.org/so/SO:0002182</t>
        </is>
      </c>
      <c r="C94" t="inlineStr">
        <is>
          <t>['antisense lncRNA gene']</t>
        </is>
      </c>
    </row>
    <row r="95" ht="15.75" customHeight="1">
      <c r="A95" t="inlineStr">
        <is>
          <t>antisense_primary_transcript</t>
        </is>
      </c>
      <c r="B95" t="inlineStr">
        <is>
          <t>http://identifiers.org/so/SO:0000645</t>
        </is>
      </c>
      <c r="C95" t="inlineStr">
        <is>
          <t>['antisense primary transcript']</t>
        </is>
      </c>
    </row>
    <row r="96" ht="15.75" customHeight="1">
      <c r="A96" t="inlineStr">
        <is>
          <t>antisense_RNA</t>
        </is>
      </c>
      <c r="B96" t="inlineStr">
        <is>
          <t>http://identifiers.org/so/SO:0000644</t>
        </is>
      </c>
      <c r="C96" t="inlineStr">
        <is>
          <t>['antisense RNA', 'INSDC_feature:ncRNA', 'INSDC_qualifier:antisense_RNA']</t>
        </is>
      </c>
    </row>
    <row r="97" ht="15.75" customHeight="1">
      <c r="A97" t="inlineStr">
        <is>
          <t>AP_1_binding_site</t>
        </is>
      </c>
      <c r="B97" t="inlineStr">
        <is>
          <t>http://identifiers.org/so/SO:0001842</t>
        </is>
      </c>
      <c r="C97" t="inlineStr">
        <is>
          <t>['AP-1 binding site']</t>
        </is>
      </c>
    </row>
    <row r="98" ht="15.75" customHeight="1">
      <c r="A98" t="inlineStr">
        <is>
          <t>apicoplast_chromosome</t>
        </is>
      </c>
      <c r="B98" t="inlineStr">
        <is>
          <t>http://identifiers.org/so/SO:0001259</t>
        </is>
      </c>
      <c r="C98" t="inlineStr">
        <is>
          <t>['apicoplast chromosome']</t>
        </is>
      </c>
    </row>
    <row r="99" ht="15.75" customHeight="1">
      <c r="A99" t="inlineStr">
        <is>
          <t>apicoplast_gene</t>
        </is>
      </c>
      <c r="B99" t="inlineStr">
        <is>
          <t>http://identifiers.org/so/SO:0000091</t>
        </is>
      </c>
      <c r="C99" t="inlineStr">
        <is>
          <t>['apicoplast gene']</t>
        </is>
      </c>
    </row>
    <row r="100" ht="15.75" customHeight="1">
      <c r="A100" t="inlineStr">
        <is>
          <t>apicoplast_sequence</t>
        </is>
      </c>
      <c r="B100" t="inlineStr">
        <is>
          <t>http://identifiers.org/so/SO:0000743</t>
        </is>
      </c>
      <c r="C100" t="inlineStr">
        <is>
          <t>['apicoplast sequence']</t>
        </is>
      </c>
    </row>
    <row r="101" ht="15.75" customHeight="1">
      <c r="A101" t="inlineStr">
        <is>
          <t>aptamer</t>
        </is>
      </c>
      <c r="B101" t="inlineStr">
        <is>
          <t>http://identifiers.org/so/SO:0000031</t>
        </is>
      </c>
    </row>
    <row r="102" ht="15.75" customHeight="1">
      <c r="A102" t="inlineStr">
        <is>
          <t>archaeal_intron</t>
        </is>
      </c>
      <c r="B102" t="inlineStr">
        <is>
          <t>http://identifiers.org/so/SO:1001271</t>
        </is>
      </c>
      <c r="C102" t="inlineStr">
        <is>
          <t>['archaeal intron']</t>
        </is>
      </c>
    </row>
    <row r="103" ht="15.75" customHeight="1">
      <c r="A103" t="inlineStr">
        <is>
          <t>archaeosine</t>
        </is>
      </c>
      <c r="B103" t="inlineStr">
        <is>
          <t>http://identifiers.org/so/SO:0001323</t>
        </is>
      </c>
      <c r="C103" t="inlineStr">
        <is>
          <t>['G+']</t>
        </is>
      </c>
    </row>
    <row r="104" ht="15.75" customHeight="1">
      <c r="A104" t="inlineStr">
        <is>
          <t>arginine</t>
        </is>
      </c>
      <c r="B104" t="inlineStr">
        <is>
          <t>http://identifiers.org/so/SO:0001451</t>
        </is>
      </c>
      <c r="C104" t="inlineStr">
        <is>
          <t>['Arg', 'R']</t>
        </is>
      </c>
    </row>
    <row r="105" ht="15.75" customHeight="1">
      <c r="A105" t="inlineStr">
        <is>
          <t>arginine_tRNA_primary_transcript</t>
        </is>
      </c>
      <c r="B105" t="inlineStr">
        <is>
          <t>http://identifiers.org/so/SO:0000212</t>
        </is>
      </c>
      <c r="C105" t="inlineStr">
        <is>
          <t>['arginine tRNA primary transcript']</t>
        </is>
      </c>
    </row>
    <row r="106" ht="15.75" customHeight="1">
      <c r="A106" t="inlineStr">
        <is>
          <t>arginyl_tRNA</t>
        </is>
      </c>
      <c r="B106" t="inlineStr">
        <is>
          <t>http://identifiers.org/so/SO:0001036</t>
        </is>
      </c>
      <c r="C106" t="inlineStr">
        <is>
          <t>['arginyl tRNA']</t>
        </is>
      </c>
    </row>
    <row r="107" ht="15.75" customHeight="1">
      <c r="A107" t="inlineStr">
        <is>
          <t>ARIA</t>
        </is>
      </c>
      <c r="B107" t="inlineStr">
        <is>
          <t>http://identifiers.org/so/SO:0001925</t>
        </is>
      </c>
    </row>
    <row r="108" ht="15.75" customHeight="1">
      <c r="A108" t="inlineStr">
        <is>
          <t>ARRET</t>
        </is>
      </c>
      <c r="B108" t="inlineStr">
        <is>
          <t>http://identifiers.org/so/SO:0001924</t>
        </is>
      </c>
    </row>
    <row r="109" ht="15.75" customHeight="1">
      <c r="A109" t="inlineStr">
        <is>
          <t>ARS</t>
        </is>
      </c>
      <c r="B109" t="inlineStr">
        <is>
          <t>http://identifiers.org/so/SO:0000436</t>
        </is>
      </c>
      <c r="C109" t="inlineStr">
        <is>
          <t>['autonomously replicating sequence']</t>
        </is>
      </c>
    </row>
    <row r="110" ht="15.75" customHeight="1">
      <c r="A110" t="inlineStr">
        <is>
          <t>ARS_consensus_sequence</t>
        </is>
      </c>
      <c r="B110" t="inlineStr">
        <is>
          <t>http://identifiers.org/so/SO:0002004</t>
        </is>
      </c>
      <c r="C110" t="inlineStr">
        <is>
          <t>['ARS consensus sequence', 'ACS']</t>
        </is>
      </c>
    </row>
    <row r="111" ht="15.75" customHeight="1">
      <c r="A111" t="inlineStr">
        <is>
          <t>asparagine</t>
        </is>
      </c>
      <c r="B111" t="inlineStr">
        <is>
          <t>http://identifiers.org/so/SO:0001449</t>
        </is>
      </c>
      <c r="C111" t="inlineStr">
        <is>
          <t>['Asn', 'N']</t>
        </is>
      </c>
    </row>
    <row r="112" ht="15.75" customHeight="1">
      <c r="A112" t="inlineStr">
        <is>
          <t>asparagine_tRNA_primary_transcript</t>
        </is>
      </c>
      <c r="B112" t="inlineStr">
        <is>
          <t>http://identifiers.org/so/SO:0000213</t>
        </is>
      </c>
      <c r="C112" t="inlineStr">
        <is>
          <t>['asparagine tRNA primary transcript']</t>
        </is>
      </c>
    </row>
    <row r="113" ht="15.75" customHeight="1">
      <c r="A113" t="inlineStr">
        <is>
          <t>asparaginyl_tRNA</t>
        </is>
      </c>
      <c r="B113" t="inlineStr">
        <is>
          <t>http://identifiers.org/so/SO:0000256</t>
        </is>
      </c>
      <c r="C113" t="inlineStr">
        <is>
          <t>['asparaginyl-transfer ribonucleic acid', 'asparaginyl-transfer RNA', 'asparaginyl tRNA']</t>
        </is>
      </c>
    </row>
    <row r="114" ht="15.75" customHeight="1">
      <c r="A114" t="inlineStr">
        <is>
          <t>aspartic_acid</t>
        </is>
      </c>
      <c r="B114" t="inlineStr">
        <is>
          <t>http://identifiers.org/so/SO:0001453</t>
        </is>
      </c>
      <c r="C114" t="inlineStr">
        <is>
          <t>['Asp', 'aspartic acid', 'D']</t>
        </is>
      </c>
    </row>
    <row r="115" ht="15.75" customHeight="1">
      <c r="A115" t="inlineStr">
        <is>
          <t>aspartic_acid_tRNA_primary_transcript</t>
        </is>
      </c>
      <c r="B115" t="inlineStr">
        <is>
          <t>http://identifiers.org/so/SO:0000214</t>
        </is>
      </c>
      <c r="C115" t="inlineStr">
        <is>
          <t>['aspartic acid tRNA primary transcript']</t>
        </is>
      </c>
    </row>
    <row r="116" ht="15.75" customHeight="1">
      <c r="A116" t="inlineStr">
        <is>
          <t>aspartyl_tRNA</t>
        </is>
      </c>
      <c r="B116" t="inlineStr">
        <is>
          <t>http://identifiers.org/so/SO:0000257</t>
        </is>
      </c>
      <c r="C116" t="inlineStr">
        <is>
          <t>['aspartyl-transfer RNA', 'aspartyl-transfer ribonucleic acid', 'aspartyl tRNA']</t>
        </is>
      </c>
    </row>
    <row r="117" ht="15.75" customHeight="1">
      <c r="A117" t="inlineStr">
        <is>
          <t>ASPE_primer</t>
        </is>
      </c>
      <c r="B117" t="inlineStr">
        <is>
          <t>http://identifiers.org/so/SO:0001698</t>
        </is>
      </c>
      <c r="C117" t="inlineStr">
        <is>
          <t>['allele specific primer extension primer', 'ASPE primer']</t>
        </is>
      </c>
    </row>
    <row r="118" ht="15.75" customHeight="1">
      <c r="A118" t="inlineStr">
        <is>
          <t>assembly</t>
        </is>
      </c>
      <c r="B118" t="inlineStr">
        <is>
          <t>http://identifiers.org/so/SO:0001248</t>
        </is>
      </c>
    </row>
    <row r="119" ht="15.75" customHeight="1">
      <c r="A119" t="inlineStr">
        <is>
          <t>assembly_component</t>
        </is>
      </c>
      <c r="B119" t="inlineStr">
        <is>
          <t>http://identifiers.org/so/SO:0000143</t>
        </is>
      </c>
      <c r="C119" t="inlineStr">
        <is>
          <t>['assembly component']</t>
        </is>
      </c>
    </row>
    <row r="120" ht="15.75" customHeight="1">
      <c r="A120" t="inlineStr">
        <is>
          <t>assembly_error_correction</t>
        </is>
      </c>
      <c r="B120" t="inlineStr">
        <is>
          <t>http://identifiers.org/so/SO:0001525</t>
        </is>
      </c>
      <c r="C120" t="inlineStr">
        <is>
          <t>['assembly error correction']</t>
        </is>
      </c>
    </row>
    <row r="121" ht="15.75" customHeight="1">
      <c r="A121" t="inlineStr">
        <is>
          <t>asx_motif</t>
        </is>
      </c>
      <c r="B121" t="inlineStr">
        <is>
          <t>http://identifiers.org/so/SO:0001106</t>
        </is>
      </c>
      <c r="C121" t="inlineStr">
        <is>
          <t>['asx motif']</t>
        </is>
      </c>
    </row>
    <row r="122" ht="15.75" customHeight="1">
      <c r="A122" t="inlineStr">
        <is>
          <t>asx_turn</t>
        </is>
      </c>
      <c r="B122" t="inlineStr">
        <is>
          <t>http://identifiers.org/so/SO:0000912</t>
        </is>
      </c>
      <c r="C122" t="inlineStr">
        <is>
          <t>['asx turn']</t>
        </is>
      </c>
    </row>
    <row r="123" ht="15.75" customHeight="1">
      <c r="A123" t="inlineStr">
        <is>
          <t>asx_turn_left_handed_type_one</t>
        </is>
      </c>
      <c r="B123" t="inlineStr">
        <is>
          <t>http://identifiers.org/so/SO:0001129</t>
        </is>
      </c>
      <c r="C123" t="inlineStr">
        <is>
          <t>['asx_turn_il', 'asx turn left handed type one']</t>
        </is>
      </c>
    </row>
    <row r="124" ht="15.75" customHeight="1">
      <c r="A124" t="inlineStr">
        <is>
          <t>asx_turn_left_handed_type_two</t>
        </is>
      </c>
      <c r="B124" t="inlineStr">
        <is>
          <t>http://identifiers.org/so/SO:0001130</t>
        </is>
      </c>
      <c r="C124" t="inlineStr">
        <is>
          <t>['asx_turn_iil', 'asx turn left handed type two']</t>
        </is>
      </c>
    </row>
    <row r="125" ht="15.75" customHeight="1">
      <c r="A125" t="inlineStr">
        <is>
          <t>asx_turn_right_handed_type_one</t>
        </is>
      </c>
      <c r="B125" t="inlineStr">
        <is>
          <t>http://identifiers.org/so/SO:0001132</t>
        </is>
      </c>
      <c r="C125" t="inlineStr">
        <is>
          <t>['asx_turn_ir', 'asx turn type right handed type one']</t>
        </is>
      </c>
    </row>
    <row r="126" ht="15.75" customHeight="1">
      <c r="A126" t="inlineStr">
        <is>
          <t>asx_turn_right_handed_type_two</t>
        </is>
      </c>
      <c r="B126" t="inlineStr">
        <is>
          <t>http://identifiers.org/so/SO:0001131</t>
        </is>
      </c>
      <c r="C126" t="inlineStr">
        <is>
          <t>['asx_turn_iir', 'asx turn right handed type two']</t>
        </is>
      </c>
    </row>
    <row r="127" ht="15.75" customHeight="1">
      <c r="A127" t="inlineStr">
        <is>
          <t>asymmetric_RNA_internal_loop</t>
        </is>
      </c>
      <c r="B127" t="inlineStr">
        <is>
          <t>http://identifiers.org/so/SO:0000021</t>
        </is>
      </c>
      <c r="C127" t="inlineStr">
        <is>
          <t>['asymmetric RNA internal loop']</t>
        </is>
      </c>
    </row>
    <row r="128" ht="15.75" customHeight="1">
      <c r="A128" t="inlineStr">
        <is>
          <t>attB_site</t>
        </is>
      </c>
      <c r="B128" t="inlineStr">
        <is>
          <t>http://identifiers.org/so/SO:0000943</t>
        </is>
      </c>
      <c r="C128" t="inlineStr">
        <is>
          <t>['attB site']</t>
        </is>
      </c>
    </row>
    <row r="129" ht="15.75" customHeight="1">
      <c r="A129" t="inlineStr">
        <is>
          <t>attC_site</t>
        </is>
      </c>
      <c r="B129" t="inlineStr">
        <is>
          <t>http://identifiers.org/so/SO:0000950</t>
        </is>
      </c>
      <c r="C129" t="inlineStr">
        <is>
          <t>['attC site']</t>
        </is>
      </c>
    </row>
    <row r="130" ht="15.75" customHeight="1">
      <c r="A130" t="inlineStr">
        <is>
          <t>attCtn_site</t>
        </is>
      </c>
      <c r="B130" t="inlineStr">
        <is>
          <t>http://identifiers.org/so/SO:0001043</t>
        </is>
      </c>
      <c r="C130" t="inlineStr">
        <is>
          <t>['attCtn site']</t>
        </is>
      </c>
    </row>
    <row r="131" ht="15.75" customHeight="1">
      <c r="A131" t="inlineStr">
        <is>
          <t>attenuator</t>
        </is>
      </c>
      <c r="B131" t="inlineStr">
        <is>
          <t>http://identifiers.org/so/SO:0000140</t>
        </is>
      </c>
      <c r="C131" t="inlineStr">
        <is>
          <t>['INSDC_qualifier:attenuator', 'INSDC_feature:regulatory', 'attenuator sequence']</t>
        </is>
      </c>
    </row>
    <row r="132" ht="15.75" customHeight="1">
      <c r="A132" t="inlineStr">
        <is>
          <t>attI_site</t>
        </is>
      </c>
      <c r="B132" t="inlineStr">
        <is>
          <t>http://identifiers.org/so/SO:0000367</t>
        </is>
      </c>
      <c r="C132" t="inlineStr">
        <is>
          <t>['attI site']</t>
        </is>
      </c>
    </row>
    <row r="133" ht="15.75" customHeight="1">
      <c r="A133" t="inlineStr">
        <is>
          <t>attL_site</t>
        </is>
      </c>
      <c r="B133" t="inlineStr">
        <is>
          <t>http://identifiers.org/so/SO:0000944</t>
        </is>
      </c>
      <c r="C133" t="inlineStr">
        <is>
          <t>["attBP'", 'attL site']</t>
        </is>
      </c>
    </row>
    <row r="134" ht="15.75" customHeight="1">
      <c r="A134" t="inlineStr">
        <is>
          <t>attP_site</t>
        </is>
      </c>
      <c r="B134" t="inlineStr">
        <is>
          <t>http://identifiers.org/so/SO:0000942</t>
        </is>
      </c>
      <c r="C134" t="inlineStr">
        <is>
          <t>['attP site']</t>
        </is>
      </c>
    </row>
    <row r="135" ht="15.75" customHeight="1">
      <c r="A135" t="inlineStr">
        <is>
          <t>attR_site</t>
        </is>
      </c>
      <c r="B135" t="inlineStr">
        <is>
          <t>http://identifiers.org/so/SO:0000945</t>
        </is>
      </c>
      <c r="C135" t="inlineStr">
        <is>
          <t>['attR site', "attPB'"]</t>
        </is>
      </c>
    </row>
    <row r="136" ht="15.75" customHeight="1">
      <c r="A136" t="inlineStr">
        <is>
          <t>AU_rich_element</t>
        </is>
      </c>
      <c r="B136" t="inlineStr">
        <is>
          <t>http://identifiers.org/so/SO:0001180</t>
        </is>
      </c>
      <c r="C136" t="inlineStr">
        <is>
          <t>['ARE', 'AU-rich element', 'AU rich element']</t>
        </is>
      </c>
    </row>
    <row r="137" ht="15.75" customHeight="1">
      <c r="A137" t="inlineStr">
        <is>
          <t>AUG_initiated_uORF</t>
        </is>
      </c>
      <c r="B137" t="inlineStr">
        <is>
          <t>http://identifiers.org/so/SO:0002150</t>
        </is>
      </c>
      <c r="C137" t="inlineStr">
        <is>
          <t>['AUG initiated uORF']</t>
        </is>
      </c>
    </row>
    <row r="138" ht="15.75" customHeight="1">
      <c r="A138" t="inlineStr">
        <is>
          <t>autocatalytically_spliced_intron</t>
        </is>
      </c>
      <c r="B138" t="inlineStr">
        <is>
          <t>http://identifiers.org/so/SO:0000588</t>
        </is>
      </c>
      <c r="C138" t="inlineStr">
        <is>
          <t>['INSDC_feature:ncRNA', 'INSDC_qualifier:autocatalytically_spliced_intron', 'autocatalytically spliced intron']</t>
        </is>
      </c>
    </row>
    <row r="139" ht="15.75" customHeight="1">
      <c r="A139" t="inlineStr">
        <is>
          <t>autopolyploid</t>
        </is>
      </c>
      <c r="B139" t="inlineStr">
        <is>
          <t>http://identifiers.org/so/SO:0001255</t>
        </is>
      </c>
    </row>
    <row r="140" ht="15.75" customHeight="1">
      <c r="A140" t="inlineStr">
        <is>
          <t>autoregulated</t>
        </is>
      </c>
      <c r="B140" t="inlineStr">
        <is>
          <t>http://identifiers.org/so/SO:0000471</t>
        </is>
      </c>
    </row>
    <row r="141" ht="15.75" customHeight="1">
      <c r="A141" t="inlineStr">
        <is>
          <t>autosynaptic_chromosome</t>
        </is>
      </c>
      <c r="B141" t="inlineStr">
        <is>
          <t>http://identifiers.org/so/SO:1000136</t>
        </is>
      </c>
      <c r="C141" t="inlineStr">
        <is>
          <t>['(Drosophila)A', 'autosynaptic chromosome']</t>
        </is>
      </c>
    </row>
    <row r="142" ht="15.75" customHeight="1">
      <c r="A142" t="inlineStr">
        <is>
          <t>B_box</t>
        </is>
      </c>
      <c r="B142" t="inlineStr">
        <is>
          <t>http://identifiers.org/so/SO:0000620</t>
        </is>
      </c>
      <c r="C142" t="inlineStr">
        <is>
          <t>['B-box']</t>
        </is>
      </c>
    </row>
    <row r="143" ht="15.75" customHeight="1">
      <c r="A143" t="inlineStr">
        <is>
          <t>BAC</t>
        </is>
      </c>
      <c r="B143" t="inlineStr">
        <is>
          <t>http://identifiers.org/so/SO:0000153</t>
        </is>
      </c>
      <c r="C143" t="inlineStr">
        <is>
          <t>['bacterial artificial chromosome']</t>
        </is>
      </c>
    </row>
    <row r="144" ht="15.75" customHeight="1">
      <c r="A144" t="inlineStr">
        <is>
          <t>BAC_clone</t>
        </is>
      </c>
      <c r="B144" t="inlineStr">
        <is>
          <t>http://identifiers.org/so/SO:0000764</t>
        </is>
      </c>
    </row>
    <row r="145" ht="15.75" customHeight="1">
      <c r="A145" t="inlineStr">
        <is>
          <t>BAC_cloned_genomic_insert</t>
        </is>
      </c>
      <c r="B145" t="inlineStr">
        <is>
          <t>http://identifiers.org/so/SO:0000992</t>
        </is>
      </c>
      <c r="C145" t="inlineStr">
        <is>
          <t>['BAC cloned genomic insert']</t>
        </is>
      </c>
    </row>
    <row r="146" ht="15.75" customHeight="1">
      <c r="A146" t="inlineStr">
        <is>
          <t>BAC_end</t>
        </is>
      </c>
      <c r="B146" t="inlineStr">
        <is>
          <t>http://identifiers.org/so/SO:0000999</t>
        </is>
      </c>
      <c r="C146" t="inlineStr">
        <is>
          <t>['BAC end', 'BES', 'BAC end sequence']</t>
        </is>
      </c>
    </row>
    <row r="147" ht="15.75" customHeight="1">
      <c r="A147" t="inlineStr">
        <is>
          <t>BAC_read_contig</t>
        </is>
      </c>
      <c r="B147" t="inlineStr">
        <is>
          <t>http://identifiers.org/so/SO:0001866</t>
        </is>
      </c>
      <c r="C147" t="inlineStr">
        <is>
          <t>['BAC read contig']</t>
        </is>
      </c>
    </row>
    <row r="148" ht="15.75" customHeight="1">
      <c r="A148" t="inlineStr">
        <is>
          <t>bacterial_RNApol_promoter</t>
        </is>
      </c>
      <c r="B148" t="inlineStr">
        <is>
          <t>http://identifiers.org/so/SO:0000613</t>
        </is>
      </c>
      <c r="C148" t="inlineStr">
        <is>
          <t>['bacterial RNApol promoter']</t>
        </is>
      </c>
    </row>
    <row r="149" ht="15.75" customHeight="1">
      <c r="A149" t="inlineStr">
        <is>
          <t>bacterial_RNApol_promoter_region</t>
        </is>
      </c>
      <c r="B149" t="inlineStr">
        <is>
          <t>http://identifiers.org/so/SO:0000843</t>
        </is>
      </c>
    </row>
    <row r="150" ht="15.75" customHeight="1">
      <c r="A150" t="inlineStr">
        <is>
          <t>bacterial_RNApol_promoter_sigma_70_element</t>
        </is>
      </c>
      <c r="B150" t="inlineStr">
        <is>
          <t>http://identifiers.org/so/SO:0001671</t>
        </is>
      </c>
      <c r="C150" t="inlineStr">
        <is>
          <t>['bacterial RNA polymerase promoter sigma 70']</t>
        </is>
      </c>
    </row>
    <row r="151" ht="15.75" customHeight="1">
      <c r="A151" t="inlineStr">
        <is>
          <t>bacterial_RNApol_promoter_sigma_ecf_element</t>
        </is>
      </c>
      <c r="B151" t="inlineStr">
        <is>
          <t>http://identifiers.org/so/SO:0001913</t>
        </is>
      </c>
      <c r="C151" t="inlineStr">
        <is>
          <t>['bacterial RNApol promoter sigma ecf ']</t>
        </is>
      </c>
    </row>
    <row r="152" ht="15.75" customHeight="1">
      <c r="A152" t="inlineStr">
        <is>
          <t>bacterial_RNApol_promoter_sigma54_element</t>
        </is>
      </c>
      <c r="B152" t="inlineStr">
        <is>
          <t>http://identifiers.org/so/SO:0001672</t>
        </is>
      </c>
      <c r="C152" t="inlineStr">
        <is>
          <t>['bacterial RNA polymerase promoter sigma54', '&lt;new synonym&gt;']</t>
        </is>
      </c>
    </row>
    <row r="153" ht="15.75" customHeight="1">
      <c r="A153" t="inlineStr">
        <is>
          <t>bacterial_terminator</t>
        </is>
      </c>
      <c r="B153" t="inlineStr">
        <is>
          <t>http://identifiers.org/so/SO:0000614</t>
        </is>
      </c>
      <c r="C153" t="inlineStr">
        <is>
          <t>['bacterial terminator']</t>
        </is>
      </c>
    </row>
    <row r="154" ht="15.75" customHeight="1">
      <c r="A154" t="inlineStr">
        <is>
          <t>base</t>
        </is>
      </c>
      <c r="B154" t="inlineStr">
        <is>
          <t>http://identifiers.org/so/SO:0001236</t>
        </is>
      </c>
    </row>
    <row r="155" ht="15.75" customHeight="1">
      <c r="A155" t="inlineStr">
        <is>
          <t>base_call_error_correction</t>
        </is>
      </c>
      <c r="B155" t="inlineStr">
        <is>
          <t>http://identifiers.org/so/SO:0001526</t>
        </is>
      </c>
      <c r="C155" t="inlineStr">
        <is>
          <t>['base call error correction']</t>
        </is>
      </c>
    </row>
    <row r="156" ht="15.75" customHeight="1">
      <c r="A156" t="inlineStr">
        <is>
          <t>base_pair</t>
        </is>
      </c>
      <c r="B156" t="inlineStr">
        <is>
          <t>http://identifiers.org/so/SO:0000028</t>
        </is>
      </c>
      <c r="C156" t="inlineStr">
        <is>
          <t>['base pair']</t>
        </is>
      </c>
    </row>
    <row r="157" ht="15.75" customHeight="1">
      <c r="A157" t="inlineStr">
        <is>
          <t>Bel_Pao_LTR_retrotransposon</t>
        </is>
      </c>
      <c r="B157" t="inlineStr">
        <is>
          <t>http://identifiers.org/so/SO:0002266</t>
        </is>
      </c>
      <c r="C157" t="inlineStr">
        <is>
          <t>['Bel Pao LTR retrotransposon', 'Bel-Pao LTR retrotransposon', 'RLB retrotransposon']</t>
        </is>
      </c>
    </row>
    <row r="158" ht="15.75" customHeight="1">
      <c r="A158" t="inlineStr">
        <is>
          <t>benign_variant</t>
        </is>
      </c>
      <c r="B158" t="inlineStr">
        <is>
          <t>http://identifiers.org/so/SO:0001770</t>
        </is>
      </c>
      <c r="C158" t="inlineStr">
        <is>
          <t>['benign variant']</t>
        </is>
      </c>
    </row>
    <row r="159" ht="15.75" customHeight="1">
      <c r="A159" t="inlineStr">
        <is>
          <t>beta_bulge</t>
        </is>
      </c>
      <c r="B159" t="inlineStr">
        <is>
          <t>http://identifiers.org/so/SO:0001107</t>
        </is>
      </c>
      <c r="C159" t="inlineStr">
        <is>
          <t>['beta bulge']</t>
        </is>
      </c>
    </row>
    <row r="160" ht="15.75" customHeight="1">
      <c r="A160" t="inlineStr">
        <is>
          <t>beta_bulge_loop</t>
        </is>
      </c>
      <c r="B160" t="inlineStr">
        <is>
          <t>http://identifiers.org/so/SO:0001108</t>
        </is>
      </c>
      <c r="C160" t="inlineStr">
        <is>
          <t>['beta bulge loop']</t>
        </is>
      </c>
    </row>
    <row r="161" ht="15.75" customHeight="1">
      <c r="A161" t="inlineStr">
        <is>
          <t>beta_bulge_loop_five</t>
        </is>
      </c>
      <c r="B161" t="inlineStr">
        <is>
          <t>http://identifiers.org/so/SO:0001109</t>
        </is>
      </c>
      <c r="C161" t="inlineStr">
        <is>
          <t>['beta bulge loop five']</t>
        </is>
      </c>
    </row>
    <row r="162" ht="15.75" customHeight="1">
      <c r="A162" t="inlineStr">
        <is>
          <t>beta_bulge_loop_six</t>
        </is>
      </c>
      <c r="B162" t="inlineStr">
        <is>
          <t>http://identifiers.org/so/SO:0001110</t>
        </is>
      </c>
      <c r="C162" t="inlineStr">
        <is>
          <t>['beta bulge loop six']</t>
        </is>
      </c>
    </row>
    <row r="163" ht="15.75" customHeight="1">
      <c r="A163" t="inlineStr">
        <is>
          <t>beta_strand</t>
        </is>
      </c>
      <c r="B163" t="inlineStr">
        <is>
          <t>http://identifiers.org/so/SO:0001111</t>
        </is>
      </c>
      <c r="C163" t="inlineStr">
        <is>
          <t>['strand']</t>
        </is>
      </c>
    </row>
    <row r="164" ht="15.75" customHeight="1">
      <c r="A164" t="inlineStr">
        <is>
          <t>beta_turn</t>
        </is>
      </c>
      <c r="B164" t="inlineStr">
        <is>
          <t>http://identifiers.org/so/SO:0001133</t>
        </is>
      </c>
      <c r="C164" t="inlineStr">
        <is>
          <t>['beta turn']</t>
        </is>
      </c>
    </row>
    <row r="165" ht="15.75" customHeight="1">
      <c r="A165" t="inlineStr">
        <is>
          <t>beta_turn_left_handed_type_one</t>
        </is>
      </c>
      <c r="B165" t="inlineStr">
        <is>
          <t>http://identifiers.org/so/SO:0001134</t>
        </is>
      </c>
      <c r="C165" t="inlineStr">
        <is>
          <t>["type I' turn", 'beta_turn_il', 'beta turn left handed type one', "type I' beta turn"]</t>
        </is>
      </c>
    </row>
    <row r="166" ht="15.75" customHeight="1">
      <c r="A166" t="inlineStr">
        <is>
          <t>beta_turn_left_handed_type_two</t>
        </is>
      </c>
      <c r="B166" t="inlineStr">
        <is>
          <t>http://identifiers.org/so/SO:0001135</t>
        </is>
      </c>
      <c r="C166" t="inlineStr">
        <is>
          <t>['beta_turn_iil', "type II' beta turn", "type II' turn", 'beta turn left handed type two']</t>
        </is>
      </c>
    </row>
    <row r="167" ht="15.75" customHeight="1">
      <c r="A167" t="inlineStr">
        <is>
          <t>beta_turn_right_handed_type_one</t>
        </is>
      </c>
      <c r="B167" t="inlineStr">
        <is>
          <t>http://identifiers.org/so/SO:0001136</t>
        </is>
      </c>
      <c r="C167" t="inlineStr">
        <is>
          <t>['type I beta turn', 'type I turn', 'beta turn right handed type one', 'beta_turn_ir']</t>
        </is>
      </c>
    </row>
    <row r="168" ht="15.75" customHeight="1">
      <c r="A168" t="inlineStr">
        <is>
          <t>beta_turn_right_handed_type_two</t>
        </is>
      </c>
      <c r="B168" t="inlineStr">
        <is>
          <t>http://identifiers.org/so/SO:0001137</t>
        </is>
      </c>
      <c r="C168" t="inlineStr">
        <is>
          <t>['type II turn', 'beta_turn_iir', 'beta turn right handed type two', 'type II beta turn']</t>
        </is>
      </c>
    </row>
    <row r="169" ht="15.75" customHeight="1">
      <c r="A169" t="inlineStr">
        <is>
          <t>beta_turn_type_eight</t>
        </is>
      </c>
      <c r="B169" t="inlineStr">
        <is>
          <t>http://identifiers.org/so/SO:0001155</t>
        </is>
      </c>
      <c r="C169" t="inlineStr">
        <is>
          <t>['type VIII turn', 'type VIII beta turn', 'beta turn type eight']</t>
        </is>
      </c>
    </row>
    <row r="170" ht="15.75" customHeight="1">
      <c r="A170" t="inlineStr">
        <is>
          <t>beta_turn_type_six</t>
        </is>
      </c>
      <c r="B170" t="inlineStr">
        <is>
          <t>http://identifiers.org/so/SO:0001150</t>
        </is>
      </c>
      <c r="C170" t="inlineStr">
        <is>
          <t>['beta turn type six', 'type VI beta turn', 'type VI turn', 'cis-proline loop']</t>
        </is>
      </c>
    </row>
    <row r="171" ht="15.75" customHeight="1">
      <c r="A171" t="inlineStr">
        <is>
          <t>beta_turn_type_six_a</t>
        </is>
      </c>
      <c r="B171" t="inlineStr">
        <is>
          <t>http://identifiers.org/so/SO:0001151</t>
        </is>
      </c>
      <c r="C171" t="inlineStr">
        <is>
          <t>['type VIa turn', 'type VIa beta turn', 'beta turn type six a']</t>
        </is>
      </c>
    </row>
    <row r="172" ht="15.75" customHeight="1">
      <c r="A172" t="inlineStr">
        <is>
          <t>beta_turn_type_six_a_one</t>
        </is>
      </c>
      <c r="B172" t="inlineStr">
        <is>
          <t>http://identifiers.org/so/SO:0001152</t>
        </is>
      </c>
      <c r="C172" t="inlineStr">
        <is>
          <t>['type VIa1 turn', 'type VIa1 beta turn', 'beta turn type six a one']</t>
        </is>
      </c>
    </row>
    <row r="173" ht="15.75" customHeight="1">
      <c r="A173" t="inlineStr">
        <is>
          <t>beta_turn_type_six_a_two</t>
        </is>
      </c>
      <c r="B173" t="inlineStr">
        <is>
          <t>http://identifiers.org/so/SO:0001153</t>
        </is>
      </c>
      <c r="C173" t="inlineStr">
        <is>
          <t>['beta turn type six a two', 'type VIa2 beta turn', 'type VIa2 turn']</t>
        </is>
      </c>
    </row>
    <row r="174" ht="15.75" customHeight="1">
      <c r="A174" t="inlineStr">
        <is>
          <t>beta_turn_type_six_b</t>
        </is>
      </c>
      <c r="B174" t="inlineStr">
        <is>
          <t>http://identifiers.org/so/SO:0001154</t>
        </is>
      </c>
      <c r="C174" t="inlineStr">
        <is>
          <t>['type VIb turn', 'type VIb beta turn', 'beta turn type six b']</t>
        </is>
      </c>
    </row>
    <row r="175" ht="15.75" customHeight="1">
      <c r="A175" t="inlineStr">
        <is>
          <t>bidirectional_gene_fusion</t>
        </is>
      </c>
      <c r="B175" t="inlineStr">
        <is>
          <t>http://identifiers.org/so/SO:0002086</t>
        </is>
      </c>
      <c r="C175" t="inlineStr">
        <is>
          <t>['bidirectional gene fusion']</t>
        </is>
      </c>
    </row>
    <row r="176" ht="15.75" customHeight="1">
      <c r="A176" t="inlineStr">
        <is>
          <t>bidirectional_promoter</t>
        </is>
      </c>
      <c r="B176" t="inlineStr">
        <is>
          <t>http://identifiers.org/so/SO:0000568</t>
        </is>
      </c>
      <c r="C176" t="inlineStr">
        <is>
          <t>['bidirectional promoter']</t>
        </is>
      </c>
    </row>
    <row r="177" ht="15.75" customHeight="1">
      <c r="A177" t="inlineStr">
        <is>
          <t>bidirectional_promoter_lncRNA</t>
        </is>
      </c>
      <c r="B177" t="inlineStr">
        <is>
          <t>http://identifiers.org/so/SO:0002185</t>
        </is>
      </c>
      <c r="C177" t="inlineStr">
        <is>
          <t>['bidirectional promoter lncRNA']</t>
        </is>
      </c>
    </row>
    <row r="178" ht="15.75" customHeight="1">
      <c r="A178" t="inlineStr">
        <is>
          <t>binding_site</t>
        </is>
      </c>
      <c r="B178" t="inlineStr">
        <is>
          <t>http://identifiers.org/so/SO:0000409</t>
        </is>
      </c>
      <c r="C178" t="inlineStr">
        <is>
          <t>['binding_or_interaction_site', 'site', 'binding site', 'INSDC_feature:misc_binding']</t>
        </is>
      </c>
    </row>
    <row r="179" ht="15.75" customHeight="1">
      <c r="A179" t="inlineStr">
        <is>
          <t>biochemical_region_of_peptide</t>
        </is>
      </c>
      <c r="B179" t="inlineStr">
        <is>
          <t>http://identifiers.org/so/SO:0100001</t>
        </is>
      </c>
      <c r="C179" t="inlineStr">
        <is>
          <t>['biochemical_region', 'biochemical motif', 'biochemical region of peptide']</t>
        </is>
      </c>
    </row>
    <row r="180" ht="15.75" customHeight="1">
      <c r="A180" t="inlineStr">
        <is>
          <t>biological_region</t>
        </is>
      </c>
      <c r="B180" t="inlineStr">
        <is>
          <t>http://identifiers.org/so/SO:0001411</t>
        </is>
      </c>
      <c r="C180" t="inlineStr">
        <is>
          <t>['biological region', 'INSDC_note:biological_region', 'INSDC_misc_feature']</t>
        </is>
      </c>
    </row>
    <row r="181" ht="15.75" customHeight="1">
      <c r="A181" t="inlineStr">
        <is>
          <t>biomaterial_region</t>
        </is>
      </c>
      <c r="B181" t="inlineStr">
        <is>
          <t>http://identifiers.org/so/SO:0001409</t>
        </is>
      </c>
      <c r="C181" t="inlineStr">
        <is>
          <t>['biomaterial region']</t>
        </is>
      </c>
    </row>
    <row r="182" ht="15.75" customHeight="1">
      <c r="A182" t="inlineStr">
        <is>
          <t>bipartite_duplication</t>
        </is>
      </c>
      <c r="B182" t="inlineStr">
        <is>
          <t>http://identifiers.org/so/SO:1000149</t>
        </is>
      </c>
      <c r="C182" t="inlineStr">
        <is>
          <t>['(Drosophila)bDp', 'bipartite duplication']</t>
        </is>
      </c>
    </row>
    <row r="183" ht="15.75" customHeight="1">
      <c r="A183" t="inlineStr">
        <is>
          <t>bipartite_inversion</t>
        </is>
      </c>
      <c r="B183" t="inlineStr">
        <is>
          <t>http://identifiers.org/so/SO:1000151</t>
        </is>
      </c>
      <c r="C183" t="inlineStr">
        <is>
          <t>['bipartite inversion', '(Drosophila)bIn']</t>
        </is>
      </c>
    </row>
    <row r="184" ht="15.75" customHeight="1">
      <c r="A184" t="inlineStr">
        <is>
          <t>blocked_reading_frame</t>
        </is>
      </c>
      <c r="B184" t="inlineStr">
        <is>
          <t>http://identifiers.org/so/SO:0000718</t>
        </is>
      </c>
      <c r="C184" t="inlineStr">
        <is>
          <t>['blocked reading frame']</t>
        </is>
      </c>
    </row>
    <row r="185" ht="15.75" customHeight="1">
      <c r="A185" t="inlineStr">
        <is>
          <t>blunt_end_restriction_enzyme_cleavage_junction</t>
        </is>
      </c>
      <c r="B185" t="inlineStr">
        <is>
          <t>http://identifiers.org/so/SO:0001693</t>
        </is>
      </c>
      <c r="C185" t="inlineStr">
        <is>
          <t>['blunt end restriction enzyme cleavage site']</t>
        </is>
      </c>
    </row>
    <row r="186" ht="15.75" customHeight="1">
      <c r="A186" t="inlineStr">
        <is>
          <t>blunt_end_restriction_enzyme_cleavage_site</t>
        </is>
      </c>
      <c r="B186" t="inlineStr">
        <is>
          <t>http://identifiers.org/so/SO:0001691</t>
        </is>
      </c>
      <c r="C186" t="inlineStr">
        <is>
          <t>['blunt end restriction enzyme cleavage site']</t>
        </is>
      </c>
    </row>
    <row r="187" ht="15.75" customHeight="1">
      <c r="A187" t="inlineStr">
        <is>
          <t>bound_by_factor</t>
        </is>
      </c>
      <c r="B187" t="inlineStr">
        <is>
          <t>http://identifiers.org/so/SO:0000277</t>
        </is>
      </c>
      <c r="C187" t="inlineStr">
        <is>
          <t>['bound by factor']</t>
        </is>
      </c>
    </row>
    <row r="188" ht="15.75" customHeight="1">
      <c r="A188" t="inlineStr">
        <is>
          <t>bound_by_nucleic_acid</t>
        </is>
      </c>
      <c r="B188" t="inlineStr">
        <is>
          <t>http://identifiers.org/so/SO:0000876</t>
        </is>
      </c>
      <c r="C188" t="inlineStr">
        <is>
          <t>['bound by nucleic acid']</t>
        </is>
      </c>
    </row>
    <row r="189" ht="15.75" customHeight="1">
      <c r="A189" t="inlineStr">
        <is>
          <t>bound_by_protein</t>
        </is>
      </c>
      <c r="B189" t="inlineStr">
        <is>
          <t>http://identifiers.org/so/SO:0000875</t>
        </is>
      </c>
      <c r="C189" t="inlineStr">
        <is>
          <t>['bound by protein']</t>
        </is>
      </c>
    </row>
    <row r="190" ht="15.75" customHeight="1">
      <c r="A190" t="inlineStr">
        <is>
          <t>boundary_element</t>
        </is>
      </c>
      <c r="B190" t="inlineStr">
        <is>
          <t>http://identifiers.org/so/SO:0002020</t>
        </is>
      </c>
      <c r="C190" t="inlineStr">
        <is>
          <t>['boundary element', 'insulator']</t>
        </is>
      </c>
    </row>
    <row r="191" ht="15.75" customHeight="1">
      <c r="A191" t="inlineStr">
        <is>
          <t>branch_site</t>
        </is>
      </c>
      <c r="B191" t="inlineStr">
        <is>
          <t>http://identifiers.org/so/SO:0000611</t>
        </is>
      </c>
      <c r="C191" t="inlineStr">
        <is>
          <t>['branch point', 'branch_point', 'branch site']</t>
        </is>
      </c>
    </row>
    <row r="192" ht="15.75" customHeight="1">
      <c r="A192" t="inlineStr">
        <is>
          <t>BREd_motif</t>
        </is>
      </c>
      <c r="B192" t="inlineStr">
        <is>
          <t>http://identifiers.org/so/SO:0001663</t>
        </is>
      </c>
      <c r="C192" t="inlineStr">
        <is>
          <t>['BREd', 'BREd motif']</t>
        </is>
      </c>
    </row>
    <row r="193" ht="15.75" customHeight="1">
      <c r="A193" t="inlineStr">
        <is>
          <t>BREu_motif</t>
        </is>
      </c>
      <c r="B193" t="inlineStr">
        <is>
          <t>http://identifiers.org/so/SO:0000016</t>
        </is>
      </c>
      <c r="C193" t="inlineStr">
        <is>
          <t>['B-recognition element', 'BREu motif', 'TFIIB recognition element', 'BREu', 'BRE motif', 'transcription factor B-recognition element']</t>
        </is>
      </c>
    </row>
    <row r="194" ht="15.75" customHeight="1">
      <c r="A194" t="inlineStr">
        <is>
          <t>Bruno_response_element</t>
        </is>
      </c>
      <c r="B194" t="inlineStr">
        <is>
          <t>http://identifiers.org/so/SO:0001181</t>
        </is>
      </c>
      <c r="C194" t="inlineStr">
        <is>
          <t>['Bruno response element', 'BRE']</t>
        </is>
      </c>
    </row>
    <row r="195" ht="15.75" customHeight="1">
      <c r="A195" t="inlineStr">
        <is>
          <t>C_box</t>
        </is>
      </c>
      <c r="B195" t="inlineStr">
        <is>
          <t>http://identifiers.org/so/SO:0000622</t>
        </is>
      </c>
      <c r="C195" t="inlineStr">
        <is>
          <t>['C-box']</t>
        </is>
      </c>
    </row>
    <row r="196" ht="15.75" customHeight="1">
      <c r="A196" t="inlineStr">
        <is>
          <t>C_cluster</t>
        </is>
      </c>
      <c r="B196" t="inlineStr">
        <is>
          <t>http://identifiers.org/so/SO:0000558</t>
        </is>
      </c>
      <c r="C196" t="inlineStr">
        <is>
          <t>['C-CLUSTER', 'C cluster']</t>
        </is>
      </c>
    </row>
    <row r="197" ht="15.75" customHeight="1">
      <c r="A197" t="inlineStr">
        <is>
          <t>C_D_box_snoRNA</t>
        </is>
      </c>
      <c r="B197" t="inlineStr">
        <is>
          <t>http://identifiers.org/so/SO:0000593</t>
        </is>
      </c>
      <c r="C197" t="inlineStr">
        <is>
          <t>['C/D box snoRNA', 'C D box snoRNA', 'box C/D snoRNA']</t>
        </is>
      </c>
    </row>
    <row r="198" ht="15.75" customHeight="1">
      <c r="A198" t="inlineStr">
        <is>
          <t>C_D_box_snoRNA_encoding</t>
        </is>
      </c>
      <c r="B198" t="inlineStr">
        <is>
          <t>http://identifiers.org/so/SO:0000585</t>
        </is>
      </c>
      <c r="C198" t="inlineStr">
        <is>
          <t>['C/D box snoRNA encoding']</t>
        </is>
      </c>
    </row>
    <row r="199" ht="15.75" customHeight="1">
      <c r="A199" t="inlineStr">
        <is>
          <t>C_D_box_snoRNA_primary_transcript</t>
        </is>
      </c>
      <c r="B199" t="inlineStr">
        <is>
          <t>http://identifiers.org/so/SO:0000595</t>
        </is>
      </c>
      <c r="C199" t="inlineStr">
        <is>
          <t>['C/D box snoRNA primary transcript']</t>
        </is>
      </c>
    </row>
    <row r="200" ht="15.75" customHeight="1">
      <c r="A200" t="inlineStr">
        <is>
          <t>C_gene_segment</t>
        </is>
      </c>
      <c r="B200" t="inlineStr">
        <is>
          <t>http://identifiers.org/so/SO:0000478</t>
        </is>
      </c>
      <c r="C200" t="inlineStr">
        <is>
          <t>['C_GENE', 'INSDC_feature:C_region', 'constant gene', 'C gene']</t>
        </is>
      </c>
    </row>
    <row r="201" ht="15.75" customHeight="1">
      <c r="A201" t="inlineStr">
        <is>
          <t>C_region</t>
        </is>
      </c>
      <c r="B201" t="inlineStr">
        <is>
          <t>http://identifiers.org/so/SO:0001834</t>
        </is>
      </c>
      <c r="C201" t="inlineStr">
        <is>
          <t>['C region']</t>
        </is>
      </c>
    </row>
    <row r="202" ht="15.75" customHeight="1">
      <c r="A202" t="inlineStr">
        <is>
          <t>c_terminal_region</t>
        </is>
      </c>
      <c r="B202" t="inlineStr">
        <is>
          <t>http://identifiers.org/so/SO:0100015</t>
        </is>
      </c>
      <c r="C202" t="inlineStr">
        <is>
          <t>['C-region']</t>
        </is>
      </c>
    </row>
    <row r="203" ht="15.75" customHeight="1">
      <c r="A203" t="inlineStr">
        <is>
          <t>C_to_A_transversion</t>
        </is>
      </c>
      <c r="B203" t="inlineStr">
        <is>
          <t>http://identifiers.org/so/SO:1000019</t>
        </is>
      </c>
      <c r="C203" t="inlineStr">
        <is>
          <t>['C to A transversion']</t>
        </is>
      </c>
    </row>
    <row r="204" ht="15.75" customHeight="1">
      <c r="A204" t="inlineStr">
        <is>
          <t>C_to_G_transversion</t>
        </is>
      </c>
      <c r="B204" t="inlineStr">
        <is>
          <t>http://identifiers.org/so/SO:1000020</t>
        </is>
      </c>
      <c r="C204" t="inlineStr">
        <is>
          <t>['C to G transversion']</t>
        </is>
      </c>
    </row>
    <row r="205" ht="15.75" customHeight="1">
      <c r="A205" t="inlineStr">
        <is>
          <t>C_to_T_transition</t>
        </is>
      </c>
      <c r="B205" t="inlineStr">
        <is>
          <t>http://identifiers.org/so/SO:1000011</t>
        </is>
      </c>
      <c r="C205" t="inlineStr">
        <is>
          <t>['C to T transition']</t>
        </is>
      </c>
    </row>
    <row r="206" ht="15.75" customHeight="1">
      <c r="A206" t="inlineStr">
        <is>
          <t>C_to_T_transition_at_pCpG_site</t>
        </is>
      </c>
      <c r="B206" t="inlineStr">
        <is>
          <t>http://identifiers.org/so/SO:1000012</t>
        </is>
      </c>
      <c r="C206" t="inlineStr">
        <is>
          <t>['C to T transition at pCpG site']</t>
        </is>
      </c>
    </row>
    <row r="207" ht="15.75" customHeight="1">
      <c r="A207" t="inlineStr">
        <is>
          <t>CAAT_signal</t>
        </is>
      </c>
      <c r="B207" t="inlineStr">
        <is>
          <t>http://identifiers.org/so/SO:0000172</t>
        </is>
      </c>
      <c r="C207" t="inlineStr">
        <is>
          <t>['CAAT box', 'INSDC_qualifier:CAAT_signal', 'CAAT-box', 'CAAT signal', 'INSDC_feature:regulatory']</t>
        </is>
      </c>
    </row>
    <row r="208" ht="15.75" customHeight="1">
      <c r="A208" t="inlineStr">
        <is>
          <t>CAAX_box</t>
        </is>
      </c>
      <c r="B208" t="inlineStr">
        <is>
          <t>http://identifiers.org/so/SO:0002230</t>
        </is>
      </c>
      <c r="C208" t="inlineStr">
        <is>
          <t>['CAAX box']</t>
        </is>
      </c>
    </row>
    <row r="209" ht="15.75" customHeight="1">
      <c r="A209" t="inlineStr">
        <is>
          <t>CACTA_TIR_transposon</t>
        </is>
      </c>
      <c r="B209" t="inlineStr">
        <is>
          <t>http://identifiers.org/so/SO:0002285</t>
        </is>
      </c>
      <c r="C209" t="inlineStr">
        <is>
          <t>['En transposon', 'CMC-EnSpm transposon', 'DTC transposon', 'dSpm transposon', 'EnSpm transposon', 'CACTC transposon', 'CACTA TIR transposon', 'Spm transposon', 'En-Spm transposon', 'CACTA transposon element']</t>
        </is>
      </c>
    </row>
    <row r="210" ht="15.75" customHeight="1">
      <c r="A210" t="inlineStr">
        <is>
          <t>CAGE_cluster</t>
        </is>
      </c>
      <c r="B210" t="inlineStr">
        <is>
          <t>http://identifiers.org/so/SO:0001917</t>
        </is>
      </c>
      <c r="C210" t="inlineStr">
        <is>
          <t>['INSDC_note:CAGE_cluster', 'CAGE_peak', 'INSDC_feature:misc_feature', 'CAGE peak', 'CAGE cluster']</t>
        </is>
      </c>
    </row>
    <row r="211" ht="15.75" customHeight="1">
      <c r="A211" t="inlineStr">
        <is>
          <t>CAGE_tag</t>
        </is>
      </c>
      <c r="B211" t="inlineStr">
        <is>
          <t>http://identifiers.org/so/SO:0001916</t>
        </is>
      </c>
      <c r="C211" t="inlineStr">
        <is>
          <t>['CAGE tag']</t>
        </is>
      </c>
    </row>
    <row r="212" ht="15.75" customHeight="1">
      <c r="A212" t="inlineStr">
        <is>
          <t>candidate_gene</t>
        </is>
      </c>
      <c r="B212" t="inlineStr">
        <is>
          <t>http://identifiers.org/so/SO:0001867</t>
        </is>
      </c>
      <c r="C212" t="inlineStr">
        <is>
          <t>['target gene', 'candidate gene']</t>
        </is>
      </c>
    </row>
    <row r="213" ht="15.75" customHeight="1">
      <c r="A213" t="inlineStr">
        <is>
          <t>canonical_five_prime_splice_site</t>
        </is>
      </c>
      <c r="B213" t="inlineStr">
        <is>
          <t>http://identifiers.org/so/SO:0000677</t>
        </is>
      </c>
      <c r="C213" t="inlineStr">
        <is>
          <t>["canonical 5' splice site", 'canonical five prime splice site']</t>
        </is>
      </c>
    </row>
    <row r="214" ht="15.75" customHeight="1">
      <c r="A214" t="inlineStr">
        <is>
          <t>canonical_splice_site</t>
        </is>
      </c>
      <c r="B214" t="inlineStr">
        <is>
          <t>http://identifiers.org/so/SO:0000675</t>
        </is>
      </c>
      <c r="C214" t="inlineStr">
        <is>
          <t>['canonical splice site']</t>
        </is>
      </c>
    </row>
    <row r="215" ht="15.75" customHeight="1">
      <c r="A215" t="inlineStr">
        <is>
          <t>canonical_three_prime_splice_site</t>
        </is>
      </c>
      <c r="B215" t="inlineStr">
        <is>
          <t>http://identifiers.org/so/SO:0000676</t>
        </is>
      </c>
      <c r="C215" t="inlineStr">
        <is>
          <t>['canonical three prime splice site', "canonical 3' splice site"]</t>
        </is>
      </c>
    </row>
    <row r="216" ht="15.75" customHeight="1">
      <c r="A216" t="inlineStr">
        <is>
          <t>cap</t>
        </is>
      </c>
      <c r="B216" t="inlineStr">
        <is>
          <t>http://identifiers.org/so/SO:0000581</t>
        </is>
      </c>
    </row>
    <row r="217" ht="15.75" customHeight="1">
      <c r="A217" t="inlineStr">
        <is>
          <t>capped</t>
        </is>
      </c>
      <c r="B217" t="inlineStr">
        <is>
          <t>http://identifiers.org/so/SO:0000146</t>
        </is>
      </c>
    </row>
    <row r="218" ht="15.75" customHeight="1">
      <c r="A218" t="inlineStr">
        <is>
          <t>capped_mRNA</t>
        </is>
      </c>
      <c r="B218" t="inlineStr">
        <is>
          <t>http://identifiers.org/so/SO:0000862</t>
        </is>
      </c>
      <c r="C218" t="inlineStr">
        <is>
          <t>['capped mRNA']</t>
        </is>
      </c>
    </row>
    <row r="219" ht="15.75" customHeight="1">
      <c r="A219" t="inlineStr">
        <is>
          <t>capped_primary_transcript</t>
        </is>
      </c>
      <c r="B219" t="inlineStr">
        <is>
          <t>http://identifiers.org/so/SO:0000861</t>
        </is>
      </c>
      <c r="C219" t="inlineStr">
        <is>
          <t>['capped primary transcript']</t>
        </is>
      </c>
    </row>
    <row r="220" ht="15.75" customHeight="1">
      <c r="A220" t="inlineStr">
        <is>
          <t>CArG_box</t>
        </is>
      </c>
      <c r="B220" t="inlineStr">
        <is>
          <t>http://identifiers.org/so/SO:0002156</t>
        </is>
      </c>
      <c r="C220" t="inlineStr">
        <is>
          <t>['CArG box']</t>
        </is>
      </c>
    </row>
    <row r="221" ht="15.75" customHeight="1">
      <c r="A221" t="inlineStr">
        <is>
          <t>cassette_array_member</t>
        </is>
      </c>
      <c r="B221" t="inlineStr">
        <is>
          <t>http://identifiers.org/so/SO:0005847</t>
        </is>
      </c>
      <c r="C221" t="inlineStr">
        <is>
          <t>['cassette array member']</t>
        </is>
      </c>
    </row>
    <row r="222" ht="15.75" customHeight="1">
      <c r="A222" t="inlineStr">
        <is>
          <t>cassette_pseudogene</t>
        </is>
      </c>
      <c r="B222" t="inlineStr">
        <is>
          <t>http://identifiers.org/so/SO:0001434</t>
        </is>
      </c>
      <c r="C222" t="inlineStr">
        <is>
          <t>['cassette pseudogene', 'cassette type psedogene']</t>
        </is>
      </c>
    </row>
    <row r="223" ht="15.75" customHeight="1">
      <c r="A223" t="inlineStr">
        <is>
          <t>catalytic_residue</t>
        </is>
      </c>
      <c r="B223" t="inlineStr">
        <is>
          <t>http://identifiers.org/so/SO:0001104</t>
        </is>
      </c>
      <c r="C223" t="inlineStr">
        <is>
          <t>['catalytic residue', 'act_site', 'active site residue']</t>
        </is>
      </c>
    </row>
    <row r="224" ht="15.75" customHeight="1">
      <c r="A224" t="inlineStr">
        <is>
          <t>catmat_left_handed_four</t>
        </is>
      </c>
      <c r="B224" t="inlineStr">
        <is>
          <t>http://identifiers.org/so/SO:0100005</t>
        </is>
      </c>
      <c r="C224" t="inlineStr">
        <is>
          <t>['catmat-4l']</t>
        </is>
      </c>
    </row>
    <row r="225" ht="15.75" customHeight="1">
      <c r="A225" t="inlineStr">
        <is>
          <t>catmat_left_handed_three</t>
        </is>
      </c>
      <c r="B225" t="inlineStr">
        <is>
          <t>http://identifiers.org/so/SO:0100004</t>
        </is>
      </c>
      <c r="C225" t="inlineStr">
        <is>
          <t>['catmat-3l']</t>
        </is>
      </c>
    </row>
    <row r="226" ht="15.75" customHeight="1">
      <c r="A226" t="inlineStr">
        <is>
          <t>catmat_right_handed_four</t>
        </is>
      </c>
      <c r="B226" t="inlineStr">
        <is>
          <t>http://identifiers.org/so/SO:0100007</t>
        </is>
      </c>
      <c r="C226" t="inlineStr">
        <is>
          <t>['catmat-4r']</t>
        </is>
      </c>
    </row>
    <row r="227" ht="15.75" customHeight="1">
      <c r="A227" t="inlineStr">
        <is>
          <t>catmat_right_handed_three</t>
        </is>
      </c>
      <c r="B227" t="inlineStr">
        <is>
          <t>http://identifiers.org/so/SO:0100006</t>
        </is>
      </c>
      <c r="C227" t="inlineStr">
        <is>
          <t>['catmat-3r']</t>
        </is>
      </c>
    </row>
    <row r="228" ht="15.75" customHeight="1">
      <c r="A228" t="inlineStr">
        <is>
          <t>CCA_tail</t>
        </is>
      </c>
      <c r="B228" t="inlineStr">
        <is>
          <t>http://identifiers.org/so/SO:0001175</t>
        </is>
      </c>
      <c r="C228" t="inlineStr">
        <is>
          <t>['CCA tail', 'CCA sequence']</t>
        </is>
      </c>
    </row>
    <row r="229" ht="15.75" customHeight="1">
      <c r="A229" t="inlineStr">
        <is>
          <t>CCAAT_motif</t>
        </is>
      </c>
      <c r="B229" t="inlineStr">
        <is>
          <t>http://identifiers.org/so/SO:0001856</t>
        </is>
      </c>
      <c r="C229" t="inlineStr">
        <is>
          <t>['CCAAT motif']</t>
        </is>
      </c>
    </row>
    <row r="230" ht="15.75" customHeight="1">
      <c r="A230" t="inlineStr">
        <is>
          <t>cDNA</t>
        </is>
      </c>
      <c r="B230" t="inlineStr">
        <is>
          <t>http://identifiers.org/so/SO:0000756</t>
        </is>
      </c>
      <c r="C230" t="inlineStr">
        <is>
          <t>['complementary DNA']</t>
        </is>
      </c>
    </row>
    <row r="231" ht="15.75" customHeight="1">
      <c r="A231" t="inlineStr">
        <is>
          <t>cDNA_clone</t>
        </is>
      </c>
      <c r="B231" t="inlineStr">
        <is>
          <t>http://identifiers.org/so/SO:0000317</t>
        </is>
      </c>
      <c r="C231" t="inlineStr">
        <is>
          <t>['cDNA clone']</t>
        </is>
      </c>
    </row>
    <row r="232" ht="15.75" customHeight="1">
      <c r="A232" t="inlineStr">
        <is>
          <t>cDNA_match</t>
        </is>
      </c>
      <c r="B232" t="inlineStr">
        <is>
          <t>http://identifiers.org/so/SO:0000689</t>
        </is>
      </c>
      <c r="C232" t="inlineStr">
        <is>
          <t>['cDNA match']</t>
        </is>
      </c>
    </row>
    <row r="233" ht="15.75" customHeight="1">
      <c r="A233" t="inlineStr">
        <is>
          <t>CDRE_motif</t>
        </is>
      </c>
      <c r="B233" t="inlineStr">
        <is>
          <t>http://identifiers.org/so/SO:0001865</t>
        </is>
      </c>
      <c r="C233" t="inlineStr">
        <is>
          <t>['CDRE motif', 'calcineurin-dependent response element']</t>
        </is>
      </c>
    </row>
    <row r="234" ht="15.75" customHeight="1">
      <c r="A234" t="inlineStr">
        <is>
          <t>CDS_extension</t>
        </is>
      </c>
      <c r="B234" t="inlineStr">
        <is>
          <t>http://identifiers.org/so/SO:0002227</t>
        </is>
      </c>
      <c r="C234" t="inlineStr">
        <is>
          <t>['elongated_CDS', 'elongated CDS', 'CDS Extension']</t>
        </is>
      </c>
    </row>
    <row r="235" ht="15.75" customHeight="1">
      <c r="A235" t="inlineStr">
        <is>
          <t>CDS_five_prime_extension</t>
        </is>
      </c>
      <c r="B235" t="inlineStr">
        <is>
          <t>http://identifiers.org/so/SO:0002228</t>
        </is>
      </c>
      <c r="C235" t="inlineStr">
        <is>
          <t>['elongated CDS five prime', 'CDS Extension 5 prime', 'elongated_CDS_five_prime', 'CDS Extension five prime']</t>
        </is>
      </c>
    </row>
    <row r="236" ht="15.75" customHeight="1">
      <c r="A236" t="inlineStr">
        <is>
          <t>CDS_fragment</t>
        </is>
      </c>
      <c r="B236" t="inlineStr">
        <is>
          <t>http://identifiers.org/so/SO:0001384</t>
        </is>
      </c>
      <c r="C236" t="inlineStr">
        <is>
          <t>['CDS fragment', 'incomplete CDS']</t>
        </is>
      </c>
    </row>
    <row r="237" ht="15.75" customHeight="1">
      <c r="A237" t="inlineStr">
        <is>
          <t>CDS_independently_known</t>
        </is>
      </c>
      <c r="B237" t="inlineStr">
        <is>
          <t>http://identifiers.org/so/SO:1001246</t>
        </is>
      </c>
      <c r="C237" t="inlineStr">
        <is>
          <t>['CDS independently known']</t>
        </is>
      </c>
    </row>
    <row r="238" ht="15.75" customHeight="1">
      <c r="A238" t="inlineStr">
        <is>
          <t>CDS_predicted</t>
        </is>
      </c>
      <c r="B238" t="inlineStr">
        <is>
          <t>http://identifiers.org/so/SO:1001254</t>
        </is>
      </c>
      <c r="C238" t="inlineStr">
        <is>
          <t>['CDS predicted']</t>
        </is>
      </c>
    </row>
    <row r="239" ht="15.75" customHeight="1">
      <c r="A239" t="inlineStr">
        <is>
          <t>CDS_region</t>
        </is>
      </c>
      <c r="B239" t="inlineStr">
        <is>
          <t>http://identifiers.org/so/SO:0000851</t>
        </is>
      </c>
      <c r="C239" t="inlineStr">
        <is>
          <t>['CDS region']</t>
        </is>
      </c>
    </row>
    <row r="240" ht="15.75" customHeight="1">
      <c r="A240" t="inlineStr">
        <is>
          <t>CDS_supported_by_domain_match_data</t>
        </is>
      </c>
      <c r="B240" t="inlineStr">
        <is>
          <t>http://identifiers.org/so/SO:1001249</t>
        </is>
      </c>
      <c r="C240" t="inlineStr">
        <is>
          <t>['CDS supported by domain match data']</t>
        </is>
      </c>
    </row>
    <row r="241" ht="15.75" customHeight="1">
      <c r="A241" t="inlineStr">
        <is>
          <t>CDS_supported_by_EST_or_cDNA_data</t>
        </is>
      </c>
      <c r="B241" t="inlineStr">
        <is>
          <t>http://identifiers.org/so/SO:1001259</t>
        </is>
      </c>
      <c r="C241" t="inlineStr">
        <is>
          <t>['CDS supported by EST or cDNA data']</t>
        </is>
      </c>
    </row>
    <row r="242" ht="15.75" customHeight="1">
      <c r="A242" t="inlineStr">
        <is>
          <t>CDS_supported_by_peptide_spectrum_match</t>
        </is>
      </c>
      <c r="B242" t="inlineStr">
        <is>
          <t>http://identifiers.org/so/SO:0002071</t>
        </is>
      </c>
    </row>
    <row r="243" ht="15.75" customHeight="1">
      <c r="A243" t="inlineStr">
        <is>
          <t>CDS_supported_by_sequence_similarity_data</t>
        </is>
      </c>
      <c r="B243" t="inlineStr">
        <is>
          <t>http://identifiers.org/so/SO:1001251</t>
        </is>
      </c>
      <c r="C243" t="inlineStr">
        <is>
          <t>['CDS supported by sequence similarity data']</t>
        </is>
      </c>
    </row>
    <row r="244" ht="15.75" customHeight="1">
      <c r="A244" t="inlineStr">
        <is>
          <t>CDS_three_prime_extension</t>
        </is>
      </c>
      <c r="B244" t="inlineStr">
        <is>
          <t>http://identifiers.org/so/SO:0002229</t>
        </is>
      </c>
      <c r="C244" t="inlineStr">
        <is>
          <t>['elongated_CDS_three_prime', 'CDS Extension three prime', 'CDS Extension 3 prime', 'elongated CDS three prime']</t>
        </is>
      </c>
    </row>
    <row r="245" ht="15.75" customHeight="1">
      <c r="A245" t="inlineStr">
        <is>
          <t>central_hydrophobic_region_of_signal_peptide</t>
        </is>
      </c>
      <c r="B245" t="inlineStr">
        <is>
          <t>http://identifiers.org/so/SO:0100016</t>
        </is>
      </c>
      <c r="C245" t="inlineStr">
        <is>
          <t>['central_hydrophobic_region', 'central hydrophobic region of signal peptide', 'H-region']</t>
        </is>
      </c>
    </row>
    <row r="246" ht="15.75" customHeight="1">
      <c r="A246" t="inlineStr">
        <is>
          <t>centromere</t>
        </is>
      </c>
      <c r="B246" t="inlineStr">
        <is>
          <t>http://identifiers.org/so/SO:0000577</t>
        </is>
      </c>
      <c r="C246" t="inlineStr">
        <is>
          <t>['INSDC_feature:centromere']</t>
        </is>
      </c>
    </row>
    <row r="247" ht="15.75" customHeight="1">
      <c r="A247" t="inlineStr">
        <is>
          <t>centromere_DNA_Element_I</t>
        </is>
      </c>
      <c r="B247" t="inlineStr">
        <is>
          <t>http://identifiers.org/so/SO:0001493</t>
        </is>
      </c>
      <c r="C247" t="inlineStr">
        <is>
          <t>['Centromere DNA Element I', 'CDEI']</t>
        </is>
      </c>
    </row>
    <row r="248" ht="15.75" customHeight="1">
      <c r="A248" t="inlineStr">
        <is>
          <t>centromere_DNA_Element_II</t>
        </is>
      </c>
      <c r="B248" t="inlineStr">
        <is>
          <t>http://identifiers.org/so/SO:0001494</t>
        </is>
      </c>
      <c r="C248" t="inlineStr">
        <is>
          <t>['CDEII', 'centromere DNA Element II']</t>
        </is>
      </c>
    </row>
    <row r="249" ht="15.75" customHeight="1">
      <c r="A249" t="inlineStr">
        <is>
          <t>centromere_DNA_Element_III</t>
        </is>
      </c>
      <c r="B249" t="inlineStr">
        <is>
          <t>http://identifiers.org/so/SO:0001495</t>
        </is>
      </c>
      <c r="C249" t="inlineStr">
        <is>
          <t>['CDEIII', 'centromere DNA Element III']</t>
        </is>
      </c>
    </row>
    <row r="250" ht="15.75" customHeight="1">
      <c r="A250" t="inlineStr">
        <is>
          <t>centromeric_repeat</t>
        </is>
      </c>
      <c r="B250" t="inlineStr">
        <is>
          <t>http://identifiers.org/so/SO:0001797</t>
        </is>
      </c>
      <c r="C250" t="inlineStr">
        <is>
          <t>['centromeric repeat', 'INSDC_qualifier:centromeric_repeat', 'INSDC_feature:repeat_region']</t>
        </is>
      </c>
    </row>
    <row r="251" ht="15.75" customHeight="1">
      <c r="A251" t="inlineStr">
        <is>
          <t>chimeric_cDNA_clone</t>
        </is>
      </c>
      <c r="B251" t="inlineStr">
        <is>
          <t>http://identifiers.org/so/SO:0000810</t>
        </is>
      </c>
      <c r="C251" t="inlineStr">
        <is>
          <t>['chimeric cDNA clone']</t>
        </is>
      </c>
    </row>
    <row r="252" ht="15.75" customHeight="1">
      <c r="A252" t="inlineStr">
        <is>
          <t>ChIP_seq_region</t>
        </is>
      </c>
      <c r="B252" t="inlineStr">
        <is>
          <t>http://identifiers.org/so/SO:0001697</t>
        </is>
      </c>
      <c r="C252" t="inlineStr">
        <is>
          <t>['ChIP seq region']</t>
        </is>
      </c>
    </row>
    <row r="253" ht="15.75" customHeight="1">
      <c r="A253" t="inlineStr">
        <is>
          <t>chloroplast_chromosome</t>
        </is>
      </c>
      <c r="B253" t="inlineStr">
        <is>
          <t>http://identifiers.org/so/SO:0000820</t>
        </is>
      </c>
      <c r="C253" t="inlineStr">
        <is>
          <t>['chloroplast chromosome']</t>
        </is>
      </c>
    </row>
    <row r="254" ht="15.75" customHeight="1">
      <c r="A254" t="inlineStr">
        <is>
          <t>chloroplast_DNA</t>
        </is>
      </c>
      <c r="B254" t="inlineStr">
        <is>
          <t>http://identifiers.org/so/SO:0001033</t>
        </is>
      </c>
      <c r="C254" t="inlineStr">
        <is>
          <t>['chloroplast DNA']</t>
        </is>
      </c>
    </row>
    <row r="255" ht="15.75" customHeight="1">
      <c r="A255" t="inlineStr">
        <is>
          <t>chloroplast_DNA_read</t>
        </is>
      </c>
      <c r="B255" t="inlineStr">
        <is>
          <t>http://identifiers.org/so/SO:0001930</t>
        </is>
      </c>
      <c r="C255" t="inlineStr">
        <is>
          <t>['chloroplast DNA read']</t>
        </is>
      </c>
    </row>
    <row r="256" ht="15.75" customHeight="1">
      <c r="A256" t="inlineStr">
        <is>
          <t>chloroplast_sequence</t>
        </is>
      </c>
      <c r="B256" t="inlineStr">
        <is>
          <t>http://identifiers.org/so/SO:0000745</t>
        </is>
      </c>
      <c r="C256" t="inlineStr">
        <is>
          <t>['chloroplast sequence']</t>
        </is>
      </c>
    </row>
    <row r="257" ht="15.75" customHeight="1">
      <c r="A257" t="inlineStr">
        <is>
          <t>chromatin_regulatory_region</t>
        </is>
      </c>
      <c r="B257" t="inlineStr">
        <is>
          <t>http://identifiers.org/so/SO:0002306</t>
        </is>
      </c>
      <c r="C257" t="inlineStr">
        <is>
          <t>['chromatin regulatory region']</t>
        </is>
      </c>
    </row>
    <row r="258" ht="15.75" customHeight="1">
      <c r="A258" t="inlineStr">
        <is>
          <t>chromoplast_chromosome</t>
        </is>
      </c>
      <c r="B258" t="inlineStr">
        <is>
          <t>http://identifiers.org/so/SO:0000821</t>
        </is>
      </c>
      <c r="C258" t="inlineStr">
        <is>
          <t>['chromoplast chromosome']</t>
        </is>
      </c>
    </row>
    <row r="259" ht="15.75" customHeight="1">
      <c r="A259" t="inlineStr">
        <is>
          <t>chromoplast_gene</t>
        </is>
      </c>
      <c r="B259" t="inlineStr">
        <is>
          <t>http://identifiers.org/so/SO:0000093</t>
        </is>
      </c>
      <c r="C259" t="inlineStr">
        <is>
          <t>['chromoplast gene']</t>
        </is>
      </c>
    </row>
    <row r="260" ht="15.75" customHeight="1">
      <c r="A260" t="inlineStr">
        <is>
          <t>chromoplast_sequence</t>
        </is>
      </c>
      <c r="B260" t="inlineStr">
        <is>
          <t>http://identifiers.org/so/SO:0000744</t>
        </is>
      </c>
      <c r="C260" t="inlineStr">
        <is>
          <t>['chromoplast sequence']</t>
        </is>
      </c>
    </row>
    <row r="261" ht="15.75" customHeight="1">
      <c r="A261" t="inlineStr">
        <is>
          <t>chromosomal_deletion</t>
        </is>
      </c>
      <c r="B261" t="inlineStr">
        <is>
          <t>http://identifiers.org/so/SO:1000029</t>
        </is>
      </c>
      <c r="C261" t="inlineStr">
        <is>
          <t>['chromosomal deletion', '(bacteria)&amp;ampDgr;', '(fungi)D', '(Drosophila)Df', 'deficiency']</t>
        </is>
      </c>
    </row>
    <row r="262" ht="15.75" customHeight="1">
      <c r="A262" t="inlineStr">
        <is>
          <t>chromosomal_duplication</t>
        </is>
      </c>
      <c r="B262" t="inlineStr">
        <is>
          <t>http://identifiers.org/so/SO:1000037</t>
        </is>
      </c>
      <c r="C262" t="inlineStr">
        <is>
          <t>['chromosomal duplication', '(fungi)Dp', '(Drosophila)Dp']</t>
        </is>
      </c>
    </row>
    <row r="263" ht="15.75" customHeight="1">
      <c r="A263" t="inlineStr">
        <is>
          <t>chromosomal_inversion</t>
        </is>
      </c>
      <c r="B263" t="inlineStr">
        <is>
          <t>http://identifiers.org/so/SO:1000030</t>
        </is>
      </c>
      <c r="C263" t="inlineStr">
        <is>
          <t>['chromosomal inversion', '(Drosophila)In', '(bacteria)IN', '(fungi)In']</t>
        </is>
      </c>
    </row>
    <row r="264" ht="15.75" customHeight="1">
      <c r="A264" t="inlineStr">
        <is>
          <t>chromosomal_regulatory_element</t>
        </is>
      </c>
      <c r="B264" t="inlineStr">
        <is>
          <t>http://identifiers.org/so/SO:0000626</t>
        </is>
      </c>
      <c r="C264" t="inlineStr">
        <is>
          <t>['chromosomal regulatory element']</t>
        </is>
      </c>
    </row>
    <row r="265" ht="15.75" customHeight="1">
      <c r="A265" t="inlineStr">
        <is>
          <t>chromosomal_structural_element</t>
        </is>
      </c>
      <c r="B265" t="inlineStr">
        <is>
          <t>http://identifiers.org/so/SO:0000628</t>
        </is>
      </c>
      <c r="C265" t="inlineStr">
        <is>
          <t>['chromosomal structural element']</t>
        </is>
      </c>
    </row>
    <row r="266" ht="15.75" customHeight="1">
      <c r="A266" t="inlineStr">
        <is>
          <t>chromosomal_translocation</t>
        </is>
      </c>
      <c r="B266" t="inlineStr">
        <is>
          <t>http://identifiers.org/so/SO:1000044</t>
        </is>
      </c>
      <c r="C266" t="inlineStr">
        <is>
          <t>['(fungi)T', 'chromosomal translocation', '(Drosophila)T']</t>
        </is>
      </c>
    </row>
    <row r="267" ht="15.75" customHeight="1">
      <c r="A267" t="inlineStr">
        <is>
          <t>chromosomal_transposition</t>
        </is>
      </c>
      <c r="B267" t="inlineStr">
        <is>
          <t>http://identifiers.org/so/SO:0000453</t>
        </is>
      </c>
      <c r="C267" t="inlineStr">
        <is>
          <t>['chromosomal transposition', 'transposition']</t>
        </is>
      </c>
    </row>
    <row r="268" ht="15.75" customHeight="1">
      <c r="A268" t="inlineStr">
        <is>
          <t>chromosomal_variation_attribute</t>
        </is>
      </c>
      <c r="B268" t="inlineStr">
        <is>
          <t>http://identifiers.org/so/SO:0001509</t>
        </is>
      </c>
      <c r="C268" t="inlineStr">
        <is>
          <t>['chromosomal variation attribute']</t>
        </is>
      </c>
    </row>
    <row r="269" ht="15.75" customHeight="1">
      <c r="A269" t="inlineStr">
        <is>
          <t>chromosomally_aberrant_genome</t>
        </is>
      </c>
      <c r="B269" t="inlineStr">
        <is>
          <t>http://identifiers.org/so/SO:0001524</t>
        </is>
      </c>
      <c r="C269" t="inlineStr">
        <is>
          <t>['chromosomally aberrant genome']</t>
        </is>
      </c>
    </row>
    <row r="270" ht="15.75" customHeight="1">
      <c r="A270" t="inlineStr">
        <is>
          <t>chromosome</t>
        </is>
      </c>
      <c r="B270" t="inlineStr">
        <is>
          <t>http://identifiers.org/so/SO:0000340</t>
        </is>
      </c>
    </row>
    <row r="271" ht="15.75" customHeight="1">
      <c r="A271" t="inlineStr">
        <is>
          <t>chromosome_arm</t>
        </is>
      </c>
      <c r="B271" t="inlineStr">
        <is>
          <t>http://identifiers.org/so/SO:0000105</t>
        </is>
      </c>
      <c r="C271" t="inlineStr">
        <is>
          <t>['chromosome arm']</t>
        </is>
      </c>
    </row>
    <row r="272" ht="15.75" customHeight="1">
      <c r="A272" t="inlineStr">
        <is>
          <t>chromosome_band</t>
        </is>
      </c>
      <c r="B272" t="inlineStr">
        <is>
          <t>http://identifiers.org/so/SO:0000341</t>
        </is>
      </c>
      <c r="C272" t="inlineStr">
        <is>
          <t>['cytoband', 'chromosome band', 'cytological band']</t>
        </is>
      </c>
    </row>
    <row r="273" ht="15.75" customHeight="1">
      <c r="A273" t="inlineStr">
        <is>
          <t>chromosome_breakage_sequence</t>
        </is>
      </c>
      <c r="B273" t="inlineStr">
        <is>
          <t>http://identifiers.org/so/SO:0000670</t>
        </is>
      </c>
      <c r="C273" t="inlineStr">
        <is>
          <t>['chromosome breakage sequence']</t>
        </is>
      </c>
    </row>
    <row r="274" ht="15.75" customHeight="1">
      <c r="A274" t="inlineStr">
        <is>
          <t>chromosome_breakpoint</t>
        </is>
      </c>
      <c r="B274" t="inlineStr">
        <is>
          <t>http://identifiers.org/so/SO:0001021</t>
        </is>
      </c>
      <c r="C274" t="inlineStr">
        <is>
          <t>['INSDC_feature:misc_recomb', 'aberration_junction', 'aberration breakpoint', 'chromosome breakpoint', 'INSDC_qualifier:chromosome_breakpoint']</t>
        </is>
      </c>
    </row>
    <row r="275" ht="15.75" customHeight="1">
      <c r="A275" t="inlineStr">
        <is>
          <t>chromosome_fission</t>
        </is>
      </c>
      <c r="B275" t="inlineStr">
        <is>
          <t>http://identifiers.org/so/SO:1000141</t>
        </is>
      </c>
      <c r="C275" t="inlineStr">
        <is>
          <t>['chromosome fission']</t>
        </is>
      </c>
    </row>
    <row r="276" ht="15.75" customHeight="1">
      <c r="A276" t="inlineStr">
        <is>
          <t>chromosome_number_variation</t>
        </is>
      </c>
      <c r="B276" t="inlineStr">
        <is>
          <t>http://identifiers.org/so/SO:1000182</t>
        </is>
      </c>
      <c r="C276" t="inlineStr">
        <is>
          <t>['chromosome number variation', 'Jannovar:chromosome_number_variation']</t>
        </is>
      </c>
    </row>
    <row r="277" ht="15.75" customHeight="1">
      <c r="A277" t="inlineStr">
        <is>
          <t>chromosome_part</t>
        </is>
      </c>
      <c r="B277" t="inlineStr">
        <is>
          <t>http://identifiers.org/so/SO:0000830</t>
        </is>
      </c>
      <c r="C277" t="inlineStr">
        <is>
          <t>['chromosome part', 'chromosomal_region', 'chromosomal region']</t>
        </is>
      </c>
    </row>
    <row r="278" ht="15.75" customHeight="1">
      <c r="A278" t="inlineStr">
        <is>
          <t>chromosome_structure_variation</t>
        </is>
      </c>
      <c r="B278" t="inlineStr">
        <is>
          <t>http://identifiers.org/so/SO:1000183</t>
        </is>
      </c>
      <c r="C278" t="inlineStr">
        <is>
          <t>['snpEff:CHROMOSOME_LARGE_DELETION', 'chromosome structure variation']</t>
        </is>
      </c>
    </row>
    <row r="279" ht="15.75" customHeight="1">
      <c r="A279" t="inlineStr">
        <is>
          <t>chromosome_variation</t>
        </is>
      </c>
      <c r="B279" t="inlineStr">
        <is>
          <t>http://identifiers.org/so/SO:0000240</t>
        </is>
      </c>
      <c r="C279" t="inlineStr">
        <is>
          <t>['chromosome variation']</t>
        </is>
      </c>
    </row>
    <row r="280" ht="15.75" customHeight="1">
      <c r="A280" t="inlineStr">
        <is>
          <t>circular</t>
        </is>
      </c>
      <c r="B280" t="inlineStr">
        <is>
          <t>http://identifiers.org/so/SO:0000988</t>
        </is>
      </c>
      <c r="C280" t="inlineStr">
        <is>
          <t>['zero-ended']</t>
        </is>
      </c>
    </row>
    <row r="281" ht="15.75" customHeight="1">
      <c r="A281" t="inlineStr">
        <is>
          <t>circular_double_stranded_DNA_chromosome</t>
        </is>
      </c>
      <c r="B281" t="inlineStr">
        <is>
          <t>http://identifiers.org/so/SO:0000958</t>
        </is>
      </c>
      <c r="C281" t="inlineStr">
        <is>
          <t>['circular double stranded DNA chromosome']</t>
        </is>
      </c>
    </row>
    <row r="282" ht="15.75" customHeight="1">
      <c r="A282" t="inlineStr">
        <is>
          <t>circular_double_stranded_RNA_chromosome</t>
        </is>
      </c>
      <c r="B282" t="inlineStr">
        <is>
          <t>http://identifiers.org/so/SO:0000967</t>
        </is>
      </c>
      <c r="C282" t="inlineStr">
        <is>
          <t>['circular double stranded RNA chromosome']</t>
        </is>
      </c>
    </row>
    <row r="283" ht="15.75" customHeight="1">
      <c r="A283" t="inlineStr">
        <is>
          <t>circular_mRNA</t>
        </is>
      </c>
      <c r="B283" t="inlineStr">
        <is>
          <t>http://identifiers.org/so/SO:0002292</t>
        </is>
      </c>
      <c r="C283" t="inlineStr">
        <is>
          <t>['circular mRNA', 'coding circRNA']</t>
        </is>
      </c>
    </row>
    <row r="284" ht="15.75" customHeight="1">
      <c r="A284" t="inlineStr">
        <is>
          <t>circular_ncRNA</t>
        </is>
      </c>
      <c r="B284" t="inlineStr">
        <is>
          <t>http://identifiers.org/so/SO:0002291</t>
        </is>
      </c>
      <c r="C284" t="inlineStr">
        <is>
          <t>['circRNA', 'circular ncRNA', 'noncoding circRNA']</t>
        </is>
      </c>
    </row>
    <row r="285" ht="15.75" customHeight="1">
      <c r="A285" t="inlineStr">
        <is>
          <t>circular_plasmid</t>
        </is>
      </c>
      <c r="B285" t="inlineStr">
        <is>
          <t>http://identifiers.org/so/SO:0002211</t>
        </is>
      </c>
      <c r="C285" t="inlineStr">
        <is>
          <t>['circular plasmid']</t>
        </is>
      </c>
    </row>
    <row r="286" ht="15.75" customHeight="1">
      <c r="A286" t="inlineStr">
        <is>
          <t>circular_single_stranded_DNA_chromosome</t>
        </is>
      </c>
      <c r="B286" t="inlineStr">
        <is>
          <t>http://identifiers.org/so/SO:0000960</t>
        </is>
      </c>
      <c r="C286" t="inlineStr">
        <is>
          <t>['circular single stranded DNA chromosome']</t>
        </is>
      </c>
    </row>
    <row r="287" ht="15.75" customHeight="1">
      <c r="A287" t="inlineStr">
        <is>
          <t>circular_single_stranded_RNA_chromosome</t>
        </is>
      </c>
      <c r="B287" t="inlineStr">
        <is>
          <t>http://identifiers.org/so/SO:0000966</t>
        </is>
      </c>
      <c r="C287" t="inlineStr">
        <is>
          <t>['circular single stranded RNA chromosome']</t>
        </is>
      </c>
    </row>
    <row r="288" ht="15.75" customHeight="1">
      <c r="A288" t="inlineStr">
        <is>
          <t>cis_acting_homologous_chromosome_pairing_region</t>
        </is>
      </c>
      <c r="B288" t="inlineStr">
        <is>
          <t>http://identifiers.org/so/SO:0002025</t>
        </is>
      </c>
      <c r="C288" t="inlineStr">
        <is>
          <t>['cis-acting homologous chromosome pairing region']</t>
        </is>
      </c>
    </row>
    <row r="289" ht="15.75" customHeight="1">
      <c r="A289" t="inlineStr">
        <is>
          <t>cis_regulatory_frameshift_element</t>
        </is>
      </c>
      <c r="B289" t="inlineStr">
        <is>
          <t>http://identifiers.org/so/SO:0001427</t>
        </is>
      </c>
      <c r="C289" t="inlineStr">
        <is>
          <t>['cis regulatory frameshift element']</t>
        </is>
      </c>
    </row>
    <row r="290" ht="15.75" customHeight="1">
      <c r="A290" t="inlineStr">
        <is>
          <t>cis_splice_site</t>
        </is>
      </c>
      <c r="B290" t="inlineStr">
        <is>
          <t>http://identifiers.org/so/SO:0001419</t>
        </is>
      </c>
      <c r="C290" t="inlineStr">
        <is>
          <t>['cis splice site']</t>
        </is>
      </c>
    </row>
    <row r="291" ht="15.75" customHeight="1">
      <c r="A291" t="inlineStr">
        <is>
          <t>class_I_RNA</t>
        </is>
      </c>
      <c r="B291" t="inlineStr">
        <is>
          <t>http://identifiers.org/so/SO:0000990</t>
        </is>
      </c>
      <c r="C291" t="inlineStr">
        <is>
          <t>['class I RNA']</t>
        </is>
      </c>
    </row>
    <row r="292" ht="15.75" customHeight="1">
      <c r="A292" t="inlineStr">
        <is>
          <t>class_II_RNA</t>
        </is>
      </c>
      <c r="B292" t="inlineStr">
        <is>
          <t>http://identifiers.org/so/SO:0000989</t>
        </is>
      </c>
      <c r="C292" t="inlineStr">
        <is>
          <t>['class II RNA']</t>
        </is>
      </c>
    </row>
    <row r="293" ht="15.75" customHeight="1">
      <c r="A293" t="inlineStr">
        <is>
          <t>cleaved_for_gpi_anchor_region</t>
        </is>
      </c>
      <c r="B293" t="inlineStr">
        <is>
          <t>http://identifiers.org/so/SO:0001408</t>
        </is>
      </c>
      <c r="C293" t="inlineStr">
        <is>
          <t>['cleaved for gpi anchor region']</t>
        </is>
      </c>
    </row>
    <row r="294" ht="15.75" customHeight="1">
      <c r="A294" t="inlineStr">
        <is>
          <t>cleaved_initiator_methionine</t>
        </is>
      </c>
      <c r="B294" t="inlineStr">
        <is>
          <t>http://identifiers.org/so/SO:0000691</t>
        </is>
      </c>
      <c r="C294" t="inlineStr">
        <is>
          <t>['initiator methionine', 'init_met', 'cleaved initiator methionine']</t>
        </is>
      </c>
    </row>
    <row r="295" ht="15.75" customHeight="1">
      <c r="A295" t="inlineStr">
        <is>
          <t>cleaved_peptide_region</t>
        </is>
      </c>
      <c r="B295" t="inlineStr">
        <is>
          <t>http://identifiers.org/so/SO:0100011</t>
        </is>
      </c>
      <c r="C295" t="inlineStr">
        <is>
          <t>['cleaved peptide region']</t>
        </is>
      </c>
    </row>
    <row r="296" ht="15.75" customHeight="1">
      <c r="A296" t="inlineStr">
        <is>
          <t>clip</t>
        </is>
      </c>
      <c r="B296" t="inlineStr">
        <is>
          <t>http://identifiers.org/so/SO:0000303</t>
        </is>
      </c>
    </row>
    <row r="297" ht="15.75" customHeight="1">
      <c r="A297" t="inlineStr">
        <is>
          <t>clone</t>
        </is>
      </c>
      <c r="B297" t="inlineStr">
        <is>
          <t>http://identifiers.org/so/SO:0000151</t>
        </is>
      </c>
    </row>
    <row r="298" ht="15.75" customHeight="1">
      <c r="A298" t="inlineStr">
        <is>
          <t>clone_attribute</t>
        </is>
      </c>
      <c r="B298" t="inlineStr">
        <is>
          <t>http://identifiers.org/so/SO:0000787</t>
        </is>
      </c>
    </row>
    <row r="299" ht="15.75" customHeight="1">
      <c r="A299" t="inlineStr">
        <is>
          <t>clone_end</t>
        </is>
      </c>
      <c r="B299" t="inlineStr">
        <is>
          <t>http://identifiers.org/so/SO:0001793</t>
        </is>
      </c>
      <c r="C299" t="inlineStr">
        <is>
          <t>['clone end']</t>
        </is>
      </c>
    </row>
    <row r="300" ht="15.75" customHeight="1">
      <c r="A300" t="inlineStr">
        <is>
          <t>clone_insert</t>
        </is>
      </c>
      <c r="B300" t="inlineStr">
        <is>
          <t>http://identifiers.org/so/SO:0000753</t>
        </is>
      </c>
      <c r="C300" t="inlineStr">
        <is>
          <t>['clone insert']</t>
        </is>
      </c>
    </row>
    <row r="301" ht="15.75" customHeight="1">
      <c r="A301" t="inlineStr">
        <is>
          <t>clone_insert_end</t>
        </is>
      </c>
      <c r="B301" t="inlineStr">
        <is>
          <t>http://identifiers.org/so/SO:0000103</t>
        </is>
      </c>
      <c r="C301" t="inlineStr">
        <is>
          <t>['clone insert end']</t>
        </is>
      </c>
    </row>
    <row r="302" ht="15.75" customHeight="1">
      <c r="A302" s="16" t="inlineStr">
        <is>
          <t>clone_insert_start</t>
        </is>
      </c>
      <c r="B302" s="16" t="inlineStr">
        <is>
          <t>http://identifiers.org/so/SO:0000179</t>
        </is>
      </c>
      <c r="C302" s="16" t="inlineStr">
        <is>
          <t>['clone insert start']</t>
        </is>
      </c>
    </row>
    <row r="303" ht="15.75" customHeight="1">
      <c r="A303" s="16" t="inlineStr">
        <is>
          <t>cloned</t>
        </is>
      </c>
      <c r="B303" s="16" t="inlineStr">
        <is>
          <t>http://identifiers.org/so/SO:0000788</t>
        </is>
      </c>
      <c r="C303" s="16" t="n"/>
    </row>
    <row r="304" ht="15.75" customHeight="1">
      <c r="A304" s="16" t="inlineStr">
        <is>
          <t>cloned_cDNA</t>
        </is>
      </c>
      <c r="B304" s="16" t="inlineStr">
        <is>
          <t>http://identifiers.org/so/SO:0000792</t>
        </is>
      </c>
      <c r="C304" s="16" t="n"/>
    </row>
    <row r="305" ht="15.75" customHeight="1">
      <c r="A305" s="16" t="inlineStr">
        <is>
          <t>cloned_cDNA_insert</t>
        </is>
      </c>
      <c r="B305" s="16" t="inlineStr">
        <is>
          <t>http://identifiers.org/so/SO:0000913</t>
        </is>
      </c>
      <c r="C305" s="16" t="n"/>
    </row>
    <row r="306" ht="15.75" customHeight="1">
      <c r="A306" s="16" t="inlineStr">
        <is>
          <t>cloned_genomic</t>
        </is>
      </c>
      <c r="B306" s="16" t="inlineStr">
        <is>
          <t>http://identifiers.org/so/SO:0000791</t>
        </is>
      </c>
      <c r="C306" s="16" t="inlineStr">
        <is>
          <t>['cloned cDNA insert']</t>
        </is>
      </c>
    </row>
    <row r="307" ht="15.75" customHeight="1">
      <c r="A307" t="inlineStr">
        <is>
          <t>cloned_genomic_insert</t>
        </is>
      </c>
      <c r="B307" t="inlineStr">
        <is>
          <t>http://identifiers.org/so/SO:0000914</t>
        </is>
      </c>
    </row>
    <row r="308" ht="15.75" customHeight="1">
      <c r="A308" t="inlineStr">
        <is>
          <t>cloned_region</t>
        </is>
      </c>
      <c r="B308" t="inlineStr">
        <is>
          <t>http://identifiers.org/so/SO:0000785</t>
        </is>
      </c>
      <c r="C308" t="inlineStr">
        <is>
          <t>['cloned genomic insert']</t>
        </is>
      </c>
    </row>
    <row r="309" ht="15.75" customHeight="1">
      <c r="A309" t="inlineStr">
        <is>
          <t>coding_conserved_region</t>
        </is>
      </c>
      <c r="B309" t="inlineStr">
        <is>
          <t>http://identifiers.org/so/SO:0000332</t>
        </is>
      </c>
      <c r="C309" t="inlineStr">
        <is>
          <t>['cloned region', 'cloned segment']</t>
        </is>
      </c>
    </row>
    <row r="310" ht="15.75" customHeight="1">
      <c r="A310" t="inlineStr">
        <is>
          <t>coding_end</t>
        </is>
      </c>
      <c r="B310" t="inlineStr">
        <is>
          <t>http://identifiers.org/so/SO:0000327</t>
        </is>
      </c>
      <c r="C310" t="inlineStr">
        <is>
          <t>['coding conserved region']</t>
        </is>
      </c>
    </row>
    <row r="311" ht="15.75" customHeight="1">
      <c r="A311" t="inlineStr">
        <is>
          <t>coding_exon</t>
        </is>
      </c>
      <c r="B311" t="inlineStr">
        <is>
          <t>http://identifiers.org/so/SO:0000195</t>
        </is>
      </c>
      <c r="C311" t="inlineStr">
        <is>
          <t>['coding end', 'translation_end', 'translation termination site']</t>
        </is>
      </c>
    </row>
    <row r="312" ht="15.75" customHeight="1">
      <c r="A312" t="inlineStr">
        <is>
          <t>coding_region_of_exon</t>
        </is>
      </c>
      <c r="B312" t="inlineStr">
        <is>
          <t>http://identifiers.org/so/SO:0001215</t>
        </is>
      </c>
      <c r="C312" t="inlineStr">
        <is>
          <t>['coding exon']</t>
        </is>
      </c>
    </row>
    <row r="313" ht="15.75" customHeight="1">
      <c r="A313" t="inlineStr">
        <is>
          <t>coding_sequence_variant</t>
        </is>
      </c>
      <c r="B313" t="inlineStr">
        <is>
          <t>http://identifiers.org/so/SO:0001580</t>
        </is>
      </c>
      <c r="C313" t="inlineStr">
        <is>
          <t>['coding region of exon']</t>
        </is>
      </c>
    </row>
    <row r="314" ht="15.75" customHeight="1">
      <c r="A314" t="inlineStr">
        <is>
          <t>coding_start</t>
        </is>
      </c>
      <c r="B314" t="inlineStr">
        <is>
          <t>http://identifiers.org/so/SO:0000323</t>
        </is>
      </c>
      <c r="C314" t="inlineStr">
        <is>
          <t>['snpEff:CDS', 'codon_variant', 'VAAST:coding_sequence_variant', 'VEP:coding_sequence_variant', 'Jannovar:coding_sequence_variant', 'coding sequence variant', 'coding variant', 'Seattleseq:coding', 'codon variant', 'snpEff:CODON_CHANGE']</t>
        </is>
      </c>
    </row>
    <row r="315" ht="15.75" customHeight="1">
      <c r="A315" t="inlineStr">
        <is>
          <t>coding_transcript_intron_variant</t>
        </is>
      </c>
      <c r="B315" t="inlineStr">
        <is>
          <t>http://identifiers.org/so/SO:0001969</t>
        </is>
      </c>
      <c r="C315" t="inlineStr">
        <is>
          <t>['coding start', 'translation initiation site', 'translation start']</t>
        </is>
      </c>
    </row>
    <row r="316" ht="15.75" customHeight="1">
      <c r="A316" t="inlineStr">
        <is>
          <t>coding_transcript_variant</t>
        </is>
      </c>
      <c r="B316" t="inlineStr">
        <is>
          <t>http://identifiers.org/so/SO:0001968</t>
        </is>
      </c>
      <c r="C316" t="inlineStr">
        <is>
          <t>['coding sequence intron variant', 'Jannovar:coding_transcript_intron_variant']</t>
        </is>
      </c>
    </row>
    <row r="317" ht="15.75" customHeight="1">
      <c r="A317" t="inlineStr">
        <is>
          <t>coding_transcript_with_retained_intron</t>
        </is>
      </c>
      <c r="B317" t="inlineStr">
        <is>
          <t>http://identifiers.org/so/SO:0002112</t>
        </is>
      </c>
      <c r="C317" t="inlineStr">
        <is>
          <t>['coding transcript variant', 'Jannovar:coding_transcript_variant']</t>
        </is>
      </c>
    </row>
    <row r="318" ht="15.75" customHeight="1">
      <c r="A318" t="inlineStr">
        <is>
          <t>coding_variant_quality</t>
        </is>
      </c>
      <c r="B318" t="inlineStr">
        <is>
          <t>http://identifiers.org/so/SO:0001814</t>
        </is>
      </c>
      <c r="C318" t="inlineStr">
        <is>
          <t>['mRNA with retained intron']</t>
        </is>
      </c>
    </row>
    <row r="319" ht="15.75" customHeight="1">
      <c r="A319" t="inlineStr">
        <is>
          <t>codon</t>
        </is>
      </c>
      <c r="B319" t="inlineStr">
        <is>
          <t>http://identifiers.org/so/SO:0000360</t>
        </is>
      </c>
      <c r="C319" t="inlineStr">
        <is>
          <t>['coding variant quality']</t>
        </is>
      </c>
    </row>
    <row r="320" ht="15.75" customHeight="1">
      <c r="A320" t="inlineStr">
        <is>
          <t>codon_redefined</t>
        </is>
      </c>
      <c r="B320" t="inlineStr">
        <is>
          <t>http://identifiers.org/so/SO:0000882</t>
        </is>
      </c>
    </row>
    <row r="321" ht="15.75" customHeight="1">
      <c r="A321" t="inlineStr">
        <is>
          <t>coiled_coil</t>
        </is>
      </c>
      <c r="B321" t="inlineStr">
        <is>
          <t>http://identifiers.org/so/SO:0001080</t>
        </is>
      </c>
      <c r="C321" t="inlineStr">
        <is>
          <t>['codon redefined']</t>
        </is>
      </c>
    </row>
    <row r="322" ht="15.75" customHeight="1">
      <c r="A322" t="inlineStr">
        <is>
          <t>cointegrated_plasmid</t>
        </is>
      </c>
      <c r="B322" t="inlineStr">
        <is>
          <t>http://identifiers.org/so/SO:0001045</t>
        </is>
      </c>
      <c r="C322" t="inlineStr">
        <is>
          <t>['coiled', 'coiled coil']</t>
        </is>
      </c>
    </row>
    <row r="323" ht="15.75" customHeight="1">
      <c r="A323" t="inlineStr">
        <is>
          <t>common_variant</t>
        </is>
      </c>
      <c r="B323" t="inlineStr">
        <is>
          <t>http://identifiers.org/so/SO:0001767</t>
        </is>
      </c>
      <c r="C323" t="inlineStr">
        <is>
          <t>['cointegrated replicon', 'cointegrated plasmid']</t>
        </is>
      </c>
    </row>
    <row r="324" ht="15.75" customHeight="1">
      <c r="A324" t="inlineStr">
        <is>
          <t>compensatory_transcript_secondary_structure_variant</t>
        </is>
      </c>
      <c r="B324" t="inlineStr">
        <is>
          <t>http://identifiers.org/so/SO:0001597</t>
        </is>
      </c>
      <c r="C324" t="inlineStr">
        <is>
          <t>['common variant']</t>
        </is>
      </c>
    </row>
    <row r="325" ht="15.75" customHeight="1">
      <c r="A325" t="inlineStr">
        <is>
          <t>complex_3D_structural_variant</t>
        </is>
      </c>
      <c r="B325" t="inlineStr">
        <is>
          <t>http://identifiers.org/so/SO:0001600</t>
        </is>
      </c>
      <c r="C325" t="inlineStr">
        <is>
          <t>['compensatory transcript secondary structure variant']</t>
        </is>
      </c>
    </row>
    <row r="326" ht="15.75" customHeight="1">
      <c r="A326" t="inlineStr">
        <is>
          <t>complex_change_of_translational_product_variant</t>
        </is>
      </c>
      <c r="B326" t="inlineStr">
        <is>
          <t>http://identifiers.org/so/SO:0001602</t>
        </is>
      </c>
      <c r="C326" t="inlineStr">
        <is>
          <t>['complex 3D structural variant']</t>
        </is>
      </c>
    </row>
    <row r="327" ht="15.75" customHeight="1">
      <c r="A327" t="inlineStr">
        <is>
          <t>complex_chromosomal_rearrangement</t>
        </is>
      </c>
      <c r="B327" t="inlineStr">
        <is>
          <t>http://identifiers.org/so/SO:0002062</t>
        </is>
      </c>
      <c r="C327" t="inlineStr">
        <is>
          <t>['complex change of translational product variant']</t>
        </is>
      </c>
    </row>
    <row r="328" ht="15.75" customHeight="1">
      <c r="A328" t="inlineStr">
        <is>
          <t>complex_operon</t>
        </is>
      </c>
      <c r="B328" t="inlineStr">
        <is>
          <t>http://identifiers.org/so/SO:0002299</t>
        </is>
      </c>
      <c r="C328" t="inlineStr">
        <is>
          <t>['complex chromosomal rearrangement']</t>
        </is>
      </c>
    </row>
    <row r="329" ht="15.75" customHeight="1">
      <c r="A329" t="inlineStr">
        <is>
          <t>complex_regulon</t>
        </is>
      </c>
      <c r="B329" t="inlineStr">
        <is>
          <t>http://identifiers.org/so/SO:0002303</t>
        </is>
      </c>
      <c r="C329" t="inlineStr">
        <is>
          <t>['complex operon']</t>
        </is>
      </c>
    </row>
    <row r="330" ht="15.75" customHeight="1">
      <c r="A330" t="inlineStr">
        <is>
          <t>complex_structural_alteration</t>
        </is>
      </c>
      <c r="B330" t="inlineStr">
        <is>
          <t>http://identifiers.org/so/SO:0001784</t>
        </is>
      </c>
      <c r="C330" t="inlineStr">
        <is>
          <t>['simple regulon']</t>
        </is>
      </c>
    </row>
    <row r="331" ht="15.75" customHeight="1">
      <c r="A331" t="inlineStr">
        <is>
          <t>complex_substitution</t>
        </is>
      </c>
      <c r="B331" t="inlineStr">
        <is>
          <t>http://identifiers.org/so/SO:1000005</t>
        </is>
      </c>
      <c r="C331" t="inlineStr">
        <is>
          <t>['complex_chromosomal_mutation', 'complex', 'complex chromosomal mutation']</t>
        </is>
      </c>
    </row>
    <row r="332" ht="15.75" customHeight="1">
      <c r="A332" t="inlineStr">
        <is>
          <t>complex_transcript_variant</t>
        </is>
      </c>
      <c r="B332" t="inlineStr">
        <is>
          <t>http://identifiers.org/so/SO:0001577</t>
        </is>
      </c>
      <c r="C332" t="inlineStr">
        <is>
          <t>['complex substitution']</t>
        </is>
      </c>
    </row>
    <row r="333" ht="15.75" customHeight="1">
      <c r="A333" t="inlineStr">
        <is>
          <t>compositionally_biased_region_of_peptide</t>
        </is>
      </c>
      <c r="B333" t="inlineStr">
        <is>
          <t>http://identifiers.org/so/SO:0001066</t>
        </is>
      </c>
      <c r="C333" t="inlineStr">
        <is>
          <t>['Seattleseq:codingComplex', 'complex_indel', 'complex transcript variant', 'complex change in transcript', 'Seattleseq:codingComplex-near-splice']</t>
        </is>
      </c>
    </row>
    <row r="334" ht="15.75" customHeight="1">
      <c r="A334" t="inlineStr">
        <is>
          <t>compound_chromosome</t>
        </is>
      </c>
      <c r="B334" t="inlineStr">
        <is>
          <t>http://identifiers.org/so/SO:1000042</t>
        </is>
      </c>
      <c r="C334" t="inlineStr">
        <is>
          <t>['compositional bias', 'compositionally_biased_region', 'compbias', 'compositionally biased region of peptide', 'compositionally biased']</t>
        </is>
      </c>
    </row>
    <row r="335" ht="15.75" customHeight="1">
      <c r="A335" t="inlineStr">
        <is>
          <t>compound_chromosome_arm</t>
        </is>
      </c>
      <c r="B335" t="inlineStr">
        <is>
          <t>http://identifiers.org/so/SO:0000060</t>
        </is>
      </c>
      <c r="C335" t="inlineStr">
        <is>
          <t>['compound chromosome']</t>
        </is>
      </c>
    </row>
    <row r="336" ht="15.75" customHeight="1">
      <c r="A336" t="inlineStr">
        <is>
          <t>computed_feature</t>
        </is>
      </c>
      <c r="B336" t="inlineStr">
        <is>
          <t>http://identifiers.org/so/SO:0000309</t>
        </is>
      </c>
      <c r="C336" t="inlineStr">
        <is>
          <t>['compound chromosome arm']</t>
        </is>
      </c>
    </row>
    <row r="337" ht="15.75" customHeight="1">
      <c r="A337" t="inlineStr">
        <is>
          <t>computed_feature_by_similarity</t>
        </is>
      </c>
      <c r="B337" t="inlineStr">
        <is>
          <t>http://identifiers.org/so/SO:0000311</t>
        </is>
      </c>
    </row>
    <row r="338" ht="15.75" customHeight="1">
      <c r="A338" t="inlineStr">
        <is>
          <t>conformational_change_variant</t>
        </is>
      </c>
      <c r="B338" t="inlineStr">
        <is>
          <t>http://identifiers.org/so/SO:0001601</t>
        </is>
      </c>
    </row>
    <row r="339" ht="15.75" customHeight="1">
      <c r="A339" t="inlineStr">
        <is>
          <t>conformational_switch</t>
        </is>
      </c>
      <c r="B339" t="inlineStr">
        <is>
          <t>http://identifiers.org/so/SO:0001422</t>
        </is>
      </c>
      <c r="C339" t="inlineStr">
        <is>
          <t>['conformational change variant']</t>
        </is>
      </c>
    </row>
    <row r="340" ht="15.75" customHeight="1">
      <c r="A340" t="inlineStr">
        <is>
          <t>conjugative_transposon</t>
        </is>
      </c>
      <c r="B340" t="inlineStr">
        <is>
          <t>http://identifiers.org/so/SO:0000371</t>
        </is>
      </c>
      <c r="C340" t="inlineStr">
        <is>
          <t>['polypeptide conformational switch']</t>
        </is>
      </c>
    </row>
    <row r="341" ht="15.75" customHeight="1">
      <c r="A341" t="inlineStr">
        <is>
          <t>consensus</t>
        </is>
      </c>
      <c r="B341" t="inlineStr">
        <is>
          <t>http://identifiers.org/so/SO:0000993</t>
        </is>
      </c>
      <c r="C341" t="inlineStr">
        <is>
          <t>['conjugative transposon']</t>
        </is>
      </c>
    </row>
    <row r="342" ht="15.75" customHeight="1">
      <c r="A342" t="inlineStr">
        <is>
          <t>consensus_AFLP_fragment</t>
        </is>
      </c>
      <c r="B342" t="inlineStr">
        <is>
          <t>http://identifiers.org/so/SO:0001991</t>
        </is>
      </c>
    </row>
    <row r="343" ht="15.75" customHeight="1">
      <c r="A343" t="inlineStr">
        <is>
          <t>consensus_gDNA</t>
        </is>
      </c>
      <c r="B343" t="inlineStr">
        <is>
          <t>http://identifiers.org/so/SO:0001931</t>
        </is>
      </c>
      <c r="C343" t="inlineStr">
        <is>
          <t>['consensus AFLP fragment', 'consensus amplified fragment length polymorphism fragment']</t>
        </is>
      </c>
    </row>
    <row r="344" ht="15.75" customHeight="1">
      <c r="A344" t="inlineStr">
        <is>
          <t>consensus_mRNA</t>
        </is>
      </c>
      <c r="B344" t="inlineStr">
        <is>
          <t>http://identifiers.org/so/SO:0000995</t>
        </is>
      </c>
      <c r="C344" t="inlineStr">
        <is>
          <t>['consensus genomic DNA', 'consensus gDNA']</t>
        </is>
      </c>
    </row>
    <row r="345" ht="15.75" customHeight="1">
      <c r="A345" t="inlineStr">
        <is>
          <t>consensus_region</t>
        </is>
      </c>
      <c r="B345" t="inlineStr">
        <is>
          <t>http://identifiers.org/so/SO:0000994</t>
        </is>
      </c>
      <c r="C345" t="inlineStr">
        <is>
          <t>['consensus mRNA']</t>
        </is>
      </c>
    </row>
    <row r="346" ht="15.75" customHeight="1">
      <c r="A346" t="inlineStr">
        <is>
          <t>conservative_amino_acid_substitution</t>
        </is>
      </c>
      <c r="B346" t="inlineStr">
        <is>
          <t>http://identifiers.org/so/SO:0001607</t>
        </is>
      </c>
      <c r="C346" t="inlineStr">
        <is>
          <t>['consensus region']</t>
        </is>
      </c>
    </row>
    <row r="347" ht="15.75" customHeight="1">
      <c r="A347" t="inlineStr">
        <is>
          <t>conservative_inframe_deletion</t>
        </is>
      </c>
      <c r="B347" t="inlineStr">
        <is>
          <t>http://identifiers.org/so/SO:0001825</t>
        </is>
      </c>
      <c r="C347" t="inlineStr">
        <is>
          <t>['conservative amino acid substitution']</t>
        </is>
      </c>
    </row>
    <row r="348" ht="15.75" customHeight="1">
      <c r="A348" t="inlineStr">
        <is>
          <t>conservative_inframe_insertion</t>
        </is>
      </c>
      <c r="B348" t="inlineStr">
        <is>
          <t>http://identifiers.org/so/SO:0001823</t>
        </is>
      </c>
      <c r="C348" t="inlineStr">
        <is>
          <t>['conservative inframe deletion', 'conservative decrease in CDS length']</t>
        </is>
      </c>
    </row>
    <row r="349" ht="15.75" customHeight="1">
      <c r="A349" t="inlineStr">
        <is>
          <t>conservative_missense_variant</t>
        </is>
      </c>
      <c r="B349" t="inlineStr">
        <is>
          <t>http://identifiers.org/so/SO:0001585</t>
        </is>
      </c>
      <c r="C349" t="inlineStr">
        <is>
          <t>['conservative inframe insertion', 'conservative increase in CDS length']</t>
        </is>
      </c>
    </row>
    <row r="350" ht="15.75" customHeight="1">
      <c r="A350" t="inlineStr">
        <is>
          <t>conserved</t>
        </is>
      </c>
      <c r="B350" t="inlineStr">
        <is>
          <t>http://identifiers.org/so/SO:0000856</t>
        </is>
      </c>
      <c r="C350" t="inlineStr">
        <is>
          <t>['conservative missense variant', 'quiet missense codon', 'conservative missense codon', 'neutral missense codon']</t>
        </is>
      </c>
    </row>
    <row r="351" ht="15.75" customHeight="1">
      <c r="A351" t="inlineStr">
        <is>
          <t>conserved_intergenic_variant</t>
        </is>
      </c>
      <c r="B351" t="inlineStr">
        <is>
          <t>http://identifiers.org/so/SO:0002017</t>
        </is>
      </c>
    </row>
    <row r="352" ht="15.75" customHeight="1">
      <c r="A352" t="inlineStr">
        <is>
          <t>conserved_intron_variant</t>
        </is>
      </c>
      <c r="B352" t="inlineStr">
        <is>
          <t>http://identifiers.org/so/SO:0002018</t>
        </is>
      </c>
      <c r="C352" t="inlineStr">
        <is>
          <t>['snpEff:INTERGENIC_CONSERVED', 'Jannovar:conserved_intergenic_variant', 'conserved intergenic variant']</t>
        </is>
      </c>
    </row>
    <row r="353" ht="15.75" customHeight="1">
      <c r="A353" t="inlineStr">
        <is>
          <t>conserved_region</t>
        </is>
      </c>
      <c r="B353" t="inlineStr">
        <is>
          <t>http://identifiers.org/so/SO:0000330</t>
        </is>
      </c>
      <c r="C353" t="inlineStr">
        <is>
          <t>['Jannovar:conserved_intron_variant', 'snpEff:INTRON_CONSERVED', 'conserved intron variant']</t>
        </is>
      </c>
    </row>
    <row r="354" ht="15.75" customHeight="1">
      <c r="A354" t="inlineStr">
        <is>
          <t>constitutive_promoter</t>
        </is>
      </c>
      <c r="B354" t="inlineStr">
        <is>
          <t>http://identifiers.org/so/SO:0002050</t>
        </is>
      </c>
      <c r="C354" t="inlineStr">
        <is>
          <t>['INSDC_feature:misc_feature', 'conserved region', 'INSDC_note:conserved_region']</t>
        </is>
      </c>
    </row>
    <row r="355" ht="15.75" customHeight="1">
      <c r="A355" t="inlineStr">
        <is>
          <t>contig</t>
        </is>
      </c>
      <c r="B355" t="inlineStr">
        <is>
          <t>http://identifiers.org/so/SO:0000149</t>
        </is>
      </c>
      <c r="C355" t="inlineStr">
        <is>
          <t>['constitutive promoter']</t>
        </is>
      </c>
    </row>
    <row r="356" ht="15.75" customHeight="1">
      <c r="A356" t="inlineStr">
        <is>
          <t>contig_collection</t>
        </is>
      </c>
      <c r="B356" t="inlineStr">
        <is>
          <t>http://identifiers.org/so/SO:0001462</t>
        </is>
      </c>
    </row>
    <row r="357" ht="15.75" customHeight="1">
      <c r="A357" t="inlineStr">
        <is>
          <t>contig_read</t>
        </is>
      </c>
      <c r="B357" t="inlineStr">
        <is>
          <t>http://identifiers.org/so/SO:0000476</t>
        </is>
      </c>
      <c r="C357" t="inlineStr">
        <is>
          <t>['contig collection']</t>
        </is>
      </c>
    </row>
    <row r="358" ht="15.75" customHeight="1">
      <c r="A358" t="inlineStr">
        <is>
          <t>Copia_LTR_retrotransposon</t>
        </is>
      </c>
      <c r="B358" t="inlineStr">
        <is>
          <t>http://identifiers.org/so/SO:0002264</t>
        </is>
      </c>
      <c r="C358" t="inlineStr">
        <is>
          <t>['contig read']</t>
        </is>
      </c>
    </row>
    <row r="359" ht="15.75" customHeight="1">
      <c r="A359" t="inlineStr">
        <is>
          <t>copy_number_change</t>
        </is>
      </c>
      <c r="B359" t="inlineStr">
        <is>
          <t>http://identifiers.org/so/SO:0001563</t>
        </is>
      </c>
      <c r="C359" t="inlineStr">
        <is>
          <t>['RLC retrotransposon', 'Ty1 retrotransposon', 'Copia LTR retrotransposon']</t>
        </is>
      </c>
    </row>
    <row r="360" ht="15.75" customHeight="1">
      <c r="A360" t="inlineStr">
        <is>
          <t>copy_number_decrease</t>
        </is>
      </c>
      <c r="B360" t="inlineStr">
        <is>
          <t>http://identifiers.org/so/SO:0001912</t>
        </is>
      </c>
      <c r="C360" t="inlineStr">
        <is>
          <t>['copy number change']</t>
        </is>
      </c>
    </row>
    <row r="361" ht="15.75" customHeight="1">
      <c r="A361" t="inlineStr">
        <is>
          <t>copy_number_gain</t>
        </is>
      </c>
      <c r="B361" t="inlineStr">
        <is>
          <t>http://identifiers.org/so/SO:0001742</t>
        </is>
      </c>
      <c r="C361" t="inlineStr">
        <is>
          <t>['copy number decrease']</t>
        </is>
      </c>
    </row>
    <row r="362" ht="15.75" customHeight="1">
      <c r="A362" t="inlineStr">
        <is>
          <t>copy_number_increase</t>
        </is>
      </c>
      <c r="B362" t="inlineStr">
        <is>
          <t>http://identifiers.org/so/SO:0001911</t>
        </is>
      </c>
      <c r="C362" t="inlineStr">
        <is>
          <t>['copy number gain', 'gain']</t>
        </is>
      </c>
    </row>
    <row r="363" ht="15.75" customHeight="1">
      <c r="A363" t="inlineStr">
        <is>
          <t>copy_number_loss</t>
        </is>
      </c>
      <c r="B363" t="inlineStr">
        <is>
          <t>http://identifiers.org/so/SO:0001743</t>
        </is>
      </c>
      <c r="C363" t="inlineStr">
        <is>
          <t>['copy number increase']</t>
        </is>
      </c>
    </row>
    <row r="364" ht="15.75" customHeight="1">
      <c r="A364" t="inlineStr">
        <is>
          <t>copy_number_variation</t>
        </is>
      </c>
      <c r="B364" t="inlineStr">
        <is>
          <t>http://identifiers.org/so/SO:0001019</t>
        </is>
      </c>
      <c r="C364" t="inlineStr">
        <is>
          <t>['copy number loss', 'loss']</t>
        </is>
      </c>
    </row>
    <row r="365" ht="15.75" customHeight="1">
      <c r="A365" t="inlineStr">
        <is>
          <t>core_eukaryotic_promoter_element</t>
        </is>
      </c>
      <c r="B365" t="inlineStr">
        <is>
          <t>http://identifiers.org/so/SO:0001660</t>
        </is>
      </c>
      <c r="C365" t="inlineStr">
        <is>
          <t>['copy number variation', 'copy number polymorphism', 'CNP', 'CNV']</t>
        </is>
      </c>
    </row>
    <row r="366" ht="15.75" customHeight="1">
      <c r="A366" t="inlineStr">
        <is>
          <t>core_prokaryotic_promoter_element</t>
        </is>
      </c>
      <c r="B366" t="inlineStr">
        <is>
          <t>http://identifiers.org/so/SO:0002312</t>
        </is>
      </c>
      <c r="C366" t="inlineStr">
        <is>
          <t>['general transcription factor binding site', 'core eukaryotic promoter element']</t>
        </is>
      </c>
    </row>
    <row r="367" ht="15.75" customHeight="1">
      <c r="A367" t="inlineStr">
        <is>
          <t>core_promoter_element</t>
        </is>
      </c>
      <c r="B367" t="inlineStr">
        <is>
          <t>http://identifiers.org/so/SO:0002309</t>
        </is>
      </c>
      <c r="C367" t="inlineStr">
        <is>
          <t>['general transcription factor binding site', 'core prokaryotic promoter element']</t>
        </is>
      </c>
    </row>
    <row r="368" ht="15.75" customHeight="1">
      <c r="A368" t="inlineStr">
        <is>
          <t>core_viral_promoter_element</t>
        </is>
      </c>
      <c r="B368" t="inlineStr">
        <is>
          <t>http://identifiers.org/so/SO:0002313</t>
        </is>
      </c>
      <c r="C368" t="inlineStr">
        <is>
          <t>['core promoter element']</t>
        </is>
      </c>
    </row>
    <row r="369" ht="15.75" customHeight="1">
      <c r="A369" t="inlineStr">
        <is>
          <t>cosmid</t>
        </is>
      </c>
      <c r="B369" t="inlineStr">
        <is>
          <t>http://identifiers.org/so/SO:0000156</t>
        </is>
      </c>
      <c r="C369" t="inlineStr">
        <is>
          <t>['core viral promoter element', 'general transcription factor binding site']</t>
        </is>
      </c>
    </row>
    <row r="370" ht="15.75" customHeight="1">
      <c r="A370" t="inlineStr">
        <is>
          <t>cosmid_clone</t>
        </is>
      </c>
      <c r="B370" t="inlineStr">
        <is>
          <t>http://identifiers.org/so/SO:0000765</t>
        </is>
      </c>
      <c r="C370" t="inlineStr">
        <is>
          <t>['cosmid vector']</t>
        </is>
      </c>
    </row>
    <row r="371" ht="15.75" customHeight="1">
      <c r="A371" t="inlineStr">
        <is>
          <t>covalent_binding_site</t>
        </is>
      </c>
      <c r="B371" t="inlineStr">
        <is>
          <t>http://identifiers.org/so/SO:0001090</t>
        </is>
      </c>
    </row>
    <row r="372" ht="15.75" customHeight="1">
      <c r="A372" t="inlineStr">
        <is>
          <t>CpG_island</t>
        </is>
      </c>
      <c r="B372" t="inlineStr">
        <is>
          <t>http://identifiers.org/so/SO:0000307</t>
        </is>
      </c>
      <c r="C372" t="inlineStr">
        <is>
          <t>['covalent binding site']</t>
        </is>
      </c>
    </row>
    <row r="373" ht="15.75" customHeight="1">
      <c r="A373" t="inlineStr">
        <is>
          <t>CRE</t>
        </is>
      </c>
      <c r="B373" t="inlineStr">
        <is>
          <t>http://identifiers.org/so/SO:0001843</t>
        </is>
      </c>
      <c r="C373" t="inlineStr">
        <is>
          <t>['CpG island', 'CG island']</t>
        </is>
      </c>
    </row>
    <row r="374" ht="15.75" customHeight="1">
      <c r="A374" t="inlineStr">
        <is>
          <t>Crick_strand</t>
        </is>
      </c>
      <c r="B374" t="inlineStr">
        <is>
          <t>http://identifiers.org/so/SO:0002263</t>
        </is>
      </c>
      <c r="C374" t="inlineStr">
        <is>
          <t>['M26 binding site', 'cyclic AMP response element', 'Atf1/Pcr1 recognition motif', 'm26 site', 'ATF/CRE site', 'M26_binding_site']</t>
        </is>
      </c>
    </row>
    <row r="375" ht="15.75" customHeight="1">
      <c r="A375" t="inlineStr">
        <is>
          <t>CRISPR</t>
        </is>
      </c>
      <c r="B375" t="inlineStr">
        <is>
          <t>http://identifiers.org/so/SO:0001459</t>
        </is>
      </c>
      <c r="C375" t="inlineStr">
        <is>
          <t>['Minus strand', 'Crick strand', 'Reverse strand', 'Bottom strand']</t>
        </is>
      </c>
    </row>
    <row r="376" ht="15.75" customHeight="1">
      <c r="A376" t="inlineStr">
        <is>
          <t>CRM</t>
        </is>
      </c>
      <c r="B376" t="inlineStr">
        <is>
          <t>http://identifiers.org/so/SO:0000727</t>
        </is>
      </c>
      <c r="C376" t="inlineStr">
        <is>
          <t>['Clustered_Regularly_Interspaced_Short_Palindromic_Repeat', 'CRISPR element']</t>
        </is>
      </c>
    </row>
    <row r="377" ht="15.75" customHeight="1">
      <c r="A377" t="inlineStr">
        <is>
          <t>cross_genome_match</t>
        </is>
      </c>
      <c r="B377" t="inlineStr">
        <is>
          <t>http://identifiers.org/so/SO:0000177</t>
        </is>
      </c>
      <c r="C377" t="inlineStr">
        <is>
          <t>['cis regulatory module', 'TF module', 'transcription factor module']</t>
        </is>
      </c>
    </row>
    <row r="378" ht="15.75" customHeight="1">
      <c r="A378" t="inlineStr">
        <is>
          <t>cross_link</t>
        </is>
      </c>
      <c r="B378" t="inlineStr">
        <is>
          <t>http://identifiers.org/so/SO:0001087</t>
        </is>
      </c>
      <c r="C378" t="inlineStr">
        <is>
          <t>['cross genome match']</t>
        </is>
      </c>
    </row>
    <row r="379" ht="15.75" customHeight="1">
      <c r="A379" t="inlineStr">
        <is>
          <t>cryptic</t>
        </is>
      </c>
      <c r="B379" t="inlineStr">
        <is>
          <t>http://identifiers.org/so/SO:0000976</t>
        </is>
      </c>
      <c r="C379" t="inlineStr">
        <is>
          <t>['cross link', 'crosslink']</t>
        </is>
      </c>
    </row>
    <row r="380" ht="15.75" customHeight="1">
      <c r="A380" t="inlineStr">
        <is>
          <t>cryptic_gene</t>
        </is>
      </c>
      <c r="B380" t="inlineStr">
        <is>
          <t>http://identifiers.org/so/SO:0001431</t>
        </is>
      </c>
    </row>
    <row r="381" ht="15.75" customHeight="1">
      <c r="A381" t="inlineStr">
        <is>
          <t>cryptic_promoter</t>
        </is>
      </c>
      <c r="B381" t="inlineStr">
        <is>
          <t>http://identifiers.org/so/SO:0002310</t>
        </is>
      </c>
      <c r="C381" t="inlineStr">
        <is>
          <t>['cryptic gene']</t>
        </is>
      </c>
    </row>
    <row r="382" ht="15.75" customHeight="1">
      <c r="A382" t="inlineStr">
        <is>
          <t>cryptic_prophage</t>
        </is>
      </c>
      <c r="B382" t="inlineStr">
        <is>
          <t>http://identifiers.org/so/SO:0001007</t>
        </is>
      </c>
      <c r="C382" t="inlineStr">
        <is>
          <t>['cryptic promoter']</t>
        </is>
      </c>
    </row>
    <row r="383" ht="15.75" customHeight="1">
      <c r="A383" t="inlineStr">
        <is>
          <t>cryptic_splice_acceptor</t>
        </is>
      </c>
      <c r="B383" t="inlineStr">
        <is>
          <t>http://identifiers.org/so/SO:0001570</t>
        </is>
      </c>
      <c r="C383" t="inlineStr">
        <is>
          <t>['cryptic prophage']</t>
        </is>
      </c>
    </row>
    <row r="384" ht="15.75" customHeight="1">
      <c r="A384" t="inlineStr">
        <is>
          <t>cryptic_splice_donor</t>
        </is>
      </c>
      <c r="B384" t="inlineStr">
        <is>
          <t>http://identifiers.org/so/SO:0001571</t>
        </is>
      </c>
      <c r="C384" t="inlineStr">
        <is>
          <t>['cryptic splice acceptor']</t>
        </is>
      </c>
    </row>
    <row r="385" ht="15.75" customHeight="1">
      <c r="A385" t="inlineStr">
        <is>
          <t>cryptic_splice_site</t>
        </is>
      </c>
      <c r="B385" t="inlineStr">
        <is>
          <t>http://identifiers.org/so/SO:0001533</t>
        </is>
      </c>
      <c r="C385" t="inlineStr">
        <is>
          <t>['cryptic splice donor']</t>
        </is>
      </c>
    </row>
    <row r="386" ht="15.75" customHeight="1">
      <c r="A386" t="inlineStr">
        <is>
          <t>cryptic_splice_site_variant</t>
        </is>
      </c>
      <c r="B386" t="inlineStr">
        <is>
          <t>http://identifiers.org/so/SO:0001569</t>
        </is>
      </c>
      <c r="C386" t="inlineStr">
        <is>
          <t>['cryptic splice signal', 'cryptic splice site']</t>
        </is>
      </c>
    </row>
    <row r="387" ht="15.75" customHeight="1">
      <c r="A387" t="inlineStr">
        <is>
          <t>cryptogene</t>
        </is>
      </c>
      <c r="B387" t="inlineStr">
        <is>
          <t>http://identifiers.org/so/SO:1001196</t>
        </is>
      </c>
      <c r="C387" t="inlineStr">
        <is>
          <t>['cryptic splice site activation']</t>
        </is>
      </c>
    </row>
    <row r="388" ht="15.75" customHeight="1">
      <c r="A388" t="inlineStr">
        <is>
          <t>Crypton_YR_transposon</t>
        </is>
      </c>
      <c r="B388" t="inlineStr">
        <is>
          <t>http://identifiers.org/so/SO:0002277</t>
        </is>
      </c>
    </row>
    <row r="389" ht="15.75" customHeight="1">
      <c r="A389" t="inlineStr">
        <is>
          <t>CSL_response_element</t>
        </is>
      </c>
      <c r="B389" t="inlineStr">
        <is>
          <t>http://identifiers.org/so/SO:0001839</t>
        </is>
      </c>
      <c r="C389" t="inlineStr">
        <is>
          <t>['DYC transposon', 'Crypton transposon', 'Crypton YR transposon']</t>
        </is>
      </c>
    </row>
    <row r="390" ht="15.75" customHeight="1">
      <c r="A390" t="inlineStr">
        <is>
          <t>CsrB_RsmB_RNA</t>
        </is>
      </c>
      <c r="B390" t="inlineStr">
        <is>
          <t>http://identifiers.org/so/SO:0000377</t>
        </is>
      </c>
      <c r="C390" t="inlineStr">
        <is>
          <t>['CSL response element']</t>
        </is>
      </c>
    </row>
    <row r="391" ht="15.75" customHeight="1">
      <c r="A391" t="inlineStr">
        <is>
          <t>ct_gene</t>
        </is>
      </c>
      <c r="B391" t="inlineStr">
        <is>
          <t>http://identifiers.org/so/SO:0000092</t>
        </is>
      </c>
      <c r="C391" t="inlineStr">
        <is>
          <t>['CsrB RsmB RNA', 'CsrB-RsmB RNA']</t>
        </is>
      </c>
    </row>
    <row r="392" ht="15.75" customHeight="1">
      <c r="A392" t="inlineStr">
        <is>
          <t>CTCF_binding_site</t>
        </is>
      </c>
      <c r="B392" t="inlineStr">
        <is>
          <t>http://identifiers.org/so/SO:0001974</t>
        </is>
      </c>
      <c r="C392" t="inlineStr">
        <is>
          <t>['ct gene', 'chloroplast gene']</t>
        </is>
      </c>
    </row>
    <row r="393" ht="15.75" customHeight="1">
      <c r="A393" t="inlineStr">
        <is>
          <t>CTG_start_codon</t>
        </is>
      </c>
      <c r="B393" t="inlineStr">
        <is>
          <t>http://identifiers.org/so/SO:1001273</t>
        </is>
      </c>
      <c r="C393" t="inlineStr">
        <is>
          <t>['CCCTF binding site', 'CTCF binding site']</t>
        </is>
      </c>
    </row>
    <row r="394" ht="15.75" customHeight="1">
      <c r="A394" t="inlineStr">
        <is>
          <t>CuRE</t>
        </is>
      </c>
      <c r="B394" t="inlineStr">
        <is>
          <t>http://identifiers.org/so/SO:0001844</t>
        </is>
      </c>
      <c r="C394" t="inlineStr">
        <is>
          <t>['CTG start codon']</t>
        </is>
      </c>
    </row>
    <row r="395" ht="15.75" customHeight="1">
      <c r="A395" t="inlineStr">
        <is>
          <t>cyanelle_chromosome</t>
        </is>
      </c>
      <c r="B395" t="inlineStr">
        <is>
          <t>http://identifiers.org/so/SO:0000822</t>
        </is>
      </c>
      <c r="C395" t="inlineStr">
        <is>
          <t>['copper-response element']</t>
        </is>
      </c>
    </row>
    <row r="396" ht="15.75" customHeight="1">
      <c r="A396" t="inlineStr">
        <is>
          <t>cyanelle_gene</t>
        </is>
      </c>
      <c r="B396" t="inlineStr">
        <is>
          <t>http://identifiers.org/so/SO:0000094</t>
        </is>
      </c>
      <c r="C396" t="inlineStr">
        <is>
          <t>['cyanelle chromosome']</t>
        </is>
      </c>
    </row>
    <row r="397" ht="15.75" customHeight="1">
      <c r="A397" t="inlineStr">
        <is>
          <t>cyanelle_sequence</t>
        </is>
      </c>
      <c r="B397" t="inlineStr">
        <is>
          <t>http://identifiers.org/so/SO:0000746</t>
        </is>
      </c>
      <c r="C397" t="inlineStr">
        <is>
          <t>['cyanelle gene']</t>
        </is>
      </c>
    </row>
    <row r="398" ht="15.75" customHeight="1">
      <c r="A398" t="inlineStr">
        <is>
          <t>cyclic_translocation</t>
        </is>
      </c>
      <c r="B398" t="inlineStr">
        <is>
          <t>http://identifiers.org/so/SO:1000150</t>
        </is>
      </c>
      <c r="C398" t="inlineStr">
        <is>
          <t>['cyanelle sequence']</t>
        </is>
      </c>
    </row>
    <row r="399" ht="15.75" customHeight="1">
      <c r="A399" t="inlineStr">
        <is>
          <t>cysteine</t>
        </is>
      </c>
      <c r="B399" t="inlineStr">
        <is>
          <t>http://identifiers.org/so/SO:0001447</t>
        </is>
      </c>
      <c r="C399" t="inlineStr">
        <is>
          <t>['cyclic translocation']</t>
        </is>
      </c>
    </row>
    <row r="400" ht="15.75" customHeight="1">
      <c r="A400" t="inlineStr">
        <is>
          <t>cysteine_tRNA_primary_transcript</t>
        </is>
      </c>
      <c r="B400" t="inlineStr">
        <is>
          <t>http://identifiers.org/so/SO:0000215</t>
        </is>
      </c>
      <c r="C400" t="inlineStr">
        <is>
          <t>['Cys', 'C']</t>
        </is>
      </c>
    </row>
    <row r="401" ht="15.75" customHeight="1">
      <c r="A401" t="inlineStr">
        <is>
          <t>cysteinyl_tRNA</t>
        </is>
      </c>
      <c r="B401" t="inlineStr">
        <is>
          <t>http://identifiers.org/so/SO:0000258</t>
        </is>
      </c>
      <c r="C401" t="inlineStr">
        <is>
          <t>['cysteine tRNA primary transcript']</t>
        </is>
      </c>
    </row>
    <row r="402" ht="15.75" customHeight="1">
      <c r="A402" t="inlineStr">
        <is>
          <t>cytoplasmic_polypeptide_region</t>
        </is>
      </c>
      <c r="B402" t="inlineStr">
        <is>
          <t>http://identifiers.org/so/SO:0001073</t>
        </is>
      </c>
      <c r="C402" t="inlineStr">
        <is>
          <t>['cysteinyl-transfer RNA', 'cysteinyl tRNA', 'cysteinyl-transfer ribonucleic acid']</t>
        </is>
      </c>
    </row>
    <row r="403" ht="15.75" customHeight="1">
      <c r="A403" t="inlineStr">
        <is>
          <t>D_cluster</t>
        </is>
      </c>
      <c r="B403" t="inlineStr">
        <is>
          <t>http://identifiers.org/so/SO:0000559</t>
        </is>
      </c>
      <c r="C403" t="inlineStr">
        <is>
          <t>['cytoplasmic polypeptide region', 'cytoplasm_location', 'inside']</t>
        </is>
      </c>
    </row>
    <row r="404" ht="15.75" customHeight="1">
      <c r="A404" t="inlineStr">
        <is>
          <t>D_DJ_C_cluster</t>
        </is>
      </c>
      <c r="B404" t="inlineStr">
        <is>
          <t>http://identifiers.org/so/SO:0000504</t>
        </is>
      </c>
      <c r="C404" t="inlineStr">
        <is>
          <t>['D cluster', 'D-CLUSTER']</t>
        </is>
      </c>
    </row>
    <row r="405" ht="15.75" customHeight="1">
      <c r="A405" t="inlineStr">
        <is>
          <t>D_DJ_cluster</t>
        </is>
      </c>
      <c r="B405" t="inlineStr">
        <is>
          <t>http://identifiers.org/so/SO:0000505</t>
        </is>
      </c>
      <c r="C405" t="inlineStr">
        <is>
          <t>['D DJ C cluster', 'D-(DJ)-C-CLUSTER']</t>
        </is>
      </c>
    </row>
    <row r="406" ht="15.75" customHeight="1">
      <c r="A406" t="inlineStr">
        <is>
          <t>D_DJ_J_C_cluster</t>
        </is>
      </c>
      <c r="B406" t="inlineStr">
        <is>
          <t>http://identifiers.org/so/SO:0000506</t>
        </is>
      </c>
      <c r="C406" t="inlineStr">
        <is>
          <t>['D-(DJ)-CLUSTER', 'D DJ cluster']</t>
        </is>
      </c>
    </row>
    <row r="407" ht="15.75" customHeight="1">
      <c r="A407" t="inlineStr">
        <is>
          <t>D_DJ_J_cluster</t>
        </is>
      </c>
      <c r="B407" t="inlineStr">
        <is>
          <t>http://identifiers.org/so/SO:0000508</t>
        </is>
      </c>
      <c r="C407" t="inlineStr">
        <is>
          <t>['D-(DJ)-J-C-CLUSTER', 'D DJ J C cluster']</t>
        </is>
      </c>
    </row>
    <row r="408" ht="15.75" customHeight="1">
      <c r="A408" t="inlineStr">
        <is>
          <t>D_gene_recombination_feature</t>
        </is>
      </c>
      <c r="B408" t="inlineStr">
        <is>
          <t>http://identifiers.org/so/SO:0000492</t>
        </is>
      </c>
      <c r="C408" t="inlineStr">
        <is>
          <t>['D-(DJ)-J-CLUSTER', 'D DJ J cluster']</t>
        </is>
      </c>
    </row>
    <row r="409" ht="15.75" customHeight="1">
      <c r="A409" t="inlineStr">
        <is>
          <t>D_gene_segment</t>
        </is>
      </c>
      <c r="B409" t="inlineStr">
        <is>
          <t>http://identifiers.org/so/SO:0000458</t>
        </is>
      </c>
      <c r="C409" t="inlineStr">
        <is>
          <t>['D gene recombination feature']</t>
        </is>
      </c>
    </row>
    <row r="410" ht="15.75" customHeight="1">
      <c r="A410" t="inlineStr">
        <is>
          <t>D_J_C_cluster</t>
        </is>
      </c>
      <c r="B410" t="inlineStr">
        <is>
          <t>http://identifiers.org/so/SO:0000509</t>
        </is>
      </c>
      <c r="C410" t="inlineStr">
        <is>
          <t>['D gene', 'D-GENE', 'INSDC_feature:D_segment']</t>
        </is>
      </c>
    </row>
    <row r="411" ht="15.75" customHeight="1">
      <c r="A411" t="inlineStr">
        <is>
          <t>D_J_cluster</t>
        </is>
      </c>
      <c r="B411" t="inlineStr">
        <is>
          <t>http://identifiers.org/so/SO:0000560</t>
        </is>
      </c>
      <c r="C411" t="inlineStr">
        <is>
          <t>['D J C cluster', 'D-J-C-CLUSTER']</t>
        </is>
      </c>
    </row>
    <row r="412" ht="15.75" customHeight="1">
      <c r="A412" t="inlineStr">
        <is>
          <t>D_loop</t>
        </is>
      </c>
      <c r="B412" t="inlineStr">
        <is>
          <t>http://identifiers.org/so/SO:0000297</t>
        </is>
      </c>
      <c r="C412" t="inlineStr">
        <is>
          <t>['D J cluster', 'D-J-CLUSTER']</t>
        </is>
      </c>
    </row>
    <row r="413" ht="15.75" customHeight="1">
      <c r="A413" t="inlineStr">
        <is>
          <t>DArT_marker</t>
        </is>
      </c>
      <c r="B413" t="inlineStr">
        <is>
          <t>http://identifiers.org/so/SO:0001646</t>
        </is>
      </c>
      <c r="C413" t="inlineStr">
        <is>
          <t>['D-loop', 'INSDC_feature:D-loop', 'displacement loop']</t>
        </is>
      </c>
    </row>
    <row r="414" ht="15.75" customHeight="1">
      <c r="A414" t="inlineStr">
        <is>
          <t>databank_entry</t>
        </is>
      </c>
      <c r="B414" t="inlineStr">
        <is>
          <t>http://identifiers.org/so/SO:2000061</t>
        </is>
      </c>
      <c r="C414" t="inlineStr">
        <is>
          <t>['DArT marker']</t>
        </is>
      </c>
    </row>
    <row r="415" ht="15.75" customHeight="1">
      <c r="A415" t="inlineStr">
        <is>
          <t>dCAPS_primer</t>
        </is>
      </c>
      <c r="B415" t="inlineStr">
        <is>
          <t>http://identifiers.org/so/SO:0001699</t>
        </is>
      </c>
      <c r="C415" t="inlineStr">
        <is>
          <t>['databank entry', 'accession']</t>
        </is>
      </c>
    </row>
    <row r="416" ht="15.75" customHeight="1">
      <c r="A416" t="inlineStr">
        <is>
          <t>DCE</t>
        </is>
      </c>
      <c r="B416" t="inlineStr">
        <is>
          <t>http://identifiers.org/so/SO:0001664</t>
        </is>
      </c>
      <c r="C416" t="inlineStr">
        <is>
          <t>['derived cleaved amplified polymorphic primer', 'dCAPS primer']</t>
        </is>
      </c>
    </row>
    <row r="417" ht="15.75" customHeight="1">
      <c r="A417" t="inlineStr">
        <is>
          <t>DCE_SI</t>
        </is>
      </c>
      <c r="B417" t="inlineStr">
        <is>
          <t>http://identifiers.org/so/SO:0001665</t>
        </is>
      </c>
      <c r="C417" t="inlineStr">
        <is>
          <t>['downstream core element']</t>
        </is>
      </c>
    </row>
    <row r="418" ht="15.75" customHeight="1">
      <c r="A418" t="inlineStr">
        <is>
          <t>DCE_SII</t>
        </is>
      </c>
      <c r="B418" t="inlineStr">
        <is>
          <t>http://identifiers.org/so/SO:0001666</t>
        </is>
      </c>
      <c r="C418" t="inlineStr">
        <is>
          <t>['DCE SI']</t>
        </is>
      </c>
    </row>
    <row r="419" ht="15.75" customHeight="1">
      <c r="A419" t="inlineStr">
        <is>
          <t>DCE_SIII</t>
        </is>
      </c>
      <c r="B419" t="inlineStr">
        <is>
          <t>http://identifiers.org/so/SO:0001667</t>
        </is>
      </c>
      <c r="C419" t="inlineStr">
        <is>
          <t>['DCE SII']</t>
        </is>
      </c>
    </row>
    <row r="420" ht="15.75" customHeight="1">
      <c r="A420" t="inlineStr">
        <is>
          <t>DDB_box</t>
        </is>
      </c>
      <c r="B420" t="inlineStr">
        <is>
          <t>http://identifiers.org/so/SO:0001804</t>
        </is>
      </c>
      <c r="C420" t="inlineStr">
        <is>
          <t>['DCE SIII']</t>
        </is>
      </c>
    </row>
    <row r="421" ht="15.75" customHeight="1">
      <c r="A421" t="inlineStr">
        <is>
          <t>de_novo_variant</t>
        </is>
      </c>
      <c r="B421" t="inlineStr">
        <is>
          <t>http://identifiers.org/so/SO:0001781</t>
        </is>
      </c>
      <c r="C421" t="inlineStr">
        <is>
          <t>['DDB-box', 'DDB box']</t>
        </is>
      </c>
    </row>
    <row r="422" ht="15.75" customHeight="1">
      <c r="A422" t="inlineStr">
        <is>
          <t>decayed_exon</t>
        </is>
      </c>
      <c r="B422" t="inlineStr">
        <is>
          <t>http://identifiers.org/so/SO:0000464</t>
        </is>
      </c>
      <c r="C422" t="inlineStr">
        <is>
          <t>['de novo variant']</t>
        </is>
      </c>
    </row>
    <row r="423" ht="15.75" customHeight="1">
      <c r="A423" t="inlineStr">
        <is>
          <t>decreased_polyadenylation_variant</t>
        </is>
      </c>
      <c r="B423" t="inlineStr">
        <is>
          <t>http://identifiers.org/so/SO:0001803</t>
        </is>
      </c>
      <c r="C423" t="inlineStr">
        <is>
          <t>['decayed exon']</t>
        </is>
      </c>
    </row>
    <row r="424" ht="15.75" customHeight="1">
      <c r="A424" t="inlineStr">
        <is>
          <t>decreased_transcript_level_variant</t>
        </is>
      </c>
      <c r="B424" t="inlineStr">
        <is>
          <t>http://identifiers.org/so/SO:0001541</t>
        </is>
      </c>
      <c r="C424" t="inlineStr">
        <is>
          <t>['decreased polyadenylation variant']</t>
        </is>
      </c>
    </row>
    <row r="425" ht="15.75" customHeight="1">
      <c r="A425" t="inlineStr">
        <is>
          <t>decreased_transcript_stability_variant</t>
        </is>
      </c>
      <c r="B425" t="inlineStr">
        <is>
          <t>http://identifiers.org/so/SO:0001547</t>
        </is>
      </c>
      <c r="C425" t="inlineStr">
        <is>
          <t>['decreased transcript level']</t>
        </is>
      </c>
    </row>
    <row r="426" ht="15.75" customHeight="1">
      <c r="A426" t="inlineStr">
        <is>
          <t>decreased_transcription_rate_variant</t>
        </is>
      </c>
      <c r="B426" t="inlineStr">
        <is>
          <t>http://identifiers.org/so/SO:0001552</t>
        </is>
      </c>
      <c r="C426" t="inlineStr">
        <is>
          <t>['decrease transcript stability variant']</t>
        </is>
      </c>
    </row>
    <row r="427" ht="15.75" customHeight="1">
      <c r="A427" t="inlineStr">
        <is>
          <t>decreased_translational_product_level</t>
        </is>
      </c>
      <c r="B427" t="inlineStr">
        <is>
          <t>http://identifiers.org/so/SO:0001555</t>
        </is>
      </c>
      <c r="C427" t="inlineStr">
        <is>
          <t>['decreased transcription rate variant']</t>
        </is>
      </c>
    </row>
    <row r="428" ht="15.75" customHeight="1">
      <c r="A428" t="inlineStr">
        <is>
          <t>defective_conjugative_transposon</t>
        </is>
      </c>
      <c r="B428" t="inlineStr">
        <is>
          <t>http://identifiers.org/so/SO:0001049</t>
        </is>
      </c>
      <c r="C428" t="inlineStr">
        <is>
          <t>['decrease translational product level']</t>
        </is>
      </c>
    </row>
    <row r="429" ht="15.75" customHeight="1">
      <c r="A429" t="inlineStr">
        <is>
          <t>deficient_interchromosomal_transposition</t>
        </is>
      </c>
      <c r="B429" t="inlineStr">
        <is>
          <t>http://identifiers.org/so/SO:0000063</t>
        </is>
      </c>
      <c r="C429" t="inlineStr">
        <is>
          <t>['defective conjugative transposon']</t>
        </is>
      </c>
    </row>
    <row r="430" ht="15.75" customHeight="1">
      <c r="A430" t="inlineStr">
        <is>
          <t>deficient_intrachromosomal_transposition</t>
        </is>
      </c>
      <c r="B430" t="inlineStr">
        <is>
          <t>http://identifiers.org/so/SO:0000062</t>
        </is>
      </c>
      <c r="C430" t="inlineStr">
        <is>
          <t>['deficient interchromosomal transposition']</t>
        </is>
      </c>
    </row>
    <row r="431" ht="15.75" customHeight="1">
      <c r="A431" t="inlineStr">
        <is>
          <t>deficient_inversion</t>
        </is>
      </c>
      <c r="B431" t="inlineStr">
        <is>
          <t>http://identifiers.org/so/SO:1000171</t>
        </is>
      </c>
      <c r="C431" t="inlineStr">
        <is>
          <t>['deficient intrachromosomal transposition']</t>
        </is>
      </c>
    </row>
    <row r="432" ht="15.75" customHeight="1">
      <c r="A432" t="inlineStr">
        <is>
          <t>deficient_translocation</t>
        </is>
      </c>
      <c r="B432" t="inlineStr">
        <is>
          <t>http://identifiers.org/so/SO:1000147</t>
        </is>
      </c>
      <c r="C432" t="inlineStr">
        <is>
          <t>['(Drosophila)DfIn', 'deficient inversion', '(Drosophila)Df']</t>
        </is>
      </c>
    </row>
    <row r="433" ht="15.75" customHeight="1">
      <c r="A433" t="inlineStr">
        <is>
          <t>delete</t>
        </is>
      </c>
      <c r="B433" t="inlineStr">
        <is>
          <t>http://identifiers.org/so/SO:0000045</t>
        </is>
      </c>
      <c r="C433" t="inlineStr">
        <is>
          <t>['deficient translocation', '(Drosophila)Df', '(Drosophila)DfT']</t>
        </is>
      </c>
    </row>
    <row r="434" ht="15.75" customHeight="1">
      <c r="A434" t="inlineStr">
        <is>
          <t>delete_U</t>
        </is>
      </c>
      <c r="B434" t="inlineStr">
        <is>
          <t>http://identifiers.org/so/SO:0000918</t>
        </is>
      </c>
    </row>
    <row r="435" ht="15.75" customHeight="1">
      <c r="A435" t="inlineStr">
        <is>
          <t>deletion</t>
        </is>
      </c>
      <c r="B435" t="inlineStr">
        <is>
          <t>http://identifiers.org/so/SO:0000159</t>
        </is>
      </c>
      <c r="C435" t="inlineStr">
        <is>
          <t>['delete U']</t>
        </is>
      </c>
    </row>
    <row r="436" ht="15.75" customHeight="1">
      <c r="A436" t="inlineStr">
        <is>
          <t>deletion_artifact</t>
        </is>
      </c>
      <c r="B436" t="inlineStr">
        <is>
          <t>http://identifiers.org/so/SO:0002174</t>
        </is>
      </c>
      <c r="C436" t="inlineStr">
        <is>
          <t>['nucleotide_deletion', 'deleted_sequence', 'nucleotide deletion']</t>
        </is>
      </c>
    </row>
    <row r="437" ht="15.75" customHeight="1">
      <c r="A437" t="inlineStr">
        <is>
          <t>deletion_breakpoint</t>
        </is>
      </c>
      <c r="B437" t="inlineStr">
        <is>
          <t>http://identifiers.org/so/SO:0001415</t>
        </is>
      </c>
      <c r="C437" t="inlineStr">
        <is>
          <t>['deletion artifact']</t>
        </is>
      </c>
    </row>
    <row r="438" ht="15.75" customHeight="1">
      <c r="A438" t="inlineStr">
        <is>
          <t>deletion_junction</t>
        </is>
      </c>
      <c r="B438" t="inlineStr">
        <is>
          <t>http://identifiers.org/so/SO:0000687</t>
        </is>
      </c>
      <c r="C438" t="inlineStr">
        <is>
          <t>['deletion breakpoint']</t>
        </is>
      </c>
    </row>
    <row r="439" ht="15.75" customHeight="1">
      <c r="A439" t="inlineStr">
        <is>
          <t>delins</t>
        </is>
      </c>
      <c r="B439" t="inlineStr">
        <is>
          <t>http://identifiers.org/so/SO:1000032</t>
        </is>
      </c>
      <c r="C439" t="inlineStr">
        <is>
          <t>['deletion junction']</t>
        </is>
      </c>
    </row>
    <row r="440" ht="15.75" customHeight="1">
      <c r="A440" t="inlineStr">
        <is>
          <t>designed_sequence</t>
        </is>
      </c>
      <c r="B440" t="inlineStr">
        <is>
          <t>http://identifiers.org/so/SO:0000546</t>
        </is>
      </c>
      <c r="C440" t="inlineStr">
        <is>
          <t>['deletion-insertion', 'indel']</t>
        </is>
      </c>
    </row>
    <row r="441" ht="15.75" customHeight="1">
      <c r="A441" t="inlineStr">
        <is>
          <t>destruction_box</t>
        </is>
      </c>
      <c r="B441" t="inlineStr">
        <is>
          <t>http://identifiers.org/so/SO:0001805</t>
        </is>
      </c>
      <c r="C441" t="inlineStr">
        <is>
          <t>['designed sequence']</t>
        </is>
      </c>
    </row>
    <row r="442" ht="15.75" customHeight="1">
      <c r="A442" t="inlineStr">
        <is>
          <t>dextrosynaptic_chromosome</t>
        </is>
      </c>
      <c r="B442" t="inlineStr">
        <is>
          <t>http://identifiers.org/so/SO:1000142</t>
        </is>
      </c>
      <c r="C442" t="inlineStr">
        <is>
          <t>['destruction box', 'D-box']</t>
        </is>
      </c>
    </row>
    <row r="443" ht="15.75" customHeight="1">
      <c r="A443" t="inlineStr">
        <is>
          <t>dg_repeat</t>
        </is>
      </c>
      <c r="B443" t="inlineStr">
        <is>
          <t>http://identifiers.org/so/SO:0001898</t>
        </is>
      </c>
      <c r="C443" t="inlineStr">
        <is>
          <t>['dextrosynaptic chromosome']</t>
        </is>
      </c>
    </row>
    <row r="444" ht="15.75" customHeight="1">
      <c r="A444" t="inlineStr">
        <is>
          <t>dh_repeat</t>
        </is>
      </c>
      <c r="B444" t="inlineStr">
        <is>
          <t>http://identifiers.org/so/SO:0001899</t>
        </is>
      </c>
      <c r="C444" t="inlineStr">
        <is>
          <t>['dg repeat']</t>
        </is>
      </c>
    </row>
    <row r="445" ht="15.75" customHeight="1">
      <c r="A445" t="inlineStr">
        <is>
          <t>DHU_loop</t>
        </is>
      </c>
      <c r="B445" t="inlineStr">
        <is>
          <t>http://identifiers.org/so/SO:0001176</t>
        </is>
      </c>
      <c r="C445" t="inlineStr">
        <is>
          <t>['dh repeat']</t>
        </is>
      </c>
    </row>
    <row r="446" ht="15.75" customHeight="1">
      <c r="A446" t="inlineStr">
        <is>
          <t>dicistronic</t>
        </is>
      </c>
      <c r="B446" t="inlineStr">
        <is>
          <t>http://identifiers.org/so/SO:0000879</t>
        </is>
      </c>
      <c r="C446" t="inlineStr">
        <is>
          <t>['DHU loop', 'D loop']</t>
        </is>
      </c>
    </row>
    <row r="447" ht="15.75" customHeight="1">
      <c r="A447" t="inlineStr">
        <is>
          <t>dicistronic_mRNA</t>
        </is>
      </c>
      <c r="B447" t="inlineStr">
        <is>
          <t>http://identifiers.org/so/SO:0000716</t>
        </is>
      </c>
    </row>
    <row r="448" ht="15.75" customHeight="1">
      <c r="A448" t="inlineStr">
        <is>
          <t>dicistronic_primary_transcript</t>
        </is>
      </c>
      <c r="B448" t="inlineStr">
        <is>
          <t>http://identifiers.org/so/SO:1001197</t>
        </is>
      </c>
      <c r="C448" t="inlineStr">
        <is>
          <t>['dicistronic mRNA', 'dicistronic processed transcript']</t>
        </is>
      </c>
    </row>
    <row r="449" ht="15.75" customHeight="1">
      <c r="A449" t="inlineStr">
        <is>
          <t>dicistronic_transcript</t>
        </is>
      </c>
      <c r="B449" t="inlineStr">
        <is>
          <t>http://identifiers.org/so/SO:0000079</t>
        </is>
      </c>
      <c r="C449" t="inlineStr">
        <is>
          <t>['dicistronic primary transcript']</t>
        </is>
      </c>
    </row>
    <row r="450" ht="15.75" customHeight="1">
      <c r="A450" t="inlineStr">
        <is>
          <t>dif_site</t>
        </is>
      </c>
      <c r="B450" t="inlineStr">
        <is>
          <t>http://identifiers.org/so/SO:0000949</t>
        </is>
      </c>
      <c r="C450" t="inlineStr">
        <is>
          <t>['dicistronic transcript']</t>
        </is>
      </c>
    </row>
    <row r="451" ht="15.75" customHeight="1">
      <c r="A451" t="inlineStr">
        <is>
          <t>dihydrouridine</t>
        </is>
      </c>
      <c r="B451" t="inlineStr">
        <is>
          <t>http://identifiers.org/so/SO:0001228</t>
        </is>
      </c>
      <c r="C451" t="inlineStr">
        <is>
          <t>['dif site']</t>
        </is>
      </c>
    </row>
    <row r="452" ht="15.75" customHeight="1">
      <c r="A452" t="inlineStr">
        <is>
          <t>dinucleotide_repeat_microsatellite_feature</t>
        </is>
      </c>
      <c r="B452" t="inlineStr">
        <is>
          <t>http://identifiers.org/so/SO:0000290</t>
        </is>
      </c>
      <c r="C452" t="inlineStr">
        <is>
          <t>[' D']</t>
        </is>
      </c>
    </row>
    <row r="453" ht="15.75" customHeight="1">
      <c r="A453" t="inlineStr">
        <is>
          <t>diplotype</t>
        </is>
      </c>
      <c r="B453" t="inlineStr">
        <is>
          <t>http://identifiers.org/so/SO:0001028</t>
        </is>
      </c>
      <c r="C453" t="inlineStr">
        <is>
          <t>['dinucleotide repeat microsatellite marker', 'dinucleotide repeat microsatellite locus', 'dinucleotide repeat microsatellite', 'dinucleotide repeat microsatellite feature']</t>
        </is>
      </c>
    </row>
    <row r="454" ht="15.75" customHeight="1">
      <c r="A454" t="inlineStr">
        <is>
          <t>direct</t>
        </is>
      </c>
      <c r="B454" t="inlineStr">
        <is>
          <t>http://identifiers.org/so/SO:0001514</t>
        </is>
      </c>
    </row>
    <row r="455" ht="15.75" customHeight="1">
      <c r="A455" t="inlineStr">
        <is>
          <t>direct_repeat</t>
        </is>
      </c>
      <c r="B455" t="inlineStr">
        <is>
          <t>http://identifiers.org/so/SO:0000314</t>
        </is>
      </c>
    </row>
    <row r="456" ht="15.75" customHeight="1">
      <c r="A456" t="inlineStr">
        <is>
          <t>direct_tandem_duplication</t>
        </is>
      </c>
      <c r="B456" t="inlineStr">
        <is>
          <t>http://identifiers.org/so/SO:1000039</t>
        </is>
      </c>
      <c r="C456" t="inlineStr">
        <is>
          <t>['direct repeat', 'INSDC_feature:repeat_region', 'INSDC_qualifier:direct']</t>
        </is>
      </c>
    </row>
    <row r="457" ht="15.75" customHeight="1">
      <c r="A457" t="inlineStr">
        <is>
          <t>direction_attribute</t>
        </is>
      </c>
      <c r="B457" t="inlineStr">
        <is>
          <t>http://identifiers.org/so/SO:0001029</t>
        </is>
      </c>
      <c r="C457" t="inlineStr">
        <is>
          <t>['direct tandem duplication']</t>
        </is>
      </c>
    </row>
    <row r="458" ht="15.75" customHeight="1">
      <c r="A458" t="inlineStr">
        <is>
          <t>DIRS_YR_retrotransposon</t>
        </is>
      </c>
      <c r="B458" t="inlineStr">
        <is>
          <t>http://identifiers.org/so/SO:0002287</t>
        </is>
      </c>
      <c r="C458" t="inlineStr">
        <is>
          <t>['direction attribute']</t>
        </is>
      </c>
    </row>
    <row r="459" ht="15.75" customHeight="1">
      <c r="A459" t="inlineStr">
        <is>
          <t>disabled_reading_frame</t>
        </is>
      </c>
      <c r="B459" t="inlineStr">
        <is>
          <t>http://identifiers.org/so/SO:0002048</t>
        </is>
      </c>
      <c r="C459" t="inlineStr">
        <is>
          <t>['DIRS YR retrotransposon', 'RYD retrotransposon', 'DIRS retrotransposon']</t>
        </is>
      </c>
    </row>
    <row r="460" ht="15.75" customHeight="1">
      <c r="A460" t="inlineStr">
        <is>
          <t>disease_associated_variant</t>
        </is>
      </c>
      <c r="B460" t="inlineStr">
        <is>
          <t>http://identifiers.org/so/SO:0001771</t>
        </is>
      </c>
      <c r="C460" t="inlineStr">
        <is>
          <t>['dORF', 'disabled_reading frame', 'disabled ORF']</t>
        </is>
      </c>
    </row>
    <row r="461" ht="15.75" customHeight="1">
      <c r="A461" t="inlineStr">
        <is>
          <t>disease_causing_variant</t>
        </is>
      </c>
      <c r="B461" t="inlineStr">
        <is>
          <t>http://identifiers.org/so/SO:0001772</t>
        </is>
      </c>
      <c r="C461" t="inlineStr">
        <is>
          <t>['disease associated variant']</t>
        </is>
      </c>
    </row>
    <row r="462" ht="15.75" customHeight="1">
      <c r="A462" t="inlineStr">
        <is>
          <t>dispersed_repeat</t>
        </is>
      </c>
      <c r="B462" t="inlineStr">
        <is>
          <t>http://identifiers.org/so/SO:0000658</t>
        </is>
      </c>
      <c r="C462" t="inlineStr">
        <is>
          <t>['disease causing variant']</t>
        </is>
      </c>
    </row>
    <row r="463" ht="15.75" customHeight="1">
      <c r="A463" t="inlineStr">
        <is>
          <t>disruptive_inframe_deletion</t>
        </is>
      </c>
      <c r="B463" t="inlineStr">
        <is>
          <t>http://identifiers.org/so/SO:0001826</t>
        </is>
      </c>
      <c r="C463" t="inlineStr">
        <is>
          <t>['interspersed repeat', 'dispersed repeat', 'INSDC_feature:repeat_region', 'INSDC_qualifier:dispersed']</t>
        </is>
      </c>
    </row>
    <row r="464" ht="15.75" customHeight="1">
      <c r="A464" t="inlineStr">
        <is>
          <t>disruptive_inframe_insertion</t>
        </is>
      </c>
      <c r="B464" t="inlineStr">
        <is>
          <t>http://identifiers.org/so/SO:0001824</t>
        </is>
      </c>
      <c r="C464" t="inlineStr">
        <is>
          <t>['Jannovar:disruptive_inframe_deletion', 'snpEff:CODON_CHANGE_PLUS_CODON_DELETION', 'disruptive inframe deletion', 'disruptive decrease in CDS length']</t>
        </is>
      </c>
    </row>
    <row r="465" ht="15.75" customHeight="1">
      <c r="A465" t="inlineStr">
        <is>
          <t>distal_duplication</t>
        </is>
      </c>
      <c r="B465" t="inlineStr">
        <is>
          <t>http://identifiers.org/so/SO:0001928</t>
        </is>
      </c>
      <c r="C465" t="inlineStr">
        <is>
          <t>['disruptive increase in CDS length', 'disruptive inframe insertion', 'Jannovar:disruptive_inframe_insertion', 'snpEff:CODON_CHANGE_PLUS_CODON_INSERTION']</t>
        </is>
      </c>
    </row>
    <row r="466" ht="15.75" customHeight="1">
      <c r="A466" t="inlineStr">
        <is>
          <t>distal_promoter_element</t>
        </is>
      </c>
      <c r="B466" t="inlineStr">
        <is>
          <t>http://identifiers.org/so/SO:0001670</t>
        </is>
      </c>
      <c r="C466" t="inlineStr">
        <is>
          <t>['distal duplication']</t>
        </is>
      </c>
    </row>
    <row r="467" ht="15.75" customHeight="1">
      <c r="A467" t="inlineStr">
        <is>
          <t>distant_three_prime_recoding_signal</t>
        </is>
      </c>
      <c r="B467" t="inlineStr">
        <is>
          <t>http://identifiers.org/so/SO:1001287</t>
        </is>
      </c>
      <c r="C467" t="inlineStr">
        <is>
          <t>['distal promoter element']</t>
        </is>
      </c>
    </row>
    <row r="468" ht="15.75" customHeight="1">
      <c r="A468" t="inlineStr">
        <is>
          <t>disulfide_bond</t>
        </is>
      </c>
      <c r="B468" t="inlineStr">
        <is>
          <t>http://identifiers.org/so/SO:0001088</t>
        </is>
      </c>
      <c r="C468" t="inlineStr">
        <is>
          <t>['distant three prime recoding signal']</t>
        </is>
      </c>
    </row>
    <row r="469" ht="15.75" customHeight="1">
      <c r="A469" t="inlineStr">
        <is>
          <t>DJ_C_cluster</t>
        </is>
      </c>
      <c r="B469" t="inlineStr">
        <is>
          <t>http://identifiers.org/so/SO:0000539</t>
        </is>
      </c>
      <c r="C469" t="inlineStr">
        <is>
          <t>['disulfid', 'disulphide', 'disulfide', 'disulphide bond', 'disulfide bond']</t>
        </is>
      </c>
    </row>
    <row r="470" ht="15.75" customHeight="1">
      <c r="A470" t="inlineStr">
        <is>
          <t>DJ_gene_segment</t>
        </is>
      </c>
      <c r="B470" t="inlineStr">
        <is>
          <t>http://identifiers.org/so/SO:0000572</t>
        </is>
      </c>
      <c r="C470" t="inlineStr">
        <is>
          <t>['(DJ)-C-CLUSTER', 'DJ C cluster']</t>
        </is>
      </c>
    </row>
    <row r="471" ht="15.75" customHeight="1">
      <c r="A471" t="inlineStr">
        <is>
          <t>DJ_J_C_cluster</t>
        </is>
      </c>
      <c r="B471" t="inlineStr">
        <is>
          <t>http://identifiers.org/so/SO:0000540</t>
        </is>
      </c>
      <c r="C471" t="inlineStr">
        <is>
          <t>['DJ gene', 'D-J-GENE']</t>
        </is>
      </c>
    </row>
    <row r="472" ht="15.75" customHeight="1">
      <c r="A472" t="inlineStr">
        <is>
          <t>DJ_J_cluster</t>
        </is>
      </c>
      <c r="B472" t="inlineStr">
        <is>
          <t>http://identifiers.org/so/SO:0000485</t>
        </is>
      </c>
      <c r="C472" t="inlineStr">
        <is>
          <t>['(DJ)-J-C-CLUSTER', 'DJ J C cluster']</t>
        </is>
      </c>
    </row>
    <row r="473" ht="15.75" customHeight="1">
      <c r="A473" t="inlineStr">
        <is>
          <t>DMv1_motif</t>
        </is>
      </c>
      <c r="B473" t="inlineStr">
        <is>
          <t>http://identifiers.org/so/SO:0001165</t>
        </is>
      </c>
      <c r="C473" t="inlineStr">
        <is>
          <t>['DJ J cluster', '(DJ)-J-CLUSTER']</t>
        </is>
      </c>
    </row>
    <row r="474" ht="15.75" customHeight="1">
      <c r="A474" t="inlineStr">
        <is>
          <t>DMv2_motif</t>
        </is>
      </c>
      <c r="B474" t="inlineStr">
        <is>
          <t>http://identifiers.org/so/SO:0001161</t>
        </is>
      </c>
      <c r="C474" t="inlineStr">
        <is>
          <t>['DMv1 motif', 'directional promoter motif v1', 'DMv1']</t>
        </is>
      </c>
    </row>
    <row r="475" ht="15.75" customHeight="1">
      <c r="A475" t="inlineStr">
        <is>
          <t>DMv3_motif</t>
        </is>
      </c>
      <c r="B475" t="inlineStr">
        <is>
          <t>http://identifiers.org/so/SO:0001160</t>
        </is>
      </c>
      <c r="C475" t="inlineStr">
        <is>
          <t>['DMv2 motif', 'promoter motif 8', 'MKSYGGCARCGSYSS', 'directional motif v2', 'DMv2']</t>
        </is>
      </c>
    </row>
    <row r="476" ht="15.75" customHeight="1">
      <c r="A476" t="inlineStr">
        <is>
          <t>DMv4_motif</t>
        </is>
      </c>
      <c r="B476" t="inlineStr">
        <is>
          <t>http://identifiers.org/so/SO:0001157</t>
        </is>
      </c>
      <c r="C476" t="inlineStr">
        <is>
          <t>['DMv3 motif', 'promoter motif 7', 'DMv3', 'KNNCAKCNCTRNY', 'directional motif v3']</t>
        </is>
      </c>
    </row>
    <row r="477" ht="15.75" customHeight="1">
      <c r="A477" t="inlineStr">
        <is>
          <t>DMv5_motif</t>
        </is>
      </c>
      <c r="B477" t="inlineStr">
        <is>
          <t>http://identifiers.org/so/SO:0001159</t>
        </is>
      </c>
      <c r="C477" t="inlineStr">
        <is>
          <t>['promoter motif 1', 'YGGTCACATR', 'motif 1 element', 'directional motif v4', 'DMv4', 'DMv4 motif']</t>
        </is>
      </c>
    </row>
    <row r="478" ht="15.75" customHeight="1">
      <c r="A478" t="inlineStr">
        <is>
          <t>DNA</t>
        </is>
      </c>
      <c r="B478" t="inlineStr">
        <is>
          <t>http://identifiers.org/so/SO:0000352</t>
        </is>
      </c>
      <c r="C478" t="inlineStr">
        <is>
          <t>['promoter motif 6', 'DMv5 motif', 'KTYRGTATWTTT', 'DMv5', 'directional motif v5']</t>
        </is>
      </c>
    </row>
    <row r="479" ht="15.75" customHeight="1">
      <c r="A479" t="inlineStr">
        <is>
          <t>DNA_aptamer</t>
        </is>
      </c>
      <c r="B479" t="inlineStr">
        <is>
          <t>http://identifiers.org/so/SO:0000032</t>
        </is>
      </c>
    </row>
    <row r="480" ht="15.75" customHeight="1">
      <c r="A480" t="inlineStr">
        <is>
          <t>DNA_binding_site</t>
        </is>
      </c>
      <c r="B480" t="inlineStr">
        <is>
          <t>http://identifiers.org/so/SO:0001429</t>
        </is>
      </c>
      <c r="C480" t="inlineStr">
        <is>
          <t>['DNA aptamer']</t>
        </is>
      </c>
    </row>
    <row r="481" ht="15.75" customHeight="1">
      <c r="A481" t="inlineStr">
        <is>
          <t>DNA_chromosome</t>
        </is>
      </c>
      <c r="B481" t="inlineStr">
        <is>
          <t>http://identifiers.org/so/SO:0000954</t>
        </is>
      </c>
      <c r="C481" t="inlineStr">
        <is>
          <t>['DNA binding site']</t>
        </is>
      </c>
    </row>
    <row r="482" ht="15.75" customHeight="1">
      <c r="A482" t="inlineStr">
        <is>
          <t>DNA_constraint_sequence</t>
        </is>
      </c>
      <c r="B482" t="inlineStr">
        <is>
          <t>http://identifiers.org/so/SO:0001009</t>
        </is>
      </c>
      <c r="C482" t="inlineStr">
        <is>
          <t>['DNA chromosome']</t>
        </is>
      </c>
    </row>
    <row r="483" ht="15.75" customHeight="1">
      <c r="A483" t="inlineStr">
        <is>
          <t>DNA_invertase_target_sequence</t>
        </is>
      </c>
      <c r="B483" t="inlineStr">
        <is>
          <t>http://identifiers.org/so/SO:0000660</t>
        </is>
      </c>
      <c r="C483" t="inlineStr">
        <is>
          <t>['DNA constraint sequence', 'DNA constraint']</t>
        </is>
      </c>
    </row>
    <row r="484" ht="15.75" customHeight="1">
      <c r="A484" t="inlineStr">
        <is>
          <t>DNA_loop</t>
        </is>
      </c>
      <c r="B484" t="inlineStr">
        <is>
          <t>http://identifiers.org/so/SO:0002307</t>
        </is>
      </c>
    </row>
    <row r="485" ht="15.75" customHeight="1">
      <c r="A485" t="inlineStr">
        <is>
          <t>DNA_loop_anchor</t>
        </is>
      </c>
      <c r="B485" t="inlineStr">
        <is>
          <t>http://identifiers.org/so/SO:0002308</t>
        </is>
      </c>
      <c r="C485" t="inlineStr">
        <is>
          <t>['DNA loop']</t>
        </is>
      </c>
    </row>
    <row r="486" ht="15.75" customHeight="1">
      <c r="A486" t="inlineStr">
        <is>
          <t>DNA_motif</t>
        </is>
      </c>
      <c r="B486" t="inlineStr">
        <is>
          <t>http://identifiers.org/so/SO:0000713</t>
        </is>
      </c>
      <c r="C486" t="inlineStr">
        <is>
          <t>['chromatin regulatory region']</t>
        </is>
      </c>
    </row>
    <row r="487" ht="15.75" customHeight="1">
      <c r="A487" t="inlineStr">
        <is>
          <t>DNA_replication_mode</t>
        </is>
      </c>
      <c r="B487" t="inlineStr">
        <is>
          <t>http://identifiers.org/so/SO:0000971</t>
        </is>
      </c>
      <c r="C487" t="inlineStr">
        <is>
          <t>['DNA motif']</t>
        </is>
      </c>
    </row>
    <row r="488" ht="15.75" customHeight="1">
      <c r="A488" t="inlineStr">
        <is>
          <t>DNA_sequence_secondary_structure</t>
        </is>
      </c>
      <c r="B488" t="inlineStr">
        <is>
          <t>http://identifiers.org/so/SO:0000142</t>
        </is>
      </c>
      <c r="C488" t="inlineStr">
        <is>
          <t>['DNA replication mode']</t>
        </is>
      </c>
    </row>
    <row r="489" ht="15.75" customHeight="1">
      <c r="A489" t="inlineStr">
        <is>
          <t>DNA_transposon</t>
        </is>
      </c>
      <c r="B489" t="inlineStr">
        <is>
          <t>http://identifiers.org/so/SO:0000182</t>
        </is>
      </c>
      <c r="C489" t="inlineStr">
        <is>
          <t>['DNA sequence secondary structure']</t>
        </is>
      </c>
    </row>
    <row r="490" ht="15.75" customHeight="1">
      <c r="A490" t="inlineStr">
        <is>
          <t>DNaseI_hypersensitive_site</t>
        </is>
      </c>
      <c r="B490" t="inlineStr">
        <is>
          <t>http://identifiers.org/so/SO:0000685</t>
        </is>
      </c>
      <c r="C490" t="inlineStr">
        <is>
          <t>['class II', 'DNA transposon', 'class II transposon']</t>
        </is>
      </c>
    </row>
    <row r="491" ht="15.75" customHeight="1">
      <c r="A491" t="inlineStr">
        <is>
          <t>DNAzyme</t>
        </is>
      </c>
      <c r="B491" t="inlineStr">
        <is>
          <t>http://identifiers.org/so/SO:0001012</t>
        </is>
      </c>
      <c r="C491" t="inlineStr">
        <is>
          <t>['INSDC_qualifier:DNase_I_hypersensitive_site', 'INSDC_feature:regulatory', 'DHS', 'DNaseI hypersensitive site']</t>
        </is>
      </c>
    </row>
    <row r="492" ht="15.75" customHeight="1">
      <c r="A492" t="inlineStr">
        <is>
          <t>dominant_negative_variant</t>
        </is>
      </c>
      <c r="B492" t="inlineStr">
        <is>
          <t>http://identifiers.org/so/SO:0002052</t>
        </is>
      </c>
      <c r="C492" t="inlineStr">
        <is>
          <t>['DNA enzyme', 'deoxyribozyme', 'catalytic DNA']</t>
        </is>
      </c>
    </row>
    <row r="493" ht="15.75" customHeight="1">
      <c r="A493" t="inlineStr">
        <is>
          <t>double</t>
        </is>
      </c>
      <c r="B493" t="inlineStr">
        <is>
          <t>http://identifiers.org/so/SO:0000985</t>
        </is>
      </c>
      <c r="C493" t="inlineStr">
        <is>
          <t>['dominant negative variant', 'dominant negative']</t>
        </is>
      </c>
    </row>
    <row r="494" ht="15.75" customHeight="1">
      <c r="A494" t="inlineStr">
        <is>
          <t>double_stranded_cDNA</t>
        </is>
      </c>
      <c r="B494" t="inlineStr">
        <is>
          <t>http://identifiers.org/so/SO:0000758</t>
        </is>
      </c>
    </row>
    <row r="495" ht="15.75" customHeight="1">
      <c r="A495" t="inlineStr">
        <is>
          <t>double_stranded_DNA_chromosome</t>
        </is>
      </c>
      <c r="B495" t="inlineStr">
        <is>
          <t>http://identifiers.org/so/SO:0000955</t>
        </is>
      </c>
      <c r="C495" t="inlineStr">
        <is>
          <t>['double strand cDNA', 'double stranded cDNA', 'double-strand cDNA']</t>
        </is>
      </c>
    </row>
    <row r="496" ht="15.75" customHeight="1">
      <c r="A496" t="inlineStr">
        <is>
          <t>double_stranded_RNA_chromosome</t>
        </is>
      </c>
      <c r="B496" t="inlineStr">
        <is>
          <t>http://identifiers.org/so/SO:0000965</t>
        </is>
      </c>
      <c r="C496" t="inlineStr">
        <is>
          <t>['double stranded DNA chromosome']</t>
        </is>
      </c>
    </row>
    <row r="497" ht="15.75" customHeight="1">
      <c r="A497" t="inlineStr">
        <is>
          <t>downstream_gene_variant</t>
        </is>
      </c>
      <c r="B497" t="inlineStr">
        <is>
          <t>http://identifiers.org/so/SO:0001632</t>
        </is>
      </c>
      <c r="C497" t="inlineStr">
        <is>
          <t>['double stranded RNA chromosome']</t>
        </is>
      </c>
    </row>
    <row r="498" ht="15.75" customHeight="1">
      <c r="A498" t="inlineStr">
        <is>
          <t>downstream_transcript_variant</t>
        </is>
      </c>
      <c r="B498" t="inlineStr">
        <is>
          <t>http://identifiers.org/so/SO:0001987</t>
        </is>
      </c>
      <c r="C498" t="inlineStr">
        <is>
          <t>['downstream gene variant', 'snpEff:DOWNSTREAM', 'VEP:downstream_gene_variant', 'ANNOVAR:downstream', 'Jannovar:downstream_gene_variant']</t>
        </is>
      </c>
    </row>
    <row r="499" ht="15.75" customHeight="1">
      <c r="A499" t="inlineStr">
        <is>
          <t>DPE_motif</t>
        </is>
      </c>
      <c r="B499" t="inlineStr">
        <is>
          <t>http://identifiers.org/so/SO:0000015</t>
        </is>
      </c>
      <c r="C499" t="inlineStr">
        <is>
          <t>['downstream transcript variant']</t>
        </is>
      </c>
    </row>
    <row r="500" ht="15.75" customHeight="1">
      <c r="A500" t="inlineStr">
        <is>
          <t>DPE1_motif</t>
        </is>
      </c>
      <c r="B500" t="inlineStr">
        <is>
          <t>http://identifiers.org/so/SO:0001164</t>
        </is>
      </c>
      <c r="C500" t="inlineStr">
        <is>
          <t>['DPE motif', 'CRWMGCGWKCGCTTS', 'downstream core promoter element']</t>
        </is>
      </c>
    </row>
    <row r="501" ht="15.75" customHeight="1">
      <c r="A501" t="inlineStr">
        <is>
          <t>DRE</t>
        </is>
      </c>
      <c r="B501" t="inlineStr">
        <is>
          <t>http://identifiers.org/so/SO:0001845</t>
        </is>
      </c>
      <c r="C501" t="inlineStr">
        <is>
          <t>['DPE1 motif', 'DMp5', 'directional motif 5', 'directional promoter motif 5']</t>
        </is>
      </c>
    </row>
    <row r="502" ht="15.75" customHeight="1">
      <c r="A502" t="inlineStr">
        <is>
          <t>DRE_motif</t>
        </is>
      </c>
      <c r="B502" t="inlineStr">
        <is>
          <t>http://identifiers.org/so/SO:0001156</t>
        </is>
      </c>
      <c r="C502" t="inlineStr">
        <is>
          <t>['DNA damage response element']</t>
        </is>
      </c>
    </row>
    <row r="503" ht="15.75" customHeight="1">
      <c r="A503" t="inlineStr">
        <is>
          <t>ds_DNA_viral_sequence</t>
        </is>
      </c>
      <c r="B503" t="inlineStr">
        <is>
          <t>http://identifiers.org/so/SO:0001198</t>
        </is>
      </c>
      <c r="C503" t="inlineStr">
        <is>
          <t>['DRE motif', 'WATCGATW_motif', 'NDM4']</t>
        </is>
      </c>
    </row>
    <row r="504" ht="15.75" customHeight="1">
      <c r="A504" t="inlineStr">
        <is>
          <t>ds_oligo</t>
        </is>
      </c>
      <c r="B504" t="inlineStr">
        <is>
          <t>http://identifiers.org/so/SO:0000442</t>
        </is>
      </c>
      <c r="C504" t="inlineStr">
        <is>
          <t>['double stranded DNA virus', 'ds DNA viral sequence']</t>
        </is>
      </c>
    </row>
    <row r="505" ht="15.75" customHeight="1">
      <c r="A505" t="inlineStr">
        <is>
          <t>ds_RNA_viral_sequence</t>
        </is>
      </c>
      <c r="B505" t="inlineStr">
        <is>
          <t>http://identifiers.org/so/SO:0001169</t>
        </is>
      </c>
      <c r="C505" t="inlineStr">
        <is>
          <t>['ds-oligonucleotide', 'ds oligo', 'double stranded oligonucleotide']</t>
        </is>
      </c>
    </row>
    <row r="506" ht="15.75" customHeight="1">
      <c r="A506" t="inlineStr">
        <is>
          <t>DSR_motif</t>
        </is>
      </c>
      <c r="B506" t="inlineStr">
        <is>
          <t>http://identifiers.org/so/SO:0002005</t>
        </is>
      </c>
      <c r="C506" t="inlineStr">
        <is>
          <t>['double stranded RNA virus sequence', 'ds RNA viral sequence']</t>
        </is>
      </c>
    </row>
    <row r="507" ht="15.75" customHeight="1">
      <c r="A507" t="inlineStr">
        <is>
          <t>DsrA_RNA</t>
        </is>
      </c>
      <c r="B507" t="inlineStr">
        <is>
          <t>http://identifiers.org/so/SO:0000378</t>
        </is>
      </c>
      <c r="C507" t="inlineStr">
        <is>
          <t>['DSR motif']</t>
        </is>
      </c>
    </row>
    <row r="508" ht="15.75" customHeight="1">
      <c r="A508" t="inlineStr">
        <is>
          <t>duplicated_pseudogene</t>
        </is>
      </c>
      <c r="B508" t="inlineStr">
        <is>
          <t>http://identifiers.org/so/SO:0001758</t>
        </is>
      </c>
      <c r="C508" t="inlineStr">
        <is>
          <t>['DsrA RNA']</t>
        </is>
      </c>
    </row>
    <row r="509" ht="15.75" customHeight="1">
      <c r="A509" t="inlineStr">
        <is>
          <t>duplication</t>
        </is>
      </c>
      <c r="B509" t="inlineStr">
        <is>
          <t>http://identifiers.org/so/SO:1000035</t>
        </is>
      </c>
      <c r="C509" t="inlineStr">
        <is>
          <t>['duplicated pseudogene']</t>
        </is>
      </c>
    </row>
    <row r="510" ht="15.75" customHeight="1">
      <c r="A510" t="inlineStr">
        <is>
          <t>duplication_artifact</t>
        </is>
      </c>
      <c r="B510" t="inlineStr">
        <is>
          <t>http://identifiers.org/so/SO:0002177</t>
        </is>
      </c>
      <c r="C510" t="inlineStr">
        <is>
          <t>['nucleotide duplication', 'nucleotide_duplication']</t>
        </is>
      </c>
    </row>
    <row r="511" ht="15.75" customHeight="1">
      <c r="A511" t="inlineStr">
        <is>
          <t>duplication_attribute</t>
        </is>
      </c>
      <c r="B511" t="inlineStr">
        <is>
          <t>http://identifiers.org/so/SO:0001523</t>
        </is>
      </c>
      <c r="C511" t="inlineStr">
        <is>
          <t>['duplication artifact']</t>
        </is>
      </c>
    </row>
    <row r="512" ht="15.75" customHeight="1">
      <c r="A512" t="inlineStr">
        <is>
          <t>dye_terminator_read</t>
        </is>
      </c>
      <c r="B512" t="inlineStr">
        <is>
          <t>http://identifiers.org/so/SO:0001423</t>
        </is>
      </c>
      <c r="C512" t="inlineStr">
        <is>
          <t>['duplication attribute']</t>
        </is>
      </c>
    </row>
    <row r="513" ht="15.75" customHeight="1">
      <c r="A513" t="inlineStr">
        <is>
          <t>E_box_motif</t>
        </is>
      </c>
      <c r="B513" t="inlineStr">
        <is>
          <t>http://identifiers.org/so/SO:0001158</t>
        </is>
      </c>
      <c r="C513" t="inlineStr">
        <is>
          <t>['dye terminator read']</t>
        </is>
      </c>
    </row>
    <row r="514" ht="15.75" customHeight="1">
      <c r="A514" t="inlineStr">
        <is>
          <t>early_origin_of_replication</t>
        </is>
      </c>
      <c r="B514" t="inlineStr">
        <is>
          <t>http://identifiers.org/so/SO:0002140</t>
        </is>
      </c>
      <c r="C514" t="inlineStr">
        <is>
          <t>['generic E box motif', 'E box motif', 'AWCAGCTGWT', 'NDM5']</t>
        </is>
      </c>
    </row>
    <row r="515" ht="15.75" customHeight="1">
      <c r="A515" t="inlineStr">
        <is>
          <t>edit_operation</t>
        </is>
      </c>
      <c r="B515" t="inlineStr">
        <is>
          <t>http://identifiers.org/so/SO:0000916</t>
        </is>
      </c>
      <c r="C515" t="inlineStr">
        <is>
          <t>['early origin of replication', 'early origin', 'early replication origin']</t>
        </is>
      </c>
    </row>
    <row r="516" ht="15.75" customHeight="1">
      <c r="A516" t="inlineStr">
        <is>
          <t>edited</t>
        </is>
      </c>
      <c r="B516" t="inlineStr">
        <is>
          <t>http://identifiers.org/so/SO:0000116</t>
        </is>
      </c>
      <c r="C516" t="inlineStr">
        <is>
          <t>['edit operation']</t>
        </is>
      </c>
    </row>
    <row r="517" ht="15.75" customHeight="1">
      <c r="A517" t="inlineStr">
        <is>
          <t>edited_by_A_to_I_substitution</t>
        </is>
      </c>
      <c r="B517" t="inlineStr">
        <is>
          <t>http://identifiers.org/so/SO:0000600</t>
        </is>
      </c>
    </row>
    <row r="518" ht="15.75" customHeight="1">
      <c r="A518" t="inlineStr">
        <is>
          <t>edited_by_C_insertion_and_dinucleotide_insertion</t>
        </is>
      </c>
      <c r="B518" t="inlineStr">
        <is>
          <t>http://identifiers.org/so/SO:0000598</t>
        </is>
      </c>
    </row>
    <row r="519" ht="15.75" customHeight="1">
      <c r="A519" t="inlineStr">
        <is>
          <t>edited_by_C_to_U_substitution</t>
        </is>
      </c>
      <c r="B519" t="inlineStr">
        <is>
          <t>http://identifiers.org/so/SO:0000599</t>
        </is>
      </c>
      <c r="C519" t="inlineStr">
        <is>
          <t>['transcript_edited_by_C-insertion_and_dinucleotide_insertion']</t>
        </is>
      </c>
    </row>
    <row r="520" ht="15.75" customHeight="1">
      <c r="A520" t="inlineStr">
        <is>
          <t>edited_by_G_addition</t>
        </is>
      </c>
      <c r="B520" t="inlineStr">
        <is>
          <t>http://identifiers.org/so/SO:0000601</t>
        </is>
      </c>
    </row>
    <row r="521" ht="15.75" customHeight="1">
      <c r="A521" t="inlineStr">
        <is>
          <t>edited_CDS</t>
        </is>
      </c>
      <c r="B521" t="inlineStr">
        <is>
          <t>http://identifiers.org/so/SO:0000935</t>
        </is>
      </c>
    </row>
    <row r="522" ht="15.75" customHeight="1">
      <c r="A522" t="inlineStr">
        <is>
          <t>edited_mRNA</t>
        </is>
      </c>
      <c r="B522" t="inlineStr">
        <is>
          <t>http://identifiers.org/so/SO:0000929</t>
        </is>
      </c>
      <c r="C522" t="inlineStr">
        <is>
          <t>['edited CDS']</t>
        </is>
      </c>
    </row>
    <row r="523" ht="15.75" customHeight="1">
      <c r="A523" t="inlineStr">
        <is>
          <t>edited_transcript</t>
        </is>
      </c>
      <c r="B523" t="inlineStr">
        <is>
          <t>http://identifiers.org/so/SO:0000873</t>
        </is>
      </c>
      <c r="C523" t="inlineStr">
        <is>
          <t>['edited mRNA']</t>
        </is>
      </c>
    </row>
    <row r="524" ht="15.75" customHeight="1">
      <c r="A524" t="inlineStr">
        <is>
          <t>edited_transcript_by_A_to_I_substitution</t>
        </is>
      </c>
      <c r="B524" t="inlineStr">
        <is>
          <t>http://identifiers.org/so/SO:0000874</t>
        </is>
      </c>
      <c r="C524" t="inlineStr">
        <is>
          <t>['edited transcript']</t>
        </is>
      </c>
    </row>
    <row r="525" ht="15.75" customHeight="1">
      <c r="A525" t="inlineStr">
        <is>
          <t>edited_transcript_feature</t>
        </is>
      </c>
      <c r="B525" t="inlineStr">
        <is>
          <t>http://identifiers.org/so/SO:0000579</t>
        </is>
      </c>
      <c r="C525" t="inlineStr">
        <is>
          <t>['edited transcript by A to I substitution']</t>
        </is>
      </c>
    </row>
    <row r="526" ht="15.75" customHeight="1">
      <c r="A526" t="inlineStr">
        <is>
          <t>editing_block</t>
        </is>
      </c>
      <c r="B526" t="inlineStr">
        <is>
          <t>http://identifiers.org/so/SO:0000604</t>
        </is>
      </c>
      <c r="C526" t="inlineStr">
        <is>
          <t>['edited transcript feature']</t>
        </is>
      </c>
    </row>
    <row r="527" ht="15.75" customHeight="1">
      <c r="A527" t="inlineStr">
        <is>
          <t>editing_domain</t>
        </is>
      </c>
      <c r="B527" t="inlineStr">
        <is>
          <t>http://identifiers.org/so/SO:0000606</t>
        </is>
      </c>
      <c r="C527" t="inlineStr">
        <is>
          <t>['editing block']</t>
        </is>
      </c>
    </row>
    <row r="528" ht="15.75" customHeight="1">
      <c r="A528" t="inlineStr">
        <is>
          <t>editing_variant</t>
        </is>
      </c>
      <c r="B528" t="inlineStr">
        <is>
          <t>http://identifiers.org/so/SO:0001544</t>
        </is>
      </c>
      <c r="C528" t="inlineStr">
        <is>
          <t>['editing domain']</t>
        </is>
      </c>
    </row>
    <row r="529" ht="15.75" customHeight="1">
      <c r="A529" t="inlineStr">
        <is>
          <t>eight_cutter_restriction_site</t>
        </is>
      </c>
      <c r="B529" t="inlineStr">
        <is>
          <t>http://identifiers.org/so/SO:0000251</t>
        </is>
      </c>
      <c r="C529" t="inlineStr">
        <is>
          <t>['editing variant']</t>
        </is>
      </c>
    </row>
    <row r="530" ht="15.75" customHeight="1">
      <c r="A530" t="inlineStr">
        <is>
          <t>elongated_in_frame_polypeptide_C_terminal</t>
        </is>
      </c>
      <c r="B530" t="inlineStr">
        <is>
          <t>http://identifiers.org/so/SO:0001612</t>
        </is>
      </c>
      <c r="C530" t="inlineStr">
        <is>
          <t>['8-cutter_restriction_site', 'eight-cutter_restriction_site']</t>
        </is>
      </c>
    </row>
    <row r="531" ht="15.75" customHeight="1">
      <c r="A531" t="inlineStr">
        <is>
          <t>elongated_in_frame_polypeptide_N_terminal_elongation</t>
        </is>
      </c>
      <c r="B531" t="inlineStr">
        <is>
          <t>http://identifiers.org/so/SO:0001614</t>
        </is>
      </c>
      <c r="C531" t="inlineStr">
        <is>
          <t>['elongated in frame polypeptide C terminal']</t>
        </is>
      </c>
    </row>
    <row r="532" ht="15.75" customHeight="1">
      <c r="A532" t="inlineStr">
        <is>
          <t>elongated_out_of_frame_polypeptide_C_terminal</t>
        </is>
      </c>
      <c r="B532" t="inlineStr">
        <is>
          <t>http://identifiers.org/so/SO:0001613</t>
        </is>
      </c>
      <c r="C532" t="inlineStr">
        <is>
          <t>['elongated in frame polypeptide N terminal']</t>
        </is>
      </c>
    </row>
    <row r="533" ht="15.75" customHeight="1">
      <c r="A533" t="inlineStr">
        <is>
          <t>elongated_out_of_frame_polypeptide_N_terminal</t>
        </is>
      </c>
      <c r="B533" t="inlineStr">
        <is>
          <t>http://identifiers.org/so/SO:0001615</t>
        </is>
      </c>
      <c r="C533" t="inlineStr">
        <is>
          <t>['elongated polypeptide out of frame C terminal']</t>
        </is>
      </c>
    </row>
    <row r="534" ht="15.75" customHeight="1">
      <c r="A534" t="inlineStr">
        <is>
          <t>elongated_polypeptide</t>
        </is>
      </c>
      <c r="B534" t="inlineStr">
        <is>
          <t>http://identifiers.org/so/SO:0001609</t>
        </is>
      </c>
      <c r="C534" t="inlineStr">
        <is>
          <t>['elongated out of frame N terminal']</t>
        </is>
      </c>
    </row>
    <row r="535" ht="15.75" customHeight="1">
      <c r="A535" t="inlineStr">
        <is>
          <t>elongated_polypeptide_C_terminal</t>
        </is>
      </c>
      <c r="B535" t="inlineStr">
        <is>
          <t>http://identifiers.org/so/SO:0001610</t>
        </is>
      </c>
      <c r="C535" t="inlineStr">
        <is>
          <t>['elongated polypeptide']</t>
        </is>
      </c>
    </row>
    <row r="536" ht="15.75" customHeight="1">
      <c r="A536" t="inlineStr">
        <is>
          <t>elongated_polypeptide_N_terminal</t>
        </is>
      </c>
      <c r="B536" t="inlineStr">
        <is>
          <t>http://identifiers.org/so/SO:0001611</t>
        </is>
      </c>
      <c r="C536" t="inlineStr">
        <is>
          <t>['elongated polypeptide C terminal']</t>
        </is>
      </c>
    </row>
    <row r="537" ht="15.75" customHeight="1">
      <c r="A537" t="inlineStr">
        <is>
          <t>encodes_1_polypeptide</t>
        </is>
      </c>
      <c r="B537" t="inlineStr">
        <is>
          <t>http://identifiers.org/so/SO:1001188</t>
        </is>
      </c>
      <c r="C537" t="inlineStr">
        <is>
          <t>['elongated polypeptide N terminal']</t>
        </is>
      </c>
    </row>
    <row r="538" ht="15.75" customHeight="1">
      <c r="A538" t="inlineStr">
        <is>
          <t>encodes_alternate_transcription_start_sites</t>
        </is>
      </c>
      <c r="B538" t="inlineStr">
        <is>
          <t>http://identifiers.org/so/SO:0001241</t>
        </is>
      </c>
      <c r="C538" t="inlineStr">
        <is>
          <t>['encodes 1 polypeptide']</t>
        </is>
      </c>
    </row>
    <row r="539" ht="15.75" customHeight="1">
      <c r="A539" t="inlineStr">
        <is>
          <t>encodes_alternately_spliced_transcripts</t>
        </is>
      </c>
      <c r="B539" t="inlineStr">
        <is>
          <t>http://identifiers.org/so/SO:0000463</t>
        </is>
      </c>
      <c r="C539" t="inlineStr">
        <is>
          <t>['encodes alternate transcription start sites']</t>
        </is>
      </c>
    </row>
    <row r="540" ht="15.75" customHeight="1">
      <c r="A540" t="inlineStr">
        <is>
          <t>encodes_different_polypeptides_different_stop</t>
        </is>
      </c>
      <c r="B540" t="inlineStr">
        <is>
          <t>http://identifiers.org/so/SO:1001190</t>
        </is>
      </c>
      <c r="C540" t="inlineStr">
        <is>
          <t>['encodes alternately spliced transcripts']</t>
        </is>
      </c>
    </row>
    <row r="541" ht="15.75" customHeight="1">
      <c r="A541" t="inlineStr">
        <is>
          <t>encodes_disjoint_polypeptides</t>
        </is>
      </c>
      <c r="B541" t="inlineStr">
        <is>
          <t>http://identifiers.org/so/SO:1001192</t>
        </is>
      </c>
      <c r="C541" t="inlineStr">
        <is>
          <t>['encodes different polypeptides different stop']</t>
        </is>
      </c>
    </row>
    <row r="542" ht="15.75" customHeight="1">
      <c r="A542" t="inlineStr">
        <is>
          <t>encodes_greater_than_1_polypeptide</t>
        </is>
      </c>
      <c r="B542" t="inlineStr">
        <is>
          <t>http://identifiers.org/so/SO:1001189</t>
        </is>
      </c>
      <c r="C542" t="inlineStr">
        <is>
          <t>['encodes disjoint polypeptides']</t>
        </is>
      </c>
    </row>
    <row r="543" ht="15.75" customHeight="1">
      <c r="A543" t="inlineStr">
        <is>
          <t>encodes_overlapping_peptides</t>
        </is>
      </c>
      <c r="B543" t="inlineStr">
        <is>
          <t>http://identifiers.org/so/SO:1001195</t>
        </is>
      </c>
      <c r="C543" t="inlineStr">
        <is>
          <t>['encodes greater than 1 polypeptide']</t>
        </is>
      </c>
    </row>
    <row r="544" ht="15.75" customHeight="1">
      <c r="A544" t="inlineStr">
        <is>
          <t>encodes_overlapping_peptides_different_start</t>
        </is>
      </c>
      <c r="B544" t="inlineStr">
        <is>
          <t>http://identifiers.org/so/SO:1001191</t>
        </is>
      </c>
      <c r="C544" t="inlineStr">
        <is>
          <t>['encodes overlapping peptides']</t>
        </is>
      </c>
    </row>
    <row r="545" ht="15.75" customHeight="1">
      <c r="A545" t="inlineStr">
        <is>
          <t>encodes_overlapping_polypeptides_different_start_and_stop</t>
        </is>
      </c>
      <c r="B545" t="inlineStr">
        <is>
          <t>http://identifiers.org/so/SO:1001193</t>
        </is>
      </c>
      <c r="C545" t="inlineStr">
        <is>
          <t>['encodes overlapping peptides different start']</t>
        </is>
      </c>
    </row>
    <row r="546" ht="15.75" customHeight="1">
      <c r="A546" t="inlineStr">
        <is>
          <t>end_overlapping_gene</t>
        </is>
      </c>
      <c r="B546" t="inlineStr">
        <is>
          <t>http://identifiers.org/so/SO:0000072</t>
        </is>
      </c>
      <c r="C546" t="inlineStr">
        <is>
          <t>['encodes overlapping polypeptides different start and stop']</t>
        </is>
      </c>
    </row>
    <row r="547" ht="15.75" customHeight="1">
      <c r="A547" t="inlineStr">
        <is>
          <t>endogenous_retroviral_gene</t>
        </is>
      </c>
      <c r="B547" t="inlineStr">
        <is>
          <t>http://identifiers.org/so/SO:0000100</t>
        </is>
      </c>
    </row>
    <row r="548" ht="15.75" customHeight="1">
      <c r="A548" t="inlineStr">
        <is>
          <t>endogenous_retroviral_sequence</t>
        </is>
      </c>
      <c r="B548" t="inlineStr">
        <is>
          <t>http://identifiers.org/so/SO:0000903</t>
        </is>
      </c>
      <c r="C548" t="inlineStr">
        <is>
          <t>['endogenous retroviral gene']</t>
        </is>
      </c>
    </row>
    <row r="549" ht="15.75" customHeight="1">
      <c r="A549" t="inlineStr">
        <is>
          <t>Endogenous_Retrovirus_LTR_retrotransposon</t>
        </is>
      </c>
      <c r="B549" t="inlineStr">
        <is>
          <t>http://identifiers.org/so/SO:0002268</t>
        </is>
      </c>
      <c r="C549" t="inlineStr">
        <is>
          <t>['endogenous retroviral sequence']</t>
        </is>
      </c>
    </row>
    <row r="550" ht="15.75" customHeight="1">
      <c r="A550" t="inlineStr">
        <is>
          <t>endonuclease_spliced_intron</t>
        </is>
      </c>
      <c r="B550" t="inlineStr">
        <is>
          <t>http://identifiers.org/so/SO:0001216</t>
        </is>
      </c>
      <c r="C550" t="inlineStr">
        <is>
          <t>['HERV', 'Endogenous Retrovirus LTR retrotransposon', 'RLE retrotransposon']</t>
        </is>
      </c>
    </row>
    <row r="551" ht="15.75" customHeight="1">
      <c r="A551" t="inlineStr">
        <is>
          <t>endosomal_localization_signal</t>
        </is>
      </c>
      <c r="B551" t="inlineStr">
        <is>
          <t>http://identifiers.org/so/SO:0001529</t>
        </is>
      </c>
      <c r="C551" t="inlineStr">
        <is>
          <t>['endonuclease spliced intron']</t>
        </is>
      </c>
    </row>
    <row r="552" ht="15.75" customHeight="1">
      <c r="A552" t="inlineStr">
        <is>
          <t>engineered</t>
        </is>
      </c>
      <c r="B552" t="inlineStr">
        <is>
          <t>http://identifiers.org/so/SO:0000783</t>
        </is>
      </c>
      <c r="C552" t="inlineStr">
        <is>
          <t>['endosomal localization signal']</t>
        </is>
      </c>
    </row>
    <row r="553" ht="15.75" customHeight="1">
      <c r="A553" t="inlineStr">
        <is>
          <t>engineered_DNA</t>
        </is>
      </c>
      <c r="B553" t="inlineStr">
        <is>
          <t>http://identifiers.org/so/SO:0000793</t>
        </is>
      </c>
    </row>
    <row r="554" ht="15.75" customHeight="1">
      <c r="A554" t="inlineStr">
        <is>
          <t>engineered_episome</t>
        </is>
      </c>
      <c r="B554" t="inlineStr">
        <is>
          <t>http://identifiers.org/so/SO:0000779</t>
        </is>
      </c>
    </row>
    <row r="555" ht="15.75" customHeight="1">
      <c r="A555" t="inlineStr">
        <is>
          <t>engineered_foreign_gene</t>
        </is>
      </c>
      <c r="B555" t="inlineStr">
        <is>
          <t>http://identifiers.org/so/SO:0000281</t>
        </is>
      </c>
      <c r="C555" t="inlineStr">
        <is>
          <t>['engineered episome']</t>
        </is>
      </c>
    </row>
    <row r="556" ht="15.75" customHeight="1">
      <c r="A556" t="inlineStr">
        <is>
          <t>engineered_foreign_region</t>
        </is>
      </c>
      <c r="B556" t="inlineStr">
        <is>
          <t>http://identifiers.org/so/SO:0000805</t>
        </is>
      </c>
      <c r="C556" t="inlineStr">
        <is>
          <t>['engineered foreign gene']</t>
        </is>
      </c>
    </row>
    <row r="557" ht="15.75" customHeight="1">
      <c r="A557" t="inlineStr">
        <is>
          <t>engineered_foreign_repetitive_element</t>
        </is>
      </c>
      <c r="B557" t="inlineStr">
        <is>
          <t>http://identifiers.org/so/SO:0000293</t>
        </is>
      </c>
      <c r="C557" t="inlineStr">
        <is>
          <t>['engineered foreign region']</t>
        </is>
      </c>
    </row>
    <row r="558" ht="15.75" customHeight="1">
      <c r="A558" t="inlineStr">
        <is>
          <t>engineered_foreign_transposable_element</t>
        </is>
      </c>
      <c r="B558" t="inlineStr">
        <is>
          <t>http://identifiers.org/so/SO:0000799</t>
        </is>
      </c>
      <c r="C558" t="inlineStr">
        <is>
          <t>['engineered foreign repetitive element']</t>
        </is>
      </c>
    </row>
    <row r="559" ht="15.75" customHeight="1">
      <c r="A559" t="inlineStr">
        <is>
          <t>engineered_foreign_transposable_element_gene</t>
        </is>
      </c>
      <c r="B559" t="inlineStr">
        <is>
          <t>http://identifiers.org/so/SO:0000283</t>
        </is>
      </c>
      <c r="C559" t="inlineStr">
        <is>
          <t>['engineered foreign transposable element']</t>
        </is>
      </c>
    </row>
    <row r="560" ht="15.75" customHeight="1">
      <c r="A560" t="inlineStr">
        <is>
          <t>engineered_fusion_gene</t>
        </is>
      </c>
      <c r="B560" t="inlineStr">
        <is>
          <t>http://identifiers.org/so/SO:0000288</t>
        </is>
      </c>
      <c r="C560" t="inlineStr">
        <is>
          <t>['engineered foreign transposable element gene']</t>
        </is>
      </c>
    </row>
    <row r="561" ht="15.75" customHeight="1">
      <c r="A561" t="inlineStr">
        <is>
          <t>engineered_gene</t>
        </is>
      </c>
      <c r="B561" t="inlineStr">
        <is>
          <t>http://identifiers.org/so/SO:0000280</t>
        </is>
      </c>
      <c r="C561" t="inlineStr">
        <is>
          <t>['engineered fusion gene']</t>
        </is>
      </c>
    </row>
    <row r="562" ht="15.75" customHeight="1">
      <c r="A562" t="inlineStr">
        <is>
          <t>engineered_insert</t>
        </is>
      </c>
      <c r="B562" t="inlineStr">
        <is>
          <t>http://identifiers.org/so/SO:0000915</t>
        </is>
      </c>
      <c r="C562" t="inlineStr">
        <is>
          <t>['engineered gene']</t>
        </is>
      </c>
    </row>
    <row r="563" ht="15.75" customHeight="1">
      <c r="A563" t="inlineStr">
        <is>
          <t>engineered_plasmid</t>
        </is>
      </c>
      <c r="B563" t="inlineStr">
        <is>
          <t>http://identifiers.org/so/SO:0000637</t>
        </is>
      </c>
      <c r="C563" t="inlineStr">
        <is>
          <t>['engineered insert']</t>
        </is>
      </c>
    </row>
    <row r="564" ht="15.75" customHeight="1">
      <c r="A564" t="inlineStr">
        <is>
          <t>engineered_region</t>
        </is>
      </c>
      <c r="B564" t="inlineStr">
        <is>
          <t>http://identifiers.org/so/SO:0000804</t>
        </is>
      </c>
      <c r="C564" t="inlineStr">
        <is>
          <t>['engineered plasmid', 'engineered plasmid gene']</t>
        </is>
      </c>
    </row>
    <row r="565" ht="15.75" customHeight="1">
      <c r="A565" t="inlineStr">
        <is>
          <t>engineered_rescue_region</t>
        </is>
      </c>
      <c r="B565" t="inlineStr">
        <is>
          <t>http://identifiers.org/so/SO:0000794</t>
        </is>
      </c>
      <c r="C565" t="inlineStr">
        <is>
          <t>['engineered region', 'construct', 'engineered sequence']</t>
        </is>
      </c>
    </row>
    <row r="566" ht="15.75" customHeight="1">
      <c r="A566" t="inlineStr">
        <is>
          <t>engineered_tag</t>
        </is>
      </c>
      <c r="B566" t="inlineStr">
        <is>
          <t>http://identifiers.org/so/SO:0000807</t>
        </is>
      </c>
      <c r="C566" t="inlineStr">
        <is>
          <t>['engineered rescue fragment', 'engineered rescue segment', 'engineered rescue region']</t>
        </is>
      </c>
    </row>
    <row r="567" ht="15.75" customHeight="1">
      <c r="A567" t="inlineStr">
        <is>
          <t>engineered_transposable_element</t>
        </is>
      </c>
      <c r="B567" t="inlineStr">
        <is>
          <t>http://identifiers.org/so/SO:0000798</t>
        </is>
      </c>
      <c r="C567" t="inlineStr">
        <is>
          <t>['engineered tag']</t>
        </is>
      </c>
    </row>
    <row r="568" ht="15.75" customHeight="1">
      <c r="A568" t="inlineStr">
        <is>
          <t>enhanceosome</t>
        </is>
      </c>
      <c r="B568" t="inlineStr">
        <is>
          <t>http://identifiers.org/so/SO:0001057</t>
        </is>
      </c>
      <c r="C568" t="inlineStr">
        <is>
          <t>['engineered transposable element']</t>
        </is>
      </c>
    </row>
    <row r="569" ht="15.75" customHeight="1">
      <c r="A569" t="inlineStr">
        <is>
          <t>enhancer</t>
        </is>
      </c>
      <c r="B569" t="inlineStr">
        <is>
          <t>http://identifiers.org/so/SO:0000165</t>
        </is>
      </c>
    </row>
    <row r="570" ht="15.75" customHeight="1">
      <c r="A570" t="inlineStr">
        <is>
          <t>enhancer_attribute</t>
        </is>
      </c>
      <c r="B570" t="inlineStr">
        <is>
          <t>http://identifiers.org/so/SO:0000402</t>
        </is>
      </c>
      <c r="C570" t="inlineStr">
        <is>
          <t>['INSDC_feature:regulatory', 'INSDC_qualifier:enhancer']</t>
        </is>
      </c>
    </row>
    <row r="571" ht="15.75" customHeight="1">
      <c r="A571" t="inlineStr">
        <is>
          <t>enhancer_binding_site</t>
        </is>
      </c>
      <c r="B571" t="inlineStr">
        <is>
          <t>http://identifiers.org/so/SO:0001461</t>
        </is>
      </c>
    </row>
    <row r="572" ht="15.75" customHeight="1">
      <c r="A572" t="inlineStr">
        <is>
          <t>enhancer_blocking_element</t>
        </is>
      </c>
      <c r="B572" t="inlineStr">
        <is>
          <t>http://identifiers.org/so/SO:0002190</t>
        </is>
      </c>
      <c r="C572" t="inlineStr">
        <is>
          <t>['enhancer binding site']</t>
        </is>
      </c>
    </row>
    <row r="573" ht="15.75" customHeight="1">
      <c r="A573" t="inlineStr">
        <is>
          <t>enhancer_bound_by_factor</t>
        </is>
      </c>
      <c r="B573" t="inlineStr">
        <is>
          <t>http://identifiers.org/so/SO:0000166</t>
        </is>
      </c>
      <c r="C573" t="inlineStr">
        <is>
          <t>['enhancer blocking element', 'INSDC_feature:regulatory', 'INSDC_qualifier:enhancer_blocking_element', 'insulator']</t>
        </is>
      </c>
    </row>
    <row r="574" ht="15.75" customHeight="1">
      <c r="A574" t="inlineStr">
        <is>
          <t>enhancer_trap_construct</t>
        </is>
      </c>
      <c r="B574" t="inlineStr">
        <is>
          <t>http://identifiers.org/so/SO:0001479</t>
        </is>
      </c>
      <c r="C574" t="inlineStr">
        <is>
          <t>['enhancer bound by factor']</t>
        </is>
      </c>
    </row>
    <row r="575" ht="15.75" customHeight="1">
      <c r="A575" t="inlineStr">
        <is>
          <t>enhancerRNA</t>
        </is>
      </c>
      <c r="B575" t="inlineStr">
        <is>
          <t>http://identifiers.org/so/SO:0001870</t>
        </is>
      </c>
      <c r="C575" t="inlineStr">
        <is>
          <t>['enhancer trap construct']</t>
        </is>
      </c>
    </row>
    <row r="576" ht="15.75" customHeight="1">
      <c r="A576" t="inlineStr">
        <is>
          <t>enzymatic</t>
        </is>
      </c>
      <c r="B576" t="inlineStr">
        <is>
          <t>http://identifiers.org/so/SO:0001185</t>
        </is>
      </c>
      <c r="C576" t="inlineStr">
        <is>
          <t>['eRNA']</t>
        </is>
      </c>
    </row>
    <row r="577" ht="15.75" customHeight="1">
      <c r="A577" t="inlineStr">
        <is>
          <t>enzymatic_RNA</t>
        </is>
      </c>
      <c r="B577" t="inlineStr">
        <is>
          <t>http://identifiers.org/so/SO:0000372</t>
        </is>
      </c>
    </row>
    <row r="578" ht="15.75" customHeight="1">
      <c r="A578" t="inlineStr">
        <is>
          <t>enzymatic_RNA_gene</t>
        </is>
      </c>
      <c r="B578" t="inlineStr">
        <is>
          <t>http://identifiers.org/so/SO:0002180</t>
        </is>
      </c>
      <c r="C578" t="inlineStr">
        <is>
          <t>['enzymatic RNA']</t>
        </is>
      </c>
    </row>
    <row r="579" ht="15.75" customHeight="1">
      <c r="A579" t="inlineStr">
        <is>
          <t>epigenetically_modified</t>
        </is>
      </c>
      <c r="B579" t="inlineStr">
        <is>
          <t>http://identifiers.org/so/SO:0000133</t>
        </is>
      </c>
      <c r="C579" t="inlineStr">
        <is>
          <t>['enzymatic RNA gene']</t>
        </is>
      </c>
    </row>
    <row r="580" ht="15.75" customHeight="1">
      <c r="A580" t="inlineStr">
        <is>
          <t>epigenetically_modified_gene</t>
        </is>
      </c>
      <c r="B580" t="inlineStr">
        <is>
          <t>http://identifiers.org/so/SO:0000898</t>
        </is>
      </c>
      <c r="C580" t="inlineStr">
        <is>
          <t>['epigenetically modified']</t>
        </is>
      </c>
    </row>
    <row r="581" ht="15.75" customHeight="1">
      <c r="A581" t="inlineStr">
        <is>
          <t>epigenetically_modified_region</t>
        </is>
      </c>
      <c r="B581" t="inlineStr">
        <is>
          <t>http://identifiers.org/so/SO:0001720</t>
        </is>
      </c>
      <c r="C581" t="inlineStr">
        <is>
          <t>['epigenetically modified gene']</t>
        </is>
      </c>
    </row>
    <row r="582" ht="15.75" customHeight="1">
      <c r="A582" t="inlineStr">
        <is>
          <t>episome</t>
        </is>
      </c>
      <c r="B582" t="inlineStr">
        <is>
          <t>http://identifiers.org/so/SO:0000768</t>
        </is>
      </c>
      <c r="C582" t="inlineStr">
        <is>
          <t>['epigenetically modified region']</t>
        </is>
      </c>
    </row>
    <row r="583" ht="15.75" customHeight="1">
      <c r="A583" t="inlineStr">
        <is>
          <t>epitope</t>
        </is>
      </c>
      <c r="B583" t="inlineStr">
        <is>
          <t>http://identifiers.org/so/SO:0001018</t>
        </is>
      </c>
    </row>
    <row r="584" ht="15.75" customHeight="1">
      <c r="A584" t="inlineStr">
        <is>
          <t>epoxyqueuosine</t>
        </is>
      </c>
      <c r="B584" t="inlineStr">
        <is>
          <t>http://identifiers.org/so/SO:0001318</t>
        </is>
      </c>
    </row>
    <row r="585" ht="15.75" customHeight="1">
      <c r="A585" t="inlineStr">
        <is>
          <t>ER_retention_signal</t>
        </is>
      </c>
      <c r="B585" t="inlineStr">
        <is>
          <t>http://identifiers.org/so/SO:0001806</t>
        </is>
      </c>
      <c r="C585" t="inlineStr">
        <is>
          <t>['eQ']</t>
        </is>
      </c>
    </row>
    <row r="586" ht="15.75" customHeight="1">
      <c r="A586" t="inlineStr">
        <is>
          <t>EST</t>
        </is>
      </c>
      <c r="B586" t="inlineStr">
        <is>
          <t>http://identifiers.org/so/SO:0000345</t>
        </is>
      </c>
      <c r="C586" t="inlineStr">
        <is>
          <t>['endoplasmic reticulum retention signal', 'ER retention signal']</t>
        </is>
      </c>
    </row>
    <row r="587" ht="15.75" customHeight="1">
      <c r="A587" t="inlineStr">
        <is>
          <t>EST_match</t>
        </is>
      </c>
      <c r="B587" t="inlineStr">
        <is>
          <t>http://identifiers.org/so/SO:0000668</t>
        </is>
      </c>
      <c r="C587" t="inlineStr">
        <is>
          <t>['expressed sequence tag']</t>
        </is>
      </c>
    </row>
    <row r="588" ht="15.75" customHeight="1">
      <c r="A588" t="inlineStr">
        <is>
          <t>eukaryotic_promoter</t>
        </is>
      </c>
      <c r="B588" t="inlineStr">
        <is>
          <t>http://identifiers.org/so/SO:0002221</t>
        </is>
      </c>
      <c r="C588" t="inlineStr">
        <is>
          <t>['EST match']</t>
        </is>
      </c>
    </row>
    <row r="589" ht="15.75" customHeight="1">
      <c r="A589" t="inlineStr">
        <is>
          <t>eukaryotic_terminator</t>
        </is>
      </c>
      <c r="B589" t="inlineStr">
        <is>
          <t>http://identifiers.org/so/SO:0000951</t>
        </is>
      </c>
      <c r="C589" t="inlineStr">
        <is>
          <t>['Eukaryotic promoter']</t>
        </is>
      </c>
    </row>
    <row r="590" ht="15.75" customHeight="1">
      <c r="A590" t="inlineStr">
        <is>
          <t>exemplar</t>
        </is>
      </c>
      <c r="B590" t="inlineStr">
        <is>
          <t>http://identifiers.org/so/SO:0000864</t>
        </is>
      </c>
      <c r="C590" t="inlineStr">
        <is>
          <t>['eukaryotic terminator']</t>
        </is>
      </c>
    </row>
    <row r="591" ht="15.75" customHeight="1">
      <c r="A591" t="inlineStr">
        <is>
          <t>exemplar_mRNA</t>
        </is>
      </c>
      <c r="B591" t="inlineStr">
        <is>
          <t>http://identifiers.org/so/SO:0000734</t>
        </is>
      </c>
    </row>
    <row r="592" ht="15.75" customHeight="1">
      <c r="A592" t="inlineStr">
        <is>
          <t>exon</t>
        </is>
      </c>
      <c r="B592" t="inlineStr">
        <is>
          <t>http://identifiers.org/so/SO:0000147</t>
        </is>
      </c>
      <c r="C592" t="inlineStr">
        <is>
          <t>['exemplar mRNA']</t>
        </is>
      </c>
    </row>
    <row r="593" ht="15.75" customHeight="1">
      <c r="A593" t="inlineStr">
        <is>
          <t>exon_junction</t>
        </is>
      </c>
      <c r="B593" t="inlineStr">
        <is>
          <t>http://identifiers.org/so/SO:0000333</t>
        </is>
      </c>
      <c r="C593" t="inlineStr">
        <is>
          <t>['INSDC_feature:exon']</t>
        </is>
      </c>
    </row>
    <row r="594" ht="15.75" customHeight="1">
      <c r="A594" t="inlineStr">
        <is>
          <t>exon_loss_variant</t>
        </is>
      </c>
      <c r="B594" t="inlineStr">
        <is>
          <t>http://identifiers.org/so/SO:0001572</t>
        </is>
      </c>
      <c r="C594" t="inlineStr">
        <is>
          <t>['exon junction']</t>
        </is>
      </c>
    </row>
    <row r="595" ht="15.75" customHeight="1">
      <c r="A595" t="inlineStr">
        <is>
          <t>exon_of_single_exon_gene</t>
        </is>
      </c>
      <c r="B595" t="inlineStr">
        <is>
          <t>http://identifiers.org/so/SO:0005845</t>
        </is>
      </c>
      <c r="C595" t="inlineStr">
        <is>
          <t>['snpEff:EXON_DELETED', 'exon loss', 'Jannovar:exon_loss_variant']</t>
        </is>
      </c>
    </row>
    <row r="596" ht="15.75" customHeight="1">
      <c r="A596" t="inlineStr">
        <is>
          <t>exon_region</t>
        </is>
      </c>
      <c r="B596" t="inlineStr">
        <is>
          <t>http://identifiers.org/so/SO:0000852</t>
        </is>
      </c>
      <c r="C596" t="inlineStr">
        <is>
          <t>['exon of single exon gene', 'single_exon', 'singleton exon']</t>
        </is>
      </c>
    </row>
    <row r="597" ht="15.75" customHeight="1">
      <c r="A597" t="inlineStr">
        <is>
          <t>exon_variant</t>
        </is>
      </c>
      <c r="B597" t="inlineStr">
        <is>
          <t>http://identifiers.org/so/SO:0001791</t>
        </is>
      </c>
      <c r="C597" t="inlineStr">
        <is>
          <t>['exon region']</t>
        </is>
      </c>
    </row>
    <row r="598" ht="15.75" customHeight="1">
      <c r="A598" t="inlineStr">
        <is>
          <t>exonic_splice_enhancer</t>
        </is>
      </c>
      <c r="B598" t="inlineStr">
        <is>
          <t>http://identifiers.org/so/SO:0000683</t>
        </is>
      </c>
      <c r="C598" t="inlineStr">
        <is>
          <t>['Jannovar:exon_variant', 'VAAST:exon_variant', 'snpEff:EXON', 'ANNOVAR:exonic', 'exon variant']</t>
        </is>
      </c>
    </row>
    <row r="599" ht="15.75" customHeight="1">
      <c r="A599" t="inlineStr">
        <is>
          <t>exonic_splice_region_variant</t>
        </is>
      </c>
      <c r="B599" t="inlineStr">
        <is>
          <t>http://identifiers.org/so/SO:0002084</t>
        </is>
      </c>
      <c r="C599" t="inlineStr">
        <is>
          <t>['exonic splice enhancer']</t>
        </is>
      </c>
    </row>
    <row r="600" ht="15.75" customHeight="1">
      <c r="A600" t="inlineStr">
        <is>
          <t>exonic_splicing_silencer</t>
        </is>
      </c>
      <c r="B600" t="inlineStr">
        <is>
          <t>http://identifiers.org/so/SO:0002058</t>
        </is>
      </c>
      <c r="C600" t="inlineStr">
        <is>
          <t>['exonic splice region variant', 'ANNOVAR:exonic;splicing', 'Seattleseq:coding-near-splice']</t>
        </is>
      </c>
    </row>
    <row r="601" ht="15.75" customHeight="1">
      <c r="A601" t="inlineStr">
        <is>
          <t>experimental_feature</t>
        </is>
      </c>
      <c r="B601" t="inlineStr">
        <is>
          <t>http://identifiers.org/so/SO:0001410</t>
        </is>
      </c>
      <c r="C601" t="inlineStr">
        <is>
          <t>['ESS', 'exonic splicing silencer']</t>
        </is>
      </c>
    </row>
    <row r="602" ht="15.75" customHeight="1">
      <c r="A602" t="inlineStr">
        <is>
          <t>experimental_feature_attribute</t>
        </is>
      </c>
      <c r="B602" t="inlineStr">
        <is>
          <t>http://identifiers.org/so/SO:0001684</t>
        </is>
      </c>
      <c r="C602" t="inlineStr">
        <is>
          <t>['experimental_output_artefact', 'analysis feature', 'experimental output artefact']</t>
        </is>
      </c>
    </row>
    <row r="603" ht="15.75" customHeight="1">
      <c r="A603" t="inlineStr">
        <is>
          <t>experimental_result_region</t>
        </is>
      </c>
      <c r="B603" t="inlineStr">
        <is>
          <t>http://identifiers.org/so/SO:0000703</t>
        </is>
      </c>
      <c r="C603" t="inlineStr">
        <is>
          <t>['experimental feature attribute']</t>
        </is>
      </c>
    </row>
    <row r="604" ht="15.75" customHeight="1">
      <c r="A604" t="inlineStr">
        <is>
          <t>experimentally_defined_binding_region</t>
        </is>
      </c>
      <c r="B604" t="inlineStr">
        <is>
          <t>http://identifiers.org/so/SO:0001696</t>
        </is>
      </c>
      <c r="C604" t="inlineStr">
        <is>
          <t>['experimental result region']</t>
        </is>
      </c>
    </row>
    <row r="605" ht="15.75" customHeight="1">
      <c r="A605" t="inlineStr">
        <is>
          <t>experimentally_determined</t>
        </is>
      </c>
      <c r="B605" t="inlineStr">
        <is>
          <t>http://identifiers.org/so/SO:0000312</t>
        </is>
      </c>
      <c r="C605" t="inlineStr">
        <is>
          <t>['experimentally defined binding region']</t>
        </is>
      </c>
    </row>
    <row r="606" ht="15.75" customHeight="1">
      <c r="A606" t="inlineStr">
        <is>
          <t>expressed_sequence_assembly</t>
        </is>
      </c>
      <c r="B606" t="inlineStr">
        <is>
          <t>http://identifiers.org/so/SO:0001428</t>
        </is>
      </c>
      <c r="C606" t="inlineStr">
        <is>
          <t>['experimentally determined']</t>
        </is>
      </c>
    </row>
    <row r="607" ht="15.75" customHeight="1">
      <c r="A607" t="inlineStr">
        <is>
          <t>expressed_sequence_match</t>
        </is>
      </c>
      <c r="B607" t="inlineStr">
        <is>
          <t>http://identifiers.org/so/SO:0000102</t>
        </is>
      </c>
      <c r="C607" t="inlineStr">
        <is>
          <t>['expressed sequence assembly']</t>
        </is>
      </c>
    </row>
    <row r="608" ht="15.75" customHeight="1">
      <c r="A608" t="inlineStr">
        <is>
          <t>extended_cis_splice_site</t>
        </is>
      </c>
      <c r="B608" t="inlineStr">
        <is>
          <t>http://identifiers.org/so/SO:0001993</t>
        </is>
      </c>
      <c r="C608" t="inlineStr">
        <is>
          <t>['expressed sequence match']</t>
        </is>
      </c>
    </row>
    <row r="609" ht="15.75" customHeight="1">
      <c r="A609" t="inlineStr">
        <is>
          <t>extended_intronic_splice_region</t>
        </is>
      </c>
      <c r="B609" t="inlineStr">
        <is>
          <t>http://identifiers.org/so/SO:0001996</t>
        </is>
      </c>
      <c r="C609" t="inlineStr">
        <is>
          <t>['extended cis splice site']</t>
        </is>
      </c>
    </row>
    <row r="610" ht="15.75" customHeight="1">
      <c r="A610" t="inlineStr">
        <is>
          <t>extended_intronic_splice_region_variant</t>
        </is>
      </c>
      <c r="B610" t="inlineStr">
        <is>
          <t>http://identifiers.org/so/SO:0001995</t>
        </is>
      </c>
      <c r="C610" t="inlineStr">
        <is>
          <t>['extended intronic splice region ']</t>
        </is>
      </c>
    </row>
    <row r="611" ht="15.75" customHeight="1">
      <c r="A611" t="inlineStr">
        <is>
          <t>external_transcribed_spacer_region</t>
        </is>
      </c>
      <c r="B611" t="inlineStr">
        <is>
          <t>http://identifiers.org/so/SO:0000640</t>
        </is>
      </c>
      <c r="C611" t="inlineStr">
        <is>
          <t>['extended intronic splice region variant']</t>
        </is>
      </c>
    </row>
    <row r="612" ht="15.75" customHeight="1">
      <c r="A612" t="inlineStr">
        <is>
          <t>extrachromosomal_mobile_genetic_element</t>
        </is>
      </c>
      <c r="B612" t="inlineStr">
        <is>
          <t>http://identifiers.org/so/SO:0001038</t>
        </is>
      </c>
      <c r="C612" t="inlineStr">
        <is>
          <t>['external transcribed spacer region']</t>
        </is>
      </c>
    </row>
    <row r="613" ht="15.75" customHeight="1">
      <c r="A613" t="inlineStr">
        <is>
          <t>extramembrane_polypeptide_region</t>
        </is>
      </c>
      <c r="B613" t="inlineStr">
        <is>
          <t>http://identifiers.org/so/SO:0001072</t>
        </is>
      </c>
      <c r="C613" t="inlineStr">
        <is>
          <t>['extrachromosomal mobile genetic element']</t>
        </is>
      </c>
    </row>
    <row r="614" ht="15.75" customHeight="1">
      <c r="A614" t="inlineStr">
        <is>
          <t>feature_ablation</t>
        </is>
      </c>
      <c r="B614" t="inlineStr">
        <is>
          <t>http://identifiers.org/so/SO:0001879</t>
        </is>
      </c>
      <c r="C614" t="inlineStr">
        <is>
          <t>['extramembrane_region', 'extramembrane', 'topo_dom', 'extramembrane polypeptide region']</t>
        </is>
      </c>
    </row>
    <row r="615" ht="15.75" customHeight="1">
      <c r="A615" t="inlineStr">
        <is>
          <t>feature_amplification</t>
        </is>
      </c>
      <c r="B615" t="inlineStr">
        <is>
          <t>http://identifiers.org/so/SO:0001880</t>
        </is>
      </c>
      <c r="C615" t="inlineStr">
        <is>
          <t>['feature ablation']</t>
        </is>
      </c>
    </row>
    <row r="616" ht="15.75" customHeight="1">
      <c r="A616" t="inlineStr">
        <is>
          <t>feature_attribute</t>
        </is>
      </c>
      <c r="B616" t="inlineStr">
        <is>
          <t>http://identifiers.org/so/SO:0000733</t>
        </is>
      </c>
      <c r="C616" t="inlineStr">
        <is>
          <t>['feature amplification']</t>
        </is>
      </c>
    </row>
    <row r="617" ht="15.75" customHeight="1">
      <c r="A617" t="inlineStr">
        <is>
          <t>feature_elongation</t>
        </is>
      </c>
      <c r="B617" t="inlineStr">
        <is>
          <t>http://identifiers.org/so/SO:0001907</t>
        </is>
      </c>
      <c r="C617" t="inlineStr">
        <is>
          <t>['feature attribute']</t>
        </is>
      </c>
    </row>
    <row r="618" ht="15.75" customHeight="1">
      <c r="A618" t="inlineStr">
        <is>
          <t>feature_fusion</t>
        </is>
      </c>
      <c r="B618" t="inlineStr">
        <is>
          <t>http://identifiers.org/so/SO:0001882</t>
        </is>
      </c>
      <c r="C618" t="inlineStr">
        <is>
          <t>['feature elongation', 'VEP:feature_elongation']</t>
        </is>
      </c>
    </row>
    <row r="619" ht="15.75" customHeight="1">
      <c r="A619" t="inlineStr">
        <is>
          <t>feature_translocation</t>
        </is>
      </c>
      <c r="B619" t="inlineStr">
        <is>
          <t>http://identifiers.org/so/SO:0001881</t>
        </is>
      </c>
      <c r="C619" t="inlineStr">
        <is>
          <t>['feature fusion']</t>
        </is>
      </c>
    </row>
    <row r="620" ht="15.75" customHeight="1">
      <c r="A620" t="inlineStr">
        <is>
          <t>feature_truncation</t>
        </is>
      </c>
      <c r="B620" t="inlineStr">
        <is>
          <t>http://identifiers.org/so/SO:0001906</t>
        </is>
      </c>
      <c r="C620" t="inlineStr">
        <is>
          <t>['feature translocation']</t>
        </is>
      </c>
    </row>
    <row r="621" ht="15.75" customHeight="1">
      <c r="A621" t="inlineStr">
        <is>
          <t>feature_variant</t>
        </is>
      </c>
      <c r="B621" t="inlineStr">
        <is>
          <t>http://identifiers.org/so/SO:0001878</t>
        </is>
      </c>
      <c r="C621" t="inlineStr">
        <is>
          <t>['VEP:feature_truncation', 'feature truncation', 'Jannovar:feature_truncation']</t>
        </is>
      </c>
    </row>
    <row r="622" ht="15.75" customHeight="1">
      <c r="A622" t="inlineStr">
        <is>
          <t>fingerprint_map</t>
        </is>
      </c>
      <c r="B622" t="inlineStr">
        <is>
          <t>http://identifiers.org/so/SO:0001250</t>
        </is>
      </c>
      <c r="C622" t="inlineStr">
        <is>
          <t>['feature alteration']</t>
        </is>
      </c>
    </row>
    <row r="623" ht="15.75" customHeight="1">
      <c r="A623" t="inlineStr">
        <is>
          <t>finished_genome</t>
        </is>
      </c>
      <c r="B623" t="inlineStr">
        <is>
          <t>http://identifiers.org/so/SO:0001491</t>
        </is>
      </c>
      <c r="C623" t="inlineStr">
        <is>
          <t>['fingerprint map', 'BACmap', 'FPCmap', 'FPC', 'restriction map']</t>
        </is>
      </c>
    </row>
    <row r="624" ht="15.75" customHeight="1">
      <c r="A624" t="inlineStr">
        <is>
          <t>five_aminomethyl_two_thiouridine</t>
        </is>
      </c>
      <c r="B624" t="inlineStr">
        <is>
          <t>http://identifiers.org/so/SO:0001363</t>
        </is>
      </c>
      <c r="C624" t="inlineStr">
        <is>
          <t>['finished', 'finished genome']</t>
        </is>
      </c>
    </row>
    <row r="625" ht="15.75" customHeight="1">
      <c r="A625" t="inlineStr">
        <is>
          <t>five_carbamoylmethyl_two_prime_O_methyluridine</t>
        </is>
      </c>
      <c r="B625" t="inlineStr">
        <is>
          <t>http://identifiers.org/so/SO:0001368</t>
        </is>
      </c>
      <c r="C625" t="inlineStr">
        <is>
          <t>['5-aminomethyl-2-thiouridine', 'nm5s2U', 'five aminomethyl two thiouridine']</t>
        </is>
      </c>
    </row>
    <row r="626" ht="15.75" customHeight="1">
      <c r="A626" t="inlineStr">
        <is>
          <t>five_carbamoylmethyluridine</t>
        </is>
      </c>
      <c r="B626" t="inlineStr">
        <is>
          <t>http://identifiers.org/so/SO:0001367</t>
        </is>
      </c>
      <c r="C626" t="inlineStr">
        <is>
          <t>["5-carbamoylmethyl-2'-O-methyluridine", 'ncm5Um', 'five carbamoylmethyl two prime O methyluridine']</t>
        </is>
      </c>
    </row>
    <row r="627" ht="15.75" customHeight="1">
      <c r="A627" t="inlineStr">
        <is>
          <t>five_carboxyhydroxymethyl_uridine</t>
        </is>
      </c>
      <c r="B627" t="inlineStr">
        <is>
          <t>http://identifiers.org/so/SO:0001358</t>
        </is>
      </c>
      <c r="C627" t="inlineStr">
        <is>
          <t>['five carbamoylmethyluridine', '5-carbamoylmethyluridine', 'ncm5U']</t>
        </is>
      </c>
    </row>
    <row r="628" ht="15.75" customHeight="1">
      <c r="A628" t="inlineStr">
        <is>
          <t>five_carboxyhydroxymethyl_uridine_methyl_ester</t>
        </is>
      </c>
      <c r="B628" t="inlineStr">
        <is>
          <t>http://identifiers.org/so/SO:0001359</t>
        </is>
      </c>
      <c r="C628" t="inlineStr">
        <is>
          <t>['chm5U', 'five carboxyhydroxymethyl uridine', '5-(carboxyhydroxymethyl)uridine']</t>
        </is>
      </c>
    </row>
    <row r="629" ht="15.75" customHeight="1">
      <c r="A629" t="inlineStr">
        <is>
          <t>five_carboxymethylaminomethyl_two_prime_O_methyluridine</t>
        </is>
      </c>
      <c r="B629" t="inlineStr">
        <is>
          <t>http://identifiers.org/so/SO:0001370</t>
        </is>
      </c>
      <c r="C629" t="inlineStr">
        <is>
          <t>['five carboxyhydroxymethyl uridine methyl ester', '5-(carboxyhydroxymethyl)uridine methyl ester', 'mchm5U']</t>
        </is>
      </c>
    </row>
    <row r="630" ht="15.75" customHeight="1">
      <c r="A630" t="inlineStr">
        <is>
          <t>five_carboxymethylaminomethyl_two_thiouridine</t>
        </is>
      </c>
      <c r="B630" t="inlineStr">
        <is>
          <t>http://identifiers.org/so/SO:0001371</t>
        </is>
      </c>
      <c r="C630" t="inlineStr">
        <is>
          <t>['cmnm5Um', 'five carboxymethylaminomethyl two prime O methyluridine', "5-carboxymethylaminomethyl- 2'-O-methyluridine"]</t>
        </is>
      </c>
    </row>
    <row r="631" ht="15.75" customHeight="1">
      <c r="A631" t="inlineStr">
        <is>
          <t>five_carboxymethylaminomethyluridine</t>
        </is>
      </c>
      <c r="B631" t="inlineStr">
        <is>
          <t>http://identifiers.org/so/SO:0001369</t>
        </is>
      </c>
      <c r="C631" t="inlineStr">
        <is>
          <t>['five carboxymethylaminomethyl two thiouridine', 'cmnm5s2U', '5-carboxymethylaminomethyl-2-thiouridine']</t>
        </is>
      </c>
    </row>
    <row r="632" ht="15.75" customHeight="1">
      <c r="A632" t="inlineStr">
        <is>
          <t>five_carboxymethyluridine</t>
        </is>
      </c>
      <c r="B632" t="inlineStr">
        <is>
          <t>http://identifiers.org/so/SO:0001374</t>
        </is>
      </c>
      <c r="C632" t="inlineStr">
        <is>
          <t>['cmnm5U', '5-carboxymethylaminomethyluridine', 'five carboxymethylaminomethyluridine']</t>
        </is>
      </c>
    </row>
    <row r="633" ht="15.75" customHeight="1">
      <c r="A633" t="inlineStr">
        <is>
          <t>five_formyl_two_prime_O_methylcytidine</t>
        </is>
      </c>
      <c r="B633" t="inlineStr">
        <is>
          <t>http://identifiers.org/so/SO:0001293</t>
        </is>
      </c>
      <c r="C633" t="inlineStr">
        <is>
          <t>['5-carboxymethyluridine', 'cm5U', 'five carboxymethyluridine']</t>
        </is>
      </c>
    </row>
    <row r="634" ht="15.75" customHeight="1">
      <c r="A634" t="inlineStr">
        <is>
          <t>five_formylcytidine</t>
        </is>
      </c>
      <c r="B634" t="inlineStr">
        <is>
          <t>http://identifiers.org/so/SO:0001286</t>
        </is>
      </c>
      <c r="C634" t="inlineStr">
        <is>
          <t>["5-formyl-2'-O-methylcytidine", 'f5Cm', 'five formyl two prime O methylcytidine']</t>
        </is>
      </c>
    </row>
    <row r="635" ht="15.75" customHeight="1">
      <c r="A635" t="inlineStr">
        <is>
          <t>five_hydroxymethylcytidine</t>
        </is>
      </c>
      <c r="B635" t="inlineStr">
        <is>
          <t>http://identifiers.org/so/SO:0001292</t>
        </is>
      </c>
      <c r="C635" t="inlineStr">
        <is>
          <t>['f5C', 'five formylcytidine', '5-formylcytidine']</t>
        </is>
      </c>
    </row>
    <row r="636" ht="15.75" customHeight="1">
      <c r="A636" t="inlineStr">
        <is>
          <t>five_hydroxyuridine</t>
        </is>
      </c>
      <c r="B636" t="inlineStr">
        <is>
          <t>http://identifiers.org/so/SO:0001354</t>
        </is>
      </c>
      <c r="C636" t="inlineStr">
        <is>
          <t>['5-hydroxymethylcytidine', 'hm5C', 'five hydroxymethylcytidine']</t>
        </is>
      </c>
    </row>
    <row r="637" ht="15.75" customHeight="1">
      <c r="A637" t="inlineStr">
        <is>
          <t>five_isopentenylaminomethyl_two_prime_O_methyluridine</t>
        </is>
      </c>
      <c r="B637" t="inlineStr">
        <is>
          <t>http://identifiers.org/so/SO:0001382</t>
        </is>
      </c>
      <c r="C637" t="inlineStr">
        <is>
          <t>['ho5U', '5-hydroxyuridine', 'five hydroxyuridine']</t>
        </is>
      </c>
    </row>
    <row r="638" ht="15.75" customHeight="1">
      <c r="A638" t="inlineStr">
        <is>
          <t>five_isopentenylaminomethyl_two_thiouridine</t>
        </is>
      </c>
      <c r="B638" t="inlineStr">
        <is>
          <t>http://identifiers.org/so/SO:0001381</t>
        </is>
      </c>
      <c r="C638" t="inlineStr">
        <is>
          <t>['five isopentenylaminomethyl two prime O methyluridine', "5-(isopentenylaminomethyl)- 2'-O-methyluridine", 'inm5Um']</t>
        </is>
      </c>
    </row>
    <row r="639" ht="15.75" customHeight="1">
      <c r="A639" t="inlineStr">
        <is>
          <t>five_isopentenylaminomethyl_uridine</t>
        </is>
      </c>
      <c r="B639" t="inlineStr">
        <is>
          <t>http://identifiers.org/so/SO:0001380</t>
        </is>
      </c>
      <c r="C639" t="inlineStr">
        <is>
          <t>['inm5s2U', '5-(isopentenylaminomethyl)- 2-thiouridine', 'five isopentenylaminomethyl two thiouridine']</t>
        </is>
      </c>
    </row>
    <row r="640" ht="15.75" customHeight="1">
      <c r="A640" t="inlineStr">
        <is>
          <t>five_methoxycarbonylmethyl_two_prime_O_methyluridine</t>
        </is>
      </c>
      <c r="B640" t="inlineStr">
        <is>
          <t>http://identifiers.org/so/SO:0001361</t>
        </is>
      </c>
      <c r="C640" t="inlineStr">
        <is>
          <t>['5-(isopentenylaminomethyl)uridine', 'five isopentenylaminomethyl uridine', 'inm5U']</t>
        </is>
      </c>
    </row>
    <row r="641" ht="15.75" customHeight="1">
      <c r="A641" t="inlineStr">
        <is>
          <t>five_methoxycarbonylmethyl_two_thiouridine</t>
        </is>
      </c>
      <c r="B641" t="inlineStr">
        <is>
          <t>http://identifiers.org/so/SO:0001362</t>
        </is>
      </c>
      <c r="C641" t="inlineStr">
        <is>
          <t>['mcm5Um', "5-methoxycarbonylmethyl-2'-O-methyluridine", 'five methoxycarbonylmethyl two prime O methyluridine']</t>
        </is>
      </c>
    </row>
    <row r="642" ht="15.75" customHeight="1">
      <c r="A642" t="inlineStr">
        <is>
          <t>five_methoxycarbonylmethyluridine</t>
        </is>
      </c>
      <c r="B642" t="inlineStr">
        <is>
          <t>http://identifiers.org/so/SO:0001360</t>
        </is>
      </c>
      <c r="C642" t="inlineStr">
        <is>
          <t>['mcm5s2U', 'five methoxycarbonylmethyl two thiouridine', '5-methoxycarbonylmethyl-2-thiouridine']</t>
        </is>
      </c>
    </row>
    <row r="643" ht="15.75" customHeight="1">
      <c r="A643" t="inlineStr">
        <is>
          <t>five_methoxyuridine</t>
        </is>
      </c>
      <c r="B643" t="inlineStr">
        <is>
          <t>http://identifiers.org/so/SO:0001355</t>
        </is>
      </c>
      <c r="C643" t="inlineStr">
        <is>
          <t>['mcm5U', 'five methoxycarbonylmethyluridine', '5-methoxycarbonylmethyluridine']</t>
        </is>
      </c>
    </row>
    <row r="644" ht="15.75" customHeight="1">
      <c r="A644" t="inlineStr">
        <is>
          <t>five_methyl_2_thiouridine</t>
        </is>
      </c>
      <c r="B644" t="inlineStr">
        <is>
          <t>http://identifiers.org/so/SO:0001351</t>
        </is>
      </c>
      <c r="C644" t="inlineStr">
        <is>
          <t>['5-methoxyuridine', 'five methoxyuridine', 'mo5U']</t>
        </is>
      </c>
    </row>
    <row r="645" ht="15.75" customHeight="1">
      <c r="A645" t="inlineStr">
        <is>
          <t>five_methylaminomethyl_two_selenouridine</t>
        </is>
      </c>
      <c r="B645" t="inlineStr">
        <is>
          <t>http://identifiers.org/so/SO:0001366</t>
        </is>
      </c>
      <c r="C645" t="inlineStr">
        <is>
          <t>['five methyl 2 thiouridine', '5-methyl-2-thiouridine', 'm5s2U']</t>
        </is>
      </c>
    </row>
    <row r="646" ht="15.75" customHeight="1">
      <c r="A646" t="inlineStr">
        <is>
          <t>five_methylaminomethyl_two_thiouridine</t>
        </is>
      </c>
      <c r="B646" t="inlineStr">
        <is>
          <t>http://identifiers.org/so/SO:0001365</t>
        </is>
      </c>
      <c r="C646" t="inlineStr">
        <is>
          <t>['5-methylaminomethyl-2-selenouridine', 'mnm5se2U', 'five methylaminomethyl two selenouridine']</t>
        </is>
      </c>
    </row>
    <row r="647" ht="15.75" customHeight="1">
      <c r="A647" t="inlineStr">
        <is>
          <t>five_methylaminomethyluridine</t>
        </is>
      </c>
      <c r="B647" t="inlineStr">
        <is>
          <t>http://identifiers.org/so/SO:0001364</t>
        </is>
      </c>
      <c r="C647" t="inlineStr">
        <is>
          <t>['five methylaminomethyl two thiouridine', '5-methylaminomethyl-2-thiouridine', 'mnm5s2U']</t>
        </is>
      </c>
    </row>
    <row r="648" ht="15.75" customHeight="1">
      <c r="A648" t="inlineStr">
        <is>
          <t>five_methylcytidine</t>
        </is>
      </c>
      <c r="B648" t="inlineStr">
        <is>
          <t>http://identifiers.org/so/SO:0001282</t>
        </is>
      </c>
      <c r="C648" t="inlineStr">
        <is>
          <t>['five methylaminomethyluridine', 'mnm5U', '5-methylaminomethyluridine']</t>
        </is>
      </c>
    </row>
    <row r="649" ht="15.75" customHeight="1">
      <c r="A649" t="inlineStr">
        <is>
          <t>five_methyldihydrouridine</t>
        </is>
      </c>
      <c r="B649" t="inlineStr">
        <is>
          <t>http://identifiers.org/so/SO:0001376</t>
        </is>
      </c>
      <c r="C649" t="inlineStr">
        <is>
          <t>['five methylcytidine', 'm5C', '5-methylcytidine']</t>
        </is>
      </c>
    </row>
    <row r="650" ht="15.75" customHeight="1">
      <c r="A650" t="inlineStr">
        <is>
          <t>five_methyluridine</t>
        </is>
      </c>
      <c r="B650" t="inlineStr">
        <is>
          <t>http://identifiers.org/so/SO:0001344</t>
        </is>
      </c>
      <c r="C650" t="inlineStr">
        <is>
          <t>['five methyldihydrouridine', 'm5D', '5-methyldihydrouridine']</t>
        </is>
      </c>
    </row>
    <row r="651" ht="15.75" customHeight="1">
      <c r="A651" t="inlineStr">
        <is>
          <t>five_prime_cis_splice_site</t>
        </is>
      </c>
      <c r="B651" t="inlineStr">
        <is>
          <t>http://identifiers.org/so/SO:0000163</t>
        </is>
      </c>
      <c r="C651" t="inlineStr">
        <is>
          <t>['five methyluridine', '5-methyluridine', 'm5U']</t>
        </is>
      </c>
    </row>
    <row r="652" ht="15.75" customHeight="1">
      <c r="A652" t="inlineStr">
        <is>
          <t>five_prime_clip</t>
        </is>
      </c>
      <c r="B652" t="inlineStr">
        <is>
          <t>http://identifiers.org/so/SO:0000555</t>
        </is>
      </c>
      <c r="C652" t="inlineStr">
        <is>
          <t>['five prime splice site', "5' splice site", 'splice donor site', 'donor', 'donor splice site']</t>
        </is>
      </c>
    </row>
    <row r="653" ht="15.75" customHeight="1">
      <c r="A653" t="inlineStr">
        <is>
          <t>five_prime_coding_exon</t>
        </is>
      </c>
      <c r="B653" t="inlineStr">
        <is>
          <t>http://identifiers.org/so/SO:0000200</t>
        </is>
      </c>
      <c r="C653" t="inlineStr">
        <is>
          <t>['five prime clip', "5' clip"]</t>
        </is>
      </c>
    </row>
    <row r="654" ht="15.75" customHeight="1">
      <c r="A654" t="inlineStr">
        <is>
          <t>five_prime_coding_exon_coding_region</t>
        </is>
      </c>
      <c r="B654" t="inlineStr">
        <is>
          <t>http://identifiers.org/so/SO:0000196</t>
        </is>
      </c>
      <c r="C654" t="inlineStr">
        <is>
          <t>["5' coding exon", 'five prime coding exon']</t>
        </is>
      </c>
    </row>
    <row r="655" ht="15.75" customHeight="1">
      <c r="A655" t="inlineStr">
        <is>
          <t>five_prime_coding_exon_noncoding_region</t>
        </is>
      </c>
      <c r="B655" t="inlineStr">
        <is>
          <t>http://identifiers.org/so/SO:0000486</t>
        </is>
      </c>
      <c r="C655" t="inlineStr">
        <is>
          <t>['five prime exon coding region']</t>
        </is>
      </c>
    </row>
    <row r="656" ht="15.75" customHeight="1">
      <c r="A656" t="inlineStr">
        <is>
          <t>five_prime_D_heptamer</t>
        </is>
      </c>
      <c r="B656" t="inlineStr">
        <is>
          <t>http://identifiers.org/so/SO:0000496</t>
        </is>
      </c>
      <c r="C656" t="inlineStr">
        <is>
          <t>['five prime coding exon noncoding region', 'five_prime_exon_noncoding_region']</t>
        </is>
      </c>
    </row>
    <row r="657" ht="15.75" customHeight="1">
      <c r="A657" t="inlineStr">
        <is>
          <t>five_prime_D_nonamer</t>
        </is>
      </c>
      <c r="B657" t="inlineStr">
        <is>
          <t>http://identifiers.org/so/SO:0000497</t>
        </is>
      </c>
      <c r="C657" t="inlineStr">
        <is>
          <t>["5'D-HEPTAMER", 'five prime D heptamer']</t>
        </is>
      </c>
    </row>
    <row r="658" ht="15.75" customHeight="1">
      <c r="A658" t="inlineStr">
        <is>
          <t>five_prime_D_recombination_signal_sequence</t>
        </is>
      </c>
      <c r="B658" t="inlineStr">
        <is>
          <t>http://identifiers.org/so/SO:0000556</t>
        </is>
      </c>
      <c r="C658" t="inlineStr">
        <is>
          <t>['five prime D nonamer', "5'D-NONAMER"]</t>
        </is>
      </c>
    </row>
    <row r="659" ht="15.75" customHeight="1">
      <c r="A659" t="inlineStr">
        <is>
          <t>five_prime_D_spacer</t>
        </is>
      </c>
      <c r="B659" t="inlineStr">
        <is>
          <t>http://identifiers.org/so/SO:0000498</t>
        </is>
      </c>
      <c r="C659" t="inlineStr">
        <is>
          <t>['five prime D-recombination signal sequence', 'five prime D recombination signal sequence', "5'RS"]</t>
        </is>
      </c>
    </row>
    <row r="660" ht="15.75" customHeight="1">
      <c r="A660" t="inlineStr">
        <is>
          <t>five_prime_duplicated_transcript</t>
        </is>
      </c>
      <c r="B660" t="inlineStr">
        <is>
          <t>http://identifiers.org/so/SO:0002245</t>
        </is>
      </c>
      <c r="C660" t="inlineStr">
        <is>
          <t>["5'-SPACER", 'five prime D spacer', 'five prime D-spacer']</t>
        </is>
      </c>
    </row>
    <row r="661" ht="15.75" customHeight="1">
      <c r="A661" t="inlineStr">
        <is>
          <t>five_prime_EST</t>
        </is>
      </c>
      <c r="B661" t="inlineStr">
        <is>
          <t>http://identifiers.org/so/SO:0001208</t>
        </is>
      </c>
      <c r="C661" t="inlineStr">
        <is>
          <t>['five prime duplicated transcript', "5' duplicated transcript", 'five prime partially duplicated transcript']</t>
        </is>
      </c>
    </row>
    <row r="662" ht="15.75" customHeight="1">
      <c r="A662" t="inlineStr">
        <is>
          <t>five_prime_five_prime_overlap</t>
        </is>
      </c>
      <c r="B662" t="inlineStr">
        <is>
          <t>http://identifiers.org/so/SO:0000074</t>
        </is>
      </c>
      <c r="C662" t="inlineStr">
        <is>
          <t>['five prime EST', "5' EST"]</t>
        </is>
      </c>
    </row>
    <row r="663" ht="15.75" customHeight="1">
      <c r="A663" t="inlineStr">
        <is>
          <t>five_prime_flanking_region</t>
        </is>
      </c>
      <c r="B663" t="inlineStr">
        <is>
          <t>http://identifiers.org/so/SO:0001416</t>
        </is>
      </c>
      <c r="C663" t="inlineStr">
        <is>
          <t>['five prime-five prime overlap']</t>
        </is>
      </c>
    </row>
    <row r="664" ht="15.75" customHeight="1">
      <c r="A664" t="inlineStr">
        <is>
          <t>five_prime_intron</t>
        </is>
      </c>
      <c r="B664" t="inlineStr">
        <is>
          <t>http://identifiers.org/so/SO:0000190</t>
        </is>
      </c>
      <c r="C664" t="inlineStr">
        <is>
          <t>['five prime flanking region', "5' flanking region"]</t>
        </is>
      </c>
    </row>
    <row r="665" ht="15.75" customHeight="1">
      <c r="A665" t="inlineStr">
        <is>
          <t>five_prime_LTR</t>
        </is>
      </c>
      <c r="B665" t="inlineStr">
        <is>
          <t>http://identifiers.org/so/SO:0000425</t>
        </is>
      </c>
      <c r="C665" t="inlineStr">
        <is>
          <t>["5' intron sequence", 'five prime intron', "5' intron"]</t>
        </is>
      </c>
    </row>
    <row r="666" ht="15.75" customHeight="1">
      <c r="A666" t="inlineStr">
        <is>
          <t>five_prime_LTR_component</t>
        </is>
      </c>
      <c r="B666" t="inlineStr">
        <is>
          <t>http://identifiers.org/so/SO:0000850</t>
        </is>
      </c>
      <c r="C666" t="inlineStr">
        <is>
          <t>["5' LTR", 'five prime LTR', "5' long terminal repeat"]</t>
        </is>
      </c>
    </row>
    <row r="667" ht="15.75" customHeight="1">
      <c r="A667" t="inlineStr">
        <is>
          <t>five_prime_noncoding_exon</t>
        </is>
      </c>
      <c r="B667" t="inlineStr">
        <is>
          <t>http://identifiers.org/so/SO:0000445</t>
        </is>
      </c>
      <c r="C667" t="inlineStr">
        <is>
          <t>["5' long term repeat component", 'five prime LTR component']</t>
        </is>
      </c>
    </row>
    <row r="668" ht="15.75" customHeight="1">
      <c r="A668" t="inlineStr">
        <is>
          <t>five_prime_open_reading_frame</t>
        </is>
      </c>
      <c r="B668" t="inlineStr">
        <is>
          <t>http://identifiers.org/so/SO:0000629</t>
        </is>
      </c>
      <c r="C668" t="inlineStr">
        <is>
          <t>["5' nc exon", "5' non coding exon", 'five prime noncoding exon']</t>
        </is>
      </c>
    </row>
    <row r="669" ht="15.75" customHeight="1">
      <c r="A669" t="inlineStr">
        <is>
          <t>five_prime_recoding_site</t>
        </is>
      </c>
      <c r="B669" t="inlineStr">
        <is>
          <t>http://identifiers.org/so/SO:1001280</t>
        </is>
      </c>
      <c r="C669" t="inlineStr">
        <is>
          <t>['five prime open reading frame']</t>
        </is>
      </c>
    </row>
    <row r="670" ht="15.75" customHeight="1">
      <c r="A670" t="inlineStr">
        <is>
          <t>five_prime_restriction_enzyme_junction</t>
        </is>
      </c>
      <c r="B670" t="inlineStr">
        <is>
          <t>http://identifiers.org/so/SO:0001689</t>
        </is>
      </c>
      <c r="C670" t="inlineStr">
        <is>
          <t>['five prime recoding site']</t>
        </is>
      </c>
    </row>
    <row r="671" ht="15.75" customHeight="1">
      <c r="A671" t="inlineStr">
        <is>
          <t>five_prime_RST</t>
        </is>
      </c>
      <c r="B671" t="inlineStr">
        <is>
          <t>http://identifiers.org/so/SO:0001469</t>
        </is>
      </c>
      <c r="C671" t="inlineStr">
        <is>
          <t>["5' restriction enzyme junction"]</t>
        </is>
      </c>
    </row>
    <row r="672" ht="15.75" customHeight="1">
      <c r="A672" t="inlineStr">
        <is>
          <t>five_prime_sticky_end_restriction_enzyme_cleavage_site</t>
        </is>
      </c>
      <c r="B672" t="inlineStr">
        <is>
          <t>http://identifiers.org/so/SO:0001975</t>
        </is>
      </c>
      <c r="C672" t="inlineStr">
        <is>
          <t>["5' RST"]</t>
        </is>
      </c>
    </row>
    <row r="673" ht="15.75" customHeight="1">
      <c r="A673" t="inlineStr">
        <is>
          <t>five_prime_terminal_inverted_repeat</t>
        </is>
      </c>
      <c r="B673" t="inlineStr">
        <is>
          <t>http://identifiers.org/so/SO:0000420</t>
        </is>
      </c>
      <c r="C673" t="inlineStr">
        <is>
          <t>['five prime sticky end restriction enzyme cleavage site']</t>
        </is>
      </c>
    </row>
    <row r="674" ht="15.75" customHeight="1">
      <c r="A674" t="inlineStr">
        <is>
          <t>five_prime_three_prime_overlap</t>
        </is>
      </c>
      <c r="B674" t="inlineStr">
        <is>
          <t>http://identifiers.org/so/SO:0000073</t>
        </is>
      </c>
      <c r="C674" t="inlineStr">
        <is>
          <t>["5' TIR", 'five prime terminal inverted repeat']</t>
        </is>
      </c>
    </row>
    <row r="675" ht="15.75" customHeight="1">
      <c r="A675" t="inlineStr">
        <is>
          <t>five_prime_UST</t>
        </is>
      </c>
      <c r="B675" t="inlineStr">
        <is>
          <t>http://identifiers.org/so/SO:0001466</t>
        </is>
      </c>
      <c r="C675" t="inlineStr">
        <is>
          <t>['five prime-three prime overlap']</t>
        </is>
      </c>
    </row>
    <row r="676" ht="15.75" customHeight="1">
      <c r="A676" t="inlineStr">
        <is>
          <t>five_prime_UTR</t>
        </is>
      </c>
      <c r="B676" t="inlineStr">
        <is>
          <t>http://identifiers.org/so/SO:0000204</t>
        </is>
      </c>
      <c r="C676" t="inlineStr">
        <is>
          <t>["5' UST"]</t>
        </is>
      </c>
    </row>
    <row r="677" ht="15.75" customHeight="1">
      <c r="A677" t="inlineStr">
        <is>
          <t>five_prime_UTR_intron</t>
        </is>
      </c>
      <c r="B677" t="inlineStr">
        <is>
          <t>http://identifiers.org/so/SO:0000447</t>
        </is>
      </c>
      <c r="C677" t="inlineStr">
        <is>
          <t>["INSDC_feature:5'UTR", 'five prime UTR', "5' UTR", 'five_prime_untranslated_region']</t>
        </is>
      </c>
    </row>
    <row r="678" ht="15.75" customHeight="1">
      <c r="A678" t="inlineStr">
        <is>
          <t>five_prime_UTR_premature_start_codon_location_variant</t>
        </is>
      </c>
      <c r="B678" t="inlineStr">
        <is>
          <t>http://identifiers.org/so/SO:0001990</t>
        </is>
      </c>
      <c r="C678" t="inlineStr">
        <is>
          <t>['five prime UTR intron']</t>
        </is>
      </c>
    </row>
    <row r="679" ht="15.75" customHeight="1">
      <c r="A679" t="inlineStr">
        <is>
          <t>five_taurinomethyl_two_thiouridine</t>
        </is>
      </c>
      <c r="B679" t="inlineStr">
        <is>
          <t>http://identifiers.org/so/SO:0001379</t>
        </is>
      </c>
    </row>
    <row r="680" ht="15.75" customHeight="1">
      <c r="A680" t="inlineStr">
        <is>
          <t>five_taurinomethyluridine</t>
        </is>
      </c>
      <c r="B680" t="inlineStr">
        <is>
          <t>http://identifiers.org/so/SO:0001378</t>
        </is>
      </c>
      <c r="C680" t="inlineStr">
        <is>
          <t>['tm5s2U', 'five taurinomethyl two thiouridine', '5-taurinomethyl-2-thiouridine']</t>
        </is>
      </c>
    </row>
    <row r="681" ht="15.75" customHeight="1">
      <c r="A681" t="inlineStr">
        <is>
          <t>five_two_prime_O_dimethylcytidine</t>
        </is>
      </c>
      <c r="B681" t="inlineStr">
        <is>
          <t>http://identifiers.org/so/SO:0001287</t>
        </is>
      </c>
      <c r="C681" t="inlineStr">
        <is>
          <t>['tm5U', 'five taurinomethyluridine', '5-taurinomethyluridine']</t>
        </is>
      </c>
    </row>
    <row r="682" ht="15.75" customHeight="1">
      <c r="A682" t="inlineStr">
        <is>
          <t>five_two_prime_O_dimethyluridine</t>
        </is>
      </c>
      <c r="B682" t="inlineStr">
        <is>
          <t>http://identifiers.org/so/SO:0001346</t>
        </is>
      </c>
      <c r="C682" t="inlineStr">
        <is>
          <t>['m5Cm', "5,2'-O-dimethylcytidine", 'five two prime O dimethylcytidine']</t>
        </is>
      </c>
    </row>
    <row r="683" ht="15.75" customHeight="1">
      <c r="A683" t="inlineStr">
        <is>
          <t>fixed_variant</t>
        </is>
      </c>
      <c r="B683" t="inlineStr">
        <is>
          <t>http://identifiers.org/so/SO:0001768</t>
        </is>
      </c>
      <c r="C683" t="inlineStr">
        <is>
          <t>['m5Um', 'five two prime O dimethyluridine', "5,2'-O-dimethyluridine"]</t>
        </is>
      </c>
    </row>
    <row r="684" ht="15.75" customHeight="1">
      <c r="A684" t="inlineStr">
        <is>
          <t>flanked</t>
        </is>
      </c>
      <c r="B684" t="inlineStr">
        <is>
          <t>http://identifiers.org/so/SO:0000357</t>
        </is>
      </c>
      <c r="C684" t="inlineStr">
        <is>
          <t>['fixed variant']</t>
        </is>
      </c>
    </row>
    <row r="685" ht="15.75" customHeight="1">
      <c r="A685" t="inlineStr">
        <is>
          <t>flanking_region</t>
        </is>
      </c>
      <c r="B685" t="inlineStr">
        <is>
          <t>http://identifiers.org/so/SO:0000239</t>
        </is>
      </c>
    </row>
    <row r="686" ht="15.75" customHeight="1">
      <c r="A686" t="inlineStr">
        <is>
          <t>flanking_repeat</t>
        </is>
      </c>
      <c r="B686" t="inlineStr">
        <is>
          <t>http://identifiers.org/so/SO:0002192</t>
        </is>
      </c>
      <c r="C686" t="inlineStr">
        <is>
          <t>['flanking region']</t>
        </is>
      </c>
    </row>
    <row r="687" ht="15.75" customHeight="1">
      <c r="A687" t="inlineStr">
        <is>
          <t>flanking_three_prime_quadruplet_recoding_signal</t>
        </is>
      </c>
      <c r="B687" t="inlineStr">
        <is>
          <t>http://identifiers.org/so/SO:1001281</t>
        </is>
      </c>
      <c r="C687" t="inlineStr">
        <is>
          <t>['INSDC_feature:repeat_region', 'INSDC_qualifier:flanking', 'flanking repeat']</t>
        </is>
      </c>
    </row>
    <row r="688" ht="15.75" customHeight="1">
      <c r="A688" t="inlineStr">
        <is>
          <t>FLEX_element</t>
        </is>
      </c>
      <c r="B688" t="inlineStr">
        <is>
          <t>http://identifiers.org/so/SO:0001846</t>
        </is>
      </c>
      <c r="C688" t="inlineStr">
        <is>
          <t>['flanking three prime quadruplet recoding signal']</t>
        </is>
      </c>
    </row>
    <row r="689" ht="15.75" customHeight="1">
      <c r="A689" t="inlineStr">
        <is>
          <t>floxed</t>
        </is>
      </c>
      <c r="B689" t="inlineStr">
        <is>
          <t>http://identifiers.org/so/SO:0000359</t>
        </is>
      </c>
      <c r="C689" t="inlineStr">
        <is>
          <t>['FLEX element']</t>
        </is>
      </c>
    </row>
    <row r="690" ht="15.75" customHeight="1">
      <c r="A690" t="inlineStr">
        <is>
          <t>floxed_gene</t>
        </is>
      </c>
      <c r="B690" t="inlineStr">
        <is>
          <t>http://identifiers.org/so/SO:0000363</t>
        </is>
      </c>
    </row>
    <row r="691" ht="15.75" customHeight="1">
      <c r="A691" t="inlineStr">
        <is>
          <t>foldback_element</t>
        </is>
      </c>
      <c r="B691" t="inlineStr">
        <is>
          <t>http://identifiers.org/so/SO:0000238</t>
        </is>
      </c>
      <c r="C691" t="inlineStr">
        <is>
          <t>['floxed gene']</t>
        </is>
      </c>
    </row>
    <row r="692" ht="15.75" customHeight="1">
      <c r="A692" t="inlineStr">
        <is>
          <t>foreign</t>
        </is>
      </c>
      <c r="B692" t="inlineStr">
        <is>
          <t>http://identifiers.org/so/SO:0000784</t>
        </is>
      </c>
      <c r="C692" t="inlineStr">
        <is>
          <t>['foldback element', 'long inverted repeat element', 'LVR element']</t>
        </is>
      </c>
    </row>
    <row r="693" ht="15.75" customHeight="1">
      <c r="A693" t="inlineStr">
        <is>
          <t>foreign_gene</t>
        </is>
      </c>
      <c r="B693" t="inlineStr">
        <is>
          <t>http://identifiers.org/so/SO:0000285</t>
        </is>
      </c>
    </row>
    <row r="694" ht="15.75" customHeight="1">
      <c r="A694" t="inlineStr">
        <is>
          <t>foreign_transposable_element</t>
        </is>
      </c>
      <c r="B694" t="inlineStr">
        <is>
          <t>http://identifiers.org/so/SO:0000720</t>
        </is>
      </c>
      <c r="C694" t="inlineStr">
        <is>
          <t>['foreign gene']</t>
        </is>
      </c>
    </row>
    <row r="695" ht="15.75" customHeight="1">
      <c r="A695" t="inlineStr">
        <is>
          <t>forkhead_motif</t>
        </is>
      </c>
      <c r="B695" t="inlineStr">
        <is>
          <t>http://identifiers.org/so/SO:0001847</t>
        </is>
      </c>
      <c r="C695" t="inlineStr">
        <is>
          <t>['foreign transposable element']</t>
        </is>
      </c>
    </row>
    <row r="696" ht="15.75" customHeight="1">
      <c r="A696" t="inlineStr">
        <is>
          <t>forward</t>
        </is>
      </c>
      <c r="B696" t="inlineStr">
        <is>
          <t>http://identifiers.org/so/SO:0001030</t>
        </is>
      </c>
      <c r="C696" t="inlineStr">
        <is>
          <t>['forkhead motif']</t>
        </is>
      </c>
    </row>
    <row r="697" ht="15.75" customHeight="1">
      <c r="A697" t="inlineStr">
        <is>
          <t>forward_primer</t>
        </is>
      </c>
      <c r="B697" t="inlineStr">
        <is>
          <t>http://identifiers.org/so/SO:0000121</t>
        </is>
      </c>
    </row>
    <row r="698" ht="15.75" customHeight="1">
      <c r="A698" t="inlineStr">
        <is>
          <t>fosmid</t>
        </is>
      </c>
      <c r="B698" t="inlineStr">
        <is>
          <t>http://identifiers.org/so/SO:0000158</t>
        </is>
      </c>
      <c r="C698" t="inlineStr">
        <is>
          <t>['forward primer oligo', 'forward primer oligonucleotide', 'forward primer polynucleotide', 'forward DNA primer', 'DNA forward primer', 'forward primer', 'forward primer sequence']</t>
        </is>
      </c>
    </row>
    <row r="699" ht="15.75" customHeight="1">
      <c r="A699" t="inlineStr">
        <is>
          <t>fosmid_clone</t>
        </is>
      </c>
      <c r="B699" t="inlineStr">
        <is>
          <t>http://identifiers.org/so/SO:0000763</t>
        </is>
      </c>
      <c r="C699" t="inlineStr">
        <is>
          <t>['fosmid vector']</t>
        </is>
      </c>
    </row>
    <row r="700" ht="15.75" customHeight="1">
      <c r="A700" t="inlineStr">
        <is>
          <t>four_bp_start_codon</t>
        </is>
      </c>
      <c r="B700" t="inlineStr">
        <is>
          <t>http://identifiers.org/so/SO:1001269</t>
        </is>
      </c>
    </row>
    <row r="701" ht="15.75" customHeight="1">
      <c r="A701" t="inlineStr">
        <is>
          <t>four_cutter_restriction_site</t>
        </is>
      </c>
      <c r="B701" t="inlineStr">
        <is>
          <t>http://identifiers.org/so/SO:0000244</t>
        </is>
      </c>
      <c r="C701" t="inlineStr">
        <is>
          <t>['4bp start codon', 'four bp start codon']</t>
        </is>
      </c>
    </row>
    <row r="702" ht="15.75" customHeight="1">
      <c r="A702" t="inlineStr">
        <is>
          <t>four_demethylwyosine</t>
        </is>
      </c>
      <c r="B702" t="inlineStr">
        <is>
          <t>http://identifiers.org/so/SO:0001341</t>
        </is>
      </c>
      <c r="C702" t="inlineStr">
        <is>
          <t>['4-cutter_restriction_site', 'four-cutter_restriction_sit']</t>
        </is>
      </c>
    </row>
    <row r="703" ht="15.75" customHeight="1">
      <c r="A703" t="inlineStr">
        <is>
          <t>four_thiouridine</t>
        </is>
      </c>
      <c r="B703" t="inlineStr">
        <is>
          <t>http://identifiers.org/so/SO:0001350</t>
        </is>
      </c>
      <c r="C703" t="inlineStr">
        <is>
          <t>['4-demethylwyosine', 'imG-14', 'four demethylwyosine']</t>
        </is>
      </c>
    </row>
    <row r="704" ht="15.75" customHeight="1">
      <c r="A704" t="inlineStr">
        <is>
          <t>fragment_assembly</t>
        </is>
      </c>
      <c r="B704" t="inlineStr">
        <is>
          <t>http://identifiers.org/so/SO:0001249</t>
        </is>
      </c>
      <c r="C704" t="inlineStr">
        <is>
          <t>['4-thiouridine', 'four thiouridine', 's4U']</t>
        </is>
      </c>
    </row>
    <row r="705" ht="15.75" customHeight="1">
      <c r="A705" t="inlineStr">
        <is>
          <t>fragmentary</t>
        </is>
      </c>
      <c r="B705" t="inlineStr">
        <is>
          <t>http://identifiers.org/so/SO:0000731</t>
        </is>
      </c>
      <c r="C705" t="inlineStr">
        <is>
          <t>['physical map', 'fragment assembly']</t>
        </is>
      </c>
    </row>
    <row r="706" ht="15.75" customHeight="1">
      <c r="A706" t="inlineStr">
        <is>
          <t>frame_restoring_sequence_variant</t>
        </is>
      </c>
      <c r="B706" t="inlineStr">
        <is>
          <t>http://identifiers.org/so/SO:1000110</t>
        </is>
      </c>
      <c r="C706" t="inlineStr">
        <is>
          <t>['fragment']</t>
        </is>
      </c>
    </row>
    <row r="707" ht="15.75" customHeight="1">
      <c r="A707" t="inlineStr">
        <is>
          <t>frame_restoring_variant</t>
        </is>
      </c>
      <c r="B707" t="inlineStr">
        <is>
          <t>http://identifiers.org/so/SO:0001591</t>
        </is>
      </c>
      <c r="C707" t="inlineStr">
        <is>
          <t>['frame restoring sequence variant', 'frame restoring mutation']</t>
        </is>
      </c>
    </row>
    <row r="708" ht="15.75" customHeight="1">
      <c r="A708" t="inlineStr">
        <is>
          <t>frameshift</t>
        </is>
      </c>
      <c r="B708" t="inlineStr">
        <is>
          <t>http://identifiers.org/so/SO:0000865</t>
        </is>
      </c>
      <c r="C708" t="inlineStr">
        <is>
          <t>['frame restoring variant']</t>
        </is>
      </c>
    </row>
    <row r="709" ht="15.75" customHeight="1">
      <c r="A709" t="inlineStr">
        <is>
          <t>frameshift_elongation</t>
        </is>
      </c>
      <c r="B709" t="inlineStr">
        <is>
          <t>http://identifiers.org/so/SO:0001909</t>
        </is>
      </c>
    </row>
    <row r="710" ht="15.75" customHeight="1">
      <c r="A710" t="inlineStr">
        <is>
          <t>frameshift_sequence_variation</t>
        </is>
      </c>
      <c r="B710" t="inlineStr">
        <is>
          <t>http://identifiers.org/so/SO:1000065</t>
        </is>
      </c>
      <c r="C710" t="inlineStr">
        <is>
          <t>['Jannovar:frameshift_elongation', 'ANNOVAR:frameshift insertion', 'frameshift elongation']</t>
        </is>
      </c>
    </row>
    <row r="711" ht="15.75" customHeight="1">
      <c r="A711" t="inlineStr">
        <is>
          <t>frameshift_truncation</t>
        </is>
      </c>
      <c r="B711" t="inlineStr">
        <is>
          <t>http://identifiers.org/so/SO:0001910</t>
        </is>
      </c>
      <c r="C711" t="inlineStr">
        <is>
          <t>['frameshift sequence variation', 'frameshift mutation', 'out of frame mutation']</t>
        </is>
      </c>
    </row>
    <row r="712" ht="15.75" customHeight="1">
      <c r="A712" t="inlineStr">
        <is>
          <t>frameshift_variant</t>
        </is>
      </c>
      <c r="B712" t="inlineStr">
        <is>
          <t>http://identifiers.org/so/SO:0001589</t>
        </is>
      </c>
      <c r="C712" t="inlineStr">
        <is>
          <t>['ANNOVAR:frameshift deletion', 'Jannovar:frameshift_truncation', 'frameshift truncation']</t>
        </is>
      </c>
    </row>
    <row r="713" ht="15.75" customHeight="1">
      <c r="A713" t="inlineStr">
        <is>
          <t>FRE</t>
        </is>
      </c>
      <c r="B713" t="inlineStr">
        <is>
          <t>http://identifiers.org/so/SO:0002046</t>
        </is>
      </c>
      <c r="C713" t="inlineStr">
        <is>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is>
      </c>
    </row>
    <row r="714" ht="15.75" customHeight="1">
      <c r="A714" t="inlineStr">
        <is>
          <t>free</t>
        </is>
      </c>
      <c r="B714" t="inlineStr">
        <is>
          <t>http://identifiers.org/so/SO:0001516</t>
        </is>
      </c>
      <c r="C714" t="inlineStr">
        <is>
          <t>['filamentation and invasion response element']</t>
        </is>
      </c>
    </row>
    <row r="715" ht="15.75" customHeight="1">
      <c r="A715" t="inlineStr">
        <is>
          <t>free_chromosome_arm</t>
        </is>
      </c>
      <c r="B715" t="inlineStr">
        <is>
          <t>http://identifiers.org/so/SO:0000065</t>
        </is>
      </c>
    </row>
    <row r="716" ht="15.75" customHeight="1">
      <c r="A716" t="inlineStr">
        <is>
          <t>free_duplication</t>
        </is>
      </c>
      <c r="B716" t="inlineStr">
        <is>
          <t>http://identifiers.org/so/SO:1000144</t>
        </is>
      </c>
      <c r="C716" t="inlineStr">
        <is>
          <t>['free chromosome arm']</t>
        </is>
      </c>
    </row>
    <row r="717" ht="15.75" customHeight="1">
      <c r="A717" t="inlineStr">
        <is>
          <t>free_ring_duplication</t>
        </is>
      </c>
      <c r="B717" t="inlineStr">
        <is>
          <t>http://identifiers.org/so/SO:1000145</t>
        </is>
      </c>
      <c r="C717" t="inlineStr">
        <is>
          <t>['free duplication']</t>
        </is>
      </c>
    </row>
    <row r="718" ht="15.75" customHeight="1">
      <c r="A718" t="inlineStr">
        <is>
          <t>FRT_flanked</t>
        </is>
      </c>
      <c r="B718" t="inlineStr">
        <is>
          <t>http://identifiers.org/so/SO:0000361</t>
        </is>
      </c>
      <c r="C718" t="inlineStr">
        <is>
          <t>['free ring duplication', '(Drosophila)R']</t>
        </is>
      </c>
    </row>
    <row r="719" ht="15.75" customHeight="1">
      <c r="A719" t="inlineStr">
        <is>
          <t>FRT_site</t>
        </is>
      </c>
      <c r="B719" t="inlineStr">
        <is>
          <t>http://identifiers.org/so/SO:0000350</t>
        </is>
      </c>
      <c r="C719" t="inlineStr">
        <is>
          <t>['FRT flanked']</t>
        </is>
      </c>
    </row>
    <row r="720" ht="15.75" customHeight="1">
      <c r="A720" t="inlineStr">
        <is>
          <t>function_uncertain_variant</t>
        </is>
      </c>
      <c r="B720" t="inlineStr">
        <is>
          <t>http://identifiers.org/so/SO:0002220</t>
        </is>
      </c>
      <c r="C720" t="inlineStr">
        <is>
          <t>['FRT site', 'FLP recombination target region']</t>
        </is>
      </c>
    </row>
    <row r="721" ht="15.75" customHeight="1">
      <c r="A721" t="inlineStr">
        <is>
          <t>functional_candidate_gene</t>
        </is>
      </c>
      <c r="B721" t="inlineStr">
        <is>
          <t>http://identifiers.org/so/SO:0001869</t>
        </is>
      </c>
      <c r="C721" t="inlineStr">
        <is>
          <t>['function_uncertain_variant', 'function uncertain variant']</t>
        </is>
      </c>
    </row>
    <row r="722" ht="15.75" customHeight="1">
      <c r="A722" t="inlineStr">
        <is>
          <t>functional_effect_variant</t>
        </is>
      </c>
      <c r="B722" t="inlineStr">
        <is>
          <t>http://identifiers.org/so/SO:0001536</t>
        </is>
      </c>
      <c r="C722" t="inlineStr">
        <is>
          <t>['functional candidate gene', 'functional target gene']</t>
        </is>
      </c>
    </row>
    <row r="723" ht="15.75" customHeight="1">
      <c r="A723" t="inlineStr">
        <is>
          <t>functional_gene_region</t>
        </is>
      </c>
      <c r="B723" t="inlineStr">
        <is>
          <t>http://identifiers.org/so/SO:0002188</t>
        </is>
      </c>
      <c r="C723" t="inlineStr">
        <is>
          <t>['functional variant', 'functional effect variant']</t>
        </is>
      </c>
    </row>
    <row r="724" ht="15.75" customHeight="1">
      <c r="A724" t="inlineStr">
        <is>
          <t>functionally_abnormal</t>
        </is>
      </c>
      <c r="B724" t="inlineStr">
        <is>
          <t>http://identifiers.org/so/SO:0002218</t>
        </is>
      </c>
      <c r="C724" t="inlineStr">
        <is>
          <t>['functional gene region']</t>
        </is>
      </c>
    </row>
    <row r="725" ht="15.75" customHeight="1">
      <c r="A725" t="inlineStr">
        <is>
          <t>functionally_normal</t>
        </is>
      </c>
      <c r="B725" t="inlineStr">
        <is>
          <t>http://identifiers.org/so/SO:0002219</t>
        </is>
      </c>
      <c r="C725" t="inlineStr">
        <is>
          <t>['function_modified_variant', 'functionally abnormal', 'function modified variant']</t>
        </is>
      </c>
    </row>
    <row r="726" ht="15.75" customHeight="1">
      <c r="A726" t="inlineStr">
        <is>
          <t>fusion</t>
        </is>
      </c>
      <c r="B726" t="inlineStr">
        <is>
          <t>http://identifiers.org/so/SO:0000806</t>
        </is>
      </c>
      <c r="C726" t="inlineStr">
        <is>
          <t>['function retained variant', 'functionally normal', 'function_retained_variant']</t>
        </is>
      </c>
    </row>
    <row r="727" ht="15.75" customHeight="1">
      <c r="A727" t="inlineStr">
        <is>
          <t>fusion_gene</t>
        </is>
      </c>
      <c r="B727" t="inlineStr">
        <is>
          <t>http://identifiers.org/so/SO:0000287</t>
        </is>
      </c>
    </row>
    <row r="728" ht="15.75" customHeight="1">
      <c r="A728" t="inlineStr">
        <is>
          <t>G_box</t>
        </is>
      </c>
      <c r="B728" t="inlineStr">
        <is>
          <t>http://identifiers.org/so/SO:0001980</t>
        </is>
      </c>
      <c r="C728" t="inlineStr">
        <is>
          <t>['fusion gene']</t>
        </is>
      </c>
    </row>
    <row r="729" ht="15.75" customHeight="1">
      <c r="A729" t="inlineStr">
        <is>
          <t>G_quartet</t>
        </is>
      </c>
      <c r="B729" t="inlineStr">
        <is>
          <t>http://identifiers.org/so/SO:0000003</t>
        </is>
      </c>
      <c r="C729" t="inlineStr">
        <is>
          <t>['GBF binding sequence', 'G-box']</t>
        </is>
      </c>
    </row>
    <row r="730" ht="15.75" customHeight="1">
      <c r="A730" t="inlineStr">
        <is>
          <t>G_to_A_transition</t>
        </is>
      </c>
      <c r="B730" t="inlineStr">
        <is>
          <t>http://identifiers.org/so/SO:1000016</t>
        </is>
      </c>
      <c r="C730" t="inlineStr">
        <is>
          <t>['G-quartet', 'G_quadruplex', 'G tetrad', 'G quartet', 'G-tetrad', 'guanine tetrad', 'G-quadruplex']</t>
        </is>
      </c>
    </row>
    <row r="731" ht="15.75" customHeight="1">
      <c r="A731" t="inlineStr">
        <is>
          <t>G_to_C_transversion</t>
        </is>
      </c>
      <c r="B731" t="inlineStr">
        <is>
          <t>http://identifiers.org/so/SO:1000026</t>
        </is>
      </c>
      <c r="C731" t="inlineStr">
        <is>
          <t>['G to A transition']</t>
        </is>
      </c>
    </row>
    <row r="732" ht="15.75" customHeight="1">
      <c r="A732" t="inlineStr">
        <is>
          <t>G_to_T_transversion</t>
        </is>
      </c>
      <c r="B732" t="inlineStr">
        <is>
          <t>http://identifiers.org/so/SO:1000027</t>
        </is>
      </c>
      <c r="C732" t="inlineStr">
        <is>
          <t>['G to C transversion']</t>
        </is>
      </c>
    </row>
    <row r="733" ht="15.75" customHeight="1">
      <c r="A733" t="inlineStr">
        <is>
          <t>GAGA_motif</t>
        </is>
      </c>
      <c r="B733" t="inlineStr">
        <is>
          <t>http://identifiers.org/so/SO:0001166</t>
        </is>
      </c>
      <c r="C733" t="inlineStr">
        <is>
          <t>['G to T transversion']</t>
        </is>
      </c>
    </row>
    <row r="734" ht="15.75" customHeight="1">
      <c r="A734" t="inlineStr">
        <is>
          <t>gain_of_function_variant</t>
        </is>
      </c>
      <c r="B734" t="inlineStr">
        <is>
          <t>http://identifiers.org/so/SO:0002053</t>
        </is>
      </c>
      <c r="C734" t="inlineStr">
        <is>
          <t>['NDM1', 'GAGA motif', 'GAGA']</t>
        </is>
      </c>
    </row>
    <row r="735" ht="15.75" customHeight="1">
      <c r="A735" t="inlineStr">
        <is>
          <t>galactosyl_queuosine</t>
        </is>
      </c>
      <c r="B735" t="inlineStr">
        <is>
          <t>http://identifiers.org/so/SO:0001319</t>
        </is>
      </c>
      <c r="C735" t="inlineStr">
        <is>
          <t>['gain of function variant']</t>
        </is>
      </c>
    </row>
    <row r="736" ht="15.75" customHeight="1">
      <c r="A736" t="inlineStr">
        <is>
          <t>gamma_turn</t>
        </is>
      </c>
      <c r="B736" t="inlineStr">
        <is>
          <t>http://identifiers.org/so/SO:0001138</t>
        </is>
      </c>
      <c r="C736" t="inlineStr">
        <is>
          <t>['galactosyl-queuosine', 'galactosyl queuosine', 'galQ']</t>
        </is>
      </c>
    </row>
    <row r="737" ht="15.75" customHeight="1">
      <c r="A737" t="inlineStr">
        <is>
          <t>gamma_turn_classic</t>
        </is>
      </c>
      <c r="B737" t="inlineStr">
        <is>
          <t>http://identifiers.org/so/SO:0001139</t>
        </is>
      </c>
      <c r="C737" t="inlineStr">
        <is>
          <t>['gamma turn']</t>
        </is>
      </c>
    </row>
    <row r="738" ht="15.75" customHeight="1">
      <c r="A738" t="inlineStr">
        <is>
          <t>gamma_turn_inverse</t>
        </is>
      </c>
      <c r="B738" t="inlineStr">
        <is>
          <t>http://identifiers.org/so/SO:0001140</t>
        </is>
      </c>
      <c r="C738" t="inlineStr">
        <is>
          <t>['gamma turn classic', 'classic gamma turn']</t>
        </is>
      </c>
    </row>
    <row r="739" ht="15.75" customHeight="1">
      <c r="A739" t="inlineStr">
        <is>
          <t>gap</t>
        </is>
      </c>
      <c r="B739" t="inlineStr">
        <is>
          <t>http://identifiers.org/so/SO:0000730</t>
        </is>
      </c>
      <c r="C739" t="inlineStr">
        <is>
          <t>['gamma turn inverse']</t>
        </is>
      </c>
    </row>
    <row r="740" ht="15.75" customHeight="1">
      <c r="A740" t="inlineStr">
        <is>
          <t>GATA_box</t>
        </is>
      </c>
      <c r="B740" t="inlineStr">
        <is>
          <t>http://identifiers.org/so/SO:0001840</t>
        </is>
      </c>
      <c r="C740" t="inlineStr">
        <is>
          <t>['INSDC_feature:assembly_gap', 'INSDC_feature:gap']</t>
        </is>
      </c>
    </row>
    <row r="741" ht="15.75" customHeight="1">
      <c r="A741" t="inlineStr">
        <is>
          <t>GC_rich_promoter_region</t>
        </is>
      </c>
      <c r="B741" t="inlineStr">
        <is>
          <t>http://identifiers.org/so/SO:0000173</t>
        </is>
      </c>
      <c r="C741" t="inlineStr">
        <is>
          <t>['GATA box', 'GATA element']</t>
        </is>
      </c>
    </row>
    <row r="742" ht="15.75" customHeight="1">
      <c r="A742" t="inlineStr">
        <is>
          <t>GcvB_RNA</t>
        </is>
      </c>
      <c r="B742" t="inlineStr">
        <is>
          <t>http://identifiers.org/so/SO:0000379</t>
        </is>
      </c>
      <c r="C742" t="inlineStr">
        <is>
          <t>['INSDC_qualifier:GC_rich_promoter_region', 'GC-rich region', 'INSDC_feature:regulatory', 'GC rich promoter region']</t>
        </is>
      </c>
    </row>
    <row r="743" ht="15.75" customHeight="1">
      <c r="A743" t="inlineStr">
        <is>
          <t>gene</t>
        </is>
      </c>
      <c r="B743" t="inlineStr">
        <is>
          <t>http://identifiers.org/so/SO:0000704</t>
        </is>
      </c>
      <c r="C743" t="inlineStr">
        <is>
          <t>['GcvB RNA']</t>
        </is>
      </c>
    </row>
    <row r="744" ht="15.75" customHeight="1">
      <c r="A744" t="inlineStr">
        <is>
          <t>gene_array</t>
        </is>
      </c>
      <c r="B744" t="inlineStr">
        <is>
          <t>http://identifiers.org/so/SO:0005851</t>
        </is>
      </c>
      <c r="C744" t="inlineStr">
        <is>
          <t>['INSDC_feature:gene']</t>
        </is>
      </c>
    </row>
    <row r="745" ht="15.75" customHeight="1">
      <c r="A745" t="inlineStr">
        <is>
          <t>gene_array_member</t>
        </is>
      </c>
      <c r="B745" t="inlineStr">
        <is>
          <t>http://identifiers.org/so/SO:0000081</t>
        </is>
      </c>
      <c r="C745" t="inlineStr">
        <is>
          <t>['gene array']</t>
        </is>
      </c>
    </row>
    <row r="746" ht="15.75" customHeight="1">
      <c r="A746" t="inlineStr">
        <is>
          <t>gene_attribute</t>
        </is>
      </c>
      <c r="B746" t="inlineStr">
        <is>
          <t>http://identifiers.org/so/SO:0000401</t>
        </is>
      </c>
      <c r="C746" t="inlineStr">
        <is>
          <t>['gene array member']</t>
        </is>
      </c>
    </row>
    <row r="747" ht="15.75" customHeight="1">
      <c r="A747" t="inlineStr">
        <is>
          <t>gene_by_genome_location</t>
        </is>
      </c>
      <c r="B747" t="inlineStr">
        <is>
          <t>http://identifiers.org/so/SO:0000085</t>
        </is>
      </c>
      <c r="C747" t="inlineStr">
        <is>
          <t>['gene attribute']</t>
        </is>
      </c>
    </row>
    <row r="748" ht="15.75" customHeight="1">
      <c r="A748" t="inlineStr">
        <is>
          <t>gene_by_organelle_of_genome</t>
        </is>
      </c>
      <c r="B748" t="inlineStr">
        <is>
          <t>http://identifiers.org/so/SO:0000086</t>
        </is>
      </c>
    </row>
    <row r="749" ht="15.75" customHeight="1">
      <c r="A749" t="inlineStr">
        <is>
          <t>gene_by_polyadenylation_attribute</t>
        </is>
      </c>
      <c r="B749" t="inlineStr">
        <is>
          <t>http://identifiers.org/so/SO:0000066</t>
        </is>
      </c>
    </row>
    <row r="750" ht="15.75" customHeight="1">
      <c r="A750" t="inlineStr">
        <is>
          <t>gene_by_transcript_attribute</t>
        </is>
      </c>
      <c r="B750" t="inlineStr">
        <is>
          <t>http://identifiers.org/so/SO:0000064</t>
        </is>
      </c>
    </row>
    <row r="751" ht="15.75" customHeight="1">
      <c r="A751" t="inlineStr">
        <is>
          <t>gene_cassette</t>
        </is>
      </c>
      <c r="B751" t="inlineStr">
        <is>
          <t>http://identifiers.org/so/SO:0005853</t>
        </is>
      </c>
    </row>
    <row r="752" ht="15.75" customHeight="1">
      <c r="A752" t="inlineStr">
        <is>
          <t>gene_cassette_array</t>
        </is>
      </c>
      <c r="B752" t="inlineStr">
        <is>
          <t>http://identifiers.org/so/SO:0005854</t>
        </is>
      </c>
      <c r="C752" t="inlineStr">
        <is>
          <t>['gene cassette']</t>
        </is>
      </c>
    </row>
    <row r="753" ht="15.75" customHeight="1">
      <c r="A753" t="inlineStr">
        <is>
          <t>gene_cassette_member</t>
        </is>
      </c>
      <c r="B753" t="inlineStr">
        <is>
          <t>http://identifiers.org/so/SO:0005848</t>
        </is>
      </c>
      <c r="C753" t="inlineStr">
        <is>
          <t>['gene cassette array']</t>
        </is>
      </c>
    </row>
    <row r="754" ht="15.75" customHeight="1">
      <c r="A754" t="inlineStr">
        <is>
          <t>gene_class</t>
        </is>
      </c>
      <c r="B754" t="inlineStr">
        <is>
          <t>http://identifiers.org/so/SO:0000009</t>
        </is>
      </c>
      <c r="C754" t="inlineStr">
        <is>
          <t>['gene cassette member']</t>
        </is>
      </c>
    </row>
    <row r="755" ht="15.75" customHeight="1">
      <c r="A755" t="inlineStr">
        <is>
          <t>gene_component_region</t>
        </is>
      </c>
      <c r="B755" t="inlineStr">
        <is>
          <t>http://identifiers.org/so/SO:0000842</t>
        </is>
      </c>
    </row>
    <row r="756" ht="15.75" customHeight="1">
      <c r="A756" t="inlineStr">
        <is>
          <t>gene_fragment</t>
        </is>
      </c>
      <c r="B756" t="inlineStr">
        <is>
          <t>http://identifiers.org/so/SO:0000997</t>
        </is>
      </c>
      <c r="C756" t="inlineStr">
        <is>
          <t>['gene component region']</t>
        </is>
      </c>
    </row>
    <row r="757" ht="15.75" customHeight="1">
      <c r="A757" t="inlineStr">
        <is>
          <t>gene_fusion</t>
        </is>
      </c>
      <c r="B757" t="inlineStr">
        <is>
          <t>http://identifiers.org/so/SO:0001565</t>
        </is>
      </c>
      <c r="C757" t="inlineStr">
        <is>
          <t>['gene fragment']</t>
        </is>
      </c>
    </row>
    <row r="758" ht="15.75" customHeight="1">
      <c r="A758" t="inlineStr">
        <is>
          <t>gene_group</t>
        </is>
      </c>
      <c r="B758" t="inlineStr">
        <is>
          <t>http://identifiers.org/so/SO:0005855</t>
        </is>
      </c>
      <c r="C758" t="inlineStr">
        <is>
          <t>['gene fusion']</t>
        </is>
      </c>
    </row>
    <row r="759" ht="15.75" customHeight="1">
      <c r="A759" t="inlineStr">
        <is>
          <t>gene_group_regulatory_region</t>
        </is>
      </c>
      <c r="B759" t="inlineStr">
        <is>
          <t>http://identifiers.org/so/SO:0000752</t>
        </is>
      </c>
      <c r="C759" t="inlineStr">
        <is>
          <t>['gene group']</t>
        </is>
      </c>
    </row>
    <row r="760" ht="15.75" customHeight="1">
      <c r="A760" t="inlineStr">
        <is>
          <t>gene_member_region</t>
        </is>
      </c>
      <c r="B760" t="inlineStr">
        <is>
          <t>http://identifiers.org/so/SO:0000831</t>
        </is>
      </c>
      <c r="C760" t="inlineStr">
        <is>
          <t>['gene group regulatory region']</t>
        </is>
      </c>
    </row>
    <row r="761" ht="15.75" customHeight="1">
      <c r="A761" t="inlineStr">
        <is>
          <t>gene_not_polyadenylated</t>
        </is>
      </c>
      <c r="B761" t="inlineStr">
        <is>
          <t>http://identifiers.org/so/SO:0000438</t>
        </is>
      </c>
      <c r="C761" t="inlineStr">
        <is>
          <t>['gene member region']</t>
        </is>
      </c>
    </row>
    <row r="762" ht="15.75" customHeight="1">
      <c r="A762" t="inlineStr">
        <is>
          <t>gene_part</t>
        </is>
      </c>
      <c r="B762" t="inlineStr">
        <is>
          <t>http://identifiers.org/so/SO:0000050</t>
        </is>
      </c>
    </row>
    <row r="763" ht="15.75" customHeight="1">
      <c r="A763" t="inlineStr">
        <is>
          <t>gene_rearranged_at_DNA_level</t>
        </is>
      </c>
      <c r="B763" t="inlineStr">
        <is>
          <t>http://identifiers.org/so/SO:0000138</t>
        </is>
      </c>
    </row>
    <row r="764" ht="15.75" customHeight="1">
      <c r="A764" t="inlineStr">
        <is>
          <t>gene_segment</t>
        </is>
      </c>
      <c r="B764" t="inlineStr">
        <is>
          <t>http://identifiers.org/so/SO:3000000</t>
        </is>
      </c>
      <c r="C764" t="inlineStr">
        <is>
          <t>['gene rearranged at DNA level']</t>
        </is>
      </c>
    </row>
    <row r="765" ht="15.75" customHeight="1">
      <c r="A765" t="inlineStr">
        <is>
          <t>gene_sensu_your_favorite_organism</t>
        </is>
      </c>
      <c r="B765" t="inlineStr">
        <is>
          <t>http://identifiers.org/so/SO:0000008</t>
        </is>
      </c>
      <c r="C765" t="inlineStr">
        <is>
          <t>['gene segment']</t>
        </is>
      </c>
    </row>
    <row r="766" ht="15.75" customHeight="1">
      <c r="A766" t="inlineStr">
        <is>
          <t>gene_silenced_by_DNA_methylation</t>
        </is>
      </c>
      <c r="B766" t="inlineStr">
        <is>
          <t>http://identifiers.org/so/SO:0000129</t>
        </is>
      </c>
    </row>
    <row r="767" ht="15.75" customHeight="1">
      <c r="A767" t="inlineStr">
        <is>
          <t>gene_silenced_by_DNA_modification</t>
        </is>
      </c>
      <c r="B767" t="inlineStr">
        <is>
          <t>http://identifiers.org/so/SO:0000128</t>
        </is>
      </c>
      <c r="C767" t="inlineStr">
        <is>
          <t>['gene silenced by DNA methylation', 'methylation-silenced gene']</t>
        </is>
      </c>
    </row>
    <row r="768" ht="15.75" customHeight="1">
      <c r="A768" t="inlineStr">
        <is>
          <t>gene_silenced_by_histone_deacetylation</t>
        </is>
      </c>
      <c r="B768" t="inlineStr">
        <is>
          <t>http://identifiers.org/so/SO:0001227</t>
        </is>
      </c>
      <c r="C768" t="inlineStr">
        <is>
          <t>['gene silenced by DNA modification']</t>
        </is>
      </c>
    </row>
    <row r="769" ht="15.75" customHeight="1">
      <c r="A769" t="inlineStr">
        <is>
          <t>gene_silenced_by_histone_methylation</t>
        </is>
      </c>
      <c r="B769" t="inlineStr">
        <is>
          <t>http://identifiers.org/so/SO:0001226</t>
        </is>
      </c>
      <c r="C769" t="inlineStr">
        <is>
          <t>['gene silenced by histone deacetylation']</t>
        </is>
      </c>
    </row>
    <row r="770" ht="15.75" customHeight="1">
      <c r="A770" t="inlineStr">
        <is>
          <t>gene_silenced_by_histone_modification</t>
        </is>
      </c>
      <c r="B770" t="inlineStr">
        <is>
          <t>http://identifiers.org/so/SO:0001225</t>
        </is>
      </c>
      <c r="C770" t="inlineStr">
        <is>
          <t>['gene silenced by histone methylation']</t>
        </is>
      </c>
    </row>
    <row r="771" ht="15.75" customHeight="1">
      <c r="A771" t="inlineStr">
        <is>
          <t>gene_silenced_by_RNA_interference</t>
        </is>
      </c>
      <c r="B771" t="inlineStr">
        <is>
          <t>http://identifiers.org/so/SO:0001224</t>
        </is>
      </c>
      <c r="C771" t="inlineStr">
        <is>
          <t>['gene silenced by histone modification']</t>
        </is>
      </c>
    </row>
    <row r="772" ht="15.75" customHeight="1">
      <c r="A772" t="inlineStr">
        <is>
          <t>gene_subarray</t>
        </is>
      </c>
      <c r="B772" t="inlineStr">
        <is>
          <t>http://identifiers.org/so/SO:0005852</t>
        </is>
      </c>
      <c r="C772" t="inlineStr">
        <is>
          <t>['RNA interference silenced gene', 'RNAi silenced gene', 'gene silenced by RNA interference']</t>
        </is>
      </c>
    </row>
    <row r="773" ht="15.75" customHeight="1">
      <c r="A773" t="inlineStr">
        <is>
          <t>gene_subarray_member</t>
        </is>
      </c>
      <c r="B773" t="inlineStr">
        <is>
          <t>http://identifiers.org/so/SO:0005849</t>
        </is>
      </c>
      <c r="C773" t="inlineStr">
        <is>
          <t>['gene subarray']</t>
        </is>
      </c>
    </row>
    <row r="774" ht="15.75" customHeight="1">
      <c r="A774" t="inlineStr">
        <is>
          <t>gene_to_gene_feature</t>
        </is>
      </c>
      <c r="B774" t="inlineStr">
        <is>
          <t>http://identifiers.org/so/SO:0000067</t>
        </is>
      </c>
      <c r="C774" t="inlineStr">
        <is>
          <t>['gene subarray member']</t>
        </is>
      </c>
    </row>
    <row r="775" ht="15.75" customHeight="1">
      <c r="A775" t="inlineStr">
        <is>
          <t>gene_trap_construct</t>
        </is>
      </c>
      <c r="B775" t="inlineStr">
        <is>
          <t>http://identifiers.org/so/SO:0001477</t>
        </is>
      </c>
      <c r="C775" t="inlineStr">
        <is>
          <t>['gene to gene feature']</t>
        </is>
      </c>
    </row>
    <row r="776" ht="15.75" customHeight="1">
      <c r="A776" t="inlineStr">
        <is>
          <t>gene_variant</t>
        </is>
      </c>
      <c r="B776" t="inlineStr">
        <is>
          <t>http://identifiers.org/so/SO:0001564</t>
        </is>
      </c>
      <c r="C776" t="inlineStr">
        <is>
          <t>['gene trap construct']</t>
        </is>
      </c>
    </row>
    <row r="777" ht="15.75" customHeight="1">
      <c r="A777" t="inlineStr">
        <is>
          <t>gene_with_dicistronic_mRNA</t>
        </is>
      </c>
      <c r="B777" t="inlineStr">
        <is>
          <t>http://identifiers.org/so/SO:0000722</t>
        </is>
      </c>
      <c r="C777" t="inlineStr">
        <is>
          <t>['Jannovar:gene_variant', 'snpEff:GENE', 'VAAST:gene_variant', 'gene structure variant']</t>
        </is>
      </c>
    </row>
    <row r="778" ht="15.75" customHeight="1">
      <c r="A778" t="inlineStr">
        <is>
          <t>gene_with_dicistronic_primary_transcript</t>
        </is>
      </c>
      <c r="B778" t="inlineStr">
        <is>
          <t>http://identifiers.org/so/SO:0000721</t>
        </is>
      </c>
      <c r="C778" t="inlineStr">
        <is>
          <t>['gene with dicistronic mRNA', 'gene with dicistronic processed transcript']</t>
        </is>
      </c>
    </row>
    <row r="779" ht="15.75" customHeight="1">
      <c r="A779" t="inlineStr">
        <is>
          <t>gene_with_dicistronic_transcript</t>
        </is>
      </c>
      <c r="B779" t="inlineStr">
        <is>
          <t>http://identifiers.org/so/SO:0000692</t>
        </is>
      </c>
      <c r="C779" t="inlineStr">
        <is>
          <t>['gene with dicistronic primary transcript']</t>
        </is>
      </c>
    </row>
    <row r="780" ht="15.75" customHeight="1">
      <c r="A780" t="inlineStr">
        <is>
          <t>gene_with_edited_transcript</t>
        </is>
      </c>
      <c r="B780" t="inlineStr">
        <is>
          <t>http://identifiers.org/so/SO:0000548</t>
        </is>
      </c>
      <c r="C780" t="inlineStr">
        <is>
          <t>['gene with dicistronic transcript']</t>
        </is>
      </c>
    </row>
    <row r="781" ht="15.75" customHeight="1">
      <c r="A781" t="inlineStr">
        <is>
          <t>gene_with_mRNA_recoded_by_translational_bypass</t>
        </is>
      </c>
      <c r="B781" t="inlineStr">
        <is>
          <t>http://identifiers.org/so/SO:0000711</t>
        </is>
      </c>
      <c r="C781" t="inlineStr">
        <is>
          <t>['gene with edited transcript']</t>
        </is>
      </c>
    </row>
    <row r="782" ht="15.75" customHeight="1">
      <c r="A782" t="inlineStr">
        <is>
          <t>gene_with_mRNA_with_frameshift</t>
        </is>
      </c>
      <c r="B782" t="inlineStr">
        <is>
          <t>http://identifiers.org/so/SO:0000455</t>
        </is>
      </c>
      <c r="C782" t="inlineStr">
        <is>
          <t>['gene with mRNA recoded by translational bypass']</t>
        </is>
      </c>
    </row>
    <row r="783" ht="15.75" customHeight="1">
      <c r="A783" t="inlineStr">
        <is>
          <t>gene_with_non_canonical_start_codon</t>
        </is>
      </c>
      <c r="B783" t="inlineStr">
        <is>
          <t>http://identifiers.org/so/SO:0001739</t>
        </is>
      </c>
      <c r="C783" t="inlineStr">
        <is>
          <t>['gene with mRNA with frameshift']</t>
        </is>
      </c>
    </row>
    <row r="784" ht="15.75" customHeight="1">
      <c r="A784" t="inlineStr">
        <is>
          <t>gene_with_polyadenylated_mRNA</t>
        </is>
      </c>
      <c r="B784" t="inlineStr">
        <is>
          <t>http://identifiers.org/so/SO:0000451</t>
        </is>
      </c>
      <c r="C784" t="inlineStr">
        <is>
          <t>['gene with non canonical start codon']</t>
        </is>
      </c>
    </row>
    <row r="785" ht="15.75" customHeight="1">
      <c r="A785" t="inlineStr">
        <is>
          <t>gene_with_polycistronic_transcript</t>
        </is>
      </c>
      <c r="B785" t="inlineStr">
        <is>
          <t>http://identifiers.org/so/SO:0000690</t>
        </is>
      </c>
      <c r="C785" t="inlineStr">
        <is>
          <t>['gene with polyadenylated mRNA']</t>
        </is>
      </c>
    </row>
    <row r="786" ht="15.75" customHeight="1">
      <c r="A786" t="inlineStr">
        <is>
          <t>gene_with_recoded_mRNA</t>
        </is>
      </c>
      <c r="B786" t="inlineStr">
        <is>
          <t>http://identifiers.org/so/SO:0000693</t>
        </is>
      </c>
      <c r="C786" t="inlineStr">
        <is>
          <t>['gene with polycistronic transcript']</t>
        </is>
      </c>
    </row>
    <row r="787" ht="15.75" customHeight="1">
      <c r="A787" t="inlineStr">
        <is>
          <t>gene_with_start_codon_CUG</t>
        </is>
      </c>
      <c r="B787" t="inlineStr">
        <is>
          <t>http://identifiers.org/so/SO:0001740</t>
        </is>
      </c>
      <c r="C787" t="inlineStr">
        <is>
          <t>['gene with recoded mRNA']</t>
        </is>
      </c>
    </row>
    <row r="788" ht="15.75" customHeight="1">
      <c r="A788" t="inlineStr">
        <is>
          <t>gene_with_stop_codon_read_through</t>
        </is>
      </c>
      <c r="B788" t="inlineStr">
        <is>
          <t>http://identifiers.org/so/SO:0000697</t>
        </is>
      </c>
      <c r="C788" t="inlineStr">
        <is>
          <t>['gene with start codon CUG']</t>
        </is>
      </c>
    </row>
    <row r="789" ht="15.75" customHeight="1">
      <c r="A789" t="inlineStr">
        <is>
          <t>gene_with_stop_codon_redefined_as_pyrrolysine</t>
        </is>
      </c>
      <c r="B789" t="inlineStr">
        <is>
          <t>http://identifiers.org/so/SO:0000698</t>
        </is>
      </c>
      <c r="C789" t="inlineStr">
        <is>
          <t>['gene with stop codon read through']</t>
        </is>
      </c>
    </row>
    <row r="790" ht="15.75" customHeight="1">
      <c r="A790" t="inlineStr">
        <is>
          <t>gene_with_stop_codon_redefined_as_selenocysteine</t>
        </is>
      </c>
      <c r="B790" t="inlineStr">
        <is>
          <t>http://identifiers.org/so/SO:0000710</t>
        </is>
      </c>
      <c r="C790" t="inlineStr">
        <is>
          <t>['gene with stop codon redefined as pyrrolysine']</t>
        </is>
      </c>
    </row>
    <row r="791" ht="15.75" customHeight="1">
      <c r="A791" t="inlineStr">
        <is>
          <t>gene_with_trans_spliced_transcript</t>
        </is>
      </c>
      <c r="B791" t="inlineStr">
        <is>
          <t>http://identifiers.org/so/SO:0000459</t>
        </is>
      </c>
      <c r="C791" t="inlineStr">
        <is>
          <t>['gene with stop codon redefined as selenocysteine']</t>
        </is>
      </c>
    </row>
    <row r="792" ht="15.75" customHeight="1">
      <c r="A792" t="inlineStr">
        <is>
          <t>gene_with_transcript_with_translational_frameshift</t>
        </is>
      </c>
      <c r="B792" t="inlineStr">
        <is>
          <t>http://identifiers.org/so/SO:0000712</t>
        </is>
      </c>
      <c r="C792" t="inlineStr">
        <is>
          <t>['gene with trans spliced transcript']</t>
        </is>
      </c>
    </row>
    <row r="793" ht="15.75" customHeight="1">
      <c r="A793" t="inlineStr">
        <is>
          <t>genetic_marker</t>
        </is>
      </c>
      <c r="B793" t="inlineStr">
        <is>
          <t>http://identifiers.org/so/SO:0001645</t>
        </is>
      </c>
      <c r="C793" t="inlineStr">
        <is>
          <t>['gene with transcript with translational frameshift']</t>
        </is>
      </c>
    </row>
    <row r="794" ht="15.75" customHeight="1">
      <c r="A794" t="inlineStr">
        <is>
          <t>genic_downstream_transcript_variant</t>
        </is>
      </c>
      <c r="B794" t="inlineStr">
        <is>
          <t>http://identifiers.org/so/SO:0002152</t>
        </is>
      </c>
      <c r="C794" t="inlineStr">
        <is>
          <t>['genetic marker']</t>
        </is>
      </c>
    </row>
    <row r="795" ht="15.75" customHeight="1">
      <c r="A795" t="inlineStr">
        <is>
          <t>genic_upstream_transcript_variant</t>
        </is>
      </c>
      <c r="B795" t="inlineStr">
        <is>
          <t>http://identifiers.org/so/SO:0002153</t>
        </is>
      </c>
      <c r="C795" t="inlineStr">
        <is>
          <t>["genic 3' transcript variant", 'genic downstream transcript variant', 'genic 3 prime transcript variant']</t>
        </is>
      </c>
    </row>
    <row r="796" ht="15.75" customHeight="1">
      <c r="A796" t="inlineStr">
        <is>
          <t>genome</t>
        </is>
      </c>
      <c r="B796" t="inlineStr">
        <is>
          <t>http://identifiers.org/so/SO:0001026</t>
        </is>
      </c>
      <c r="C796" t="inlineStr">
        <is>
          <t>['genic 5 prime transcript variant', 'genic upstream transcript variant', "genic 5' transcript variant"]</t>
        </is>
      </c>
    </row>
    <row r="797" ht="15.75" customHeight="1">
      <c r="A797" t="inlineStr">
        <is>
          <t>genomic_clone</t>
        </is>
      </c>
      <c r="B797" t="inlineStr">
        <is>
          <t>http://identifiers.org/so/SO:0000040</t>
        </is>
      </c>
    </row>
    <row r="798" ht="15.75" customHeight="1">
      <c r="A798" t="inlineStr">
        <is>
          <t>genomic_DNA</t>
        </is>
      </c>
      <c r="B798" t="inlineStr">
        <is>
          <t>http://identifiers.org/so/SO:0000991</t>
        </is>
      </c>
      <c r="C798" t="inlineStr">
        <is>
          <t>['genomic clone']</t>
        </is>
      </c>
    </row>
    <row r="799" ht="15.75" customHeight="1">
      <c r="A799" t="inlineStr">
        <is>
          <t>genomic_DNA_contig</t>
        </is>
      </c>
      <c r="B799" t="inlineStr">
        <is>
          <t>http://identifiers.org/so/SO:0002209</t>
        </is>
      </c>
      <c r="C799" t="inlineStr">
        <is>
          <t>['gDNA', 'genomic DNA']</t>
        </is>
      </c>
    </row>
    <row r="800" ht="15.75" customHeight="1">
      <c r="A800" t="inlineStr">
        <is>
          <t>genomic_DNA_read</t>
        </is>
      </c>
      <c r="B800" t="inlineStr">
        <is>
          <t>http://identifiers.org/so/SO:0001828</t>
        </is>
      </c>
      <c r="C800" t="inlineStr">
        <is>
          <t>['genomic DNA contig', 'gDNA contig', 'gDNA_contig']</t>
        </is>
      </c>
    </row>
    <row r="801" ht="15.75" customHeight="1">
      <c r="A801" t="inlineStr">
        <is>
          <t>genomic_island</t>
        </is>
      </c>
      <c r="B801" t="inlineStr">
        <is>
          <t>http://identifiers.org/so/SO:0000772</t>
        </is>
      </c>
      <c r="C801" t="inlineStr">
        <is>
          <t>['gDNA_read', 'genomic DNA read', 'gDNA read']</t>
        </is>
      </c>
    </row>
    <row r="802" ht="15.75" customHeight="1">
      <c r="A802" t="inlineStr">
        <is>
          <t>genomically_contaminated_cDNA_clone</t>
        </is>
      </c>
      <c r="B802" t="inlineStr">
        <is>
          <t>http://identifiers.org/so/SO:0000811</t>
        </is>
      </c>
      <c r="C802" t="inlineStr">
        <is>
          <t>['genomic island']</t>
        </is>
      </c>
    </row>
    <row r="803" ht="15.75" customHeight="1">
      <c r="A803" t="inlineStr">
        <is>
          <t>genomically_imprinted</t>
        </is>
      </c>
      <c r="B803" t="inlineStr">
        <is>
          <t>http://identifiers.org/so/SO:0000134</t>
        </is>
      </c>
      <c r="C803" t="inlineStr">
        <is>
          <t>['genomically contaminated cDNA clone']</t>
        </is>
      </c>
    </row>
    <row r="804" ht="15.75" customHeight="1">
      <c r="A804" t="inlineStr">
        <is>
          <t>genotype</t>
        </is>
      </c>
      <c r="B804" t="inlineStr">
        <is>
          <t>http://identifiers.org/so/SO:0001027</t>
        </is>
      </c>
      <c r="C804" t="inlineStr">
        <is>
          <t>['genomically imprinted', 'imprinted']</t>
        </is>
      </c>
    </row>
    <row r="805" ht="15.75" customHeight="1">
      <c r="A805" t="inlineStr">
        <is>
          <t>germline_variant</t>
        </is>
      </c>
      <c r="B805" t="inlineStr">
        <is>
          <t>http://identifiers.org/so/SO:0001778</t>
        </is>
      </c>
    </row>
    <row r="806" ht="15.75" customHeight="1">
      <c r="A806" t="inlineStr">
        <is>
          <t>glutamic_acid</t>
        </is>
      </c>
      <c r="B806" t="inlineStr">
        <is>
          <t>http://identifiers.org/so/SO:0001454</t>
        </is>
      </c>
      <c r="C806" t="inlineStr">
        <is>
          <t>['germline variant']</t>
        </is>
      </c>
    </row>
    <row r="807" ht="15.75" customHeight="1">
      <c r="A807" t="inlineStr">
        <is>
          <t>glutamic_acid_tRNA_primary_transcript</t>
        </is>
      </c>
      <c r="B807" t="inlineStr">
        <is>
          <t>http://identifiers.org/so/SO:0000216</t>
        </is>
      </c>
      <c r="C807" t="inlineStr">
        <is>
          <t>['glutamic acid', 'E', 'Glu']</t>
        </is>
      </c>
    </row>
    <row r="808" ht="15.75" customHeight="1">
      <c r="A808" t="inlineStr">
        <is>
          <t>glutamine</t>
        </is>
      </c>
      <c r="B808" t="inlineStr">
        <is>
          <t>http://identifiers.org/so/SO:0001448</t>
        </is>
      </c>
      <c r="C808" t="inlineStr">
        <is>
          <t>['glutamic acid tRNA primary transcript']</t>
        </is>
      </c>
    </row>
    <row r="809" ht="15.75" customHeight="1">
      <c r="A809" t="inlineStr">
        <is>
          <t>glutamine_tRNA_primary_transcript</t>
        </is>
      </c>
      <c r="B809" t="inlineStr">
        <is>
          <t>http://identifiers.org/so/SO:0000217</t>
        </is>
      </c>
      <c r="C809" t="inlineStr">
        <is>
          <t>['Gln', 'Q']</t>
        </is>
      </c>
    </row>
    <row r="810" ht="15.75" customHeight="1">
      <c r="A810" t="inlineStr">
        <is>
          <t>glutaminyl_tRNA</t>
        </is>
      </c>
      <c r="B810" t="inlineStr">
        <is>
          <t>http://identifiers.org/so/SO:0000259</t>
        </is>
      </c>
      <c r="C810" t="inlineStr">
        <is>
          <t>['glutamine tRNA primary transcript']</t>
        </is>
      </c>
    </row>
    <row r="811" ht="15.75" customHeight="1">
      <c r="A811" t="inlineStr">
        <is>
          <t>glutamyl_tRNA</t>
        </is>
      </c>
      <c r="B811" t="inlineStr">
        <is>
          <t>http://identifiers.org/so/SO:0000260</t>
        </is>
      </c>
      <c r="C811" t="inlineStr">
        <is>
          <t>['glutaminyl-transfer ribonucleic acid', 'glutaminyl-transfer RNA', 'glutaminyl tRNA']</t>
        </is>
      </c>
    </row>
    <row r="812" ht="15.75" customHeight="1">
      <c r="A812" t="inlineStr">
        <is>
          <t>glycine</t>
        </is>
      </c>
      <c r="B812" t="inlineStr">
        <is>
          <t>http://identifiers.org/so/SO:0001443</t>
        </is>
      </c>
      <c r="C812" t="inlineStr">
        <is>
          <t>['glutamyl-transfer ribonucleic acid', 'glutamyl-transfer RNA', 'glutamyl tRNA']</t>
        </is>
      </c>
    </row>
    <row r="813" ht="15.75" customHeight="1">
      <c r="A813" t="inlineStr">
        <is>
          <t>glycine_tRNA_primary_transcript</t>
        </is>
      </c>
      <c r="B813" t="inlineStr">
        <is>
          <t>http://identifiers.org/so/SO:0000218</t>
        </is>
      </c>
      <c r="C813" t="inlineStr">
        <is>
          <t>['G', 'Gly']</t>
        </is>
      </c>
    </row>
    <row r="814" ht="15.75" customHeight="1">
      <c r="A814" t="inlineStr">
        <is>
          <t>glycyl_tRNA</t>
        </is>
      </c>
      <c r="B814" t="inlineStr">
        <is>
          <t>http://identifiers.org/so/SO:0000261</t>
        </is>
      </c>
      <c r="C814" t="inlineStr">
        <is>
          <t>['glycine tRNA primary transcript']</t>
        </is>
      </c>
    </row>
    <row r="815" ht="15.75" customHeight="1">
      <c r="A815" t="inlineStr">
        <is>
          <t>GNA</t>
        </is>
      </c>
      <c r="B815" t="inlineStr">
        <is>
          <t>http://identifiers.org/so/SO:0001192</t>
        </is>
      </c>
      <c r="C815" t="inlineStr">
        <is>
          <t>['glycyl-transfer ribonucleic acid', 'glycyl tRNA', 'glycyl-transfer RNA']</t>
        </is>
      </c>
    </row>
    <row r="816" ht="15.75" customHeight="1">
      <c r="A816" t="inlineStr">
        <is>
          <t>GNA_oligo</t>
        </is>
      </c>
      <c r="B816" t="inlineStr">
        <is>
          <t>http://identifiers.org/so/SO:0001193</t>
        </is>
      </c>
    </row>
    <row r="817" ht="15.75" customHeight="1">
      <c r="A817" t="inlineStr">
        <is>
          <t>golden_path</t>
        </is>
      </c>
      <c r="B817" t="inlineStr">
        <is>
          <t>http://identifiers.org/so/SO:0000688</t>
        </is>
      </c>
      <c r="C817" t="inlineStr">
        <is>
          <t>['glycol nucleic acid', 'glycerol nucleic acid', 'GNA oligo']</t>
        </is>
      </c>
    </row>
    <row r="818" ht="15.75" customHeight="1">
      <c r="A818" t="inlineStr">
        <is>
          <t>golden_path_fragment</t>
        </is>
      </c>
      <c r="B818" t="inlineStr">
        <is>
          <t>http://identifiers.org/so/SO:0000468</t>
        </is>
      </c>
      <c r="C818" t="inlineStr">
        <is>
          <t>['golden path']</t>
        </is>
      </c>
    </row>
    <row r="819" ht="15.75" customHeight="1">
      <c r="A819" t="inlineStr">
        <is>
          <t>gRNA_encoding</t>
        </is>
      </c>
      <c r="B819" t="inlineStr">
        <is>
          <t>http://identifiers.org/so/SO:0000979</t>
        </is>
      </c>
      <c r="C819" t="inlineStr">
        <is>
          <t>['golden path fragment']</t>
        </is>
      </c>
    </row>
    <row r="820" ht="15.75" customHeight="1">
      <c r="A820" t="inlineStr">
        <is>
          <t>gRNA_gene</t>
        </is>
      </c>
      <c r="B820" t="inlineStr">
        <is>
          <t>http://identifiers.org/so/SO:0001264</t>
        </is>
      </c>
      <c r="C820" t="inlineStr">
        <is>
          <t>['gRNA encoding']</t>
        </is>
      </c>
    </row>
    <row r="821" ht="15.75" customHeight="1">
      <c r="A821" t="inlineStr">
        <is>
          <t>group_1_intron_homing_endonuclease_target_region</t>
        </is>
      </c>
      <c r="B821" t="inlineStr">
        <is>
          <t>http://identifiers.org/so/SO:0000354</t>
        </is>
      </c>
      <c r="C821" t="inlineStr">
        <is>
          <t>['gRNA gene']</t>
        </is>
      </c>
    </row>
    <row r="822" ht="15.75" customHeight="1">
      <c r="A822" t="inlineStr">
        <is>
          <t>group_I_intron</t>
        </is>
      </c>
      <c r="B822" t="inlineStr">
        <is>
          <t>http://identifiers.org/so/SO:0000587</t>
        </is>
      </c>
      <c r="C822" t="inlineStr">
        <is>
          <t>['group 1 intron homing endonuclease target region']</t>
        </is>
      </c>
    </row>
    <row r="823" ht="15.75" customHeight="1">
      <c r="A823" t="inlineStr">
        <is>
          <t>group_II_intron</t>
        </is>
      </c>
      <c r="B823" t="inlineStr">
        <is>
          <t>http://identifiers.org/so/SO:0000603</t>
        </is>
      </c>
      <c r="C823" t="inlineStr">
        <is>
          <t>['group I intron']</t>
        </is>
      </c>
    </row>
    <row r="824" ht="15.75" customHeight="1">
      <c r="A824" t="inlineStr">
        <is>
          <t>group_IIA_intron</t>
        </is>
      </c>
      <c r="B824" t="inlineStr">
        <is>
          <t>http://identifiers.org/so/SO:0000381</t>
        </is>
      </c>
      <c r="C824" t="inlineStr">
        <is>
          <t>['group II intron']</t>
        </is>
      </c>
    </row>
    <row r="825" ht="15.75" customHeight="1">
      <c r="A825" t="inlineStr">
        <is>
          <t>group_IIB_intron</t>
        </is>
      </c>
      <c r="B825" t="inlineStr">
        <is>
          <t>http://identifiers.org/so/SO:0000382</t>
        </is>
      </c>
      <c r="C825" t="inlineStr">
        <is>
          <t>['group IIA intron']</t>
        </is>
      </c>
    </row>
    <row r="826" ht="15.75" customHeight="1">
      <c r="A826" t="inlineStr">
        <is>
          <t>group_IIC_intron</t>
        </is>
      </c>
      <c r="B826" t="inlineStr">
        <is>
          <t>http://identifiers.org/so/SO:0002226</t>
        </is>
      </c>
      <c r="C826" t="inlineStr">
        <is>
          <t>['group IIB intron']</t>
        </is>
      </c>
    </row>
    <row r="827" ht="15.75" customHeight="1">
      <c r="A827" t="inlineStr">
        <is>
          <t>group_III_intron</t>
        </is>
      </c>
      <c r="B827" t="inlineStr">
        <is>
          <t>http://identifiers.org/so/SO:0001213</t>
        </is>
      </c>
      <c r="C827" t="inlineStr">
        <is>
          <t>['group IIB intron']</t>
        </is>
      </c>
    </row>
    <row r="828" ht="15.75" customHeight="1">
      <c r="A828" t="inlineStr">
        <is>
          <t>GT_dinucleotide_repeat</t>
        </is>
      </c>
      <c r="B828" t="inlineStr">
        <is>
          <t>http://identifiers.org/so/SO:0001862</t>
        </is>
      </c>
      <c r="C828" t="inlineStr">
        <is>
          <t>['group III intron']</t>
        </is>
      </c>
    </row>
    <row r="829" ht="15.75" customHeight="1">
      <c r="A829" t="inlineStr">
        <is>
          <t>GTT_trinucleotide_repeat</t>
        </is>
      </c>
      <c r="B829" t="inlineStr">
        <is>
          <t>http://identifiers.org/so/SO:0001863</t>
        </is>
      </c>
      <c r="C829" t="inlineStr">
        <is>
          <t>['d(GT)n']</t>
        </is>
      </c>
    </row>
    <row r="830" ht="15.75" customHeight="1">
      <c r="A830" t="inlineStr">
        <is>
          <t>guide_RNA</t>
        </is>
      </c>
      <c r="B830" t="inlineStr">
        <is>
          <t>http://identifiers.org/so/SO:0000602</t>
        </is>
      </c>
      <c r="C830" t="inlineStr">
        <is>
          <t>['d(GTT)']</t>
        </is>
      </c>
    </row>
    <row r="831" ht="15.75" customHeight="1">
      <c r="A831" t="inlineStr">
        <is>
          <t>guide_RNA_region</t>
        </is>
      </c>
      <c r="B831" t="inlineStr">
        <is>
          <t>http://identifiers.org/so/SO:0000930</t>
        </is>
      </c>
      <c r="C831" t="inlineStr">
        <is>
          <t>['INSDC_feature:ncRNA', 'gRNA', 'INSDC_qualifier:guide_RNA', 'guide RNA']</t>
        </is>
      </c>
    </row>
    <row r="832" ht="15.75" customHeight="1">
      <c r="A832" t="inlineStr">
        <is>
          <t>Gypsy_LTR_retrotransposon</t>
        </is>
      </c>
      <c r="B832" t="inlineStr">
        <is>
          <t>http://identifiers.org/so/SO:0002265</t>
        </is>
      </c>
      <c r="C832" t="inlineStr">
        <is>
          <t>['guide RNA region']</t>
        </is>
      </c>
    </row>
    <row r="833" ht="15.75" customHeight="1">
      <c r="A833" t="inlineStr">
        <is>
          <t>H_ACA_box_snoRNA</t>
        </is>
      </c>
      <c r="B833" t="inlineStr">
        <is>
          <t>http://identifiers.org/so/SO:0000594</t>
        </is>
      </c>
      <c r="C833" t="inlineStr">
        <is>
          <t>['Gypsy LTR retrotransposon', 'RLG retrotransposon', 'Ty3 retrotransposon']</t>
        </is>
      </c>
    </row>
    <row r="834" ht="15.75" customHeight="1">
      <c r="A834" t="inlineStr">
        <is>
          <t>H_ACA_box_snoRNA_encoding</t>
        </is>
      </c>
      <c r="B834" t="inlineStr">
        <is>
          <t>http://identifiers.org/so/SO:0000608</t>
        </is>
      </c>
      <c r="C834" t="inlineStr">
        <is>
          <t>['H/ACA box snoRNA', 'H ACA box snoRNA', 'box H/ACA snoRNA']</t>
        </is>
      </c>
    </row>
    <row r="835" ht="15.75" customHeight="1">
      <c r="A835" t="inlineStr">
        <is>
          <t>H_ACA_box_snoRNA_primary_transcript</t>
        </is>
      </c>
      <c r="B835" t="inlineStr">
        <is>
          <t>http://identifiers.org/so/SO:0000596</t>
        </is>
      </c>
      <c r="C835" t="inlineStr">
        <is>
          <t>['H ACA box snoRNA encoding']</t>
        </is>
      </c>
    </row>
    <row r="836" ht="15.75" customHeight="1">
      <c r="A836" t="inlineStr">
        <is>
          <t>H_pseudoknot</t>
        </is>
      </c>
      <c r="B836" t="inlineStr">
        <is>
          <t>http://identifiers.org/so/SO:0000592</t>
        </is>
      </c>
      <c r="C836" t="inlineStr">
        <is>
          <t>['H ACA box snoRNA primary transcript']</t>
        </is>
      </c>
    </row>
    <row r="837" ht="15.75" customHeight="1">
      <c r="A837" t="inlineStr">
        <is>
          <t>H2AK5_acetylation_site</t>
        </is>
      </c>
      <c r="B837" t="inlineStr">
        <is>
          <t>http://identifiers.org/so/SO:0001938</t>
        </is>
      </c>
      <c r="C837" t="inlineStr">
        <is>
          <t>['H-type pseudoknot', 'hairpin-type pseudoknot', 'classical pseudoknot', 'H pseudoknot', 'H-pseudoknot']</t>
        </is>
      </c>
    </row>
    <row r="838" ht="15.75" customHeight="1">
      <c r="A838" t="inlineStr">
        <is>
          <t>H2AK9_acetylation_site</t>
        </is>
      </c>
      <c r="B838" t="inlineStr">
        <is>
          <t>http://identifiers.org/so/SO:0001944</t>
        </is>
      </c>
      <c r="C838" t="inlineStr">
        <is>
          <t>['H2AK5 acetylation site', 'H2AK5ac']</t>
        </is>
      </c>
    </row>
    <row r="839" ht="15.75" customHeight="1">
      <c r="A839" t="inlineStr">
        <is>
          <t>H2AZK11_acetylation_site</t>
        </is>
      </c>
      <c r="B839" t="inlineStr">
        <is>
          <t>http://identifiers.org/so/SO:0002147</t>
        </is>
      </c>
      <c r="C839" t="inlineStr">
        <is>
          <t>['H2AK9 acetylation site', 'H2AK9ac']</t>
        </is>
      </c>
    </row>
    <row r="840" ht="15.75" customHeight="1">
      <c r="A840" t="inlineStr">
        <is>
          <t>H2AZK13_acetylation_site</t>
        </is>
      </c>
      <c r="B840" t="inlineStr">
        <is>
          <t>http://identifiers.org/so/SO:0002148</t>
        </is>
      </c>
      <c r="C840" t="inlineStr">
        <is>
          <t>['H2A.ZK11ac', 'H2AZK11 acetylation site', 'H2AZK11ac']</t>
        </is>
      </c>
    </row>
    <row r="841" ht="15.75" customHeight="1">
      <c r="A841" t="inlineStr">
        <is>
          <t>H2AZK15_acetylation_site</t>
        </is>
      </c>
      <c r="B841" t="inlineStr">
        <is>
          <t>http://identifiers.org/so/SO:0002149</t>
        </is>
      </c>
      <c r="C841" t="inlineStr">
        <is>
          <t>['H2AZK13ac', 'H2AZK13 acetylation site', 'H2A.ZK13ac']</t>
        </is>
      </c>
    </row>
    <row r="842" ht="15.75" customHeight="1">
      <c r="A842" t="inlineStr">
        <is>
          <t>H2AZK4_acetylation_site</t>
        </is>
      </c>
      <c r="B842" t="inlineStr">
        <is>
          <t>http://identifiers.org/so/SO:0002145</t>
        </is>
      </c>
      <c r="C842" t="inlineStr">
        <is>
          <t>['H2AZK15 acetylation site', 'H2AZK15ac', 'H2A.ZK15ac']</t>
        </is>
      </c>
    </row>
    <row r="843" ht="15.75" customHeight="1">
      <c r="A843" t="inlineStr">
        <is>
          <t>H2AZK7_acetylation_site</t>
        </is>
      </c>
      <c r="B843" t="inlineStr">
        <is>
          <t>http://identifiers.org/so/SO:0002146</t>
        </is>
      </c>
      <c r="C843" t="inlineStr">
        <is>
          <t>['H2AZK4 acetylation site', 'H2A.ZK4ac', 'H2AZK4ac']</t>
        </is>
      </c>
    </row>
    <row r="844" ht="15.75" customHeight="1">
      <c r="A844" t="inlineStr">
        <is>
          <t>H2B_ubiquitination_site</t>
        </is>
      </c>
      <c r="B844" t="inlineStr">
        <is>
          <t>http://identifiers.org/so/SO:0001717</t>
        </is>
      </c>
      <c r="C844" t="inlineStr">
        <is>
          <t>['H2A.ZK7ac', 'H2AZK7ac', 'H2AZK7 acetylation site']</t>
        </is>
      </c>
    </row>
    <row r="845" ht="15.75" customHeight="1">
      <c r="A845" t="inlineStr">
        <is>
          <t>H2BK12_acetylation_site</t>
        </is>
      </c>
      <c r="B845" t="inlineStr">
        <is>
          <t>http://identifiers.org/so/SO:0001937</t>
        </is>
      </c>
      <c r="C845" t="inlineStr">
        <is>
          <t>['H2BUbiq']</t>
        </is>
      </c>
    </row>
    <row r="846" ht="15.75" customHeight="1">
      <c r="A846" t="inlineStr">
        <is>
          <t>H2BK120_acetylation_site</t>
        </is>
      </c>
      <c r="B846" t="inlineStr">
        <is>
          <t>http://identifiers.org/so/SO:0001940</t>
        </is>
      </c>
      <c r="C846" t="inlineStr">
        <is>
          <t>['H2BK12ac', 'H2BK12 acetylation site']</t>
        </is>
      </c>
    </row>
    <row r="847" ht="15.75" customHeight="1">
      <c r="A847" t="inlineStr">
        <is>
          <t>H2BK15_acetylation_site</t>
        </is>
      </c>
      <c r="B847" t="inlineStr">
        <is>
          <t>http://identifiers.org/so/SO:0001946</t>
        </is>
      </c>
      <c r="C847" t="inlineStr">
        <is>
          <t>['H2BK120ac', 'H2BK120 acetylation site']</t>
        </is>
      </c>
    </row>
    <row r="848" ht="15.75" customHeight="1">
      <c r="A848" t="inlineStr">
        <is>
          <t>H2BK20_acetylation_site</t>
        </is>
      </c>
      <c r="B848" t="inlineStr">
        <is>
          <t>http://identifiers.org/so/SO:0001942</t>
        </is>
      </c>
      <c r="C848" t="inlineStr">
        <is>
          <t>['H2BK15ac', 'H2BK15 acetylation site']</t>
        </is>
      </c>
    </row>
    <row r="849" ht="15.75" customHeight="1">
      <c r="A849" t="inlineStr">
        <is>
          <t>H2BK5_acetylation_site</t>
        </is>
      </c>
      <c r="B849" t="inlineStr">
        <is>
          <t>http://identifiers.org/so/SO:0002164</t>
        </is>
      </c>
      <c r="C849" t="inlineStr">
        <is>
          <t>['H2BK20 acetylation site', 'H2BK20ac']</t>
        </is>
      </c>
    </row>
    <row r="850" ht="15.75" customHeight="1">
      <c r="A850" t="inlineStr">
        <is>
          <t>H2BK5_monomethylation_site</t>
        </is>
      </c>
      <c r="B850" t="inlineStr">
        <is>
          <t>http://identifiers.org/so/SO:0001714</t>
        </is>
      </c>
      <c r="C850" t="inlineStr">
        <is>
          <t>['H2BK5ac', 'H2BK5 acetylation site']</t>
        </is>
      </c>
    </row>
    <row r="851" ht="15.75" customHeight="1">
      <c r="A851" t="inlineStr">
        <is>
          <t>H3K14_acetylation_site</t>
        </is>
      </c>
      <c r="B851" t="inlineStr">
        <is>
          <t>http://identifiers.org/so/SO:0001704</t>
        </is>
      </c>
      <c r="C851" t="inlineStr">
        <is>
          <t>['H2BK5 mono-methylation site']</t>
        </is>
      </c>
    </row>
    <row r="852" ht="15.75" customHeight="1">
      <c r="A852" t="inlineStr">
        <is>
          <t>H3K18_acetylation_site</t>
        </is>
      </c>
      <c r="B852" t="inlineStr">
        <is>
          <t>http://identifiers.org/so/SO:0001718</t>
        </is>
      </c>
      <c r="C852" t="inlineStr">
        <is>
          <t>['H3K14 acetylation site', 'H3K14ac']</t>
        </is>
      </c>
    </row>
    <row r="853" ht="15.75" customHeight="1">
      <c r="A853" t="inlineStr">
        <is>
          <t>H3K20_trimethylation_site</t>
        </is>
      </c>
      <c r="B853" t="inlineStr">
        <is>
          <t>http://identifiers.org/so/SO:0001935</t>
        </is>
      </c>
      <c r="C853" t="inlineStr">
        <is>
          <t>['H3K18 acetylation site', 'H3K18ac']</t>
        </is>
      </c>
    </row>
    <row r="854" ht="15.75" customHeight="1">
      <c r="A854" t="inlineStr">
        <is>
          <t>H3K23_acetylation_site</t>
        </is>
      </c>
      <c r="B854" t="inlineStr">
        <is>
          <t>http://identifiers.org/so/SO:0001719</t>
        </is>
      </c>
      <c r="C854" t="inlineStr">
        <is>
          <t>['H3K20 trimethylation site']</t>
        </is>
      </c>
    </row>
    <row r="855" ht="15.75" customHeight="1">
      <c r="A855" t="inlineStr">
        <is>
          <t>H3K23_dimethylation_site</t>
        </is>
      </c>
      <c r="B855" t="inlineStr">
        <is>
          <t>http://identifiers.org/so/SO:0001951</t>
        </is>
      </c>
      <c r="C855" t="inlineStr">
        <is>
          <t>['H3K23 acetylation site', 'H3K23ac']</t>
        </is>
      </c>
    </row>
    <row r="856" ht="15.75" customHeight="1">
      <c r="A856" t="inlineStr">
        <is>
          <t>H3K27_acetylation_site</t>
        </is>
      </c>
      <c r="B856" t="inlineStr">
        <is>
          <t>http://identifiers.org/so/SO:0002049</t>
        </is>
      </c>
      <c r="C856" t="inlineStr">
        <is>
          <t>['H3K23me2', 'H3K23 dimethylation site']</t>
        </is>
      </c>
    </row>
    <row r="857" ht="15.75" customHeight="1">
      <c r="A857" t="inlineStr">
        <is>
          <t>H3K27_acylation_site</t>
        </is>
      </c>
      <c r="B857" t="inlineStr">
        <is>
          <t>http://identifiers.org/so/SO:0001721</t>
        </is>
      </c>
      <c r="C857" t="inlineStr">
        <is>
          <t>['H3K27ac', 'H3K27 acetylation site']</t>
        </is>
      </c>
    </row>
    <row r="858" ht="15.75" customHeight="1">
      <c r="A858" t="inlineStr">
        <is>
          <t>H3K27_dimethylation_site</t>
        </is>
      </c>
      <c r="B858" t="inlineStr">
        <is>
          <t>http://identifiers.org/so/SO:0001726</t>
        </is>
      </c>
      <c r="C858" t="inlineStr">
        <is>
          <t>['H3K27Ac', 'H3K27 acylation site']</t>
        </is>
      </c>
    </row>
    <row r="859" ht="15.75" customHeight="1">
      <c r="A859" t="inlineStr">
        <is>
          <t>H3K27_methylation_site</t>
        </is>
      </c>
      <c r="B859" t="inlineStr">
        <is>
          <t>http://identifiers.org/so/SO:0001732</t>
        </is>
      </c>
      <c r="C859" t="inlineStr">
        <is>
          <t>['H3K27 di-methylation site', 'H3K27Me2']</t>
        </is>
      </c>
    </row>
    <row r="860" ht="15.75" customHeight="1">
      <c r="A860" t="inlineStr">
        <is>
          <t>H3K27_monomethylation_site</t>
        </is>
      </c>
      <c r="B860" t="inlineStr">
        <is>
          <t>http://identifiers.org/so/SO:0001708</t>
        </is>
      </c>
      <c r="C860" t="inlineStr">
        <is>
          <t>['H3K27 methylation site']</t>
        </is>
      </c>
    </row>
    <row r="861" ht="15.75" customHeight="1">
      <c r="A861" t="inlineStr">
        <is>
          <t>H3K27_trimethylation_site</t>
        </is>
      </c>
      <c r="B861" t="inlineStr">
        <is>
          <t>http://identifiers.org/so/SO:0001709</t>
        </is>
      </c>
      <c r="C861" t="inlineStr">
        <is>
          <t>['H2K27Me1', 'H2K27 mono-methylation site']</t>
        </is>
      </c>
    </row>
    <row r="862" ht="15.75" customHeight="1">
      <c r="A862" t="inlineStr">
        <is>
          <t>H3K36_acetylation_site</t>
        </is>
      </c>
      <c r="B862" t="inlineStr">
        <is>
          <t>http://identifiers.org/so/SO:0001936</t>
        </is>
      </c>
      <c r="C862" t="inlineStr">
        <is>
          <t>['H3K27Me3', 'H3K27 tri-methylation site']</t>
        </is>
      </c>
    </row>
    <row r="863" ht="15.75" customHeight="1">
      <c r="A863" t="inlineStr">
        <is>
          <t>H3K36_dimethylation_site</t>
        </is>
      </c>
      <c r="B863" t="inlineStr">
        <is>
          <t>http://identifiers.org/so/SO:0001723</t>
        </is>
      </c>
      <c r="C863" t="inlineStr">
        <is>
          <t>['H3K36 acetylation site', 'H3K36ac']</t>
        </is>
      </c>
    </row>
    <row r="864" ht="15.75" customHeight="1">
      <c r="A864" t="inlineStr">
        <is>
          <t>H3K36_methylation_site</t>
        </is>
      </c>
      <c r="B864" t="inlineStr">
        <is>
          <t>http://identifiers.org/so/SO:0001733</t>
        </is>
      </c>
      <c r="C864" t="inlineStr">
        <is>
          <t>['H3K36 di-methylation site', 'H3K36Me2']</t>
        </is>
      </c>
    </row>
    <row r="865" ht="15.75" customHeight="1">
      <c r="A865" t="inlineStr">
        <is>
          <t>H3K36_monomethylation_site</t>
        </is>
      </c>
      <c r="B865" t="inlineStr">
        <is>
          <t>http://identifiers.org/so/SO:0001722</t>
        </is>
      </c>
      <c r="C865" t="inlineStr">
        <is>
          <t>['H3K36 methylation site']</t>
        </is>
      </c>
    </row>
    <row r="866" ht="15.75" customHeight="1">
      <c r="A866" t="inlineStr">
        <is>
          <t>H3K36_trimethylation_site</t>
        </is>
      </c>
      <c r="B866" t="inlineStr">
        <is>
          <t>http://identifiers.org/so/SO:0001724</t>
        </is>
      </c>
      <c r="C866" t="inlineStr">
        <is>
          <t>['H3K36 mono-methylation site', 'H3K36Me1']</t>
        </is>
      </c>
    </row>
    <row r="867" ht="15.75" customHeight="1">
      <c r="A867" t="inlineStr">
        <is>
          <t>H3K4_acetylation_site</t>
        </is>
      </c>
      <c r="B867" t="inlineStr">
        <is>
          <t>http://identifiers.org/so/SO:0001943</t>
        </is>
      </c>
      <c r="C867" t="inlineStr">
        <is>
          <t>['H3K36 tri-methylation site', 'H3K36Me3']</t>
        </is>
      </c>
    </row>
    <row r="868" ht="15.75" customHeight="1">
      <c r="A868" t="inlineStr">
        <is>
          <t>H3K4_dimethylation_site</t>
        </is>
      </c>
      <c r="B868" t="inlineStr">
        <is>
          <t>http://identifiers.org/so/SO:0001725</t>
        </is>
      </c>
      <c r="C868" t="inlineStr">
        <is>
          <t>['H3K4ac', 'H3K4 acetylation site']</t>
        </is>
      </c>
    </row>
    <row r="869" ht="15.75" customHeight="1">
      <c r="A869" t="inlineStr">
        <is>
          <t>H3K4_methylation_site</t>
        </is>
      </c>
      <c r="B869" t="inlineStr">
        <is>
          <t>http://identifiers.org/so/SO:0001734</t>
        </is>
      </c>
      <c r="C869" t="inlineStr">
        <is>
          <t>['H3K4 di-methylation site', 'H3K4Me2']</t>
        </is>
      </c>
    </row>
    <row r="870" ht="15.75" customHeight="1">
      <c r="A870" t="inlineStr">
        <is>
          <t>H3K4_monomethylation_site</t>
        </is>
      </c>
      <c r="B870" t="inlineStr">
        <is>
          <t>http://identifiers.org/so/SO:0001705</t>
        </is>
      </c>
      <c r="C870" t="inlineStr">
        <is>
          <t>['H3K4 methylation site']</t>
        </is>
      </c>
    </row>
    <row r="871" ht="15.75" customHeight="1">
      <c r="A871" t="inlineStr">
        <is>
          <t>H3K4_trimethylation</t>
        </is>
      </c>
      <c r="B871" t="inlineStr">
        <is>
          <t>http://identifiers.org/so/SO:0001706</t>
        </is>
      </c>
      <c r="C871" t="inlineStr">
        <is>
          <t>['H3K4me1', 'H3K4 mono-methylation site']</t>
        </is>
      </c>
    </row>
    <row r="872" ht="15.75" customHeight="1">
      <c r="A872" t="inlineStr">
        <is>
          <t>H3K56_acetylation_site</t>
        </is>
      </c>
      <c r="B872" t="inlineStr">
        <is>
          <t>http://identifiers.org/so/SO:0001945</t>
        </is>
      </c>
      <c r="C872" t="inlineStr">
        <is>
          <t>['H3K4 tri-methylation', 'H3K4me3']</t>
        </is>
      </c>
    </row>
    <row r="873" ht="15.75" customHeight="1">
      <c r="A873" t="inlineStr">
        <is>
          <t>H3K79_dimethylation_site</t>
        </is>
      </c>
      <c r="B873" t="inlineStr">
        <is>
          <t>http://identifiers.org/so/SO:0001711</t>
        </is>
      </c>
      <c r="C873" t="inlineStr">
        <is>
          <t>['H3K56 acetylation site', 'H3K56ac']</t>
        </is>
      </c>
    </row>
    <row r="874" ht="15.75" customHeight="1">
      <c r="A874" t="inlineStr">
        <is>
          <t>H3K79_methylation_site</t>
        </is>
      </c>
      <c r="B874" t="inlineStr">
        <is>
          <t>http://identifiers.org/so/SO:0001735</t>
        </is>
      </c>
      <c r="C874" t="inlineStr">
        <is>
          <t>['H3K79Me2', 'H3K79 di-methylation site']</t>
        </is>
      </c>
    </row>
    <row r="875" ht="15.75" customHeight="1">
      <c r="A875" t="inlineStr">
        <is>
          <t>H3K79_monomethylation_site</t>
        </is>
      </c>
      <c r="B875" t="inlineStr">
        <is>
          <t>http://identifiers.org/so/SO:0001710</t>
        </is>
      </c>
      <c r="C875" t="inlineStr">
        <is>
          <t>['H3K79 methylation site']</t>
        </is>
      </c>
    </row>
    <row r="876" ht="15.75" customHeight="1">
      <c r="A876" t="inlineStr">
        <is>
          <t>H3K79_trimethylation_site</t>
        </is>
      </c>
      <c r="B876" t="inlineStr">
        <is>
          <t>http://identifiers.org/so/SO:0001712</t>
        </is>
      </c>
      <c r="C876" t="inlineStr">
        <is>
          <t>['H3K79 mono-methylation site', 'H3K79me1']</t>
        </is>
      </c>
    </row>
    <row r="877" ht="15.75" customHeight="1">
      <c r="A877" t="inlineStr">
        <is>
          <t>H3K9_acetylation_site</t>
        </is>
      </c>
      <c r="B877" t="inlineStr">
        <is>
          <t>http://identifiers.org/so/SO:0001703</t>
        </is>
      </c>
      <c r="C877" t="inlineStr">
        <is>
          <t>['H3K79Me3', 'H3K79 tri-methylation site']</t>
        </is>
      </c>
    </row>
    <row r="878" ht="15.75" customHeight="1">
      <c r="A878" t="inlineStr">
        <is>
          <t>H3K9_dimethylation_site</t>
        </is>
      </c>
      <c r="B878" t="inlineStr">
        <is>
          <t>http://identifiers.org/so/SO:0001728</t>
        </is>
      </c>
      <c r="C878" t="inlineStr">
        <is>
          <t>['H3K9ac', 'H3K9 acetylation site']</t>
        </is>
      </c>
    </row>
    <row r="879" ht="15.75" customHeight="1">
      <c r="A879" t="inlineStr">
        <is>
          <t>H3K9_methylation_site</t>
        </is>
      </c>
      <c r="B879" t="inlineStr">
        <is>
          <t>http://identifiers.org/so/SO:0001736</t>
        </is>
      </c>
      <c r="C879" t="inlineStr">
        <is>
          <t>['H3K9Me2', 'H3K9 di-methylation site']</t>
        </is>
      </c>
    </row>
    <row r="880" ht="15.75" customHeight="1">
      <c r="A880" t="inlineStr">
        <is>
          <t>H3K9_monomethylation_site</t>
        </is>
      </c>
      <c r="B880" t="inlineStr">
        <is>
          <t>http://identifiers.org/so/SO:0001727</t>
        </is>
      </c>
      <c r="C880" t="inlineStr">
        <is>
          <t>['H3K9 methylation site']</t>
        </is>
      </c>
    </row>
    <row r="881" ht="15.75" customHeight="1">
      <c r="A881" t="inlineStr">
        <is>
          <t>H3K9_trimethylation_site</t>
        </is>
      </c>
      <c r="B881" t="inlineStr">
        <is>
          <t>http://identifiers.org/so/SO:0001707</t>
        </is>
      </c>
      <c r="C881" t="inlineStr">
        <is>
          <t>['H3K9Me1', 'H3K9 mono-methylation site']</t>
        </is>
      </c>
    </row>
    <row r="882" ht="15.75" customHeight="1">
      <c r="A882" t="inlineStr">
        <is>
          <t>H3R2_dimethylation_site</t>
        </is>
      </c>
      <c r="B882" t="inlineStr">
        <is>
          <t>http://identifiers.org/so/SO:0001948</t>
        </is>
      </c>
      <c r="C882" t="inlineStr">
        <is>
          <t>['H3K9Me3', 'H3K9 tri-methylation site']</t>
        </is>
      </c>
    </row>
    <row r="883" ht="15.75" customHeight="1">
      <c r="A883" t="inlineStr">
        <is>
          <t>H3R2_monomethylation_site</t>
        </is>
      </c>
      <c r="B883" t="inlineStr">
        <is>
          <t>http://identifiers.org/so/SO:0001947</t>
        </is>
      </c>
      <c r="C883" t="inlineStr">
        <is>
          <t>['H3R2me2', 'H3R2 dimethylation site']</t>
        </is>
      </c>
    </row>
    <row r="884" ht="15.75" customHeight="1">
      <c r="A884" t="inlineStr">
        <is>
          <t>H4K_acylation_region</t>
        </is>
      </c>
      <c r="B884" t="inlineStr">
        <is>
          <t>http://identifiers.org/so/SO:0001738</t>
        </is>
      </c>
      <c r="C884" t="inlineStr">
        <is>
          <t>[' H3R2me1', 'H3R2 monomethylation site']</t>
        </is>
      </c>
    </row>
    <row r="885" ht="15.75" customHeight="1">
      <c r="A885" t="inlineStr">
        <is>
          <t>H4K12_acetylation_site</t>
        </is>
      </c>
      <c r="B885" t="inlineStr">
        <is>
          <t>http://identifiers.org/so/SO:0001939</t>
        </is>
      </c>
      <c r="C885" t="inlineStr">
        <is>
          <t>['H4K acylation region', 'H4KAc']</t>
        </is>
      </c>
    </row>
    <row r="886" ht="15.75" customHeight="1">
      <c r="A886" t="inlineStr">
        <is>
          <t>H4K16_acetylation_site</t>
        </is>
      </c>
      <c r="B886" t="inlineStr">
        <is>
          <t>http://identifiers.org/so/SO:0001729</t>
        </is>
      </c>
      <c r="C886" t="inlineStr">
        <is>
          <t>['H4K12 acetylation site', 'H4K12ac']</t>
        </is>
      </c>
    </row>
    <row r="887" ht="15.75" customHeight="1">
      <c r="A887" t="inlineStr">
        <is>
          <t>H4K20_monomethylation_site</t>
        </is>
      </c>
      <c r="B887" t="inlineStr">
        <is>
          <t>http://identifiers.org/so/SO:0001713</t>
        </is>
      </c>
      <c r="C887" t="inlineStr">
        <is>
          <t>['H4K16 acetylation site', 'H4K16ac']</t>
        </is>
      </c>
    </row>
    <row r="888" ht="15.75" customHeight="1">
      <c r="A888" t="inlineStr">
        <is>
          <t>H4K4_trimethylation_site</t>
        </is>
      </c>
      <c r="B888" t="inlineStr">
        <is>
          <t>http://identifiers.org/so/SO:0001950</t>
        </is>
      </c>
      <c r="C888" t="inlineStr">
        <is>
          <t>['H4K20 mono-methylation site', 'H4K20Me1']</t>
        </is>
      </c>
    </row>
    <row r="889" ht="15.75" customHeight="1">
      <c r="A889" t="inlineStr">
        <is>
          <t>H4K5_acetylation_site</t>
        </is>
      </c>
      <c r="B889" t="inlineStr">
        <is>
          <t>http://identifiers.org/so/SO:0001730</t>
        </is>
      </c>
      <c r="C889" t="inlineStr">
        <is>
          <t>[' H4K4me3', 'H4K4 trimethylation site']</t>
        </is>
      </c>
    </row>
    <row r="890" ht="15.75" customHeight="1">
      <c r="A890" t="inlineStr">
        <is>
          <t>H4K8_acetylation_site</t>
        </is>
      </c>
      <c r="B890" t="inlineStr">
        <is>
          <t>http://identifiers.org/so/SO:0001731</t>
        </is>
      </c>
      <c r="C890" t="inlineStr">
        <is>
          <t>['H4K5 acetylation site', 'H4K5ac']</t>
        </is>
      </c>
    </row>
    <row r="891" ht="15.75" customHeight="1">
      <c r="A891" t="inlineStr">
        <is>
          <t>H4K91_acetylation_site</t>
        </is>
      </c>
      <c r="B891" t="inlineStr">
        <is>
          <t>http://identifiers.org/so/SO:0001941</t>
        </is>
      </c>
      <c r="C891" t="inlineStr">
        <is>
          <t>['H4K8ac', 'H4K8 acetylation site']</t>
        </is>
      </c>
    </row>
    <row r="892" ht="15.75" customHeight="1">
      <c r="A892" t="inlineStr">
        <is>
          <t>H4R3_dimethylation_site</t>
        </is>
      </c>
      <c r="B892" t="inlineStr">
        <is>
          <t>http://identifiers.org/so/SO:0001949</t>
        </is>
      </c>
      <c r="C892" t="inlineStr">
        <is>
          <t>['H4K91 acetylation site', 'H4K91ac']</t>
        </is>
      </c>
    </row>
    <row r="893" ht="15.75" customHeight="1">
      <c r="A893" t="inlineStr">
        <is>
          <t>hammerhead_ribozyme</t>
        </is>
      </c>
      <c r="B893" t="inlineStr">
        <is>
          <t>http://identifiers.org/so/SO:0000380</t>
        </is>
      </c>
      <c r="C893" t="inlineStr">
        <is>
          <t>['H4R3 dimethylation site', 'H4R3me2']</t>
        </is>
      </c>
    </row>
    <row r="894" ht="15.75" customHeight="1">
      <c r="A894" t="inlineStr">
        <is>
          <t>haplotype</t>
        </is>
      </c>
      <c r="B894" t="inlineStr">
        <is>
          <t>http://identifiers.org/so/SO:0001024</t>
        </is>
      </c>
      <c r="C894" t="inlineStr">
        <is>
          <t>['INSDC_qualifier:hammerhead_ribozyme', 'hammerhead ribozyme', 'INSDC_feature:ncRNA']</t>
        </is>
      </c>
    </row>
    <row r="895" ht="15.75" customHeight="1">
      <c r="A895" t="inlineStr">
        <is>
          <t>haplotype_block</t>
        </is>
      </c>
      <c r="B895" t="inlineStr">
        <is>
          <t>http://identifiers.org/so/SO:0000355</t>
        </is>
      </c>
    </row>
    <row r="896" ht="15.75" customHeight="1">
      <c r="A896" t="inlineStr">
        <is>
          <t>hAT_TIR_transposon</t>
        </is>
      </c>
      <c r="B896" t="inlineStr">
        <is>
          <t>http://identifiers.org/so/SO:0002279</t>
        </is>
      </c>
      <c r="C896" t="inlineStr">
        <is>
          <t>['haplotype block']</t>
        </is>
      </c>
    </row>
    <row r="897" ht="15.75" customHeight="1">
      <c r="A897" t="inlineStr">
        <is>
          <t>helitron</t>
        </is>
      </c>
      <c r="B897" t="inlineStr">
        <is>
          <t>http://identifiers.org/so/SO:0000544</t>
        </is>
      </c>
      <c r="C897" t="inlineStr">
        <is>
          <t>['hAT-Ac transposon', 'Ac transposon', 'hAT TIR transposon', 'Ac/Ds transposon', 'hAT transposon', 'Ds transposon', 'DTA transposon']</t>
        </is>
      </c>
    </row>
    <row r="898" ht="15.75" customHeight="1">
      <c r="A898" t="inlineStr">
        <is>
          <t>helix_turn_helix</t>
        </is>
      </c>
      <c r="B898" t="inlineStr">
        <is>
          <t>http://identifiers.org/so/SO:0001081</t>
        </is>
      </c>
      <c r="C898" t="inlineStr">
        <is>
          <t>['ISCR']</t>
        </is>
      </c>
    </row>
    <row r="899" ht="15.75" customHeight="1">
      <c r="A899" t="inlineStr">
        <is>
          <t>heptamer_of_recombination_feature_of_vertebrate_immune_system_gene</t>
        </is>
      </c>
      <c r="B899" t="inlineStr">
        <is>
          <t>http://identifiers.org/so/SO:0000561</t>
        </is>
      </c>
      <c r="C899" t="inlineStr">
        <is>
          <t>['helix turn helix', 'helix-turn-helix', 'HTH']</t>
        </is>
      </c>
    </row>
    <row r="900" ht="15.75" customHeight="1">
      <c r="A900" t="inlineStr">
        <is>
          <t>heritable_phenotypic_marker</t>
        </is>
      </c>
      <c r="B900" t="inlineStr">
        <is>
          <t>http://identifiers.org/so/SO:0001500</t>
        </is>
      </c>
      <c r="C900" t="inlineStr">
        <is>
          <t>['HEPTAMER', 'heptamer of recombination feature of vertebrate immune system gene']</t>
        </is>
      </c>
    </row>
    <row r="901" ht="15.75" customHeight="1">
      <c r="A901" t="inlineStr">
        <is>
          <t>HERV_deletion</t>
        </is>
      </c>
      <c r="B901" t="inlineStr">
        <is>
          <t>http://identifiers.org/so/SO:0002067</t>
        </is>
      </c>
      <c r="C901" t="inlineStr">
        <is>
          <t>['phenotypic marker', 'heritable phenotypic marker']</t>
        </is>
      </c>
    </row>
    <row r="902" ht="15.75" customHeight="1">
      <c r="A902" t="inlineStr">
        <is>
          <t>HERV_insertion</t>
        </is>
      </c>
      <c r="B902" t="inlineStr">
        <is>
          <t>http://identifiers.org/so/SO:0002187</t>
        </is>
      </c>
      <c r="C902" t="inlineStr">
        <is>
          <t>['HERV deletion']</t>
        </is>
      </c>
    </row>
    <row r="903" ht="15.75" customHeight="1">
      <c r="A903" t="inlineStr">
        <is>
          <t>hetero_compound_chromosome</t>
        </is>
      </c>
      <c r="B903" t="inlineStr">
        <is>
          <t>http://identifiers.org/so/SO:1000140</t>
        </is>
      </c>
      <c r="C903" t="inlineStr">
        <is>
          <t>['HERV insertion']</t>
        </is>
      </c>
    </row>
    <row r="904" ht="15.75" customHeight="1">
      <c r="A904" t="inlineStr">
        <is>
          <t>high_identity_region</t>
        </is>
      </c>
      <c r="B904" t="inlineStr">
        <is>
          <t>http://identifiers.org/so/SO:0001502</t>
        </is>
      </c>
      <c r="C904" t="inlineStr">
        <is>
          <t>['hetero-compound chromosome', 'hetero compound chromosome']</t>
        </is>
      </c>
    </row>
    <row r="905" ht="15.75" customHeight="1">
      <c r="A905" t="inlineStr">
        <is>
          <t>high_quality_draft</t>
        </is>
      </c>
      <c r="B905" t="inlineStr">
        <is>
          <t>http://identifiers.org/so/SO:0001487</t>
        </is>
      </c>
      <c r="C905" t="inlineStr">
        <is>
          <t>['high identity region']</t>
        </is>
      </c>
    </row>
    <row r="906" ht="15.75" customHeight="1">
      <c r="A906" t="inlineStr">
        <is>
          <t>histidine</t>
        </is>
      </c>
      <c r="B906" t="inlineStr">
        <is>
          <t>http://identifiers.org/so/SO:0001452</t>
        </is>
      </c>
      <c r="C906" t="inlineStr">
        <is>
          <t>['high quality draft']</t>
        </is>
      </c>
    </row>
    <row r="907" ht="15.75" customHeight="1">
      <c r="A907" t="inlineStr">
        <is>
          <t>histidine_tRNA_primary_transcript</t>
        </is>
      </c>
      <c r="B907" t="inlineStr">
        <is>
          <t>http://identifiers.org/so/SO:0000219</t>
        </is>
      </c>
      <c r="C907" t="inlineStr">
        <is>
          <t>['His', 'H']</t>
        </is>
      </c>
    </row>
    <row r="908" ht="15.75" customHeight="1">
      <c r="A908" t="inlineStr">
        <is>
          <t>histidyl_tRNA</t>
        </is>
      </c>
      <c r="B908" t="inlineStr">
        <is>
          <t>http://identifiers.org/so/SO:0000262</t>
        </is>
      </c>
      <c r="C908" t="inlineStr">
        <is>
          <t>['histidine tRNA primary transcript']</t>
        </is>
      </c>
    </row>
    <row r="909" ht="15.75" customHeight="1">
      <c r="A909" t="inlineStr">
        <is>
          <t>histone_2A_acetylation_site</t>
        </is>
      </c>
      <c r="B909" t="inlineStr">
        <is>
          <t>http://identifiers.org/so/SO:0002142</t>
        </is>
      </c>
      <c r="C909" t="inlineStr">
        <is>
          <t>['histidyl tRNA', 'histidyl-transfer ribonucleic acid', 'histidyl-transfer RNA']</t>
        </is>
      </c>
    </row>
    <row r="910" ht="15.75" customHeight="1">
      <c r="A910" t="inlineStr">
        <is>
          <t>histone_2AZ_acetylation_site</t>
        </is>
      </c>
      <c r="B910" t="inlineStr">
        <is>
          <t>http://identifiers.org/so/SO:0002144</t>
        </is>
      </c>
      <c r="C910" t="inlineStr">
        <is>
          <t>['H2Aac', 'histone 2A acetylation site']</t>
        </is>
      </c>
    </row>
    <row r="911" ht="15.75" customHeight="1">
      <c r="A911" t="inlineStr">
        <is>
          <t>histone_2B_acetylation_site</t>
        </is>
      </c>
      <c r="B911" t="inlineStr">
        <is>
          <t>http://identifiers.org/so/SO:0002143</t>
        </is>
      </c>
      <c r="C911" t="inlineStr">
        <is>
          <t>['histone 2AZ acetylation site', 'H2A.Zac', 'H2AZac']</t>
        </is>
      </c>
    </row>
    <row r="912" ht="15.75" customHeight="1">
      <c r="A912" t="inlineStr">
        <is>
          <t>histone_3_acetylation_site</t>
        </is>
      </c>
      <c r="B912" t="inlineStr">
        <is>
          <t>http://identifiers.org/so/SO:0001973</t>
        </is>
      </c>
      <c r="C912" t="inlineStr">
        <is>
          <t>['H2Bac', 'histone 2B acetylation site']</t>
        </is>
      </c>
    </row>
    <row r="913" ht="15.75" customHeight="1">
      <c r="A913" t="inlineStr">
        <is>
          <t>histone_4_acetylation_site</t>
        </is>
      </c>
      <c r="B913" t="inlineStr">
        <is>
          <t>http://identifiers.org/so/SO:0001972</t>
        </is>
      </c>
      <c r="C913" t="inlineStr">
        <is>
          <t>['histone 3 acetylation site', 'H3ac']</t>
        </is>
      </c>
    </row>
    <row r="914" ht="15.75" customHeight="1">
      <c r="A914" t="inlineStr">
        <is>
          <t>histone_acetylation_site</t>
        </is>
      </c>
      <c r="B914" t="inlineStr">
        <is>
          <t>http://identifiers.org/so/SO:0001702</t>
        </is>
      </c>
      <c r="C914" t="inlineStr">
        <is>
          <t>['H4ac', 'histone 4 acetylation site']</t>
        </is>
      </c>
    </row>
    <row r="915" ht="15.75" customHeight="1">
      <c r="A915" t="inlineStr">
        <is>
          <t>histone_acylation_region</t>
        </is>
      </c>
      <c r="B915" t="inlineStr">
        <is>
          <t>http://identifiers.org/so/SO:0001737</t>
        </is>
      </c>
      <c r="C915" t="inlineStr">
        <is>
          <t>['histone acetylation', 'histone acetylation site']</t>
        </is>
      </c>
    </row>
    <row r="916" ht="15.75" customHeight="1">
      <c r="A916" t="inlineStr">
        <is>
          <t>histone_binding_site</t>
        </is>
      </c>
      <c r="B916" t="inlineStr">
        <is>
          <t>http://identifiers.org/so/SO:0001383</t>
        </is>
      </c>
      <c r="C916" t="inlineStr">
        <is>
          <t>['histone acylation region']</t>
        </is>
      </c>
    </row>
    <row r="917" ht="15.75" customHeight="1">
      <c r="A917" t="inlineStr">
        <is>
          <t>histone_methylation_site</t>
        </is>
      </c>
      <c r="B917" t="inlineStr">
        <is>
          <t>http://identifiers.org/so/SO:0001701</t>
        </is>
      </c>
      <c r="C917" t="inlineStr">
        <is>
          <t>['histone binding site']</t>
        </is>
      </c>
    </row>
    <row r="918" ht="15.75" customHeight="1">
      <c r="A918" t="inlineStr">
        <is>
          <t>histone_modification</t>
        </is>
      </c>
      <c r="B918" t="inlineStr">
        <is>
          <t>http://identifiers.org/so/SO:0001700</t>
        </is>
      </c>
      <c r="C918" t="inlineStr">
        <is>
          <t>['histone methylation site', 'histone methylation']</t>
        </is>
      </c>
    </row>
    <row r="919" ht="15.75" customHeight="1">
      <c r="A919" t="inlineStr">
        <is>
          <t>histone_ubiqitination_site</t>
        </is>
      </c>
      <c r="B919" t="inlineStr">
        <is>
          <t>http://identifiers.org/so/SO:0001716</t>
        </is>
      </c>
      <c r="C919" t="inlineStr">
        <is>
          <t>['histone modification site', 'histone modification']</t>
        </is>
      </c>
    </row>
    <row r="920" ht="15.75" customHeight="1">
      <c r="A920" t="inlineStr">
        <is>
          <t>homing_endonuclease_binding_site</t>
        </is>
      </c>
      <c r="B920" t="inlineStr">
        <is>
          <t>http://identifiers.org/so/SO:0001257</t>
        </is>
      </c>
      <c r="C920" t="inlineStr">
        <is>
          <t>['histone ubiquitination site']</t>
        </is>
      </c>
    </row>
    <row r="921" ht="15.75" customHeight="1">
      <c r="A921" t="inlineStr">
        <is>
          <t>homo_compound_chromosome</t>
        </is>
      </c>
      <c r="B921" t="inlineStr">
        <is>
          <t>http://identifiers.org/so/SO:1000138</t>
        </is>
      </c>
      <c r="C921" t="inlineStr">
        <is>
          <t>['homing endonuclease binding site']</t>
        </is>
      </c>
    </row>
    <row r="922" ht="15.75" customHeight="1">
      <c r="A922" t="inlineStr">
        <is>
          <t>homol_D_box</t>
        </is>
      </c>
      <c r="B922" t="inlineStr">
        <is>
          <t>http://identifiers.org/so/SO:0001848</t>
        </is>
      </c>
      <c r="C922" t="inlineStr">
        <is>
          <t>['homo compound chromosome', 'homo-compound chromosome']</t>
        </is>
      </c>
    </row>
    <row r="923" ht="15.75" customHeight="1">
      <c r="A923" t="inlineStr">
        <is>
          <t>homol_E_box</t>
        </is>
      </c>
      <c r="B923" t="inlineStr">
        <is>
          <t>http://identifiers.org/so/SO:0001849</t>
        </is>
      </c>
      <c r="C923" t="inlineStr">
        <is>
          <t>['homoID', 'homol D box']</t>
        </is>
      </c>
    </row>
    <row r="924" ht="15.75" customHeight="1">
      <c r="A924" t="inlineStr">
        <is>
          <t>homologous</t>
        </is>
      </c>
      <c r="B924" t="inlineStr">
        <is>
          <t>http://identifiers.org/so/SO:0000857</t>
        </is>
      </c>
      <c r="C924" t="inlineStr">
        <is>
          <t>['homol E box']</t>
        </is>
      </c>
    </row>
    <row r="925" ht="15.75" customHeight="1">
      <c r="A925" t="inlineStr">
        <is>
          <t>homologous_chromosome_recognition_and_pairing_locus</t>
        </is>
      </c>
      <c r="B925" t="inlineStr">
        <is>
          <t>http://identifiers.org/so/SO:0002233</t>
        </is>
      </c>
    </row>
    <row r="926" ht="15.75" customHeight="1">
      <c r="A926" t="inlineStr">
        <is>
          <t>homologous_region</t>
        </is>
      </c>
      <c r="B926" t="inlineStr">
        <is>
          <t>http://identifiers.org/so/SO:0000853</t>
        </is>
      </c>
      <c r="C926" t="inlineStr">
        <is>
          <t>['homologous chromosome recognition and pairing locus']</t>
        </is>
      </c>
    </row>
    <row r="927" ht="15.75" customHeight="1">
      <c r="A927" t="inlineStr">
        <is>
          <t>Hoogsteen_base_pair</t>
        </is>
      </c>
      <c r="B927" t="inlineStr">
        <is>
          <t>http://identifiers.org/so/SO:0000500</t>
        </is>
      </c>
      <c r="C927" t="inlineStr">
        <is>
          <t>['homologous region', 'homolog', 'homologue']</t>
        </is>
      </c>
    </row>
    <row r="928" ht="15.75" customHeight="1">
      <c r="A928" t="inlineStr">
        <is>
          <t>HSE</t>
        </is>
      </c>
      <c r="B928" t="inlineStr">
        <is>
          <t>http://identifiers.org/so/SO:0001850</t>
        </is>
      </c>
      <c r="C928" t="inlineStr">
        <is>
          <t>['Hoogsteen base pair']</t>
        </is>
      </c>
    </row>
    <row r="929" ht="15.75" customHeight="1">
      <c r="A929" t="inlineStr">
        <is>
          <t>hydrophobic_region_of_peptide</t>
        </is>
      </c>
      <c r="B929" t="inlineStr">
        <is>
          <t>http://identifiers.org/so/SO:0100013</t>
        </is>
      </c>
      <c r="C929" t="inlineStr">
        <is>
          <t>['heat shock element']</t>
        </is>
      </c>
    </row>
    <row r="930" ht="15.75" customHeight="1">
      <c r="A930" t="inlineStr">
        <is>
          <t>hydroxywybutosine</t>
        </is>
      </c>
      <c r="B930" t="inlineStr">
        <is>
          <t>http://identifiers.org/so/SO:0001334</t>
        </is>
      </c>
      <c r="C930" t="inlineStr">
        <is>
          <t>['hydrophobic region of peptide', 'hydropathic', 'hydrophobicity', 'hydrophobic_region']</t>
        </is>
      </c>
    </row>
    <row r="931" ht="15.75" customHeight="1">
      <c r="A931" t="inlineStr">
        <is>
          <t>hyperploid</t>
        </is>
      </c>
      <c r="B931" t="inlineStr">
        <is>
          <t>http://identifiers.org/so/SO:0000055</t>
        </is>
      </c>
      <c r="C931" t="inlineStr">
        <is>
          <t>['OHyW']</t>
        </is>
      </c>
    </row>
    <row r="932" ht="15.75" customHeight="1">
      <c r="A932" t="inlineStr">
        <is>
          <t>hypoploid</t>
        </is>
      </c>
      <c r="B932" t="inlineStr">
        <is>
          <t>http://identifiers.org/so/SO:0000056</t>
        </is>
      </c>
    </row>
    <row r="933" ht="15.75" customHeight="1">
      <c r="A933" t="inlineStr">
        <is>
          <t>I_LINE_retrotransposon</t>
        </is>
      </c>
      <c r="B933" t="inlineStr">
        <is>
          <t>http://identifiers.org/so/SO:0002273</t>
        </is>
      </c>
    </row>
    <row r="934" ht="15.75" customHeight="1">
      <c r="A934" t="inlineStr">
        <is>
          <t>i_motif</t>
        </is>
      </c>
      <c r="B934" t="inlineStr">
        <is>
          <t>http://identifiers.org/so/SO:0001010</t>
        </is>
      </c>
      <c r="C934" t="inlineStr">
        <is>
          <t>['I LINE retrotransposon', 'LINE I element', 'RII retrotransposon']</t>
        </is>
      </c>
    </row>
    <row r="935" ht="15.75" customHeight="1">
      <c r="A935" t="inlineStr">
        <is>
          <t>I-box</t>
        </is>
      </c>
      <c r="B935" t="inlineStr">
        <is>
          <t>http://identifiers.org/so/SO:0001982</t>
        </is>
      </c>
      <c r="C935" t="inlineStr">
        <is>
          <t>['i motif', 'short intercalated motif']</t>
        </is>
      </c>
    </row>
    <row r="936" ht="15.75" customHeight="1">
      <c r="A936" t="inlineStr">
        <is>
          <t>iDNA</t>
        </is>
      </c>
      <c r="B936" t="inlineStr">
        <is>
          <t>http://identifiers.org/so/SO:0000723</t>
        </is>
      </c>
      <c r="C936" t="inlineStr">
        <is>
          <t>['I-box promoter motif']</t>
        </is>
      </c>
    </row>
    <row r="937" ht="15.75" customHeight="1">
      <c r="A937" t="inlineStr">
        <is>
          <t>IG_C_gene</t>
        </is>
      </c>
      <c r="B937" t="inlineStr">
        <is>
          <t>http://identifiers.org/so/SO:0002123</t>
        </is>
      </c>
      <c r="C937" t="inlineStr">
        <is>
          <t>['INSDC_feature:iDNA', 'intervening DNA']</t>
        </is>
      </c>
    </row>
    <row r="938" ht="15.75" customHeight="1">
      <c r="A938" t="inlineStr">
        <is>
          <t>IG_C_pseudogene</t>
        </is>
      </c>
      <c r="B938" t="inlineStr">
        <is>
          <t>http://identifiers.org/so/SO:0002100</t>
        </is>
      </c>
      <c r="C938" t="inlineStr">
        <is>
          <t>['Immunoglobulin_Constant_germline_Gene', 'IGC_gene', 'immunoglobulin_C_gene']</t>
        </is>
      </c>
    </row>
    <row r="939" ht="15.75" customHeight="1">
      <c r="A939" t="inlineStr">
        <is>
          <t>IG_D_gene</t>
        </is>
      </c>
      <c r="B939" t="inlineStr">
        <is>
          <t>http://identifiers.org/so/SO:0002124</t>
        </is>
      </c>
      <c r="C939" t="inlineStr">
        <is>
          <t>['IG C pseudogene']</t>
        </is>
      </c>
    </row>
    <row r="940" ht="15.75" customHeight="1">
      <c r="A940" t="inlineStr">
        <is>
          <t>IG_J_gene</t>
        </is>
      </c>
      <c r="B940" t="inlineStr">
        <is>
          <t>http://identifiers.org/so/SO:0002125</t>
        </is>
      </c>
      <c r="C940" t="inlineStr">
        <is>
          <t>['immunoglobulin_D_gene', 'IGD_gene', 'Immunoglobulin_Diversity_ gene']</t>
        </is>
      </c>
    </row>
    <row r="941" ht="15.75" customHeight="1">
      <c r="A941" t="inlineStr">
        <is>
          <t>IG_J_pseudogene</t>
        </is>
      </c>
      <c r="B941" t="inlineStr">
        <is>
          <t>http://identifiers.org/so/SO:0002101</t>
        </is>
      </c>
      <c r="C941" t="inlineStr">
        <is>
          <t>['immunoglobulin_J_gene', 'Immunoglobulin_Joining_Gene', 'IG_joining_gene']</t>
        </is>
      </c>
    </row>
    <row r="942" ht="15.75" customHeight="1">
      <c r="A942" t="inlineStr">
        <is>
          <t>IG_V_gene</t>
        </is>
      </c>
      <c r="B942" t="inlineStr">
        <is>
          <t>http://identifiers.org/so/SO:0002126</t>
        </is>
      </c>
      <c r="C942" t="inlineStr">
        <is>
          <t>['IG J pseudogene', 'IG joining pseudogene', 'IG_joining_pseudogene', 'Immunoglobulin Joining Pseudogene', 'Immunoglobulin_Joining_Pseudogene']</t>
        </is>
      </c>
    </row>
    <row r="943" ht="15.75" customHeight="1">
      <c r="A943" t="inlineStr">
        <is>
          <t>IG_V_pseudogene</t>
        </is>
      </c>
      <c r="B943" t="inlineStr">
        <is>
          <t>http://identifiers.org/so/SO:0002102</t>
        </is>
      </c>
      <c r="C943" t="inlineStr">
        <is>
          <t>['IGV_gene', 'IG_variable_gene', 'Immunoglobulin_variable_gene']</t>
        </is>
      </c>
    </row>
    <row r="944" ht="15.75" customHeight="1">
      <c r="A944" t="inlineStr">
        <is>
          <t>immature_peptide_region</t>
        </is>
      </c>
      <c r="B944" t="inlineStr">
        <is>
          <t>http://identifiers.org/so/SO:0001063</t>
        </is>
      </c>
      <c r="C944" t="inlineStr">
        <is>
          <t>['Immunoglobulin_variable_pseudogene', 'IG_variable_pseudogene', 'Immunoglobulin variable pseudogene', 'IG V pseudogene', 'IG variable pseudogene']</t>
        </is>
      </c>
    </row>
    <row r="945" ht="15.75" customHeight="1">
      <c r="A945" t="inlineStr">
        <is>
          <t>immunoglobulin_gene</t>
        </is>
      </c>
      <c r="B945" t="inlineStr">
        <is>
          <t>http://identifiers.org/so/SO:0002122</t>
        </is>
      </c>
      <c r="C945" t="inlineStr">
        <is>
          <t>['immature peptide region']</t>
        </is>
      </c>
    </row>
    <row r="946" ht="15.75" customHeight="1">
      <c r="A946" t="inlineStr">
        <is>
          <t>immunoglobulin_pseudogene</t>
        </is>
      </c>
      <c r="B946" t="inlineStr">
        <is>
          <t>http://identifiers.org/so/SO:0002098</t>
        </is>
      </c>
      <c r="C946" t="inlineStr">
        <is>
          <t>['All_IG_genes', 'IG_genes']</t>
        </is>
      </c>
    </row>
    <row r="947" ht="15.75" customHeight="1">
      <c r="A947" t="inlineStr">
        <is>
          <t>immunoglobulin_region</t>
        </is>
      </c>
      <c r="B947" t="inlineStr">
        <is>
          <t>http://identifiers.org/so/SO:0001832</t>
        </is>
      </c>
      <c r="C947" t="inlineStr">
        <is>
          <t>['immunoglobulin pseudogene']</t>
        </is>
      </c>
    </row>
    <row r="948" ht="15.75" customHeight="1">
      <c r="A948" t="inlineStr">
        <is>
          <t>imprinting_control_region</t>
        </is>
      </c>
      <c r="B948" t="inlineStr">
        <is>
          <t>http://identifiers.org/so/SO:0002191</t>
        </is>
      </c>
      <c r="C948" t="inlineStr">
        <is>
          <t>['immunoglobulin region']</t>
        </is>
      </c>
    </row>
    <row r="949" ht="15.75" customHeight="1">
      <c r="A949" t="inlineStr">
        <is>
          <t>improved_high_quality_draft</t>
        </is>
      </c>
      <c r="B949" t="inlineStr">
        <is>
          <t>http://identifiers.org/so/SO:0001488</t>
        </is>
      </c>
      <c r="C949" t="inlineStr">
        <is>
          <t>['INSDC_qualifier:imprinting_control_region', 'INSDC_feature:regulatory', 'imprinting control region']</t>
        </is>
      </c>
    </row>
    <row r="950" ht="15.75" customHeight="1">
      <c r="A950" t="inlineStr">
        <is>
          <t>inactive_catalytic_site</t>
        </is>
      </c>
      <c r="B950" t="inlineStr">
        <is>
          <t>http://identifiers.org/so/SO:0001618</t>
        </is>
      </c>
      <c r="C950" t="inlineStr">
        <is>
          <t>['improved high quality draft']</t>
        </is>
      </c>
    </row>
    <row r="951" ht="15.75" customHeight="1">
      <c r="A951" t="inlineStr">
        <is>
          <t>inactive_ligand_binding_site</t>
        </is>
      </c>
      <c r="B951" t="inlineStr">
        <is>
          <t>http://identifiers.org/so/SO:0001560</t>
        </is>
      </c>
      <c r="C951" t="inlineStr">
        <is>
          <t>['inactive catalytic site']</t>
        </is>
      </c>
    </row>
    <row r="952" ht="15.75" customHeight="1">
      <c r="A952" t="inlineStr">
        <is>
          <t>incomplete_terminal_codon_variant</t>
        </is>
      </c>
      <c r="B952" t="inlineStr">
        <is>
          <t>http://identifiers.org/so/SO:0001626</t>
        </is>
      </c>
      <c r="C952" t="inlineStr">
        <is>
          <t>['inactive ligand binding site']</t>
        </is>
      </c>
    </row>
    <row r="953" ht="15.75" customHeight="1">
      <c r="A953" t="inlineStr">
        <is>
          <t>incomplete_transcript_3UTR_variant</t>
        </is>
      </c>
      <c r="B953" t="inlineStr">
        <is>
          <t>http://identifiers.org/so/SO:0002076</t>
        </is>
      </c>
      <c r="C953" t="inlineStr">
        <is>
          <t>['incomplete terminal codon variant', 'partial_codon', 'VEP:incomplete_terminal_codon_variant']</t>
        </is>
      </c>
    </row>
    <row r="954" ht="15.75" customHeight="1">
      <c r="A954" t="inlineStr">
        <is>
          <t>incomplete_transcript_5UTR_variant</t>
        </is>
      </c>
      <c r="B954" t="inlineStr">
        <is>
          <t>http://identifiers.org/so/SO:0002077</t>
        </is>
      </c>
      <c r="C954" t="inlineStr">
        <is>
          <t>['ANNOVAR:ncRNA_UTR3', 'incomplete transcript 3UTR variant']</t>
        </is>
      </c>
    </row>
    <row r="955" ht="15.75" customHeight="1">
      <c r="A955" t="inlineStr">
        <is>
          <t>incomplete_transcript_CDS</t>
        </is>
      </c>
      <c r="B955" t="inlineStr">
        <is>
          <t>http://identifiers.org/so/SO:0002081</t>
        </is>
      </c>
      <c r="C955" t="inlineStr">
        <is>
          <t>['incomplete transcript 5UTR variant', 'ANNOVAR:ncRNA_UTR5']</t>
        </is>
      </c>
    </row>
    <row r="956" ht="15.75" customHeight="1">
      <c r="A956" t="inlineStr">
        <is>
          <t>incomplete_transcript_coding_splice_variant</t>
        </is>
      </c>
      <c r="B956" t="inlineStr">
        <is>
          <t>http://identifiers.org/so/SO:0002082</t>
        </is>
      </c>
      <c r="C956" t="inlineStr">
        <is>
          <t>['Seattleseq:coding-unknown', 'Seattleseq:coding-notMod3']</t>
        </is>
      </c>
    </row>
    <row r="957" ht="15.75" customHeight="1">
      <c r="A957" t="inlineStr">
        <is>
          <t>incomplete_transcript_exonic_variant</t>
        </is>
      </c>
      <c r="B957" t="inlineStr">
        <is>
          <t>http://identifiers.org/so/SO:0002080</t>
        </is>
      </c>
      <c r="C957" t="inlineStr">
        <is>
          <t>['Seattleseq:coding-notMod3-near-splice', 'Seattleseq:coding-unknown-near-splice', 'incomplete transcript coding splice variant']</t>
        </is>
      </c>
    </row>
    <row r="958" ht="15.75" customHeight="1">
      <c r="A958" t="inlineStr">
        <is>
          <t>incomplete_transcript_intronic_variant</t>
        </is>
      </c>
      <c r="B958" t="inlineStr">
        <is>
          <t>http://identifiers.org/so/SO:0002078</t>
        </is>
      </c>
      <c r="C958" t="inlineStr">
        <is>
          <t>['incomplete transcript exonic variant']</t>
        </is>
      </c>
    </row>
    <row r="959" ht="15.75" customHeight="1">
      <c r="A959" t="inlineStr">
        <is>
          <t>incomplete_transcript_splice_region_variant</t>
        </is>
      </c>
      <c r="B959" t="inlineStr">
        <is>
          <t>http://identifiers.org/so/SO:0002079</t>
        </is>
      </c>
      <c r="C959" t="inlineStr">
        <is>
          <t>['incomplete transcript intronic variant']</t>
        </is>
      </c>
    </row>
    <row r="960" ht="15.75" customHeight="1">
      <c r="A960" t="inlineStr">
        <is>
          <t>incomplete_transcript_variant</t>
        </is>
      </c>
      <c r="B960" t="inlineStr">
        <is>
          <t>http://identifiers.org/so/SO:0002075</t>
        </is>
      </c>
      <c r="C960" t="inlineStr">
        <is>
          <t>['incomplete transcript splice region variant']</t>
        </is>
      </c>
    </row>
    <row r="961" ht="15.75" customHeight="1">
      <c r="A961" t="inlineStr">
        <is>
          <t>increased_polyadenylation_variant</t>
        </is>
      </c>
      <c r="B961" t="inlineStr">
        <is>
          <t>http://identifiers.org/so/SO:0001802</t>
        </is>
      </c>
      <c r="C961" t="inlineStr">
        <is>
          <t>['incomplete transcript variant']</t>
        </is>
      </c>
    </row>
    <row r="962" ht="15.75" customHeight="1">
      <c r="A962" t="inlineStr">
        <is>
          <t>increased_transcript_level_variant</t>
        </is>
      </c>
      <c r="B962" t="inlineStr">
        <is>
          <t>http://identifiers.org/so/SO:0001542</t>
        </is>
      </c>
      <c r="C962" t="inlineStr">
        <is>
          <t>['increased polyadenylation variant']</t>
        </is>
      </c>
    </row>
    <row r="963" ht="15.75" customHeight="1">
      <c r="A963" t="inlineStr">
        <is>
          <t>increased_transcript_stability_variant</t>
        </is>
      </c>
      <c r="B963" t="inlineStr">
        <is>
          <t>http://identifiers.org/so/SO:0001548</t>
        </is>
      </c>
      <c r="C963" t="inlineStr">
        <is>
          <t>['increased transcript level variant']</t>
        </is>
      </c>
    </row>
    <row r="964" ht="15.75" customHeight="1">
      <c r="A964" t="inlineStr">
        <is>
          <t>increased_transcription_rate_variant</t>
        </is>
      </c>
      <c r="B964" t="inlineStr">
        <is>
          <t>http://identifiers.org/so/SO:0001551</t>
        </is>
      </c>
      <c r="C964" t="inlineStr">
        <is>
          <t>['increased transcript stability variant']</t>
        </is>
      </c>
    </row>
    <row r="965" ht="15.75" customHeight="1">
      <c r="A965" t="inlineStr">
        <is>
          <t>increased_translational_product_level</t>
        </is>
      </c>
      <c r="B965" t="inlineStr">
        <is>
          <t>http://identifiers.org/so/SO:0001556</t>
        </is>
      </c>
      <c r="C965" t="inlineStr">
        <is>
          <t>['increased transcription rate variant']</t>
        </is>
      </c>
    </row>
    <row r="966" ht="15.75" customHeight="1">
      <c r="A966" t="inlineStr">
        <is>
          <t>indel_artifact</t>
        </is>
      </c>
      <c r="B966" t="inlineStr">
        <is>
          <t>http://identifiers.org/so/SO:0002173</t>
        </is>
      </c>
      <c r="C966" t="inlineStr">
        <is>
          <t>['increase translational product level']</t>
        </is>
      </c>
    </row>
    <row r="967" ht="15.75" customHeight="1">
      <c r="A967" t="inlineStr">
        <is>
          <t>independently_known</t>
        </is>
      </c>
      <c r="B967" t="inlineStr">
        <is>
          <t>http://identifiers.org/so/SO:0000906</t>
        </is>
      </c>
      <c r="C967" t="inlineStr">
        <is>
          <t>['indel artifact']</t>
        </is>
      </c>
    </row>
    <row r="968" ht="15.75" customHeight="1">
      <c r="A968" t="inlineStr">
        <is>
          <t>inducible_promoter</t>
        </is>
      </c>
      <c r="B968" t="inlineStr">
        <is>
          <t>http://identifiers.org/so/SO:0002051</t>
        </is>
      </c>
      <c r="C968" t="inlineStr">
        <is>
          <t>['independently known']</t>
        </is>
      </c>
    </row>
    <row r="969" ht="15.75" customHeight="1">
      <c r="A969" t="inlineStr">
        <is>
          <t>inert_DNA_spacer</t>
        </is>
      </c>
      <c r="B969" t="inlineStr">
        <is>
          <t>http://identifiers.org/so/SO:0002223</t>
        </is>
      </c>
      <c r="C969" t="inlineStr">
        <is>
          <t>['inducible promoter']</t>
        </is>
      </c>
    </row>
    <row r="970" ht="15.75" customHeight="1">
      <c r="A970" t="inlineStr">
        <is>
          <t>inframe</t>
        </is>
      </c>
      <c r="B970" t="inlineStr">
        <is>
          <t>http://identifiers.org/so/SO:0001817</t>
        </is>
      </c>
      <c r="C970" t="inlineStr">
        <is>
          <t>['Inert DNA Spacer']</t>
        </is>
      </c>
    </row>
    <row r="971" ht="15.75" customHeight="1">
      <c r="A971" t="inlineStr">
        <is>
          <t>inframe_deletion</t>
        </is>
      </c>
      <c r="B971" t="inlineStr">
        <is>
          <t>http://identifiers.org/so/SO:0001822</t>
        </is>
      </c>
    </row>
    <row r="972" ht="15.75" customHeight="1">
      <c r="A972" t="inlineStr">
        <is>
          <t>inframe_indel</t>
        </is>
      </c>
      <c r="B972" t="inlineStr">
        <is>
          <t>http://identifiers.org/so/SO:0001820</t>
        </is>
      </c>
      <c r="C972" t="inlineStr">
        <is>
          <t>['snpEff:CODON_DELETION', 'inframe decrease in CDS length', 'inframe deletion', 'VEP:inframe_deletion', 'VAT:deletionNFS', 'inframe codon loss', 'ANNOVAR:nonframeshift deletion', 'inframe_codon_loss', 'Jannovar:inframe_deletion']</t>
        </is>
      </c>
    </row>
    <row r="973" ht="15.75" customHeight="1">
      <c r="A973" t="inlineStr">
        <is>
          <t>inframe_insertion</t>
        </is>
      </c>
      <c r="B973" t="inlineStr">
        <is>
          <t>http://identifiers.org/so/SO:0001821</t>
        </is>
      </c>
      <c r="C973" t="inlineStr">
        <is>
          <t>['inframe indel', 'inframe change in CDS length']</t>
        </is>
      </c>
    </row>
    <row r="974" ht="15.75" customHeight="1">
      <c r="A974" t="inlineStr">
        <is>
          <t>inframe_variant</t>
        </is>
      </c>
      <c r="B974" t="inlineStr">
        <is>
          <t>http://identifiers.org/so/SO:0001650</t>
        </is>
      </c>
      <c r="C974" t="inlineStr">
        <is>
          <t>['VAT:insertionNFS', 'Jannovar:inframe_insertion', 'snpEFF:CODON_INSERTION', 'inframe insertion', 'VEP:inframe_insertion', 'ANNOVAR:nonframeshift insertion', 'inframe increase in CDS length', 'inframe codon gain', 'inframe_codon_gain']</t>
        </is>
      </c>
    </row>
    <row r="975" ht="15.75" customHeight="1">
      <c r="A975" t="inlineStr">
        <is>
          <t>initiator_codon_variant</t>
        </is>
      </c>
      <c r="B975" t="inlineStr">
        <is>
          <t>http://identifiers.org/so/SO:0001582</t>
        </is>
      </c>
      <c r="C975" t="inlineStr">
        <is>
          <t>['ANNOVAR:nonframeshift substitution', 'ANNOVAR:nonframeshift block substitution', 'cds-indel', 'VAAST:inframe_variant', 'inframe variant']</t>
        </is>
      </c>
    </row>
    <row r="976" ht="15.75" customHeight="1">
      <c r="A976" t="inlineStr">
        <is>
          <t>inosine</t>
        </is>
      </c>
      <c r="B976" t="inlineStr">
        <is>
          <t>http://identifiers.org/so/SO:0001230</t>
        </is>
      </c>
      <c r="C976" t="inlineStr">
        <is>
          <t>['initiator codon change', 'initiatior codon variant', 'VAT:startOverlap', 'Jannovar:initiator_codon_variant', 'snpEff:NON_SYNONYMOUS_START']</t>
        </is>
      </c>
    </row>
    <row r="977" ht="15.75" customHeight="1">
      <c r="A977" t="inlineStr">
        <is>
          <t>INR_motif</t>
        </is>
      </c>
      <c r="B977" t="inlineStr">
        <is>
          <t>http://identifiers.org/so/SO:0000014</t>
        </is>
      </c>
      <c r="C977" t="inlineStr">
        <is>
          <t>['RNAMOD:017', 'I']</t>
        </is>
      </c>
    </row>
    <row r="978" ht="15.75" customHeight="1">
      <c r="A978" t="inlineStr">
        <is>
          <t>INR1_motif</t>
        </is>
      </c>
      <c r="B978" t="inlineStr">
        <is>
          <t>http://identifiers.org/so/SO:0001163</t>
        </is>
      </c>
      <c r="C978" t="inlineStr">
        <is>
          <t>['DMp2', 'INR motif', 'initiator', 'initiator motif']</t>
        </is>
      </c>
    </row>
    <row r="979" ht="15.75" customHeight="1">
      <c r="A979" t="inlineStr">
        <is>
          <t>insert</t>
        </is>
      </c>
      <c r="B979" t="inlineStr">
        <is>
          <t>http://identifiers.org/so/SO:0000046</t>
        </is>
      </c>
      <c r="C979" t="inlineStr">
        <is>
          <t>['INR1 motif', 'directional promoter motif 3', 'DMp3', 'directional motif p3']</t>
        </is>
      </c>
    </row>
    <row r="980" ht="15.75" customHeight="1">
      <c r="A980" t="inlineStr">
        <is>
          <t>insert_AA</t>
        </is>
      </c>
      <c r="B980" t="inlineStr">
        <is>
          <t>http://identifiers.org/so/SO:0000928</t>
        </is>
      </c>
    </row>
    <row r="981" ht="15.75" customHeight="1">
      <c r="A981" t="inlineStr">
        <is>
          <t>insert_AU</t>
        </is>
      </c>
      <c r="B981" t="inlineStr">
        <is>
          <t>http://identifiers.org/so/SO:0000927</t>
        </is>
      </c>
      <c r="C981" t="inlineStr">
        <is>
          <t>['insert AA']</t>
        </is>
      </c>
    </row>
    <row r="982" ht="15.75" customHeight="1">
      <c r="A982" t="inlineStr">
        <is>
          <t>insert_C</t>
        </is>
      </c>
      <c r="B982" t="inlineStr">
        <is>
          <t>http://identifiers.org/so/SO:0000920</t>
        </is>
      </c>
      <c r="C982" t="inlineStr">
        <is>
          <t>['insert AU']</t>
        </is>
      </c>
    </row>
    <row r="983" ht="15.75" customHeight="1">
      <c r="A983" t="inlineStr">
        <is>
          <t>insert_CU</t>
        </is>
      </c>
      <c r="B983" t="inlineStr">
        <is>
          <t>http://identifiers.org/so/SO:0000926</t>
        </is>
      </c>
      <c r="C983" t="inlineStr">
        <is>
          <t>['insert C']</t>
        </is>
      </c>
    </row>
    <row r="984" ht="15.75" customHeight="1">
      <c r="A984" t="inlineStr">
        <is>
          <t>insert_dinucleotide</t>
        </is>
      </c>
      <c r="B984" t="inlineStr">
        <is>
          <t>http://identifiers.org/so/SO:0000921</t>
        </is>
      </c>
      <c r="C984" t="inlineStr">
        <is>
          <t>['insert CU']</t>
        </is>
      </c>
    </row>
    <row r="985" ht="15.75" customHeight="1">
      <c r="A985" t="inlineStr">
        <is>
          <t>insert_G</t>
        </is>
      </c>
      <c r="B985" t="inlineStr">
        <is>
          <t>http://identifiers.org/so/SO:0000923</t>
        </is>
      </c>
      <c r="C985" t="inlineStr">
        <is>
          <t>['insert dinucleotide']</t>
        </is>
      </c>
    </row>
    <row r="986" ht="15.75" customHeight="1">
      <c r="A986" t="inlineStr">
        <is>
          <t>insert_GC</t>
        </is>
      </c>
      <c r="B986" t="inlineStr">
        <is>
          <t>http://identifiers.org/so/SO:0000924</t>
        </is>
      </c>
      <c r="C986" t="inlineStr">
        <is>
          <t>['insert G']</t>
        </is>
      </c>
    </row>
    <row r="987" ht="15.75" customHeight="1">
      <c r="A987" t="inlineStr">
        <is>
          <t>insert_GU</t>
        </is>
      </c>
      <c r="B987" t="inlineStr">
        <is>
          <t>http://identifiers.org/so/SO:0000925</t>
        </is>
      </c>
      <c r="C987" t="inlineStr">
        <is>
          <t>['insert GC']</t>
        </is>
      </c>
    </row>
    <row r="988" ht="15.75" customHeight="1">
      <c r="A988" t="inlineStr">
        <is>
          <t>insert_U</t>
        </is>
      </c>
      <c r="B988" t="inlineStr">
        <is>
          <t>http://identifiers.org/so/SO:0000917</t>
        </is>
      </c>
      <c r="C988" t="inlineStr">
        <is>
          <t>['insert GU']</t>
        </is>
      </c>
    </row>
    <row r="989" ht="15.75" customHeight="1">
      <c r="A989" t="inlineStr">
        <is>
          <t>insertion</t>
        </is>
      </c>
      <c r="B989" t="inlineStr">
        <is>
          <t>http://identifiers.org/so/SO:0000667</t>
        </is>
      </c>
      <c r="C989" t="inlineStr">
        <is>
          <t>['insert U']</t>
        </is>
      </c>
    </row>
    <row r="990" ht="15.75" customHeight="1">
      <c r="A990" t="inlineStr">
        <is>
          <t>insertion_artifact</t>
        </is>
      </c>
      <c r="B990" t="inlineStr">
        <is>
          <t>http://identifiers.org/so/SO:0002175</t>
        </is>
      </c>
      <c r="C990" t="inlineStr">
        <is>
          <t>['nucleotide insertion', 'nucleotide_insertion', 'insertion']</t>
        </is>
      </c>
    </row>
    <row r="991" ht="15.75" customHeight="1">
      <c r="A991" t="inlineStr">
        <is>
          <t>insertion_attribute</t>
        </is>
      </c>
      <c r="B991" t="inlineStr">
        <is>
          <t>http://identifiers.org/so/SO:0001512</t>
        </is>
      </c>
      <c r="C991" t="inlineStr">
        <is>
          <t>['insertion artifact']</t>
        </is>
      </c>
    </row>
    <row r="992" ht="15.75" customHeight="1">
      <c r="A992" t="inlineStr">
        <is>
          <t>insertion_breakpoint</t>
        </is>
      </c>
      <c r="B992" t="inlineStr">
        <is>
          <t>http://identifiers.org/so/SO:0001414</t>
        </is>
      </c>
      <c r="C992" t="inlineStr">
        <is>
          <t>['insertion attribute']</t>
        </is>
      </c>
    </row>
    <row r="993" ht="15.75" customHeight="1">
      <c r="A993" t="inlineStr">
        <is>
          <t>insertion_sequence</t>
        </is>
      </c>
      <c r="B993" t="inlineStr">
        <is>
          <t>http://identifiers.org/so/SO:0000973</t>
        </is>
      </c>
      <c r="C993" t="inlineStr">
        <is>
          <t>['insertion breakpoint']</t>
        </is>
      </c>
    </row>
    <row r="994" ht="15.75" customHeight="1">
      <c r="A994" t="inlineStr">
        <is>
          <t>insertion_site</t>
        </is>
      </c>
      <c r="B994" t="inlineStr">
        <is>
          <t>http://identifiers.org/so/SO:0000366</t>
        </is>
      </c>
      <c r="C994" t="inlineStr">
        <is>
          <t>['IS', 'insertion sequence']</t>
        </is>
      </c>
    </row>
    <row r="995" ht="15.75" customHeight="1">
      <c r="A995" t="inlineStr">
        <is>
          <t>insertional</t>
        </is>
      </c>
      <c r="B995" t="inlineStr">
        <is>
          <t>http://identifiers.org/so/SO:0001522</t>
        </is>
      </c>
      <c r="C995" t="inlineStr">
        <is>
          <t>['insertion site']</t>
        </is>
      </c>
    </row>
    <row r="996" ht="15.75" customHeight="1">
      <c r="A996" t="inlineStr">
        <is>
          <t>insertional_duplication</t>
        </is>
      </c>
      <c r="B996" t="inlineStr">
        <is>
          <t>http://identifiers.org/so/SO:1000154</t>
        </is>
      </c>
    </row>
    <row r="997" ht="15.75" customHeight="1">
      <c r="A997" t="inlineStr">
        <is>
          <t>inside_intron</t>
        </is>
      </c>
      <c r="B997" t="inlineStr">
        <is>
          <t>http://identifiers.org/so/SO:0000069</t>
        </is>
      </c>
      <c r="C997" t="inlineStr">
        <is>
          <t>['insertional duplication', '(Drosophila)Dpp']</t>
        </is>
      </c>
    </row>
    <row r="998" ht="15.75" customHeight="1">
      <c r="A998" t="inlineStr">
        <is>
          <t>inside_intron_antiparallel</t>
        </is>
      </c>
      <c r="B998" t="inlineStr">
        <is>
          <t>http://identifiers.org/so/SO:0000070</t>
        </is>
      </c>
      <c r="C998" t="inlineStr">
        <is>
          <t>['inside intron']</t>
        </is>
      </c>
    </row>
    <row r="999" ht="15.75" customHeight="1">
      <c r="A999" t="inlineStr">
        <is>
          <t>inside_intron_parallel</t>
        </is>
      </c>
      <c r="B999" t="inlineStr">
        <is>
          <t>http://identifiers.org/so/SO:0000071</t>
        </is>
      </c>
      <c r="C999" t="inlineStr">
        <is>
          <t>['inside intron antiparallel']</t>
        </is>
      </c>
    </row>
    <row r="1000" ht="15.75" customHeight="1">
      <c r="A1000" t="inlineStr">
        <is>
          <t>insulator</t>
        </is>
      </c>
      <c r="B1000" t="inlineStr">
        <is>
          <t>http://identifiers.org/so/SO:0000627</t>
        </is>
      </c>
      <c r="C1000" t="inlineStr">
        <is>
          <t>['inside intron parallel']</t>
        </is>
      </c>
    </row>
    <row r="1001" ht="15" customHeight="1">
      <c r="A1001" t="inlineStr">
        <is>
          <t>insulator_binding_site</t>
        </is>
      </c>
      <c r="B1001" t="inlineStr">
        <is>
          <t>http://identifiers.org/so/SO:0001460</t>
        </is>
      </c>
      <c r="C1001" t="inlineStr">
        <is>
          <t>['INSDC_feature:regulatory', 'INSDC_qualifier:insulator', 'insulator element']</t>
        </is>
      </c>
    </row>
    <row r="1002" ht="15" customHeight="1">
      <c r="A1002" t="inlineStr">
        <is>
          <t>integrase_coding_region</t>
        </is>
      </c>
      <c r="B1002" t="inlineStr">
        <is>
          <t>http://identifiers.org/so/SO:0000369</t>
        </is>
      </c>
      <c r="C1002" t="inlineStr">
        <is>
          <t>['insulator binding site']</t>
        </is>
      </c>
    </row>
    <row r="1003" ht="15" customHeight="1">
      <c r="A1003" t="inlineStr">
        <is>
          <t>integrated_mobile_genetic_element</t>
        </is>
      </c>
      <c r="B1003" t="inlineStr">
        <is>
          <t>http://identifiers.org/so/SO:0001039</t>
        </is>
      </c>
    </row>
    <row r="1004" ht="15" customHeight="1">
      <c r="A1004" t="inlineStr">
        <is>
          <t>integrated_plasmid</t>
        </is>
      </c>
      <c r="B1004" t="inlineStr">
        <is>
          <t>http://identifiers.org/so/SO:0001040</t>
        </is>
      </c>
      <c r="C1004" t="inlineStr">
        <is>
          <t>['integrated mobile genetic element']</t>
        </is>
      </c>
    </row>
    <row r="1005" ht="15" customHeight="1">
      <c r="A1005" t="inlineStr">
        <is>
          <t>integration_excision_site</t>
        </is>
      </c>
      <c r="B1005" t="inlineStr">
        <is>
          <t>http://identifiers.org/so/SO:0000946</t>
        </is>
      </c>
      <c r="C1005" t="inlineStr">
        <is>
          <t>['integrated plasmid']</t>
        </is>
      </c>
    </row>
    <row r="1006" ht="15" customHeight="1">
      <c r="A1006" t="inlineStr">
        <is>
          <t>integron</t>
        </is>
      </c>
      <c r="B1006" t="inlineStr">
        <is>
          <t>http://identifiers.org/so/SO:0000365</t>
        </is>
      </c>
      <c r="C1006" t="inlineStr">
        <is>
          <t>['integration excision site', 'attachment site']</t>
        </is>
      </c>
    </row>
    <row r="1007" ht="15" customHeight="1">
      <c r="A1007" t="inlineStr">
        <is>
          <t>intein</t>
        </is>
      </c>
      <c r="B1007" t="inlineStr">
        <is>
          <t>http://identifiers.org/so/SO:0000728</t>
        </is>
      </c>
    </row>
    <row r="1008" ht="15" customHeight="1">
      <c r="A1008" t="inlineStr">
        <is>
          <t>intein_containing</t>
        </is>
      </c>
      <c r="B1008" t="inlineStr">
        <is>
          <t>http://identifiers.org/so/SO:0000729</t>
        </is>
      </c>
      <c r="C1008" t="inlineStr">
        <is>
          <t>['protein intron']</t>
        </is>
      </c>
    </row>
    <row r="1009" ht="15" customHeight="1">
      <c r="A1009" t="inlineStr">
        <is>
          <t>intein_encoding_region</t>
        </is>
      </c>
      <c r="B1009" t="inlineStr">
        <is>
          <t>http://identifiers.org/so/SO:0002026</t>
        </is>
      </c>
      <c r="C1009" t="inlineStr">
        <is>
          <t>['intein containing']</t>
        </is>
      </c>
    </row>
    <row r="1010" ht="15" customHeight="1">
      <c r="A1010" t="inlineStr">
        <is>
          <t>interband</t>
        </is>
      </c>
      <c r="B1010" t="inlineStr">
        <is>
          <t>http://identifiers.org/so/SO:0000450</t>
        </is>
      </c>
    </row>
    <row r="1011" ht="15" customHeight="1">
      <c r="A1011" t="inlineStr">
        <is>
          <t>interchromosomal</t>
        </is>
      </c>
      <c r="B1011" t="inlineStr">
        <is>
          <t>http://identifiers.org/so/SO:0001511</t>
        </is>
      </c>
      <c r="C1011" t="inlineStr">
        <is>
          <t>['chromosome interband']</t>
        </is>
      </c>
    </row>
    <row r="1012" ht="15" customHeight="1">
      <c r="A1012" t="inlineStr">
        <is>
          <t>interchromosomal_breakpoint</t>
        </is>
      </c>
      <c r="B1012" t="inlineStr">
        <is>
          <t>http://identifiers.org/so/SO:0001873</t>
        </is>
      </c>
    </row>
    <row r="1013" ht="15" customHeight="1">
      <c r="A1013" t="inlineStr">
        <is>
          <t>interchromosomal_duplication</t>
        </is>
      </c>
      <c r="B1013" t="inlineStr">
        <is>
          <t>http://identifiers.org/so/SO:0000457</t>
        </is>
      </c>
      <c r="C1013" t="inlineStr">
        <is>
          <t>['interchromosomal breakpoint']</t>
        </is>
      </c>
    </row>
    <row r="1014" ht="15" customHeight="1">
      <c r="A1014" t="inlineStr">
        <is>
          <t>interchromosomal_mutation</t>
        </is>
      </c>
      <c r="B1014" t="inlineStr">
        <is>
          <t>http://identifiers.org/so/SO:1000031</t>
        </is>
      </c>
      <c r="C1014" t="inlineStr">
        <is>
          <t>['interchromosomal duplication']</t>
        </is>
      </c>
    </row>
    <row r="1015" ht="15" customHeight="1">
      <c r="A1015" t="inlineStr">
        <is>
          <t>interchromosomal_translocation</t>
        </is>
      </c>
      <c r="B1015" t="inlineStr">
        <is>
          <t>http://identifiers.org/so/SO:0002060</t>
        </is>
      </c>
      <c r="C1015" t="inlineStr">
        <is>
          <t>['interchromosomal mutation']</t>
        </is>
      </c>
    </row>
    <row r="1016" ht="15" customHeight="1">
      <c r="A1016" t="inlineStr">
        <is>
          <t>interchromosomal_transposition</t>
        </is>
      </c>
      <c r="B1016" t="inlineStr">
        <is>
          <t>http://identifiers.org/so/SO:1000155</t>
        </is>
      </c>
    </row>
    <row r="1017" ht="15" customHeight="1">
      <c r="A1017" t="inlineStr">
        <is>
          <t>intergenic_1kb_variant</t>
        </is>
      </c>
      <c r="B1017" t="inlineStr">
        <is>
          <t>http://identifiers.org/so/SO:0002074</t>
        </is>
      </c>
      <c r="C1017" t="inlineStr">
        <is>
          <t>['(Drosophila)Tp', 'interchromosomal transposition']</t>
        </is>
      </c>
    </row>
    <row r="1018" ht="15" customHeight="1">
      <c r="A1018" t="inlineStr">
        <is>
          <t>intergenic_region</t>
        </is>
      </c>
      <c r="B1018" t="inlineStr">
        <is>
          <t>http://identifiers.org/so/SO:0000605</t>
        </is>
      </c>
      <c r="C1018" t="inlineStr">
        <is>
          <t>['ANNOVAR:upstream;downstream']</t>
        </is>
      </c>
    </row>
    <row r="1019" ht="15" customHeight="1">
      <c r="A1019" t="inlineStr">
        <is>
          <t>intergenic_variant</t>
        </is>
      </c>
      <c r="B1019" t="inlineStr">
        <is>
          <t>http://identifiers.org/so/SO:0001628</t>
        </is>
      </c>
      <c r="C1019" t="inlineStr">
        <is>
          <t>['intergenic region']</t>
        </is>
      </c>
    </row>
    <row r="1020" ht="15" customHeight="1">
      <c r="A1020" t="inlineStr">
        <is>
          <t>interior_coding_exon</t>
        </is>
      </c>
      <c r="B1020" t="inlineStr">
        <is>
          <t>http://identifiers.org/so/SO:0000004</t>
        </is>
      </c>
      <c r="C1020" t="inlineStr">
        <is>
          <t>['Jannovar:intergenic_variant', 'VEP:intergenic_variant', 'intergenic', 'snpEff:INTERGENIC', 'Seattleseq:intergenic', 'ANNOVAR:intergenic', 'intergenic variant']</t>
        </is>
      </c>
    </row>
    <row r="1021" ht="15" customHeight="1">
      <c r="A1021" t="inlineStr">
        <is>
          <t>interior_exon</t>
        </is>
      </c>
      <c r="B1021" t="inlineStr">
        <is>
          <t>http://identifiers.org/so/SO:0000201</t>
        </is>
      </c>
      <c r="C1021" t="inlineStr">
        <is>
          <t>['interior coding exon']</t>
        </is>
      </c>
    </row>
    <row r="1022" ht="15" customHeight="1">
      <c r="A1022" t="inlineStr">
        <is>
          <t>interior_intron</t>
        </is>
      </c>
      <c r="B1022" t="inlineStr">
        <is>
          <t>http://identifiers.org/so/SO:0000191</t>
        </is>
      </c>
      <c r="C1022" t="inlineStr">
        <is>
          <t>['interior exon']</t>
        </is>
      </c>
    </row>
    <row r="1023" ht="15" customHeight="1">
      <c r="A1023" t="inlineStr">
        <is>
          <t>intermediate</t>
        </is>
      </c>
      <c r="B1023" t="inlineStr">
        <is>
          <t>http://identifiers.org/so/SO:0000933</t>
        </is>
      </c>
      <c r="C1023" t="inlineStr">
        <is>
          <t>['interior intron']</t>
        </is>
      </c>
    </row>
    <row r="1024" ht="15" customHeight="1">
      <c r="A1024" t="inlineStr">
        <is>
          <t>intermediate_element</t>
        </is>
      </c>
      <c r="B1024" t="inlineStr">
        <is>
          <t>http://identifiers.org/so/SO:0001677</t>
        </is>
      </c>
    </row>
    <row r="1025" ht="15" customHeight="1">
      <c r="A1025" t="inlineStr">
        <is>
          <t>internal_eliminated_sequence</t>
        </is>
      </c>
      <c r="B1025" t="inlineStr">
        <is>
          <t>http://identifiers.org/so/SO:0000671</t>
        </is>
      </c>
      <c r="C1025" t="inlineStr">
        <is>
          <t>['IE', 'intermediate element']</t>
        </is>
      </c>
    </row>
    <row r="1026" ht="15" customHeight="1">
      <c r="A1026" t="inlineStr">
        <is>
          <t>internal_feature_elongation</t>
        </is>
      </c>
      <c r="B1026" t="inlineStr">
        <is>
          <t>http://identifiers.org/so/SO:0001908</t>
        </is>
      </c>
      <c r="C1026" t="inlineStr">
        <is>
          <t>['internal eliminated sequence']</t>
        </is>
      </c>
    </row>
    <row r="1027" ht="15" customHeight="1">
      <c r="A1027" t="inlineStr">
        <is>
          <t>internal_guide_sequence</t>
        </is>
      </c>
      <c r="B1027" t="inlineStr">
        <is>
          <t>http://identifiers.org/so/SO:0001016</t>
        </is>
      </c>
      <c r="C1027" t="inlineStr">
        <is>
          <t>['Jannovar:internal_feature_elongation', 'internal feature elongation']</t>
        </is>
      </c>
    </row>
    <row r="1028" ht="15" customHeight="1">
      <c r="A1028" t="inlineStr">
        <is>
          <t>internal_ribosome_entry_site</t>
        </is>
      </c>
      <c r="B1028" t="inlineStr">
        <is>
          <t>http://identifiers.org/so/SO:0000243</t>
        </is>
      </c>
      <c r="C1028" t="inlineStr">
        <is>
          <t>['internal guide sequence', 'IGS']</t>
        </is>
      </c>
    </row>
    <row r="1029" ht="15" customHeight="1">
      <c r="A1029" t="inlineStr">
        <is>
          <t>internal_Shine_Dalgarno_sequence</t>
        </is>
      </c>
      <c r="B1029" t="inlineStr">
        <is>
          <t>http://identifiers.org/so/SO:1001260</t>
        </is>
      </c>
      <c r="C1029" t="inlineStr">
        <is>
          <t>['internal ribosome entry site', 'internal ribosomal entry sequence', 'internal ribosome entry sequence', 'internal ribosomal entry site', 'IRES']</t>
        </is>
      </c>
    </row>
    <row r="1030" ht="15" customHeight="1">
      <c r="A1030" t="inlineStr">
        <is>
          <t>internal_transcribed_spacer_region</t>
        </is>
      </c>
      <c r="B1030" t="inlineStr">
        <is>
          <t>http://identifiers.org/so/SO:0000639</t>
        </is>
      </c>
      <c r="C1030" t="inlineStr">
        <is>
          <t>['internal Shine-Dalgarno sequence', 'internal Shine Dalgarno sequence']</t>
        </is>
      </c>
    </row>
    <row r="1031" ht="15" customHeight="1">
      <c r="A1031" t="inlineStr">
        <is>
          <t>internal_UTR</t>
        </is>
      </c>
      <c r="B1031" t="inlineStr">
        <is>
          <t>http://identifiers.org/so/SO:0000241</t>
        </is>
      </c>
      <c r="C1031" t="inlineStr">
        <is>
          <t>['internal transcribed spacer region']</t>
        </is>
      </c>
    </row>
    <row r="1032" ht="15" customHeight="1">
      <c r="A1032" t="inlineStr">
        <is>
          <t>intrachromosomal</t>
        </is>
      </c>
      <c r="B1032" t="inlineStr">
        <is>
          <t>http://identifiers.org/so/SO:0001510</t>
        </is>
      </c>
      <c r="C1032" t="inlineStr">
        <is>
          <t>['internal UTR']</t>
        </is>
      </c>
    </row>
    <row r="1033" ht="15" customHeight="1">
      <c r="A1033" t="inlineStr">
        <is>
          <t>intrachromosomal_breakpoint</t>
        </is>
      </c>
      <c r="B1033" t="inlineStr">
        <is>
          <t>http://identifiers.org/so/SO:0001874</t>
        </is>
      </c>
    </row>
    <row r="1034" ht="15" customHeight="1">
      <c r="A1034" t="inlineStr">
        <is>
          <t>intrachromosomal_duplication</t>
        </is>
      </c>
      <c r="B1034" t="inlineStr">
        <is>
          <t>http://identifiers.org/so/SO:1000038</t>
        </is>
      </c>
      <c r="C1034" t="inlineStr">
        <is>
          <t>['intrachromosomal breakpoint']</t>
        </is>
      </c>
    </row>
    <row r="1035" ht="15" customHeight="1">
      <c r="A1035" t="inlineStr">
        <is>
          <t>intrachromosomal_mutation</t>
        </is>
      </c>
      <c r="B1035" t="inlineStr">
        <is>
          <t>http://identifiers.org/so/SO:1000028</t>
        </is>
      </c>
      <c r="C1035" t="inlineStr">
        <is>
          <t>['intrachromosomal duplication']</t>
        </is>
      </c>
    </row>
    <row r="1036" ht="15" customHeight="1">
      <c r="A1036" t="inlineStr">
        <is>
          <t>intrachromosomal_translocation</t>
        </is>
      </c>
      <c r="B1036" t="inlineStr">
        <is>
          <t>http://identifiers.org/so/SO:0002061</t>
        </is>
      </c>
      <c r="C1036" t="inlineStr">
        <is>
          <t>['intrachromosomal mutation']</t>
        </is>
      </c>
    </row>
    <row r="1037" ht="15" customHeight="1">
      <c r="A1037" t="inlineStr">
        <is>
          <t>intrachromosomal_transposition</t>
        </is>
      </c>
      <c r="B1037" t="inlineStr">
        <is>
          <t>http://identifiers.org/so/SO:1000041</t>
        </is>
      </c>
    </row>
    <row r="1038" ht="15" customHeight="1">
      <c r="A1038" t="inlineStr">
        <is>
          <t>intragenic_variant</t>
        </is>
      </c>
      <c r="B1038" t="inlineStr">
        <is>
          <t>http://identifiers.org/so/SO:0002011</t>
        </is>
      </c>
      <c r="C1038" t="inlineStr">
        <is>
          <t>['(Drosophila)Tp', 'intrachromosomal transposition']</t>
        </is>
      </c>
    </row>
    <row r="1039" ht="15" customHeight="1">
      <c r="A1039" t="inlineStr">
        <is>
          <t>intramembrane_polypeptide_region</t>
        </is>
      </c>
      <c r="B1039" t="inlineStr">
        <is>
          <t>http://identifiers.org/so/SO:0001075</t>
        </is>
      </c>
      <c r="C1039" t="inlineStr">
        <is>
          <t>['Jannovar:intragenic_variant', 'snpEff:INTRAGENIC', 'intragenic variant']</t>
        </is>
      </c>
    </row>
    <row r="1040" ht="15" customHeight="1">
      <c r="A1040" t="inlineStr">
        <is>
          <t>intrinsically_unstructured_polypeptide_region</t>
        </is>
      </c>
      <c r="B1040" t="inlineStr">
        <is>
          <t>http://identifiers.org/so/SO:0100003</t>
        </is>
      </c>
      <c r="C1040" t="inlineStr">
        <is>
          <t>['intramembrane polypeptide region', 'intramembrane']</t>
        </is>
      </c>
    </row>
    <row r="1041" ht="15" customHeight="1">
      <c r="A1041" t="inlineStr">
        <is>
          <t>introgressed_chromosome_region</t>
        </is>
      </c>
      <c r="B1041" t="inlineStr">
        <is>
          <t>http://identifiers.org/so/SO:0000664</t>
        </is>
      </c>
      <c r="C1041" t="inlineStr">
        <is>
          <t>['intrinsically unstructured polypeptide region', 'disordered region']</t>
        </is>
      </c>
    </row>
    <row r="1042" ht="15" customHeight="1">
      <c r="A1042" t="inlineStr">
        <is>
          <t>intron</t>
        </is>
      </c>
      <c r="B1042" t="inlineStr">
        <is>
          <t>http://identifiers.org/so/SO:0000188</t>
        </is>
      </c>
      <c r="C1042" t="inlineStr">
        <is>
          <t>['introgressed chromosome region']</t>
        </is>
      </c>
    </row>
    <row r="1043" ht="15" customHeight="1">
      <c r="A1043" t="inlineStr">
        <is>
          <t>intron_attribute</t>
        </is>
      </c>
      <c r="B1043" t="inlineStr">
        <is>
          <t>http://identifiers.org/so/SO:0000661</t>
        </is>
      </c>
      <c r="C1043" t="inlineStr">
        <is>
          <t>['INSDC_feature:intron']</t>
        </is>
      </c>
    </row>
    <row r="1044" ht="15" customHeight="1">
      <c r="A1044" t="inlineStr">
        <is>
          <t>intron_base_5</t>
        </is>
      </c>
      <c r="B1044" t="inlineStr">
        <is>
          <t>http://identifiers.org/so/SO:0001994</t>
        </is>
      </c>
    </row>
    <row r="1045" ht="15" customHeight="1">
      <c r="A1045" t="inlineStr">
        <is>
          <t>intron_domain</t>
        </is>
      </c>
      <c r="B1045" t="inlineStr">
        <is>
          <t>http://identifiers.org/so/SO:0001014</t>
        </is>
      </c>
      <c r="C1045" t="inlineStr">
        <is>
          <t>['intron base 5']</t>
        </is>
      </c>
    </row>
    <row r="1046" ht="15" customHeight="1">
      <c r="A1046" t="inlineStr">
        <is>
          <t>intron_gain_variant</t>
        </is>
      </c>
      <c r="B1046" t="inlineStr">
        <is>
          <t>http://identifiers.org/so/SO:0001573</t>
        </is>
      </c>
      <c r="C1046" t="inlineStr">
        <is>
          <t>['intron domain']</t>
        </is>
      </c>
    </row>
    <row r="1047" ht="15" customHeight="1">
      <c r="A1047" t="inlineStr">
        <is>
          <t>intron_variant</t>
        </is>
      </c>
      <c r="B1047" t="inlineStr">
        <is>
          <t>http://identifiers.org/so/SO:0001627</t>
        </is>
      </c>
      <c r="C1047" t="inlineStr">
        <is>
          <t>['intron gain', 'intron gain variant']</t>
        </is>
      </c>
    </row>
    <row r="1048" ht="15" customHeight="1">
      <c r="A1048" t="inlineStr">
        <is>
          <t>intronic_regulatory_region</t>
        </is>
      </c>
      <c r="B1048" t="inlineStr">
        <is>
          <t>http://identifiers.org/so/SO:0001492</t>
        </is>
      </c>
      <c r="C1048" t="inlineStr">
        <is>
          <t>['ANNOVAR:intronic', 'intron variant', 'VAAST:intron_variant', 'snpEff:INTRON', 'intronic', 'VEP:intron_variant', 'Seattleseq:intron-near-splice', 'intron_', 'Seattleseq:intron', 'Jannovar:intron_variant']</t>
        </is>
      </c>
    </row>
    <row r="1049" ht="15" customHeight="1">
      <c r="A1049" t="inlineStr">
        <is>
          <t>intronic_splice_enhancer</t>
        </is>
      </c>
      <c r="B1049" t="inlineStr">
        <is>
          <t>http://identifiers.org/so/SO:0000320</t>
        </is>
      </c>
      <c r="C1049" t="inlineStr">
        <is>
          <t>['intronic regulatory region']</t>
        </is>
      </c>
    </row>
    <row r="1050" ht="15" customHeight="1">
      <c r="A1050" t="inlineStr">
        <is>
          <t>intronic_splicing_enhancer</t>
        </is>
      </c>
      <c r="B1050" t="inlineStr">
        <is>
          <t>http://identifiers.org/so/SO:0002057</t>
        </is>
      </c>
      <c r="C1050" t="inlineStr">
        <is>
          <t>['intronic splice enhancer']</t>
        </is>
      </c>
    </row>
    <row r="1051" ht="15" customHeight="1">
      <c r="A1051" t="inlineStr">
        <is>
          <t>intronic_splicing_silencer</t>
        </is>
      </c>
      <c r="B1051" t="inlineStr">
        <is>
          <t>http://identifiers.org/so/SO:0002056</t>
        </is>
      </c>
      <c r="C1051" t="inlineStr">
        <is>
          <t>['ISE']</t>
        </is>
      </c>
    </row>
    <row r="1052" ht="15" customHeight="1">
      <c r="A1052" t="inlineStr">
        <is>
          <t>invalidated</t>
        </is>
      </c>
      <c r="B1052" t="inlineStr">
        <is>
          <t>http://identifiers.org/so/SO:0000790</t>
        </is>
      </c>
      <c r="C1052" t="inlineStr">
        <is>
          <t>['intronic splicing silencer', 'ISS']</t>
        </is>
      </c>
    </row>
    <row r="1053" ht="15" customHeight="1">
      <c r="A1053" t="inlineStr">
        <is>
          <t>invalidated_by_chimeric_cDNA</t>
        </is>
      </c>
      <c r="B1053" t="inlineStr">
        <is>
          <t>http://identifiers.org/so/SO:0000362</t>
        </is>
      </c>
    </row>
    <row r="1054" ht="15" customHeight="1">
      <c r="A1054" t="inlineStr">
        <is>
          <t>invalidated_by_genomic_contamination</t>
        </is>
      </c>
      <c r="B1054" t="inlineStr">
        <is>
          <t>http://identifiers.org/so/SO:0000414</t>
        </is>
      </c>
      <c r="C1054" t="inlineStr">
        <is>
          <t>['invalidated by chimeric cDNA']</t>
        </is>
      </c>
    </row>
    <row r="1055" ht="15" customHeight="1">
      <c r="A1055" t="inlineStr">
        <is>
          <t>invalidated_by_genomic_polyA_primed_cDNA</t>
        </is>
      </c>
      <c r="B1055" t="inlineStr">
        <is>
          <t>http://identifiers.org/so/SO:0000415</t>
        </is>
      </c>
      <c r="C1055" t="inlineStr">
        <is>
          <t>['invalidated by genomic contamination']</t>
        </is>
      </c>
    </row>
    <row r="1056" ht="15" customHeight="1">
      <c r="A1056" t="inlineStr">
        <is>
          <t>invalidated_by_partial_processing</t>
        </is>
      </c>
      <c r="B1056" t="inlineStr">
        <is>
          <t>http://identifiers.org/so/SO:0000416</t>
        </is>
      </c>
      <c r="C1056" t="inlineStr">
        <is>
          <t>['invalidated by genomic polyA primed cDNA']</t>
        </is>
      </c>
    </row>
    <row r="1057" ht="15" customHeight="1">
      <c r="A1057" t="inlineStr">
        <is>
          <t>invalidated_cDNA_clone</t>
        </is>
      </c>
      <c r="B1057" t="inlineStr">
        <is>
          <t>http://identifiers.org/so/SO:0000809</t>
        </is>
      </c>
      <c r="C1057" t="inlineStr">
        <is>
          <t>['invalidated by partial processing']</t>
        </is>
      </c>
    </row>
    <row r="1058" ht="15" customHeight="1">
      <c r="A1058" t="inlineStr">
        <is>
          <t>inversion</t>
        </is>
      </c>
      <c r="B1058" t="inlineStr">
        <is>
          <t>http://identifiers.org/so/SO:1000036</t>
        </is>
      </c>
      <c r="C1058" t="inlineStr">
        <is>
          <t>['invalidated cDNA clone']</t>
        </is>
      </c>
    </row>
    <row r="1059" ht="15" customHeight="1">
      <c r="A1059" t="inlineStr">
        <is>
          <t>inversion_attribute</t>
        </is>
      </c>
      <c r="B1059" t="inlineStr">
        <is>
          <t>http://identifiers.org/so/SO:0001517</t>
        </is>
      </c>
      <c r="C1059" t="inlineStr">
        <is>
          <t>['inversion']</t>
        </is>
      </c>
    </row>
    <row r="1060" ht="15" customHeight="1">
      <c r="A1060" t="inlineStr">
        <is>
          <t>inversion_breakpoint</t>
        </is>
      </c>
      <c r="B1060" t="inlineStr">
        <is>
          <t>http://identifiers.org/so/SO:0001022</t>
        </is>
      </c>
      <c r="C1060" t="inlineStr">
        <is>
          <t>['inversion attribute']</t>
        </is>
      </c>
    </row>
    <row r="1061" ht="15" customHeight="1">
      <c r="A1061" t="inlineStr">
        <is>
          <t>inversion_cum_translocation</t>
        </is>
      </c>
      <c r="B1061" t="inlineStr">
        <is>
          <t>http://identifiers.org/so/SO:1000148</t>
        </is>
      </c>
      <c r="C1061" t="inlineStr">
        <is>
          <t>['inversion breakpoint']</t>
        </is>
      </c>
    </row>
    <row r="1062" ht="15" customHeight="1">
      <c r="A1062" t="inlineStr">
        <is>
          <t>inversion_derived_aneuploid_chromosome</t>
        </is>
      </c>
      <c r="B1062" t="inlineStr">
        <is>
          <t>http://identifiers.org/so/SO:0000567</t>
        </is>
      </c>
      <c r="C1062" t="inlineStr">
        <is>
          <t>['(Drosophila)T', 'inversion cum translocation', '(Drosophila)InT']</t>
        </is>
      </c>
    </row>
    <row r="1063" ht="15" customHeight="1">
      <c r="A1063" t="inlineStr">
        <is>
          <t>inversion_derived_bipartite_deficiency</t>
        </is>
      </c>
      <c r="B1063" t="inlineStr">
        <is>
          <t>http://identifiers.org/so/SO:0000461</t>
        </is>
      </c>
      <c r="C1063" t="inlineStr">
        <is>
          <t>['inversion derived aneuploid chromosome']</t>
        </is>
      </c>
    </row>
    <row r="1064" ht="15" customHeight="1">
      <c r="A1064" t="inlineStr">
        <is>
          <t>inversion_derived_bipartite_duplication</t>
        </is>
      </c>
      <c r="B1064" t="inlineStr">
        <is>
          <t>http://identifiers.org/so/SO:0000547</t>
        </is>
      </c>
      <c r="C1064" t="inlineStr">
        <is>
          <t>['inversion derived bipartite deficiency']</t>
        </is>
      </c>
    </row>
    <row r="1065" ht="15" customHeight="1">
      <c r="A1065" t="inlineStr">
        <is>
          <t>inversion_derived_deficiency_plus_aneuploid</t>
        </is>
      </c>
      <c r="B1065" t="inlineStr">
        <is>
          <t>http://identifiers.org/so/SO:0000512</t>
        </is>
      </c>
      <c r="C1065" t="inlineStr">
        <is>
          <t>['inversion derived bipartite duplication']</t>
        </is>
      </c>
    </row>
    <row r="1066" ht="15" customHeight="1">
      <c r="A1066" t="inlineStr">
        <is>
          <t>inversion_derived_deficiency_plus_duplication</t>
        </is>
      </c>
      <c r="B1066" t="inlineStr">
        <is>
          <t>http://identifiers.org/so/SO:0000465</t>
        </is>
      </c>
      <c r="C1066" t="inlineStr">
        <is>
          <t>['inversion derived deficiency plus aneuploid']</t>
        </is>
      </c>
    </row>
    <row r="1067" ht="15" customHeight="1">
      <c r="A1067" t="inlineStr">
        <is>
          <t>inversion_derived_duplication_plus_aneuploid</t>
        </is>
      </c>
      <c r="B1067" t="inlineStr">
        <is>
          <t>http://identifiers.org/so/SO:0000549</t>
        </is>
      </c>
      <c r="C1067" t="inlineStr">
        <is>
          <t>['inversion derived deficiency plus duplication']</t>
        </is>
      </c>
    </row>
    <row r="1068" ht="15" customHeight="1">
      <c r="A1068" t="inlineStr">
        <is>
          <t>inversion_site</t>
        </is>
      </c>
      <c r="B1068" t="inlineStr">
        <is>
          <t>http://identifiers.org/so/SO:0000948</t>
        </is>
      </c>
      <c r="C1068" t="inlineStr">
        <is>
          <t>['inversion derived duplication plus aneuploid']</t>
        </is>
      </c>
    </row>
    <row r="1069" ht="15" customHeight="1">
      <c r="A1069" t="inlineStr">
        <is>
          <t>inversion_site_part</t>
        </is>
      </c>
      <c r="B1069" t="inlineStr">
        <is>
          <t>http://identifiers.org/so/SO:0001048</t>
        </is>
      </c>
      <c r="C1069" t="inlineStr">
        <is>
          <t>['inversion site']</t>
        </is>
      </c>
    </row>
    <row r="1070" ht="15" customHeight="1">
      <c r="A1070" t="inlineStr">
        <is>
          <t>invert</t>
        </is>
      </c>
      <c r="B1070" t="inlineStr">
        <is>
          <t>http://identifiers.org/so/SO:0000047</t>
        </is>
      </c>
      <c r="C1070" t="inlineStr">
        <is>
          <t>['inversion site part']</t>
        </is>
      </c>
    </row>
    <row r="1071" ht="15" customHeight="1">
      <c r="A1071" t="inlineStr">
        <is>
          <t>inverted</t>
        </is>
      </c>
      <c r="B1071" t="inlineStr">
        <is>
          <t>http://identifiers.org/so/SO:0001515</t>
        </is>
      </c>
    </row>
    <row r="1072" ht="15" customHeight="1">
      <c r="A1072" t="inlineStr">
        <is>
          <t>inverted_insertional_duplication</t>
        </is>
      </c>
      <c r="B1072" t="inlineStr">
        <is>
          <t>http://identifiers.org/so/SO:1000153</t>
        </is>
      </c>
    </row>
    <row r="1073" ht="15" customHeight="1">
      <c r="A1073" t="inlineStr">
        <is>
          <t>inverted_interchromosomal_transposition</t>
        </is>
      </c>
      <c r="B1073" t="inlineStr">
        <is>
          <t>http://identifiers.org/so/SO:1000156</t>
        </is>
      </c>
      <c r="C1073" t="inlineStr">
        <is>
          <t>['(Drosophila)iDp', 'inverted insertional duplication']</t>
        </is>
      </c>
    </row>
    <row r="1074" ht="15" customHeight="1">
      <c r="A1074" t="inlineStr">
        <is>
          <t>inverted_intrachromosomal_transposition</t>
        </is>
      </c>
      <c r="B1074" t="inlineStr">
        <is>
          <t>http://identifiers.org/so/SO:1000158</t>
        </is>
      </c>
      <c r="C1074" t="inlineStr">
        <is>
          <t>['(Drosophila)iTp', 'inverted interchromosomal transposition']</t>
        </is>
      </c>
    </row>
    <row r="1075" ht="15" customHeight="1">
      <c r="A1075" t="inlineStr">
        <is>
          <t>inverted_repeat</t>
        </is>
      </c>
      <c r="B1075" t="inlineStr">
        <is>
          <t>http://identifiers.org/so/SO:0000294</t>
        </is>
      </c>
      <c r="C1075" t="inlineStr">
        <is>
          <t>['inverted intrachromosomal transposition', '(Drosophila)iTp']</t>
        </is>
      </c>
    </row>
    <row r="1076" ht="15" customHeight="1">
      <c r="A1076" t="inlineStr">
        <is>
          <t>inverted_ring_chromosome</t>
        </is>
      </c>
      <c r="B1076" t="inlineStr">
        <is>
          <t>http://identifiers.org/so/SO:0000439</t>
        </is>
      </c>
      <c r="C1076" t="inlineStr">
        <is>
          <t>['inverted repeat sequence', 'INSDC_qualifier:inverted', 'INSDC_feature:repeat_region', 'inverted repeat']</t>
        </is>
      </c>
    </row>
    <row r="1077" ht="15" customHeight="1">
      <c r="A1077" t="inlineStr">
        <is>
          <t>inverted_tandem_duplication</t>
        </is>
      </c>
      <c r="B1077" t="inlineStr">
        <is>
          <t>http://identifiers.org/so/SO:1000040</t>
        </is>
      </c>
      <c r="C1077" t="inlineStr">
        <is>
          <t>['inverted ring chromosome']</t>
        </is>
      </c>
    </row>
    <row r="1078" ht="15" customHeight="1">
      <c r="A1078" t="inlineStr">
        <is>
          <t>IRLinv_site</t>
        </is>
      </c>
      <c r="B1078" t="inlineStr">
        <is>
          <t>http://identifiers.org/so/SO:0001046</t>
        </is>
      </c>
      <c r="C1078" t="inlineStr">
        <is>
          <t>['mirror duplication', 'inverted tandem duplication']</t>
        </is>
      </c>
    </row>
    <row r="1079" ht="15" customHeight="1">
      <c r="A1079" t="inlineStr">
        <is>
          <t>iron_repressed_GATA_element</t>
        </is>
      </c>
      <c r="B1079" t="inlineStr">
        <is>
          <t>http://identifiers.org/so/SO:0001851</t>
        </is>
      </c>
      <c r="C1079" t="inlineStr">
        <is>
          <t>['IRLinv site']</t>
        </is>
      </c>
    </row>
    <row r="1080" ht="15" customHeight="1">
      <c r="A1080" t="inlineStr">
        <is>
          <t>iron_responsive_element</t>
        </is>
      </c>
      <c r="B1080" t="inlineStr">
        <is>
          <t>http://identifiers.org/so/SO:0001182</t>
        </is>
      </c>
      <c r="C1080" t="inlineStr">
        <is>
          <t>['IDP (GATA)', 'iron repressed GATA element']</t>
        </is>
      </c>
    </row>
    <row r="1081" ht="15" customHeight="1">
      <c r="A1081" t="inlineStr">
        <is>
          <t>IRRinv_site</t>
        </is>
      </c>
      <c r="B1081" t="inlineStr">
        <is>
          <t>http://identifiers.org/so/SO:0001047</t>
        </is>
      </c>
      <c r="C1081" t="inlineStr">
        <is>
          <t>['iron responsive element', 'IRE']</t>
        </is>
      </c>
    </row>
    <row r="1082" ht="15" customHeight="1">
      <c r="A1082" t="inlineStr">
        <is>
          <t>isoleucine</t>
        </is>
      </c>
      <c r="B1082" t="inlineStr">
        <is>
          <t>http://identifiers.org/so/SO:0001438</t>
        </is>
      </c>
      <c r="C1082" t="inlineStr">
        <is>
          <t>['IRRinv site']</t>
        </is>
      </c>
    </row>
    <row r="1083" ht="15" customHeight="1">
      <c r="A1083" t="inlineStr">
        <is>
          <t>isoleucine_tRNA_primary_transcript</t>
        </is>
      </c>
      <c r="B1083" t="inlineStr">
        <is>
          <t>http://identifiers.org/so/SO:0000220</t>
        </is>
      </c>
      <c r="C1083" t="inlineStr">
        <is>
          <t>['Ile', 'I']</t>
        </is>
      </c>
    </row>
    <row r="1084" ht="15" customHeight="1">
      <c r="A1084" t="inlineStr">
        <is>
          <t>isoleucyl_tRNA</t>
        </is>
      </c>
      <c r="B1084" t="inlineStr">
        <is>
          <t>http://identifiers.org/so/SO:0000263</t>
        </is>
      </c>
      <c r="C1084" t="inlineStr">
        <is>
          <t>['isoleucine tRNA primary transcript']</t>
        </is>
      </c>
    </row>
    <row r="1085" ht="15" customHeight="1">
      <c r="A1085" t="inlineStr">
        <is>
          <t>isomiR</t>
        </is>
      </c>
      <c r="B1085" t="inlineStr">
        <is>
          <t>http://identifiers.org/so/SO:0002167</t>
        </is>
      </c>
      <c r="C1085" t="inlineStr">
        <is>
          <t>['isoleucyl-transfer RNA', 'isoleucyl tRNA', 'isoleucyl-transfer ribonucleic acid']</t>
        </is>
      </c>
    </row>
    <row r="1086" ht="15" customHeight="1">
      <c r="A1086" t="inlineStr">
        <is>
          <t>isowyosine</t>
        </is>
      </c>
      <c r="B1086" t="inlineStr">
        <is>
          <t>http://identifiers.org/so/SO:0001342</t>
        </is>
      </c>
    </row>
    <row r="1087" ht="15" customHeight="1">
      <c r="A1087" t="inlineStr">
        <is>
          <t>ISRE</t>
        </is>
      </c>
      <c r="B1087" t="inlineStr">
        <is>
          <t>http://identifiers.org/so/SO:0001715</t>
        </is>
      </c>
      <c r="C1087" t="inlineStr">
        <is>
          <t>['imG2']</t>
        </is>
      </c>
    </row>
    <row r="1088" ht="15" customHeight="1">
      <c r="A1088" t="inlineStr">
        <is>
          <t>J_C_cluster</t>
        </is>
      </c>
      <c r="B1088" t="inlineStr">
        <is>
          <t>http://identifiers.org/so/SO:0000511</t>
        </is>
      </c>
      <c r="C1088" t="inlineStr">
        <is>
          <t>['interferon stimulated response element']</t>
        </is>
      </c>
    </row>
    <row r="1089" ht="15" customHeight="1">
      <c r="A1089" t="inlineStr">
        <is>
          <t>J_cluster</t>
        </is>
      </c>
      <c r="B1089" t="inlineStr">
        <is>
          <t>http://identifiers.org/so/SO:0000513</t>
        </is>
      </c>
      <c r="C1089" t="inlineStr">
        <is>
          <t>['J C cluster', 'J-C-CLUSTER']</t>
        </is>
      </c>
    </row>
    <row r="1090" ht="15" customHeight="1">
      <c r="A1090" t="inlineStr">
        <is>
          <t>J_gene_recombination_feature</t>
        </is>
      </c>
      <c r="B1090" t="inlineStr">
        <is>
          <t>http://identifiers.org/so/SO:0000302</t>
        </is>
      </c>
      <c r="C1090" t="inlineStr">
        <is>
          <t>['J-CLUSTER', 'J cluster']</t>
        </is>
      </c>
    </row>
    <row r="1091" ht="15" customHeight="1">
      <c r="A1091" t="inlineStr">
        <is>
          <t>J_gene_segment</t>
        </is>
      </c>
      <c r="B1091" t="inlineStr">
        <is>
          <t>http://identifiers.org/so/SO:0000470</t>
        </is>
      </c>
      <c r="C1091" t="inlineStr">
        <is>
          <t>['J-RS', 'J gene recombination feature']</t>
        </is>
      </c>
    </row>
    <row r="1092" ht="15" customHeight="1">
      <c r="A1092" t="inlineStr">
        <is>
          <t>J_heptamer</t>
        </is>
      </c>
      <c r="B1092" t="inlineStr">
        <is>
          <t>http://identifiers.org/so/SO:0000515</t>
        </is>
      </c>
      <c r="C1092" t="inlineStr">
        <is>
          <t>['INSDC_feature:J_segment', 'J-GENE', 'J gene']</t>
        </is>
      </c>
    </row>
    <row r="1093" ht="15" customHeight="1">
      <c r="A1093" t="inlineStr">
        <is>
          <t>J_nonamer</t>
        </is>
      </c>
      <c r="B1093" t="inlineStr">
        <is>
          <t>http://identifiers.org/so/SO:0000514</t>
        </is>
      </c>
      <c r="C1093" t="inlineStr">
        <is>
          <t>['J-HEPTAMER', 'J heptamer']</t>
        </is>
      </c>
    </row>
    <row r="1094" ht="15" customHeight="1">
      <c r="A1094" t="inlineStr">
        <is>
          <t>J_spacer</t>
        </is>
      </c>
      <c r="B1094" t="inlineStr">
        <is>
          <t>http://identifiers.org/so/SO:0000517</t>
        </is>
      </c>
      <c r="C1094" t="inlineStr">
        <is>
          <t>['J-NONAMER', 'J nonamer']</t>
        </is>
      </c>
    </row>
    <row r="1095" ht="15" customHeight="1">
      <c r="A1095" t="inlineStr">
        <is>
          <t>Jockey_LINE_retrotransposon</t>
        </is>
      </c>
      <c r="B1095" t="inlineStr">
        <is>
          <t>http://identifiers.org/so/SO:0002271</t>
        </is>
      </c>
      <c r="C1095" t="inlineStr">
        <is>
          <t>['J-SPACER', 'J spacer']</t>
        </is>
      </c>
    </row>
    <row r="1096" ht="15" customHeight="1">
      <c r="A1096" t="inlineStr">
        <is>
          <t>junction</t>
        </is>
      </c>
      <c r="B1096" t="inlineStr">
        <is>
          <t>http://identifiers.org/so/SO:0000699</t>
        </is>
      </c>
      <c r="C1096" t="inlineStr">
        <is>
          <t>['Jockey LINE retrotransposon', 'LINE Jockey element', 'RIJ retrotransposon']</t>
        </is>
      </c>
    </row>
    <row r="1097" ht="15" customHeight="1">
      <c r="A1097" t="inlineStr">
        <is>
          <t>K_turn_RNA_motif</t>
        </is>
      </c>
      <c r="B1097" t="inlineStr">
        <is>
          <t>http://identifiers.org/so/SO:0000023</t>
        </is>
      </c>
      <c r="C1097" t="inlineStr">
        <is>
          <t>['boundary', 'breakpoint']</t>
        </is>
      </c>
    </row>
    <row r="1098" ht="15" customHeight="1">
      <c r="A1098" t="inlineStr">
        <is>
          <t>KEN_box</t>
        </is>
      </c>
      <c r="B1098" t="inlineStr">
        <is>
          <t>http://identifiers.org/so/SO:0001807</t>
        </is>
      </c>
      <c r="C1098" t="inlineStr">
        <is>
          <t>['kink turn', 'K-turn', 'K turn RNA motif', 'kink-turn motif']</t>
        </is>
      </c>
    </row>
    <row r="1099" ht="15" customHeight="1">
      <c r="A1099" t="inlineStr">
        <is>
          <t>kinetoplast</t>
        </is>
      </c>
      <c r="B1099" t="inlineStr">
        <is>
          <t>http://identifiers.org/so/SO:0000741</t>
        </is>
      </c>
      <c r="C1099" t="inlineStr">
        <is>
          <t>['KEN box']</t>
        </is>
      </c>
    </row>
    <row r="1100" ht="15" customHeight="1">
      <c r="A1100" t="inlineStr">
        <is>
          <t>kinetoplast_gene</t>
        </is>
      </c>
      <c r="B1100" t="inlineStr">
        <is>
          <t>http://identifiers.org/so/SO:0000089</t>
        </is>
      </c>
      <c r="C1100" t="inlineStr">
        <is>
          <t>['kinetoplast_chromosome']</t>
        </is>
      </c>
    </row>
    <row r="1101" ht="15" customHeight="1">
      <c r="A1101" t="inlineStr">
        <is>
          <t>knob</t>
        </is>
      </c>
      <c r="B1101" t="inlineStr">
        <is>
          <t>http://identifiers.org/so/SO:0002257</t>
        </is>
      </c>
      <c r="C1101" t="inlineStr">
        <is>
          <t>['kinetoplast gene']</t>
        </is>
      </c>
    </row>
    <row r="1102" ht="15" customHeight="1">
      <c r="A1102" t="inlineStr">
        <is>
          <t>kozak_sequence</t>
        </is>
      </c>
      <c r="B1102" t="inlineStr">
        <is>
          <t>http://identifiers.org/so/SO:0001647</t>
        </is>
      </c>
      <c r="C1102" t="inlineStr">
        <is>
          <t>['Heterochromatin Knob']</t>
        </is>
      </c>
    </row>
    <row r="1103" ht="15" customHeight="1">
      <c r="A1103" t="inlineStr">
        <is>
          <t>L_box</t>
        </is>
      </c>
      <c r="B1103" t="inlineStr">
        <is>
          <t>http://identifiers.org/so/SO:0001981</t>
        </is>
      </c>
      <c r="C1103" t="inlineStr">
        <is>
          <t>['kozak sequence', 'kozak consensus', 'kozak consensus sequence']</t>
        </is>
      </c>
    </row>
    <row r="1104" ht="15" customHeight="1">
      <c r="A1104" t="inlineStr">
        <is>
          <t>L1_LINE_retrotransposon</t>
        </is>
      </c>
      <c r="B1104" t="inlineStr">
        <is>
          <t>http://identifiers.org/so/SO:0002272</t>
        </is>
      </c>
      <c r="C1104" t="inlineStr">
        <is>
          <t>['L-box', 'L-box promoter element']</t>
        </is>
      </c>
    </row>
    <row r="1105" ht="15" customHeight="1">
      <c r="A1105" t="inlineStr">
        <is>
          <t>laevosynaptic_chromosome</t>
        </is>
      </c>
      <c r="B1105" t="inlineStr">
        <is>
          <t>http://identifiers.org/so/SO:1000143</t>
        </is>
      </c>
      <c r="C1105" t="inlineStr">
        <is>
          <t>['L1 LINE retrotransposon', 'L1 element', 'LINE-1 element', 'LINE 1 element']</t>
        </is>
      </c>
    </row>
    <row r="1106" ht="15" customHeight="1">
      <c r="A1106" t="inlineStr">
        <is>
          <t>lambda_clone</t>
        </is>
      </c>
      <c r="B1106" t="inlineStr">
        <is>
          <t>http://identifiers.org/so/SO:0000160</t>
        </is>
      </c>
      <c r="C1106" t="inlineStr">
        <is>
          <t>['laevosynaptic chromosome']</t>
        </is>
      </c>
    </row>
    <row r="1107" ht="15" customHeight="1">
      <c r="A1107" t="inlineStr">
        <is>
          <t>lambda_vector</t>
        </is>
      </c>
      <c r="B1107" t="inlineStr">
        <is>
          <t>http://identifiers.org/so/SO:0000754</t>
        </is>
      </c>
    </row>
    <row r="1108" ht="15" customHeight="1">
      <c r="A1108" t="inlineStr">
        <is>
          <t>LARD</t>
        </is>
      </c>
      <c r="B1108" t="inlineStr">
        <is>
          <t>http://identifiers.org/so/SO:0002260</t>
        </is>
      </c>
      <c r="C1108" t="inlineStr">
        <is>
          <t>['lambda vector']</t>
        </is>
      </c>
    </row>
    <row r="1109" ht="15" customHeight="1">
      <c r="A1109" t="inlineStr">
        <is>
          <t>large_subunit_rRNA</t>
        </is>
      </c>
      <c r="B1109" t="inlineStr">
        <is>
          <t>http://identifiers.org/so/SO:0000651</t>
        </is>
      </c>
      <c r="C1109" t="inlineStr">
        <is>
          <t>['Large Retrotransposon Derivative', 'large_retrotransposon_derivative']</t>
        </is>
      </c>
    </row>
    <row r="1110" ht="15" customHeight="1">
      <c r="A1110" t="inlineStr">
        <is>
          <t>lariat_intron</t>
        </is>
      </c>
      <c r="B1110" t="inlineStr">
        <is>
          <t>http://identifiers.org/so/SO:0001958</t>
        </is>
      </c>
      <c r="C1110" t="inlineStr">
        <is>
          <t>['LSU RNA', 'LSU rRNA', 'large subunit rRNA']</t>
        </is>
      </c>
    </row>
    <row r="1111" ht="15" customHeight="1">
      <c r="A1111" t="inlineStr">
        <is>
          <t>late_origin_of_replication</t>
        </is>
      </c>
      <c r="B1111" t="inlineStr">
        <is>
          <t>http://identifiers.org/so/SO:0002141</t>
        </is>
      </c>
      <c r="C1111" t="inlineStr">
        <is>
          <t>['lariat intron']</t>
        </is>
      </c>
    </row>
    <row r="1112" ht="15" customHeight="1">
      <c r="A1112" t="inlineStr">
        <is>
          <t>left_handed_peptide_helix</t>
        </is>
      </c>
      <c r="B1112" t="inlineStr">
        <is>
          <t>http://identifiers.org/so/SO:0001115</t>
        </is>
      </c>
      <c r="C1112" t="inlineStr">
        <is>
          <t>['late origin of replication', 'late replication origin', 'late origin']</t>
        </is>
      </c>
    </row>
    <row r="1113" ht="15" customHeight="1">
      <c r="A1113" t="inlineStr">
        <is>
          <t>lethal_variant</t>
        </is>
      </c>
      <c r="B1113" t="inlineStr">
        <is>
          <t>http://identifiers.org/so/SO:0001773</t>
        </is>
      </c>
      <c r="C1113" t="inlineStr">
        <is>
          <t>['helix-l', 'left handed helix']</t>
        </is>
      </c>
    </row>
    <row r="1114" ht="15" customHeight="1">
      <c r="A1114" t="inlineStr">
        <is>
          <t>leucine</t>
        </is>
      </c>
      <c r="B1114" t="inlineStr">
        <is>
          <t>http://identifiers.org/so/SO:0001437</t>
        </is>
      </c>
      <c r="C1114" t="inlineStr">
        <is>
          <t>['lethal variant']</t>
        </is>
      </c>
    </row>
    <row r="1115" ht="15" customHeight="1">
      <c r="A1115" t="inlineStr">
        <is>
          <t>leucine_tRNA_primary_transcript</t>
        </is>
      </c>
      <c r="B1115" t="inlineStr">
        <is>
          <t>http://identifiers.org/so/SO:0000221</t>
        </is>
      </c>
      <c r="C1115" t="inlineStr">
        <is>
          <t>['L', 'Leu']</t>
        </is>
      </c>
    </row>
    <row r="1116" ht="15" customHeight="1">
      <c r="A1116" t="inlineStr">
        <is>
          <t>leucoplast_chromosome</t>
        </is>
      </c>
      <c r="B1116" t="inlineStr">
        <is>
          <t>http://identifiers.org/so/SO:0000823</t>
        </is>
      </c>
      <c r="C1116" t="inlineStr">
        <is>
          <t>['leucine tRNA primary transcript']</t>
        </is>
      </c>
    </row>
    <row r="1117" ht="15" customHeight="1">
      <c r="A1117" t="inlineStr">
        <is>
          <t>leucoplast_gene</t>
        </is>
      </c>
      <c r="B1117" t="inlineStr">
        <is>
          <t>http://identifiers.org/so/SO:0000095</t>
        </is>
      </c>
      <c r="C1117" t="inlineStr">
        <is>
          <t>['leucoplast chromosome']</t>
        </is>
      </c>
    </row>
    <row r="1118" ht="15" customHeight="1">
      <c r="A1118" t="inlineStr">
        <is>
          <t>leucoplast_sequence</t>
        </is>
      </c>
      <c r="B1118" t="inlineStr">
        <is>
          <t>http://identifiers.org/so/SO:0000747</t>
        </is>
      </c>
      <c r="C1118" t="inlineStr">
        <is>
          <t>['leucoplast gene']</t>
        </is>
      </c>
    </row>
    <row r="1119" ht="15" customHeight="1">
      <c r="A1119" t="inlineStr">
        <is>
          <t>leucyl_tRNA</t>
        </is>
      </c>
      <c r="B1119" t="inlineStr">
        <is>
          <t>http://identifiers.org/so/SO:0000264</t>
        </is>
      </c>
      <c r="C1119" t="inlineStr">
        <is>
          <t>['leucoplast sequence']</t>
        </is>
      </c>
    </row>
    <row r="1120" ht="15" customHeight="1">
      <c r="A1120" t="inlineStr">
        <is>
          <t>level_of_transcript_variant</t>
        </is>
      </c>
      <c r="B1120" t="inlineStr">
        <is>
          <t>http://identifiers.org/so/SO:0001540</t>
        </is>
      </c>
      <c r="C1120" t="inlineStr">
        <is>
          <t>['leucyl tRNA', 'leucyl-transfer ribonucleic acid', 'leucyl-transfer RNA']</t>
        </is>
      </c>
    </row>
    <row r="1121" ht="15" customHeight="1">
      <c r="A1121" t="inlineStr">
        <is>
          <t>ligand_binding_site</t>
        </is>
      </c>
      <c r="B1121" t="inlineStr">
        <is>
          <t>http://identifiers.org/so/SO:0001657</t>
        </is>
      </c>
      <c r="C1121" t="inlineStr">
        <is>
          <t>['level of transcript variant']</t>
        </is>
      </c>
    </row>
    <row r="1122" ht="15" customHeight="1">
      <c r="A1122" t="inlineStr">
        <is>
          <t>ligation_based_read</t>
        </is>
      </c>
      <c r="B1122" t="inlineStr">
        <is>
          <t>http://identifiers.org/so/SO:0001425</t>
        </is>
      </c>
      <c r="C1122" t="inlineStr">
        <is>
          <t>['ligand binding site']</t>
        </is>
      </c>
    </row>
    <row r="1123" ht="15" customHeight="1">
      <c r="A1123" t="inlineStr">
        <is>
          <t>lincRNA</t>
        </is>
      </c>
      <c r="B1123" t="inlineStr">
        <is>
          <t>http://identifiers.org/so/SO:0001463</t>
        </is>
      </c>
      <c r="C1123" t="inlineStr">
        <is>
          <t>['ligation based read']</t>
        </is>
      </c>
    </row>
    <row r="1124" ht="15" customHeight="1">
      <c r="A1124" t="inlineStr">
        <is>
          <t>lincRNA_gene</t>
        </is>
      </c>
      <c r="B1124" t="inlineStr">
        <is>
          <t>http://identifiers.org/so/SO:0001641</t>
        </is>
      </c>
      <c r="C1124" t="inlineStr">
        <is>
          <t>['large intervening non-coding RNA', 'long intervening non-coding RNA', 'long intergenic non-coding RNA']</t>
        </is>
      </c>
    </row>
    <row r="1125" ht="15" customHeight="1">
      <c r="A1125" t="inlineStr">
        <is>
          <t>LINE_element</t>
        </is>
      </c>
      <c r="B1125" t="inlineStr">
        <is>
          <t>http://identifiers.org/so/SO:0000194</t>
        </is>
      </c>
      <c r="C1125" t="inlineStr">
        <is>
          <t>['lincRNA gene']</t>
        </is>
      </c>
    </row>
    <row r="1126" ht="15" customHeight="1">
      <c r="A1126" t="inlineStr">
        <is>
          <t>LINE1_deletion</t>
        </is>
      </c>
      <c r="B1126" t="inlineStr">
        <is>
          <t>http://identifiers.org/so/SO:0002069</t>
        </is>
      </c>
      <c r="C1126" t="inlineStr">
        <is>
          <t>['LINE', 'Long interspersed element', 'Long interspersed nuclear element', 'LINE element']</t>
        </is>
      </c>
    </row>
    <row r="1127" ht="15" customHeight="1">
      <c r="A1127" t="inlineStr">
        <is>
          <t>LINE1_insertion</t>
        </is>
      </c>
      <c r="B1127" t="inlineStr">
        <is>
          <t>http://identifiers.org/so/SO:0002064</t>
        </is>
      </c>
      <c r="C1127" t="inlineStr">
        <is>
          <t>['LINE1 deletion']</t>
        </is>
      </c>
    </row>
    <row r="1128" ht="15" customHeight="1">
      <c r="A1128" t="inlineStr">
        <is>
          <t>linear</t>
        </is>
      </c>
      <c r="B1128" t="inlineStr">
        <is>
          <t>http://identifiers.org/so/SO:0000987</t>
        </is>
      </c>
      <c r="C1128" t="inlineStr">
        <is>
          <t>['line1 insertion']</t>
        </is>
      </c>
    </row>
    <row r="1129" ht="15" customHeight="1">
      <c r="A1129" t="inlineStr">
        <is>
          <t>linear_double_stranded_DNA_chromosome</t>
        </is>
      </c>
      <c r="B1129" t="inlineStr">
        <is>
          <t>http://identifiers.org/so/SO:0000957</t>
        </is>
      </c>
      <c r="C1129" t="inlineStr">
        <is>
          <t>['two-ended']</t>
        </is>
      </c>
    </row>
    <row r="1130" ht="15" customHeight="1">
      <c r="A1130" t="inlineStr">
        <is>
          <t>linear_double_stranded_RNA_chromosome</t>
        </is>
      </c>
      <c r="B1130" t="inlineStr">
        <is>
          <t>http://identifiers.org/so/SO:0000964</t>
        </is>
      </c>
      <c r="C1130" t="inlineStr">
        <is>
          <t>['linear double stranded DNA chromosome']</t>
        </is>
      </c>
    </row>
    <row r="1131" ht="15" customHeight="1">
      <c r="A1131" t="inlineStr">
        <is>
          <t>linear_plasmid</t>
        </is>
      </c>
      <c r="B1131" t="inlineStr">
        <is>
          <t>http://identifiers.org/so/SO:0002212</t>
        </is>
      </c>
      <c r="C1131" t="inlineStr">
        <is>
          <t>['linear double stranded RNA chromosome']</t>
        </is>
      </c>
    </row>
    <row r="1132" ht="15" customHeight="1">
      <c r="A1132" t="inlineStr">
        <is>
          <t>linear_single_stranded_DNA_chromosome</t>
        </is>
      </c>
      <c r="B1132" t="inlineStr">
        <is>
          <t>http://identifiers.org/so/SO:0000959</t>
        </is>
      </c>
      <c r="C1132" t="inlineStr">
        <is>
          <t>['linear plasmid']</t>
        </is>
      </c>
    </row>
    <row r="1133" ht="15" customHeight="1">
      <c r="A1133" t="inlineStr">
        <is>
          <t>linear_single_stranded_RNA_chromosome</t>
        </is>
      </c>
      <c r="B1133" t="inlineStr">
        <is>
          <t>http://identifiers.org/so/SO:0000963</t>
        </is>
      </c>
      <c r="C1133" t="inlineStr">
        <is>
          <t>['linear single stranded DNA chromosome']</t>
        </is>
      </c>
    </row>
    <row r="1134" ht="15" customHeight="1">
      <c r="A1134" t="inlineStr">
        <is>
          <t>linkage_group</t>
        </is>
      </c>
      <c r="B1134" t="inlineStr">
        <is>
          <t>http://identifiers.org/so/SO:0000018</t>
        </is>
      </c>
      <c r="C1134" t="inlineStr">
        <is>
          <t>['linear single stranded RNA chromosome']</t>
        </is>
      </c>
    </row>
    <row r="1135" ht="15" customHeight="1">
      <c r="A1135" t="inlineStr">
        <is>
          <t>lipoprotein_signal_peptide</t>
        </is>
      </c>
      <c r="B1135" t="inlineStr">
        <is>
          <t>http://identifiers.org/so/SO:0100009</t>
        </is>
      </c>
      <c r="C1135" t="inlineStr">
        <is>
          <t>['linkage group']</t>
        </is>
      </c>
    </row>
    <row r="1136" ht="15" customHeight="1">
      <c r="A1136" t="inlineStr">
        <is>
          <t>LNA</t>
        </is>
      </c>
      <c r="B1136" t="inlineStr">
        <is>
          <t>http://identifiers.org/so/SO:0001188</t>
        </is>
      </c>
      <c r="C1136" t="inlineStr">
        <is>
          <t>['prokaryotic membrane lipoprotein lipid attachment site', 'lipoprotein signal peptide']</t>
        </is>
      </c>
    </row>
    <row r="1137" ht="15" customHeight="1">
      <c r="A1137" t="inlineStr">
        <is>
          <t>LNA_oligo</t>
        </is>
      </c>
      <c r="B1137" t="inlineStr">
        <is>
          <t>http://identifiers.org/so/SO:0001189</t>
        </is>
      </c>
    </row>
    <row r="1138" ht="15" customHeight="1">
      <c r="A1138" t="inlineStr">
        <is>
          <t>lnc_RNA</t>
        </is>
      </c>
      <c r="B1138" t="inlineStr">
        <is>
          <t>http://identifiers.org/so/SO:0001877</t>
        </is>
      </c>
      <c r="C1138" t="inlineStr">
        <is>
          <t>['LNA oligo', 'locked nucleic acid']</t>
        </is>
      </c>
    </row>
    <row r="1139" ht="15" customHeight="1">
      <c r="A1139" t="inlineStr">
        <is>
          <t>lncRNA_gene</t>
        </is>
      </c>
      <c r="B1139" t="inlineStr">
        <is>
          <t>http://identifiers.org/so/SO:0002127</t>
        </is>
      </c>
      <c r="C1139" t="inlineStr">
        <is>
          <t>['INSDC_qualifier:lncRNA', 'INSDC_feature:ncRNA', 'long non-coding RNA', 'lncRNA_transcript']</t>
        </is>
      </c>
    </row>
    <row r="1140" ht="15" customHeight="1">
      <c r="A1140" t="inlineStr">
        <is>
          <t>lncRNA_primary_transcript</t>
        </is>
      </c>
      <c r="B1140" t="inlineStr">
        <is>
          <t>http://identifiers.org/so/SO:0002035</t>
        </is>
      </c>
      <c r="C1140" t="inlineStr">
        <is>
          <t>['lnc_RNA_gene', 'long_non_coding_RNA_gene', 'lnc RNA gene']</t>
        </is>
      </c>
    </row>
    <row r="1141" ht="15" customHeight="1">
      <c r="A1141" t="inlineStr">
        <is>
          <t>lncRNA_with_retained_intron</t>
        </is>
      </c>
      <c r="B1141" t="inlineStr">
        <is>
          <t>http://identifiers.org/so/SO:0002113</t>
        </is>
      </c>
      <c r="C1141" t="inlineStr">
        <is>
          <t>['lncRNA primary transcript']</t>
        </is>
      </c>
    </row>
    <row r="1142" ht="15" customHeight="1">
      <c r="A1142" t="inlineStr">
        <is>
          <t>locus_control_region</t>
        </is>
      </c>
      <c r="B1142" t="inlineStr">
        <is>
          <t>http://identifiers.org/so/SO:0000037</t>
        </is>
      </c>
      <c r="C1142" t="inlineStr">
        <is>
          <t>['lncRNA with retained intron', 'lncRNA_retained_intron']</t>
        </is>
      </c>
    </row>
    <row r="1143" ht="15" customHeight="1">
      <c r="A1143" t="inlineStr">
        <is>
          <t>long_terminal_repeat</t>
        </is>
      </c>
      <c r="B1143" t="inlineStr">
        <is>
          <t>http://identifiers.org/so/SO:0000286</t>
        </is>
      </c>
      <c r="C1143" t="inlineStr">
        <is>
          <t>['INSDC_feature:regulatory', 'locus control region', 'LCR', 'INSDC_qualifier:locus_control_region', 'locus control element']</t>
        </is>
      </c>
    </row>
    <row r="1144" ht="15" customHeight="1">
      <c r="A1144" t="inlineStr">
        <is>
          <t>long_terminal_repeat_transcript</t>
        </is>
      </c>
      <c r="B1144" t="inlineStr">
        <is>
          <t>http://identifiers.org/so/SO:0002208</t>
        </is>
      </c>
      <c r="C1144" t="inlineStr">
        <is>
          <t>['INSDC_feature:repeat_region', 'LTR', 'direct terminal repeat', 'long terminal repeat', 'INSDC_qualifier:long_terminal_repeat']</t>
        </is>
      </c>
    </row>
    <row r="1145" ht="15" customHeight="1">
      <c r="A1145" t="inlineStr">
        <is>
          <t>loop</t>
        </is>
      </c>
      <c r="B1145" t="inlineStr">
        <is>
          <t>http://identifiers.org/so/SO:0002254</t>
        </is>
      </c>
      <c r="C1145" t="inlineStr">
        <is>
          <t>['LTR transcript', 'long terminal repeat transcript']</t>
        </is>
      </c>
    </row>
    <row r="1146" ht="15" customHeight="1">
      <c r="A1146" t="inlineStr">
        <is>
          <t>loR</t>
        </is>
      </c>
      <c r="B1146" t="inlineStr">
        <is>
          <t>http://identifiers.org/so/SO:0002033</t>
        </is>
      </c>
      <c r="C1146" t="inlineStr">
        <is>
          <t>['loop portion of stem loop']</t>
        </is>
      </c>
    </row>
    <row r="1147" ht="15" customHeight="1">
      <c r="A1147" t="inlineStr">
        <is>
          <t>loss_of_function_variant</t>
        </is>
      </c>
      <c r="B1147" t="inlineStr">
        <is>
          <t>http://identifiers.org/so/SO:0002054</t>
        </is>
      </c>
      <c r="C1147" t="inlineStr">
        <is>
          <t>['loop-origin miRs']</t>
        </is>
      </c>
    </row>
    <row r="1148" ht="15" customHeight="1">
      <c r="A1148" t="inlineStr">
        <is>
          <t>loss_of_heterozygosity</t>
        </is>
      </c>
      <c r="B1148" t="inlineStr">
        <is>
          <t>http://identifiers.org/so/SO:0001786</t>
        </is>
      </c>
      <c r="C1148" t="inlineStr">
        <is>
          <t>['loss of function variant']</t>
        </is>
      </c>
    </row>
    <row r="1149" ht="15" customHeight="1">
      <c r="A1149" t="inlineStr">
        <is>
          <t>low_complexity</t>
        </is>
      </c>
      <c r="B1149" t="inlineStr">
        <is>
          <t>http://identifiers.org/so/SO:0001004</t>
        </is>
      </c>
      <c r="C1149" t="inlineStr">
        <is>
          <t>['LOH', 'loss of heterozygosity']</t>
        </is>
      </c>
    </row>
    <row r="1150" ht="15" customHeight="1">
      <c r="A1150" t="inlineStr">
        <is>
          <t>low_complexity_region</t>
        </is>
      </c>
      <c r="B1150" t="inlineStr">
        <is>
          <t>http://identifiers.org/so/SO:0001005</t>
        </is>
      </c>
      <c r="C1150" t="inlineStr">
        <is>
          <t>['low complexity']</t>
        </is>
      </c>
    </row>
    <row r="1151" ht="15" customHeight="1">
      <c r="A1151" t="inlineStr">
        <is>
          <t>loxP_site</t>
        </is>
      </c>
      <c r="B1151" t="inlineStr">
        <is>
          <t>http://identifiers.org/so/SO:0000346</t>
        </is>
      </c>
      <c r="C1151" t="inlineStr">
        <is>
          <t>['low complexity region']</t>
        </is>
      </c>
    </row>
    <row r="1152" ht="15" customHeight="1">
      <c r="A1152" t="inlineStr">
        <is>
          <t>LOZ1_response_element</t>
        </is>
      </c>
      <c r="B1152" t="inlineStr">
        <is>
          <t>http://identifiers.org/so/SO:0002225</t>
        </is>
      </c>
      <c r="C1152" t="inlineStr">
        <is>
          <t>['Cre-recombination target region', 'loxP site']</t>
        </is>
      </c>
    </row>
    <row r="1153" ht="15" customHeight="1">
      <c r="A1153" t="inlineStr">
        <is>
          <t>LTR_component</t>
        </is>
      </c>
      <c r="B1153" t="inlineStr">
        <is>
          <t>http://identifiers.org/so/SO:0000848</t>
        </is>
      </c>
      <c r="C1153" t="inlineStr">
        <is>
          <t>['LRE element', 'LRE', 'Loz1 response element']</t>
        </is>
      </c>
    </row>
    <row r="1154" ht="15" customHeight="1">
      <c r="A1154" t="inlineStr">
        <is>
          <t>LTR_retrotransposon</t>
        </is>
      </c>
      <c r="B1154" t="inlineStr">
        <is>
          <t>http://identifiers.org/so/SO:0000186</t>
        </is>
      </c>
      <c r="C1154" t="inlineStr">
        <is>
          <t>['long term repeat component', 'LTR component']</t>
        </is>
      </c>
    </row>
    <row r="1155" ht="15" customHeight="1">
      <c r="A1155" t="inlineStr">
        <is>
          <t>lysidine</t>
        </is>
      </c>
      <c r="B1155" t="inlineStr">
        <is>
          <t>http://identifiers.org/so/SO:0001289</t>
        </is>
      </c>
      <c r="C1155" t="inlineStr">
        <is>
          <t>['long terminal repeat retrotransposon', 'LTR retrotransposon']</t>
        </is>
      </c>
    </row>
    <row r="1156" ht="15" customHeight="1">
      <c r="A1156" t="inlineStr">
        <is>
          <t>lysine</t>
        </is>
      </c>
      <c r="B1156" t="inlineStr">
        <is>
          <t>http://identifiers.org/so/SO:0001450</t>
        </is>
      </c>
      <c r="C1156" t="inlineStr">
        <is>
          <t>['k2C']</t>
        </is>
      </c>
    </row>
    <row r="1157" ht="15" customHeight="1">
      <c r="A1157" t="inlineStr">
        <is>
          <t>lysine_tRNA_primary_transcript</t>
        </is>
      </c>
      <c r="B1157" t="inlineStr">
        <is>
          <t>http://identifiers.org/so/SO:0000222</t>
        </is>
      </c>
      <c r="C1157" t="inlineStr">
        <is>
          <t>['Lys', 'K']</t>
        </is>
      </c>
    </row>
    <row r="1158" ht="15" customHeight="1">
      <c r="A1158" t="inlineStr">
        <is>
          <t>lysosomal_localization_signal</t>
        </is>
      </c>
      <c r="B1158" t="inlineStr">
        <is>
          <t>http://identifiers.org/so/SO:0001530</t>
        </is>
      </c>
      <c r="C1158" t="inlineStr">
        <is>
          <t>['lysine tRNA primary transcript']</t>
        </is>
      </c>
    </row>
    <row r="1159" ht="15" customHeight="1">
      <c r="A1159" t="inlineStr">
        <is>
          <t>lysyl_tRNA</t>
        </is>
      </c>
      <c r="B1159" t="inlineStr">
        <is>
          <t>http://identifiers.org/so/SO:0000265</t>
        </is>
      </c>
      <c r="C1159" t="inlineStr">
        <is>
          <t>['lysosomal localization signal']</t>
        </is>
      </c>
    </row>
    <row r="1160" ht="15" customHeight="1">
      <c r="A1160" t="inlineStr">
        <is>
          <t>macronuclear_chromosome</t>
        </is>
      </c>
      <c r="B1160" t="inlineStr">
        <is>
          <t>http://identifiers.org/so/SO:0000824</t>
        </is>
      </c>
      <c r="C1160" t="inlineStr">
        <is>
          <t>['lysyl-transfer RNA', 'lysyl-transfer ribonucleic acid', 'lysyl tRNA']</t>
        </is>
      </c>
    </row>
    <row r="1161" ht="15" customHeight="1">
      <c r="A1161" t="inlineStr">
        <is>
          <t>macronuclear_sequence</t>
        </is>
      </c>
      <c r="B1161" t="inlineStr">
        <is>
          <t>http://identifiers.org/so/SO:0000083</t>
        </is>
      </c>
      <c r="C1161" t="inlineStr">
        <is>
          <t>['macronuclear chromosome']</t>
        </is>
      </c>
    </row>
    <row r="1162" ht="15" customHeight="1">
      <c r="A1162" t="inlineStr">
        <is>
          <t>macronucleus_destined_segment</t>
        </is>
      </c>
      <c r="B1162" t="inlineStr">
        <is>
          <t>http://identifiers.org/so/SO:0000672</t>
        </is>
      </c>
      <c r="C1162" t="inlineStr">
        <is>
          <t>['macronuclear sequence']</t>
        </is>
      </c>
    </row>
    <row r="1163" ht="15" customHeight="1">
      <c r="A1163" t="inlineStr">
        <is>
          <t>major_TSS</t>
        </is>
      </c>
      <c r="B1163" t="inlineStr">
        <is>
          <t>http://identifiers.org/so/SO:0001238</t>
        </is>
      </c>
      <c r="C1163" t="inlineStr">
        <is>
          <t>['macronucleus destined segment']</t>
        </is>
      </c>
    </row>
    <row r="1164" ht="15" customHeight="1">
      <c r="A1164" t="inlineStr">
        <is>
          <t>mannosyl_queuosine</t>
        </is>
      </c>
      <c r="B1164" t="inlineStr">
        <is>
          <t>http://identifiers.org/so/SO:0001320</t>
        </is>
      </c>
      <c r="C1164" t="inlineStr">
        <is>
          <t>['major transcription start site', 'major TSS']</t>
        </is>
      </c>
    </row>
    <row r="1165" ht="15" customHeight="1">
      <c r="A1165" t="inlineStr">
        <is>
          <t>Mat2P</t>
        </is>
      </c>
      <c r="B1165" t="inlineStr">
        <is>
          <t>http://identifiers.org/so/SO:0002157</t>
        </is>
      </c>
      <c r="C1165" t="inlineStr">
        <is>
          <t>['manQ', 'mannosyl-queuosine', 'mannosyl queuosine']</t>
        </is>
      </c>
    </row>
    <row r="1166" ht="15" customHeight="1">
      <c r="A1166" t="inlineStr">
        <is>
          <t>Mat3M</t>
        </is>
      </c>
      <c r="B1166" t="inlineStr">
        <is>
          <t>http://identifiers.org/so/SO:0002158</t>
        </is>
      </c>
    </row>
    <row r="1167" ht="15" customHeight="1">
      <c r="A1167" t="inlineStr">
        <is>
          <t>match</t>
        </is>
      </c>
      <c r="B1167" t="inlineStr">
        <is>
          <t>http://identifiers.org/so/SO:0000343</t>
        </is>
      </c>
    </row>
    <row r="1168" ht="15" customHeight="1">
      <c r="A1168" t="inlineStr">
        <is>
          <t>match_part</t>
        </is>
      </c>
      <c r="B1168" t="inlineStr">
        <is>
          <t>http://identifiers.org/so/SO:0000039</t>
        </is>
      </c>
    </row>
    <row r="1169" ht="15" customHeight="1">
      <c r="A1169" t="inlineStr">
        <is>
          <t>match_set</t>
        </is>
      </c>
      <c r="B1169" t="inlineStr">
        <is>
          <t>http://identifiers.org/so/SO:0000038</t>
        </is>
      </c>
      <c r="C1169" t="inlineStr">
        <is>
          <t>['match part']</t>
        </is>
      </c>
    </row>
    <row r="1170" ht="15" customHeight="1">
      <c r="A1170" t="inlineStr">
        <is>
          <t>maternal_uniparental_disomy</t>
        </is>
      </c>
      <c r="B1170" t="inlineStr">
        <is>
          <t>http://identifiers.org/so/SO:0001745</t>
        </is>
      </c>
    </row>
    <row r="1171" ht="15" customHeight="1">
      <c r="A1171" t="inlineStr">
        <is>
          <t>maternal_variant</t>
        </is>
      </c>
      <c r="B1171" t="inlineStr">
        <is>
          <t>http://identifiers.org/so/SO:0001775</t>
        </is>
      </c>
      <c r="C1171" t="inlineStr">
        <is>
          <t>['maternal uniparental disomy']</t>
        </is>
      </c>
    </row>
    <row r="1172" ht="15" customHeight="1">
      <c r="A1172" t="inlineStr">
        <is>
          <t>maternally_imprinted</t>
        </is>
      </c>
      <c r="B1172" t="inlineStr">
        <is>
          <t>http://identifiers.org/so/SO:0000135</t>
        </is>
      </c>
      <c r="C1172" t="inlineStr">
        <is>
          <t>['maternal variant']</t>
        </is>
      </c>
    </row>
    <row r="1173" ht="15" customHeight="1">
      <c r="A1173" t="inlineStr">
        <is>
          <t>maternally_imprinted_gene</t>
        </is>
      </c>
      <c r="B1173" t="inlineStr">
        <is>
          <t>http://identifiers.org/so/SO:0000888</t>
        </is>
      </c>
      <c r="C1173" t="inlineStr">
        <is>
          <t>['maternally imprinted']</t>
        </is>
      </c>
    </row>
    <row r="1174" ht="15" customHeight="1">
      <c r="A1174" t="inlineStr">
        <is>
          <t>mathematically_defined_repeat</t>
        </is>
      </c>
      <c r="B1174" t="inlineStr">
        <is>
          <t>http://identifiers.org/so/SO:0001642</t>
        </is>
      </c>
      <c r="C1174" t="inlineStr">
        <is>
          <t>['maternally imprinted gene']</t>
        </is>
      </c>
    </row>
    <row r="1175" ht="15" customHeight="1">
      <c r="A1175" t="inlineStr">
        <is>
          <t>mating_type_M_box</t>
        </is>
      </c>
      <c r="B1175" t="inlineStr">
        <is>
          <t>http://identifiers.org/so/SO:0001852</t>
        </is>
      </c>
      <c r="C1175" t="inlineStr">
        <is>
          <t>['mathematically defined repeat']</t>
        </is>
      </c>
    </row>
    <row r="1176" ht="15" customHeight="1">
      <c r="A1176" t="inlineStr">
        <is>
          <t>mating_type_region</t>
        </is>
      </c>
      <c r="B1176" t="inlineStr">
        <is>
          <t>http://identifiers.org/so/SO:0001789</t>
        </is>
      </c>
      <c r="C1176" t="inlineStr">
        <is>
          <t>['mating type M-box']</t>
        </is>
      </c>
    </row>
    <row r="1177" ht="15" customHeight="1">
      <c r="A1177" t="inlineStr">
        <is>
          <t>mating_type_region_motif</t>
        </is>
      </c>
      <c r="B1177" t="inlineStr">
        <is>
          <t>http://identifiers.org/so/SO:0001999</t>
        </is>
      </c>
      <c r="C1177" t="inlineStr">
        <is>
          <t>['mating type region']</t>
        </is>
      </c>
    </row>
    <row r="1178" ht="15" customHeight="1">
      <c r="A1178" t="inlineStr">
        <is>
          <t>mating_type_region_replication_fork_barrier</t>
        </is>
      </c>
      <c r="B1178" t="inlineStr">
        <is>
          <t>http://identifiers.org/so/SO:0002021</t>
        </is>
      </c>
      <c r="C1178" t="inlineStr">
        <is>
          <t>['mating type region motif']</t>
        </is>
      </c>
    </row>
    <row r="1179" ht="15" customHeight="1">
      <c r="A1179" t="inlineStr">
        <is>
          <t>matrix_attachment_site</t>
        </is>
      </c>
      <c r="B1179" t="inlineStr">
        <is>
          <t>http://identifiers.org/so/SO:0000036</t>
        </is>
      </c>
      <c r="C1179" t="inlineStr">
        <is>
          <t>['mating type region replication fork barrier']</t>
        </is>
      </c>
    </row>
    <row r="1180" ht="15" customHeight="1">
      <c r="A1180" t="inlineStr">
        <is>
          <t>mature_miRNA_variant</t>
        </is>
      </c>
      <c r="B1180" t="inlineStr">
        <is>
          <t>http://identifiers.org/so/SO:0001620</t>
        </is>
      </c>
      <c r="C1180" t="inlineStr">
        <is>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is>
      </c>
    </row>
    <row r="1181" ht="15" customHeight="1">
      <c r="A1181" t="inlineStr">
        <is>
          <t>mature_protein_region</t>
        </is>
      </c>
      <c r="B1181" t="inlineStr">
        <is>
          <t>http://identifiers.org/so/SO:0000419</t>
        </is>
      </c>
      <c r="C1181" t="inlineStr">
        <is>
          <t>['VEP:mature_miRNA_variant', 'mature miRNA variant', 'within_mature_miRNA', 'snpEff:MICRO_RNA']</t>
        </is>
      </c>
    </row>
    <row r="1182" ht="15" customHeight="1">
      <c r="A1182" t="inlineStr">
        <is>
          <t>mature_protein_region_of_CDS</t>
        </is>
      </c>
      <c r="B1182" t="inlineStr">
        <is>
          <t>http://identifiers.org/so/SO:0002249</t>
        </is>
      </c>
      <c r="C1182" t="inlineStr">
        <is>
          <t>['mature peptide', 'mature protein region', 'INSDC_feature:mat_peptide', 'chain']</t>
        </is>
      </c>
    </row>
    <row r="1183" ht="15" customHeight="1">
      <c r="A1183" t="inlineStr">
        <is>
          <t>mature_transcript</t>
        </is>
      </c>
      <c r="B1183" t="inlineStr">
        <is>
          <t>http://identifiers.org/so/SO:0000233</t>
        </is>
      </c>
      <c r="C1183" t="inlineStr">
        <is>
          <t>['mature protein region of CDS', 'INSDC_feature:mat_peptide']</t>
        </is>
      </c>
    </row>
    <row r="1184" ht="15" customHeight="1">
      <c r="A1184" t="inlineStr">
        <is>
          <t>mature_transcript_region</t>
        </is>
      </c>
      <c r="B1184" t="inlineStr">
        <is>
          <t>http://identifiers.org/so/SO:0000834</t>
        </is>
      </c>
      <c r="C1184" t="inlineStr">
        <is>
          <t>['mature transcript']</t>
        </is>
      </c>
    </row>
    <row r="1185" ht="15" customHeight="1">
      <c r="A1185" t="inlineStr">
        <is>
          <t>maxicircle</t>
        </is>
      </c>
      <c r="B1185" t="inlineStr">
        <is>
          <t>http://identifiers.org/so/SO:0000742</t>
        </is>
      </c>
      <c r="C1185" t="inlineStr">
        <is>
          <t>['mature transcript region']</t>
        </is>
      </c>
    </row>
    <row r="1186" ht="15" customHeight="1">
      <c r="A1186" t="inlineStr">
        <is>
          <t>maxicircle_gene</t>
        </is>
      </c>
      <c r="B1186" t="inlineStr">
        <is>
          <t>http://identifiers.org/so/SO:0000654</t>
        </is>
      </c>
      <c r="C1186" t="inlineStr">
        <is>
          <t>['maxicircle_chromosome']</t>
        </is>
      </c>
    </row>
    <row r="1187" ht="15" customHeight="1">
      <c r="A1187" t="inlineStr">
        <is>
          <t>MCB</t>
        </is>
      </c>
      <c r="B1187" t="inlineStr">
        <is>
          <t>http://identifiers.org/so/SO:0001855</t>
        </is>
      </c>
      <c r="C1187" t="inlineStr">
        <is>
          <t>['maxi-circle gene', 'maxicircle gene']</t>
        </is>
      </c>
    </row>
    <row r="1188" ht="15" customHeight="1">
      <c r="A1188" t="inlineStr">
        <is>
          <t>meiotic_recombination_region</t>
        </is>
      </c>
      <c r="B1188" t="inlineStr">
        <is>
          <t>http://identifiers.org/so/SO:0002155</t>
        </is>
      </c>
      <c r="C1188" t="inlineStr">
        <is>
          <t>['MluI cell cycle box']</t>
        </is>
      </c>
    </row>
    <row r="1189" ht="15" customHeight="1">
      <c r="A1189" t="inlineStr">
        <is>
          <t>member_of_regulon</t>
        </is>
      </c>
      <c r="B1189" t="inlineStr">
        <is>
          <t>http://identifiers.org/so/SO:1001217</t>
        </is>
      </c>
      <c r="C1189" t="inlineStr">
        <is>
          <t>['INSDC_feature:misc_recomb', 'meiotic recombination region', 'INSDC_qualifier:meiotic_recombination', 'INSDC_qualifier:meiotic']</t>
        </is>
      </c>
    </row>
    <row r="1190" ht="15" customHeight="1">
      <c r="A1190" t="inlineStr">
        <is>
          <t>membrane_peptide_loop</t>
        </is>
      </c>
      <c r="B1190" t="inlineStr">
        <is>
          <t>http://identifiers.org/so/SO:0001076</t>
        </is>
      </c>
      <c r="C1190" t="inlineStr">
        <is>
          <t>['member of regulon']</t>
        </is>
      </c>
    </row>
    <row r="1191" ht="15" customHeight="1">
      <c r="A1191" t="inlineStr">
        <is>
          <t>membrane_structure</t>
        </is>
      </c>
      <c r="B1191" t="inlineStr">
        <is>
          <t>http://identifiers.org/so/SO:0001071</t>
        </is>
      </c>
      <c r="C1191" t="inlineStr">
        <is>
          <t>['membrane_loop', 'membrane peptide loop']</t>
        </is>
      </c>
    </row>
    <row r="1192" ht="15" customHeight="1">
      <c r="A1192" t="inlineStr">
        <is>
          <t>Merlin_TIR_transposon</t>
        </is>
      </c>
      <c r="B1192" t="inlineStr">
        <is>
          <t>http://identifiers.org/so/SO:0002281</t>
        </is>
      </c>
      <c r="C1192" t="inlineStr">
        <is>
          <t>['membrane structure']</t>
        </is>
      </c>
    </row>
    <row r="1193" ht="15" customHeight="1">
      <c r="A1193" t="inlineStr">
        <is>
          <t>metabolic_island</t>
        </is>
      </c>
      <c r="B1193" t="inlineStr">
        <is>
          <t>http://identifiers.org/so/SO:0000774</t>
        </is>
      </c>
      <c r="C1193" t="inlineStr">
        <is>
          <t>['Merlin transposon', 'Merlin TIR transposon', 'DTE transposon']</t>
        </is>
      </c>
    </row>
    <row r="1194" ht="15" customHeight="1">
      <c r="A1194" t="inlineStr">
        <is>
          <t>metal_binding_site</t>
        </is>
      </c>
      <c r="B1194" t="inlineStr">
        <is>
          <t>http://identifiers.org/so/SO:0001656</t>
        </is>
      </c>
      <c r="C1194" t="inlineStr">
        <is>
          <t>['metabolic island']</t>
        </is>
      </c>
    </row>
    <row r="1195" ht="15" customHeight="1">
      <c r="A1195" t="inlineStr">
        <is>
          <t>methionine</t>
        </is>
      </c>
      <c r="B1195" t="inlineStr">
        <is>
          <t>http://identifiers.org/so/SO:0001442</t>
        </is>
      </c>
      <c r="C1195" t="inlineStr">
        <is>
          <t>['metal binding site']</t>
        </is>
      </c>
    </row>
    <row r="1196" ht="15" customHeight="1">
      <c r="A1196" t="inlineStr">
        <is>
          <t>methionine_tRNA_primary_transcript</t>
        </is>
      </c>
      <c r="B1196" t="inlineStr">
        <is>
          <t>http://identifiers.org/so/SO:0000223</t>
        </is>
      </c>
      <c r="C1196" t="inlineStr">
        <is>
          <t>['M', 'Met']</t>
        </is>
      </c>
    </row>
    <row r="1197" ht="15" customHeight="1">
      <c r="A1197" t="inlineStr">
        <is>
          <t>methionyl_tRNA</t>
        </is>
      </c>
      <c r="B1197" t="inlineStr">
        <is>
          <t>http://identifiers.org/so/SO:0000266</t>
        </is>
      </c>
      <c r="C1197" t="inlineStr">
        <is>
          <t>['methionine tRNA primary transcript']</t>
        </is>
      </c>
    </row>
    <row r="1198" ht="15" customHeight="1">
      <c r="A1198" t="inlineStr">
        <is>
          <t>methylated_adenine</t>
        </is>
      </c>
      <c r="B1198" t="inlineStr">
        <is>
          <t>http://identifiers.org/so/SO:0000161</t>
        </is>
      </c>
      <c r="C1198" t="inlineStr">
        <is>
          <t>['methionyl-transfer RNA', 'methionyl-transfer ribonucleic acid', 'methionyl tRNA']</t>
        </is>
      </c>
    </row>
    <row r="1199" ht="15" customHeight="1">
      <c r="A1199" t="inlineStr">
        <is>
          <t>methylated_cytosine</t>
        </is>
      </c>
      <c r="B1199" t="inlineStr">
        <is>
          <t>http://identifiers.org/so/SO:0000114</t>
        </is>
      </c>
      <c r="C1199" t="inlineStr">
        <is>
          <t>['methylated A', 'methylated_A', 'methylated adenine residue', 'methylated adenine', 'methylated adenine base']</t>
        </is>
      </c>
    </row>
    <row r="1200" ht="15" customHeight="1">
      <c r="A1200" t="inlineStr">
        <is>
          <t>methylated_DNA_base_feature</t>
        </is>
      </c>
      <c r="B1200" t="inlineStr">
        <is>
          <t>http://identifiers.org/so/SO:0000306</t>
        </is>
      </c>
      <c r="C1200" t="inlineStr">
        <is>
          <t>['methylated cytosine', 'methylated_C', 'methylated C', 'methylated cytosine residue', 'methylated cytosine base']</t>
        </is>
      </c>
    </row>
    <row r="1201" ht="15" customHeight="1">
      <c r="A1201" t="inlineStr">
        <is>
          <t>methylation_guide_snoRNA</t>
        </is>
      </c>
      <c r="B1201" t="inlineStr">
        <is>
          <t>http://identifiers.org/so/SO:0005841</t>
        </is>
      </c>
      <c r="C1201" t="inlineStr">
        <is>
          <t>['methylated base feature']</t>
        </is>
      </c>
    </row>
    <row r="1202" ht="15" customHeight="1">
      <c r="A1202" t="inlineStr">
        <is>
          <t>methylation_guide_snoRNA_primary_transcript</t>
        </is>
      </c>
      <c r="B1202" t="inlineStr">
        <is>
          <t>http://identifiers.org/so/SO:0000580</t>
        </is>
      </c>
      <c r="C1202" t="inlineStr">
        <is>
          <t>['methylation guide snoRNA']</t>
        </is>
      </c>
    </row>
    <row r="1203" ht="15" customHeight="1">
      <c r="A1203" t="inlineStr">
        <is>
          <t>methylinosine</t>
        </is>
      </c>
      <c r="B1203" t="inlineStr">
        <is>
          <t>http://identifiers.org/so/SO:0001233</t>
        </is>
      </c>
      <c r="C1203" t="inlineStr">
        <is>
          <t>['methylation guide snoRNA primary transcript']</t>
        </is>
      </c>
    </row>
    <row r="1204" ht="15" customHeight="1">
      <c r="A1204" t="inlineStr">
        <is>
          <t>methylwyosine</t>
        </is>
      </c>
      <c r="B1204" t="inlineStr">
        <is>
          <t>http://identifiers.org/so/SO:0001337</t>
        </is>
      </c>
    </row>
    <row r="1205" ht="15" customHeight="1">
      <c r="A1205" t="inlineStr">
        <is>
          <t>MicF_RNA</t>
        </is>
      </c>
      <c r="B1205" t="inlineStr">
        <is>
          <t>http://identifiers.org/so/SO:0000383</t>
        </is>
      </c>
      <c r="C1205" t="inlineStr">
        <is>
          <t>['mimG']</t>
        </is>
      </c>
    </row>
    <row r="1206" ht="15" customHeight="1">
      <c r="A1206" t="inlineStr">
        <is>
          <t>microarray_oligo</t>
        </is>
      </c>
      <c r="B1206" t="inlineStr">
        <is>
          <t>http://identifiers.org/so/SO:0000328</t>
        </is>
      </c>
      <c r="C1206" t="inlineStr">
        <is>
          <t>['MicF RNA']</t>
        </is>
      </c>
    </row>
    <row r="1207" ht="15" customHeight="1">
      <c r="A1207" t="inlineStr">
        <is>
          <t>micronuclear_chromosome</t>
        </is>
      </c>
      <c r="B1207" t="inlineStr">
        <is>
          <t>http://identifiers.org/so/SO:0000825</t>
        </is>
      </c>
      <c r="C1207" t="inlineStr">
        <is>
          <t>['microarray oligo', 'microarray oligonucleotide']</t>
        </is>
      </c>
    </row>
    <row r="1208" ht="15" customHeight="1">
      <c r="A1208" t="inlineStr">
        <is>
          <t>micronuclear_sequence</t>
        </is>
      </c>
      <c r="B1208" t="inlineStr">
        <is>
          <t>http://identifiers.org/so/SO:0000084</t>
        </is>
      </c>
      <c r="C1208" t="inlineStr">
        <is>
          <t>['micronuclear chromosome']</t>
        </is>
      </c>
    </row>
    <row r="1209" ht="15" customHeight="1">
      <c r="A1209" t="inlineStr">
        <is>
          <t>microsatellite</t>
        </is>
      </c>
      <c r="B1209" t="inlineStr">
        <is>
          <t>http://identifiers.org/so/SO:0000289</t>
        </is>
      </c>
      <c r="C1209" t="inlineStr">
        <is>
          <t>['micronuclear sequence']</t>
        </is>
      </c>
    </row>
    <row r="1210" ht="15" customHeight="1">
      <c r="A1210" t="inlineStr">
        <is>
          <t>mini_exon_donor_RNA</t>
        </is>
      </c>
      <c r="B1210" t="inlineStr">
        <is>
          <t>http://identifiers.org/so/SO:0000635</t>
        </is>
      </c>
      <c r="C1210" t="inlineStr">
        <is>
          <t>['microsatellite locus', 'short tandem repeat', 'INSDC_feature:repeat_region', 'microsatellite marker', 'STR', 'INSDC_qualifier:microsatellite']</t>
        </is>
      </c>
    </row>
    <row r="1211" ht="15" customHeight="1">
      <c r="A1211" t="inlineStr">
        <is>
          <t>mini_gene</t>
        </is>
      </c>
      <c r="B1211" t="inlineStr">
        <is>
          <t>http://identifiers.org/so/SO:0000815</t>
        </is>
      </c>
      <c r="C1211" t="inlineStr">
        <is>
          <t>['mini-exon donor RNA', 'mini exon donor RNA']</t>
        </is>
      </c>
    </row>
    <row r="1212" ht="15" customHeight="1">
      <c r="A1212" t="inlineStr">
        <is>
          <t>minicircle</t>
        </is>
      </c>
      <c r="B1212" t="inlineStr">
        <is>
          <t>http://identifiers.org/so/SO:0000980</t>
        </is>
      </c>
      <c r="C1212" t="inlineStr">
        <is>
          <t>['mini gene']</t>
        </is>
      </c>
    </row>
    <row r="1213" ht="15" customHeight="1">
      <c r="A1213" t="inlineStr">
        <is>
          <t>minicircle_gene</t>
        </is>
      </c>
      <c r="B1213" t="inlineStr">
        <is>
          <t>http://identifiers.org/so/SO:0000975</t>
        </is>
      </c>
      <c r="C1213" t="inlineStr">
        <is>
          <t>['minicircle_chromosome']</t>
        </is>
      </c>
    </row>
    <row r="1214" ht="15" customHeight="1">
      <c r="A1214" t="inlineStr">
        <is>
          <t>minisatellite</t>
        </is>
      </c>
      <c r="B1214" t="inlineStr">
        <is>
          <t>http://identifiers.org/so/SO:0000643</t>
        </is>
      </c>
      <c r="C1214" t="inlineStr">
        <is>
          <t>['minicircle gene']</t>
        </is>
      </c>
    </row>
    <row r="1215" ht="15" customHeight="1">
      <c r="A1215" t="inlineStr">
        <is>
          <t>minor_TSS</t>
        </is>
      </c>
      <c r="B1215" t="inlineStr">
        <is>
          <t>http://identifiers.org/so/SO:0001239</t>
        </is>
      </c>
      <c r="C1215" t="inlineStr">
        <is>
          <t>['INSDC_feature:repeat_region', 'VNTR', 'INSDC_qualifier:minisatellite']</t>
        </is>
      </c>
    </row>
    <row r="1216" ht="15" customHeight="1">
      <c r="A1216" t="inlineStr">
        <is>
          <t>minus_1_frameshift</t>
        </is>
      </c>
      <c r="B1216" t="inlineStr">
        <is>
          <t>http://identifiers.org/so/SO:0000866</t>
        </is>
      </c>
      <c r="C1216" t="inlineStr">
        <is>
          <t>['minor TSS']</t>
        </is>
      </c>
    </row>
    <row r="1217" ht="15" customHeight="1">
      <c r="A1217" t="inlineStr">
        <is>
          <t>minus_1_frameshift_variant</t>
        </is>
      </c>
      <c r="B1217" t="inlineStr">
        <is>
          <t>http://identifiers.org/so/SO:0001592</t>
        </is>
      </c>
      <c r="C1217" t="inlineStr">
        <is>
          <t>['minus 1 frameshift']</t>
        </is>
      </c>
    </row>
    <row r="1218" ht="15" customHeight="1">
      <c r="A1218" t="inlineStr">
        <is>
          <t>minus_1_translationally_frameshifted</t>
        </is>
      </c>
      <c r="B1218" t="inlineStr">
        <is>
          <t>http://identifiers.org/so/SO:1001262</t>
        </is>
      </c>
      <c r="C1218" t="inlineStr">
        <is>
          <t>['-1 frameshift variant', 'minus 1 frameshift variant']</t>
        </is>
      </c>
    </row>
    <row r="1219" ht="15" customHeight="1">
      <c r="A1219" t="inlineStr">
        <is>
          <t>minus_10_signal</t>
        </is>
      </c>
      <c r="B1219" t="inlineStr">
        <is>
          <t>http://identifiers.org/so/SO:0000175</t>
        </is>
      </c>
      <c r="C1219" t="inlineStr">
        <is>
          <t>['minus 1 translationally frameshifted']</t>
        </is>
      </c>
    </row>
    <row r="1220" ht="15" customHeight="1">
      <c r="A1220" t="inlineStr">
        <is>
          <t>minus_12_signal</t>
        </is>
      </c>
      <c r="B1220" t="inlineStr">
        <is>
          <t>http://identifiers.org/so/SO:0001673</t>
        </is>
      </c>
      <c r="C1220" t="inlineStr">
        <is>
          <t>['Pribnow-Schaller box', 'minus 10 signal', 'Pribnow Schaller box', '-10 signal', 'INSDC_feature:regulatory', 'INSDC_qualifier:minus_10_signal', 'Pribnow box']</t>
        </is>
      </c>
    </row>
    <row r="1221" ht="15" customHeight="1">
      <c r="A1221" t="inlineStr">
        <is>
          <t>minus_2_frameshift</t>
        </is>
      </c>
      <c r="B1221" t="inlineStr">
        <is>
          <t>http://identifiers.org/so/SO:0000867</t>
        </is>
      </c>
      <c r="C1221" t="inlineStr">
        <is>
          <t>['minus 12 signal']</t>
        </is>
      </c>
    </row>
    <row r="1222" ht="15" customHeight="1">
      <c r="A1222" t="inlineStr">
        <is>
          <t>minus_2_frameshift_variant</t>
        </is>
      </c>
      <c r="B1222" t="inlineStr">
        <is>
          <t>http://identifiers.org/so/SO:0001593</t>
        </is>
      </c>
      <c r="C1222" t="inlineStr">
        <is>
          <t>['minus 2 frameshift']</t>
        </is>
      </c>
    </row>
    <row r="1223" ht="15" customHeight="1">
      <c r="A1223" t="inlineStr">
        <is>
          <t>minus_24_signal</t>
        </is>
      </c>
      <c r="B1223" t="inlineStr">
        <is>
          <t>http://identifiers.org/so/SO:0001674</t>
        </is>
      </c>
      <c r="C1223" t="inlineStr">
        <is>
          <t>['-2 frameshift variant', 'minus 2 frameshift variant']</t>
        </is>
      </c>
    </row>
    <row r="1224" ht="15" customHeight="1">
      <c r="A1224" t="inlineStr">
        <is>
          <t>minus_35_signal</t>
        </is>
      </c>
      <c r="B1224" t="inlineStr">
        <is>
          <t>http://identifiers.org/so/SO:0000176</t>
        </is>
      </c>
      <c r="C1224" t="inlineStr">
        <is>
          <t>['minus 24 signal']</t>
        </is>
      </c>
    </row>
    <row r="1225" ht="15" customHeight="1">
      <c r="A1225" t="inlineStr">
        <is>
          <t>miR_encoding_lncRNA_primary_transcript</t>
        </is>
      </c>
      <c r="B1225" t="inlineStr">
        <is>
          <t>http://identifiers.org/so/SO:0002036</t>
        </is>
      </c>
      <c r="C1225" t="inlineStr">
        <is>
          <t>['-35 signal', 'minus 35 signal', 'INSDC_feature:regulatory', 'INSDC_qualifier:minus_35_signal']</t>
        </is>
      </c>
    </row>
    <row r="1226" ht="15" customHeight="1">
      <c r="A1226" t="inlineStr">
        <is>
          <t>miR_encoding_shRNA_primary_transcript</t>
        </is>
      </c>
      <c r="B1226" t="inlineStr">
        <is>
          <t>http://identifiers.org/so/SO:0002039</t>
        </is>
      </c>
      <c r="C1226" t="inlineStr">
        <is>
          <t>['miR encoding lncRNA primary transcript']</t>
        </is>
      </c>
    </row>
    <row r="1227" ht="15" customHeight="1">
      <c r="A1227" t="inlineStr">
        <is>
          <t>miR_encoding_snoRNA_primary_transcript</t>
        </is>
      </c>
      <c r="B1227" t="inlineStr">
        <is>
          <t>http://identifiers.org/so/SO:0002034</t>
        </is>
      </c>
      <c r="C1227" t="inlineStr">
        <is>
          <t>['miR encoding shRNA primary transcript']</t>
        </is>
      </c>
    </row>
    <row r="1228" ht="15" customHeight="1">
      <c r="A1228" t="inlineStr">
        <is>
          <t>miR_encoding_tRNA_primary_transcript</t>
        </is>
      </c>
      <c r="B1228" t="inlineStr">
        <is>
          <t>http://identifiers.org/so/SO:0002037</t>
        </is>
      </c>
      <c r="C1228" t="inlineStr">
        <is>
          <t>['miR encoding snoRNA primary transcript']</t>
        </is>
      </c>
    </row>
    <row r="1229" ht="15" customHeight="1">
      <c r="A1229" t="inlineStr">
        <is>
          <t>miR_encoding_vaultRNA_primary_transcript</t>
        </is>
      </c>
      <c r="B1229" t="inlineStr">
        <is>
          <t>http://identifiers.org/so/SO:0002041</t>
        </is>
      </c>
      <c r="C1229" t="inlineStr">
        <is>
          <t>['miR encoding tRNA primary transcript']</t>
        </is>
      </c>
    </row>
    <row r="1230" ht="15" customHeight="1">
      <c r="A1230" t="inlineStr">
        <is>
          <t>miR_encoding_Y_RNA_primary_transcript</t>
        </is>
      </c>
      <c r="B1230" t="inlineStr">
        <is>
          <t>http://identifiers.org/so/SO:0002043</t>
        </is>
      </c>
      <c r="C1230" t="inlineStr">
        <is>
          <t>['miR encoding vaultRNA primary transcript']</t>
        </is>
      </c>
    </row>
    <row r="1231" ht="15" customHeight="1">
      <c r="A1231" t="inlineStr">
        <is>
          <t>miRNA</t>
        </is>
      </c>
      <c r="B1231" t="inlineStr">
        <is>
          <t>http://identifiers.org/so/SO:0000276</t>
        </is>
      </c>
      <c r="C1231" t="inlineStr">
        <is>
          <t>['miR encoding Y-RNA primary transcript']</t>
        </is>
      </c>
    </row>
    <row r="1232" ht="15" customHeight="1">
      <c r="A1232" t="inlineStr">
        <is>
          <t>miRNA_antiguide</t>
        </is>
      </c>
      <c r="B1232" t="inlineStr">
        <is>
          <t>http://identifiers.org/so/SO:0001473</t>
        </is>
      </c>
      <c r="C1232" t="inlineStr">
        <is>
          <t>['stRNA', 'INSDC_feature:ncRNA', 'small temporal RNA', 'micro RNA', 'microRNA', 'INSDC_qualifier:miRNA']</t>
        </is>
      </c>
    </row>
    <row r="1233" ht="15" customHeight="1">
      <c r="A1233" t="inlineStr">
        <is>
          <t>miRNA_encoding</t>
        </is>
      </c>
      <c r="B1233" t="inlineStr">
        <is>
          <t>http://identifiers.org/so/SO:0000571</t>
        </is>
      </c>
      <c r="C1233" t="inlineStr">
        <is>
          <t>['miRNA antiguide ', 'miRNA star', 'miRNA passenger strand']</t>
        </is>
      </c>
    </row>
    <row r="1234" ht="15" customHeight="1">
      <c r="A1234" t="inlineStr">
        <is>
          <t>miRNA_gene</t>
        </is>
      </c>
      <c r="B1234" t="inlineStr">
        <is>
          <t>http://identifiers.org/so/SO:0001265</t>
        </is>
      </c>
      <c r="C1234" t="inlineStr">
        <is>
          <t>['miRNA encoding']</t>
        </is>
      </c>
    </row>
    <row r="1235" ht="15" customHeight="1">
      <c r="A1235" t="inlineStr">
        <is>
          <t>miRNA_loop</t>
        </is>
      </c>
      <c r="B1235" t="inlineStr">
        <is>
          <t>http://identifiers.org/so/SO:0001246</t>
        </is>
      </c>
      <c r="C1235" t="inlineStr">
        <is>
          <t>['miRNA gene', 'stRNA gene', 'stRNA_gene']</t>
        </is>
      </c>
    </row>
    <row r="1236" ht="15" customHeight="1">
      <c r="A1236" t="inlineStr">
        <is>
          <t>miRNA_primary_transcript</t>
        </is>
      </c>
      <c r="B1236" t="inlineStr">
        <is>
          <t>http://identifiers.org/so/SO:0000647</t>
        </is>
      </c>
      <c r="C1236" t="inlineStr">
        <is>
          <t>['miRNA loop']</t>
        </is>
      </c>
    </row>
    <row r="1237" ht="15" customHeight="1">
      <c r="A1237" t="inlineStr">
        <is>
          <t>miRNA_primary_transcript_region</t>
        </is>
      </c>
      <c r="B1237" t="inlineStr">
        <is>
          <t>http://identifiers.org/so/SO:0001243</t>
        </is>
      </c>
      <c r="C1237" t="inlineStr">
        <is>
          <t>['micro RNA primary transcript', 'stRNA_primary_transcript', 'stRNA primary transcript', 'small temporal RNA primary transcript', 'miRNA primary transcript']</t>
        </is>
      </c>
    </row>
    <row r="1238" ht="15" customHeight="1">
      <c r="A1238" t="inlineStr">
        <is>
          <t>miRNA_stem</t>
        </is>
      </c>
      <c r="B1238" t="inlineStr">
        <is>
          <t>http://identifiers.org/so/SO:0001245</t>
        </is>
      </c>
      <c r="C1238" t="inlineStr">
        <is>
          <t>['miRNA primary transcript region']</t>
        </is>
      </c>
    </row>
    <row r="1239" ht="15" customHeight="1">
      <c r="A1239" t="inlineStr">
        <is>
          <t>miRNA_target_site</t>
        </is>
      </c>
      <c r="B1239" t="inlineStr">
        <is>
          <t>http://identifiers.org/so/SO:0000934</t>
        </is>
      </c>
      <c r="C1239" t="inlineStr">
        <is>
          <t>['miRNA stem']</t>
        </is>
      </c>
    </row>
    <row r="1240" ht="15" customHeight="1">
      <c r="A1240" t="inlineStr">
        <is>
          <t>miRtron</t>
        </is>
      </c>
      <c r="B1240" t="inlineStr">
        <is>
          <t>http://identifiers.org/so/SO:0001034</t>
        </is>
      </c>
      <c r="C1240" t="inlineStr">
        <is>
          <t>['miRNA target site']</t>
        </is>
      </c>
    </row>
    <row r="1241" ht="15" customHeight="1">
      <c r="A1241" t="inlineStr">
        <is>
          <t>missense_variant</t>
        </is>
      </c>
      <c r="B1241" t="inlineStr">
        <is>
          <t>http://identifiers.org/so/SO:0001583</t>
        </is>
      </c>
    </row>
    <row r="1242" ht="15" customHeight="1">
      <c r="A1242" t="inlineStr">
        <is>
          <t>MITE</t>
        </is>
      </c>
      <c r="B1242" t="inlineStr">
        <is>
          <t>http://identifiers.org/so/SO:0000338</t>
        </is>
      </c>
      <c r="C1242" t="inlineStr">
        <is>
          <t>['VEP:missense_variant', 'VAAST:missense_variant', 'VAAST:non_synonymous_codon', 'Seattleseq:missense', 'missense', 'missense codon', 'Seattleseq:missense-near-splice', 'ANNOVAR:nonsynonymous SNV', 'snpEff:NON_SYNONYMOUS_CODING', 'VAT:nonsynonymous', 'Jannovar:missense_variant']</t>
        </is>
      </c>
    </row>
    <row r="1243" ht="15" customHeight="1">
      <c r="A1243" t="inlineStr">
        <is>
          <t>mitochondrial_chromosome</t>
        </is>
      </c>
      <c r="B1243" t="inlineStr">
        <is>
          <t>http://identifiers.org/so/SO:0000819</t>
        </is>
      </c>
      <c r="C1243" t="inlineStr">
        <is>
          <t>['miniature inverted repeat transposable element']</t>
        </is>
      </c>
    </row>
    <row r="1244" ht="15" customHeight="1">
      <c r="A1244" t="inlineStr">
        <is>
          <t>mitochondrial_contig</t>
        </is>
      </c>
      <c r="B1244" t="inlineStr">
        <is>
          <t>http://identifiers.org/so/SO:0001921</t>
        </is>
      </c>
      <c r="C1244" t="inlineStr">
        <is>
          <t>['mitochondrial chromosome']</t>
        </is>
      </c>
    </row>
    <row r="1245" ht="15" customHeight="1">
      <c r="A1245" t="inlineStr">
        <is>
          <t>mitochondrial_control_region</t>
        </is>
      </c>
      <c r="B1245" t="inlineStr">
        <is>
          <t>http://identifiers.org/so/SO:0002293</t>
        </is>
      </c>
      <c r="C1245" t="inlineStr">
        <is>
          <t>['mitochondrial contig']</t>
        </is>
      </c>
    </row>
    <row r="1246" ht="15" customHeight="1">
      <c r="A1246" t="inlineStr">
        <is>
          <t>mitochondrial_D_loop</t>
        </is>
      </c>
      <c r="B1246" t="inlineStr">
        <is>
          <t>http://identifiers.org/so/SO:0002294</t>
        </is>
      </c>
      <c r="C1246" t="inlineStr">
        <is>
          <t>['MtDNA_control_region', 'Mitochondrial noncoding region', 'Mitochondrial A+T region', 'MtDNA control region', 'Mitochondrial DNA control region', 'Mitochondrial NCR']</t>
        </is>
      </c>
    </row>
    <row r="1247" ht="15" customHeight="1">
      <c r="A1247" t="inlineStr">
        <is>
          <t>mitochondrial_DNA</t>
        </is>
      </c>
      <c r="B1247" t="inlineStr">
        <is>
          <t>http://identifiers.org/so/SO:0001032</t>
        </is>
      </c>
      <c r="C1247" t="inlineStr">
        <is>
          <t>['Mitochondrial D loop', 'Mitochondrial displacement loop']</t>
        </is>
      </c>
    </row>
    <row r="1248" ht="15" customHeight="1">
      <c r="A1248" t="inlineStr">
        <is>
          <t>mitochondrial_DNA_read</t>
        </is>
      </c>
      <c r="B1248" t="inlineStr">
        <is>
          <t>http://identifiers.org/so/SO:0001929</t>
        </is>
      </c>
      <c r="C1248" t="inlineStr">
        <is>
          <t>['mtDNA', 'mitochondrial DNA']</t>
        </is>
      </c>
    </row>
    <row r="1249" ht="15" customHeight="1">
      <c r="A1249" t="inlineStr">
        <is>
          <t>mitochondrial_sequence</t>
        </is>
      </c>
      <c r="B1249" t="inlineStr">
        <is>
          <t>http://identifiers.org/so/SO:0000737</t>
        </is>
      </c>
      <c r="C1249" t="inlineStr">
        <is>
          <t>['mitochondrial DNA read']</t>
        </is>
      </c>
    </row>
    <row r="1250" ht="15" customHeight="1">
      <c r="A1250" t="inlineStr">
        <is>
          <t>mitochondrial_supercontig</t>
        </is>
      </c>
      <c r="B1250" t="inlineStr">
        <is>
          <t>http://identifiers.org/so/SO:0001922</t>
        </is>
      </c>
      <c r="C1250" t="inlineStr">
        <is>
          <t>['mitochondrial sequence']</t>
        </is>
      </c>
    </row>
    <row r="1251" ht="15" customHeight="1">
      <c r="A1251" t="inlineStr">
        <is>
          <t>mitochondrial_targeting_signal</t>
        </is>
      </c>
      <c r="B1251" t="inlineStr">
        <is>
          <t>http://identifiers.org/so/SO:0001808</t>
        </is>
      </c>
      <c r="C1251" t="inlineStr">
        <is>
          <t>['mitochondrial supercontig', 'mitochondrial scaffold', 'mitochondrial_scaffold']</t>
        </is>
      </c>
    </row>
    <row r="1252" ht="15" customHeight="1">
      <c r="A1252" t="inlineStr">
        <is>
          <t>mitotic_recombination_region</t>
        </is>
      </c>
      <c r="B1252" t="inlineStr">
        <is>
          <t>http://identifiers.org/so/SO:0002154</t>
        </is>
      </c>
      <c r="C1252" t="inlineStr">
        <is>
          <t>['MTS', 'mitochondrial targeting signal', 'mitochondrial signal sequence']</t>
        </is>
      </c>
    </row>
    <row r="1253" ht="15" customHeight="1">
      <c r="A1253" t="inlineStr">
        <is>
          <t>MNP</t>
        </is>
      </c>
      <c r="B1253" t="inlineStr">
        <is>
          <t>http://identifiers.org/so/SO:0001013</t>
        </is>
      </c>
      <c r="C1253" t="inlineStr">
        <is>
          <t>['INSDC_feature:misc_recomb', 'INSDC_qualifier:mitotic_recombination', 'INSDC_qualifier:mitotic', 'mitotic recombination region']</t>
        </is>
      </c>
    </row>
    <row r="1254" ht="15" customHeight="1">
      <c r="A1254" t="inlineStr">
        <is>
          <t>MNV</t>
        </is>
      </c>
      <c r="B1254" t="inlineStr">
        <is>
          <t>http://identifiers.org/so/SO:0002007</t>
        </is>
      </c>
      <c r="C1254" t="inlineStr">
        <is>
          <t>['multiple nucleotide polymorphism']</t>
        </is>
      </c>
    </row>
    <row r="1255" ht="15" customHeight="1">
      <c r="A1255" t="inlineStr">
        <is>
          <t>MNV_artifact</t>
        </is>
      </c>
      <c r="B1255" t="inlineStr">
        <is>
          <t>http://identifiers.org/so/SO:0002179</t>
        </is>
      </c>
      <c r="C1255" t="inlineStr">
        <is>
          <t>['multiple nucleotide variant', 'multiple nucleotide substitution']</t>
        </is>
      </c>
    </row>
    <row r="1256" ht="15" customHeight="1">
      <c r="A1256" t="inlineStr">
        <is>
          <t>mobile</t>
        </is>
      </c>
      <c r="B1256" t="inlineStr">
        <is>
          <t>http://identifiers.org/so/SO:0001234</t>
        </is>
      </c>
      <c r="C1256" t="inlineStr">
        <is>
          <t>['MNV artifact']</t>
        </is>
      </c>
    </row>
    <row r="1257" ht="15" customHeight="1">
      <c r="A1257" t="inlineStr">
        <is>
          <t>mobile_element_deletion</t>
        </is>
      </c>
      <c r="B1257" t="inlineStr">
        <is>
          <t>http://identifiers.org/so/SO:0002066</t>
        </is>
      </c>
    </row>
    <row r="1258" ht="15" customHeight="1">
      <c r="A1258" t="inlineStr">
        <is>
          <t>mobile_element_insertion</t>
        </is>
      </c>
      <c r="B1258" t="inlineStr">
        <is>
          <t>http://identifiers.org/so/SO:0001837</t>
        </is>
      </c>
      <c r="C1258" t="inlineStr">
        <is>
          <t>['mobile element deletion']</t>
        </is>
      </c>
    </row>
    <row r="1259" ht="15" customHeight="1">
      <c r="A1259" t="inlineStr">
        <is>
          <t>mobile_genetic_element</t>
        </is>
      </c>
      <c r="B1259" t="inlineStr">
        <is>
          <t>http://identifiers.org/so/SO:0001037</t>
        </is>
      </c>
      <c r="C1259" t="inlineStr">
        <is>
          <t>['mobile element insertion']</t>
        </is>
      </c>
    </row>
    <row r="1260" ht="15" customHeight="1">
      <c r="A1260" t="inlineStr">
        <is>
          <t>mobile_intron</t>
        </is>
      </c>
      <c r="B1260" t="inlineStr">
        <is>
          <t>http://identifiers.org/so/SO:0000666</t>
        </is>
      </c>
      <c r="C1260" t="inlineStr">
        <is>
          <t>['mobile genetic element', 'INSDC_feature:mobile_element', 'MGE']</t>
        </is>
      </c>
    </row>
    <row r="1261" ht="15" customHeight="1">
      <c r="A1261" t="inlineStr">
        <is>
          <t>modified_adenine</t>
        </is>
      </c>
      <c r="B1261" t="inlineStr">
        <is>
          <t>http://identifiers.org/so/SO:0001962</t>
        </is>
      </c>
      <c r="C1261" t="inlineStr">
        <is>
          <t>['mobile intron']</t>
        </is>
      </c>
    </row>
    <row r="1262" ht="15" customHeight="1">
      <c r="A1262" t="inlineStr">
        <is>
          <t>modified_adenosine</t>
        </is>
      </c>
      <c r="B1262" t="inlineStr">
        <is>
          <t>http://identifiers.org/so/SO:0001273</t>
        </is>
      </c>
    </row>
    <row r="1263" ht="15" customHeight="1">
      <c r="A1263" t="inlineStr">
        <is>
          <t>modified_amino_acid_feature</t>
        </is>
      </c>
      <c r="B1263" t="inlineStr">
        <is>
          <t>http://identifiers.org/so/SO:0001385</t>
        </is>
      </c>
      <c r="C1263" t="inlineStr">
        <is>
          <t>['modified adenosine']</t>
        </is>
      </c>
    </row>
    <row r="1264" ht="15" customHeight="1">
      <c r="A1264" t="inlineStr">
        <is>
          <t>modified_cytidine</t>
        </is>
      </c>
      <c r="B1264" t="inlineStr">
        <is>
          <t>http://identifiers.org/so/SO:0001275</t>
        </is>
      </c>
      <c r="C1264" t="inlineStr">
        <is>
          <t>['modified amino acid feature']</t>
        </is>
      </c>
    </row>
    <row r="1265" ht="15" customHeight="1">
      <c r="A1265" t="inlineStr">
        <is>
          <t>modified_cytosine</t>
        </is>
      </c>
      <c r="B1265" t="inlineStr">
        <is>
          <t>http://identifiers.org/so/SO:0001963</t>
        </is>
      </c>
      <c r="C1265" t="inlineStr">
        <is>
          <t>['modified cytidine']</t>
        </is>
      </c>
    </row>
    <row r="1266" ht="15" customHeight="1">
      <c r="A1266" t="inlineStr">
        <is>
          <t>modified_DNA_base</t>
        </is>
      </c>
      <c r="B1266" t="inlineStr">
        <is>
          <t>http://identifiers.org/so/SO:0000305</t>
        </is>
      </c>
    </row>
    <row r="1267" ht="15" customHeight="1">
      <c r="A1267" t="inlineStr">
        <is>
          <t>modified_glycine</t>
        </is>
      </c>
      <c r="B1267" t="inlineStr">
        <is>
          <t>http://identifiers.org/so/SO:0001386</t>
        </is>
      </c>
      <c r="C1267" t="inlineStr">
        <is>
          <t>['INSDC_feature:modified_base', 'modified base site']</t>
        </is>
      </c>
    </row>
    <row r="1268" ht="15" customHeight="1">
      <c r="A1268" t="inlineStr">
        <is>
          <t>modified_guanine</t>
        </is>
      </c>
      <c r="B1268" t="inlineStr">
        <is>
          <t>http://identifiers.org/so/SO:0001964</t>
        </is>
      </c>
      <c r="C1268" t="inlineStr">
        <is>
          <t>['modified glycine', 'ModGly']</t>
        </is>
      </c>
    </row>
    <row r="1269" ht="15" customHeight="1">
      <c r="A1269" t="inlineStr">
        <is>
          <t>modified_guanosine</t>
        </is>
      </c>
      <c r="B1269" t="inlineStr">
        <is>
          <t>http://identifiers.org/so/SO:0001276</t>
        </is>
      </c>
    </row>
    <row r="1270" ht="15" customHeight="1">
      <c r="A1270" t="inlineStr">
        <is>
          <t>modified_inosine</t>
        </is>
      </c>
      <c r="B1270" t="inlineStr">
        <is>
          <t>http://identifiers.org/so/SO:0001274</t>
        </is>
      </c>
      <c r="C1270" t="inlineStr">
        <is>
          <t>['modified guanosine']</t>
        </is>
      </c>
    </row>
    <row r="1271" ht="15" customHeight="1">
      <c r="A1271" t="inlineStr">
        <is>
          <t>modified_L_alanine</t>
        </is>
      </c>
      <c r="B1271" t="inlineStr">
        <is>
          <t>http://identifiers.org/so/SO:0001387</t>
        </is>
      </c>
      <c r="C1271" t="inlineStr">
        <is>
          <t>['modified inosine']</t>
        </is>
      </c>
    </row>
    <row r="1272" ht="15" customHeight="1">
      <c r="A1272" t="inlineStr">
        <is>
          <t>modified_L_arginine</t>
        </is>
      </c>
      <c r="B1272" t="inlineStr">
        <is>
          <t>http://identifiers.org/so/SO:0001406</t>
        </is>
      </c>
      <c r="C1272" t="inlineStr">
        <is>
          <t>['ModAla', 'modified L-alanine', 'modified L alanine']</t>
        </is>
      </c>
    </row>
    <row r="1273" ht="15" customHeight="1">
      <c r="A1273" t="inlineStr">
        <is>
          <t>modified_L_asparagine</t>
        </is>
      </c>
      <c r="B1273" t="inlineStr">
        <is>
          <t>http://identifiers.org/so/SO:0001388</t>
        </is>
      </c>
      <c r="C1273" t="inlineStr">
        <is>
          <t>['modified L-arginine', 'ModArg', 'modified L arginine']</t>
        </is>
      </c>
    </row>
    <row r="1274" ht="15" customHeight="1">
      <c r="A1274" t="inlineStr">
        <is>
          <t>modified_L_aspartic_acid</t>
        </is>
      </c>
      <c r="B1274" t="inlineStr">
        <is>
          <t>http://identifiers.org/so/SO:0001389</t>
        </is>
      </c>
      <c r="C1274" t="inlineStr">
        <is>
          <t>['modified L asparagine', 'modified L-asparagine', 'ModAsn']</t>
        </is>
      </c>
    </row>
    <row r="1275" ht="15" customHeight="1">
      <c r="A1275" t="inlineStr">
        <is>
          <t>modified_L_cysteine</t>
        </is>
      </c>
      <c r="B1275" t="inlineStr">
        <is>
          <t>http://identifiers.org/so/SO:0001390</t>
        </is>
      </c>
      <c r="C1275" t="inlineStr">
        <is>
          <t>['modified L aspartic acid', 'ModAsp', 'modified L-aspartic acid']</t>
        </is>
      </c>
    </row>
    <row r="1276" ht="15" customHeight="1">
      <c r="A1276" t="inlineStr">
        <is>
          <t>modified_L_glutamic_acid</t>
        </is>
      </c>
      <c r="B1276" t="inlineStr">
        <is>
          <t>http://identifiers.org/so/SO:0001391</t>
        </is>
      </c>
      <c r="C1276" t="inlineStr">
        <is>
          <t>['modified L-cysteine', 'modified L cysteine', 'ModCys']</t>
        </is>
      </c>
    </row>
    <row r="1277" ht="15" customHeight="1">
      <c r="A1277" t="inlineStr">
        <is>
          <t>modified_L_glutamine</t>
        </is>
      </c>
      <c r="B1277" t="inlineStr">
        <is>
          <t>http://identifiers.org/so/SO:0001394</t>
        </is>
      </c>
      <c r="C1277" t="inlineStr">
        <is>
          <t>['modified L glutamic acid', 'modified L-glutamic acid', 'ModGlu']</t>
        </is>
      </c>
    </row>
    <row r="1278" ht="15" customHeight="1">
      <c r="A1278" t="inlineStr">
        <is>
          <t>modified_L_histidine</t>
        </is>
      </c>
      <c r="B1278" t="inlineStr">
        <is>
          <t>http://identifiers.org/so/SO:0001398</t>
        </is>
      </c>
      <c r="C1278" t="inlineStr">
        <is>
          <t>['modified L-glutamine', 'modified L glutamine', 'ModGln']</t>
        </is>
      </c>
    </row>
    <row r="1279" ht="15" customHeight="1">
      <c r="A1279" t="inlineStr">
        <is>
          <t>modified_L_isoleucine</t>
        </is>
      </c>
      <c r="B1279" t="inlineStr">
        <is>
          <t>http://identifiers.org/so/SO:0001396</t>
        </is>
      </c>
      <c r="C1279" t="inlineStr">
        <is>
          <t>['modified L histidine', 'ModHis', 'modified L-histidine']</t>
        </is>
      </c>
    </row>
    <row r="1280" ht="15" customHeight="1">
      <c r="A1280" t="inlineStr">
        <is>
          <t>modified_L_leucine</t>
        </is>
      </c>
      <c r="B1280" t="inlineStr">
        <is>
          <t>http://identifiers.org/so/SO:0001401</t>
        </is>
      </c>
      <c r="C1280" t="inlineStr">
        <is>
          <t>['ModIle', 'modified L-isoleucine', 'modified L isoleucine']</t>
        </is>
      </c>
    </row>
    <row r="1281" ht="15" customHeight="1">
      <c r="A1281" t="inlineStr">
        <is>
          <t>modified_L_lysine</t>
        </is>
      </c>
      <c r="B1281" t="inlineStr">
        <is>
          <t>http://identifiers.org/so/SO:0001400</t>
        </is>
      </c>
      <c r="C1281" t="inlineStr">
        <is>
          <t>['modified L leucine', 'ModLeu', 'modified L-leucine ']</t>
        </is>
      </c>
    </row>
    <row r="1282" ht="15" customHeight="1">
      <c r="A1282" t="inlineStr">
        <is>
          <t>modified_L_methionine</t>
        </is>
      </c>
      <c r="B1282" t="inlineStr">
        <is>
          <t>http://identifiers.org/so/SO:0001395</t>
        </is>
      </c>
      <c r="C1282" t="inlineStr">
        <is>
          <t>['modified L-lysine', 'modified L lysine', 'ModLys']</t>
        </is>
      </c>
    </row>
    <row r="1283" ht="15" customHeight="1">
      <c r="A1283" t="inlineStr">
        <is>
          <t>modified_L_phenylalanine</t>
        </is>
      </c>
      <c r="B1283" t="inlineStr">
        <is>
          <t>http://identifiers.org/so/SO:0001397</t>
        </is>
      </c>
      <c r="C1283" t="inlineStr">
        <is>
          <t>['modified L methionine', 'modified L-methionine', 'ModMet']</t>
        </is>
      </c>
    </row>
    <row r="1284" ht="15" customHeight="1">
      <c r="A1284" t="inlineStr">
        <is>
          <t>modified_L_proline</t>
        </is>
      </c>
      <c r="B1284" t="inlineStr">
        <is>
          <t>http://identifiers.org/so/SO:0001404</t>
        </is>
      </c>
      <c r="C1284" t="inlineStr">
        <is>
          <t>['modified L-phenylalanine', 'modified L phenylalanine', 'ModPhe']</t>
        </is>
      </c>
    </row>
    <row r="1285" ht="15" customHeight="1">
      <c r="A1285" t="inlineStr">
        <is>
          <t>modified_L_selenocysteine</t>
        </is>
      </c>
      <c r="B1285" t="inlineStr">
        <is>
          <t>http://identifiers.org/so/SO:0001402</t>
        </is>
      </c>
      <c r="C1285" t="inlineStr">
        <is>
          <t>['modified L-proline ', 'modified L proline', 'ModPro']</t>
        </is>
      </c>
    </row>
    <row r="1286" ht="15" customHeight="1">
      <c r="A1286" t="inlineStr">
        <is>
          <t>modified_L_serine</t>
        </is>
      </c>
      <c r="B1286" t="inlineStr">
        <is>
          <t>http://identifiers.org/so/SO:0001399</t>
        </is>
      </c>
      <c r="C1286" t="inlineStr">
        <is>
          <t>['modified L-selenocysteine', 'modified L selenocysteine']</t>
        </is>
      </c>
    </row>
    <row r="1287" ht="15" customHeight="1">
      <c r="A1287" t="inlineStr">
        <is>
          <t>modified_L_threonine</t>
        </is>
      </c>
      <c r="B1287" t="inlineStr">
        <is>
          <t>http://identifiers.org/so/SO:0001392</t>
        </is>
      </c>
      <c r="C1287" t="inlineStr">
        <is>
          <t>['modified L-serine', 'MosSer', 'modified L serine']</t>
        </is>
      </c>
    </row>
    <row r="1288" ht="15" customHeight="1">
      <c r="A1288" t="inlineStr">
        <is>
          <t>modified_L_tryptophan</t>
        </is>
      </c>
      <c r="B1288" t="inlineStr">
        <is>
          <t>http://identifiers.org/so/SO:0001393</t>
        </is>
      </c>
      <c r="C1288" t="inlineStr">
        <is>
          <t>['ModThr', 'modified L threonine', 'modified L-threonine']</t>
        </is>
      </c>
    </row>
    <row r="1289" ht="15" customHeight="1">
      <c r="A1289" t="inlineStr">
        <is>
          <t>modified_L_tyrosine</t>
        </is>
      </c>
      <c r="B1289" t="inlineStr">
        <is>
          <t>http://identifiers.org/so/SO:0001405</t>
        </is>
      </c>
      <c r="C1289" t="inlineStr">
        <is>
          <t>['modified L tryptophan', 'ModTrp', 'modified L-tryptophan']</t>
        </is>
      </c>
    </row>
    <row r="1290" ht="15" customHeight="1">
      <c r="A1290" t="inlineStr">
        <is>
          <t>modified_L_valine</t>
        </is>
      </c>
      <c r="B1290" t="inlineStr">
        <is>
          <t>http://identifiers.org/so/SO:0001403</t>
        </is>
      </c>
      <c r="C1290" t="inlineStr">
        <is>
          <t>['ModTry', 'modified L-tyrosine', 'modified L tyrosine']</t>
        </is>
      </c>
    </row>
    <row r="1291" ht="15" customHeight="1">
      <c r="A1291" t="inlineStr">
        <is>
          <t>modified_RNA_base_feature</t>
        </is>
      </c>
      <c r="B1291" t="inlineStr">
        <is>
          <t>http://identifiers.org/so/SO:0000250</t>
        </is>
      </c>
      <c r="C1291" t="inlineStr">
        <is>
          <t>['ModVal', 'modified L valine', 'modified L-valine']</t>
        </is>
      </c>
    </row>
    <row r="1292" ht="15" customHeight="1">
      <c r="A1292" t="inlineStr">
        <is>
          <t>modified_uridine</t>
        </is>
      </c>
      <c r="B1292" t="inlineStr">
        <is>
          <t>http://identifiers.org/so/SO:0001277</t>
        </is>
      </c>
      <c r="C1292" t="inlineStr">
        <is>
          <t>['modified RNA base feature']</t>
        </is>
      </c>
    </row>
    <row r="1293" ht="15" customHeight="1">
      <c r="A1293" t="inlineStr">
        <is>
          <t>molecular_contact_region</t>
        </is>
      </c>
      <c r="B1293" t="inlineStr">
        <is>
          <t>http://identifiers.org/so/SO:0100002</t>
        </is>
      </c>
      <c r="C1293" t="inlineStr">
        <is>
          <t>['modified uridine']</t>
        </is>
      </c>
    </row>
    <row r="1294" ht="15" customHeight="1">
      <c r="A1294" t="inlineStr">
        <is>
          <t>monocistronic</t>
        </is>
      </c>
      <c r="B1294" t="inlineStr">
        <is>
          <t>http://identifiers.org/so/SO:0000878</t>
        </is>
      </c>
      <c r="C1294" t="inlineStr">
        <is>
          <t>['molecular contact region']</t>
        </is>
      </c>
    </row>
    <row r="1295" ht="15" customHeight="1">
      <c r="A1295" t="inlineStr">
        <is>
          <t>monocistronic_mRNA</t>
        </is>
      </c>
      <c r="B1295" t="inlineStr">
        <is>
          <t>http://identifiers.org/so/SO:0000633</t>
        </is>
      </c>
    </row>
    <row r="1296" ht="15" customHeight="1">
      <c r="A1296" t="inlineStr">
        <is>
          <t>monocistronic_primary_transcript</t>
        </is>
      </c>
      <c r="B1296" t="inlineStr">
        <is>
          <t>http://identifiers.org/so/SO:0000632</t>
        </is>
      </c>
      <c r="C1296" t="inlineStr">
        <is>
          <t>['monocistronic processed transcript', 'monocistronic mRNA']</t>
        </is>
      </c>
    </row>
    <row r="1297" ht="15" customHeight="1">
      <c r="A1297" t="inlineStr">
        <is>
          <t>monocistronic_transcript</t>
        </is>
      </c>
      <c r="B1297" t="inlineStr">
        <is>
          <t>http://identifiers.org/so/SO:0000665</t>
        </is>
      </c>
      <c r="C1297" t="inlineStr">
        <is>
          <t>['monocistronic primary transcript']</t>
        </is>
      </c>
    </row>
    <row r="1298" ht="15" customHeight="1">
      <c r="A1298" t="inlineStr">
        <is>
          <t>monomeric_repeat</t>
        </is>
      </c>
      <c r="B1298" t="inlineStr">
        <is>
          <t>http://identifiers.org/so/SO:0001934</t>
        </is>
      </c>
      <c r="C1298" t="inlineStr">
        <is>
          <t>['monocistronic transcript']</t>
        </is>
      </c>
    </row>
    <row r="1299" ht="15" customHeight="1">
      <c r="A1299" t="inlineStr">
        <is>
          <t>moR</t>
        </is>
      </c>
      <c r="B1299" t="inlineStr">
        <is>
          <t>http://identifiers.org/so/SO:0002032</t>
        </is>
      </c>
      <c r="C1299" t="inlineStr">
        <is>
          <t>['monomeric repeat']</t>
        </is>
      </c>
    </row>
    <row r="1300" ht="15" customHeight="1">
      <c r="A1300" t="inlineStr">
        <is>
          <t>morpholino_backbone</t>
        </is>
      </c>
      <c r="B1300" t="inlineStr">
        <is>
          <t>http://identifiers.org/so/SO:0001183</t>
        </is>
      </c>
      <c r="C1300" t="inlineStr">
        <is>
          <t>['microRNA-offset RNA']</t>
        </is>
      </c>
    </row>
    <row r="1301" ht="15" customHeight="1">
      <c r="A1301" t="inlineStr">
        <is>
          <t>morpholino_oligo</t>
        </is>
      </c>
      <c r="B1301" t="inlineStr">
        <is>
          <t>http://identifiers.org/so/SO:0000034</t>
        </is>
      </c>
      <c r="C1301" t="inlineStr">
        <is>
          <t>['morpholino backbone']</t>
        </is>
      </c>
    </row>
    <row r="1302" ht="15" customHeight="1">
      <c r="A1302" t="inlineStr">
        <is>
          <t>mRNA</t>
        </is>
      </c>
      <c r="B1302" t="inlineStr">
        <is>
          <t>http://identifiers.org/so/SO:0000234</t>
        </is>
      </c>
      <c r="C1302" t="inlineStr">
        <is>
          <t>['morphant', 'morpholino', 'morpholino oligo']</t>
        </is>
      </c>
    </row>
    <row r="1303" ht="15" customHeight="1">
      <c r="A1303" t="inlineStr">
        <is>
          <t>mRNA_attribute</t>
        </is>
      </c>
      <c r="B1303" t="inlineStr">
        <is>
          <t>http://identifiers.org/so/SO:0000863</t>
        </is>
      </c>
      <c r="C1303" t="inlineStr">
        <is>
          <t>['messenger RNA', 'INSDC_feature:mRNA', 'protein_coding_transcript']</t>
        </is>
      </c>
    </row>
    <row r="1304" ht="15" customHeight="1">
      <c r="A1304" t="inlineStr">
        <is>
          <t>mRNA_by_polyadenylation_status</t>
        </is>
      </c>
      <c r="B1304" t="inlineStr">
        <is>
          <t>http://identifiers.org/so/SO:0000245</t>
        </is>
      </c>
      <c r="C1304" t="inlineStr">
        <is>
          <t>['mRNA attribute']</t>
        </is>
      </c>
    </row>
    <row r="1305" ht="15" customHeight="1">
      <c r="A1305" t="inlineStr">
        <is>
          <t>mRNA_contig</t>
        </is>
      </c>
      <c r="B1305" t="inlineStr">
        <is>
          <t>http://identifiers.org/so/SO:0001829</t>
        </is>
      </c>
    </row>
    <row r="1306" ht="15" customHeight="1">
      <c r="A1306" t="inlineStr">
        <is>
          <t>mRNA_not_polyadenylated</t>
        </is>
      </c>
      <c r="B1306" t="inlineStr">
        <is>
          <t>http://identifiers.org/so/SO:0000247</t>
        </is>
      </c>
      <c r="C1306" t="inlineStr">
        <is>
          <t>['mRNA contig']</t>
        </is>
      </c>
    </row>
    <row r="1307" ht="15" customHeight="1">
      <c r="A1307" t="inlineStr">
        <is>
          <t>mRNA_read</t>
        </is>
      </c>
      <c r="B1307" t="inlineStr">
        <is>
          <t>http://identifiers.org/so/SO:0001827</t>
        </is>
      </c>
    </row>
    <row r="1308" ht="15" customHeight="1">
      <c r="A1308" t="inlineStr">
        <is>
          <t>mRNA_recoded_by_codon_redefinition</t>
        </is>
      </c>
      <c r="B1308" t="inlineStr">
        <is>
          <t>http://identifiers.org/so/SO:1001265</t>
        </is>
      </c>
      <c r="C1308" t="inlineStr">
        <is>
          <t>['mRNA read']</t>
        </is>
      </c>
    </row>
    <row r="1309" ht="15" customHeight="1">
      <c r="A1309" t="inlineStr">
        <is>
          <t>mRNA_recoded_by_translational_bypass</t>
        </is>
      </c>
      <c r="B1309" t="inlineStr">
        <is>
          <t>http://identifiers.org/so/SO:1001264</t>
        </is>
      </c>
      <c r="C1309" t="inlineStr">
        <is>
          <t>['mRNA recoded by codon redefinition']</t>
        </is>
      </c>
    </row>
    <row r="1310" ht="15" customHeight="1">
      <c r="A1310" t="inlineStr">
        <is>
          <t>mRNA_region</t>
        </is>
      </c>
      <c r="B1310" t="inlineStr">
        <is>
          <t>http://identifiers.org/so/SO:0000836</t>
        </is>
      </c>
      <c r="C1310" t="inlineStr">
        <is>
          <t>['mRNA recoded by translational bypass']</t>
        </is>
      </c>
    </row>
    <row r="1311" ht="15" customHeight="1">
      <c r="A1311" t="inlineStr">
        <is>
          <t>mRNA_with_frameshift</t>
        </is>
      </c>
      <c r="B1311" t="inlineStr">
        <is>
          <t>http://identifiers.org/so/SO:0000108</t>
        </is>
      </c>
      <c r="C1311" t="inlineStr">
        <is>
          <t>['mRNA region']</t>
        </is>
      </c>
    </row>
    <row r="1312" ht="15" customHeight="1">
      <c r="A1312" t="inlineStr">
        <is>
          <t>mRNA_with_minus_1_frameshift</t>
        </is>
      </c>
      <c r="B1312" t="inlineStr">
        <is>
          <t>http://identifiers.org/so/SO:0000282</t>
        </is>
      </c>
      <c r="C1312" t="inlineStr">
        <is>
          <t>['mRNA with frameshift', 'frameshifted mRNA']</t>
        </is>
      </c>
    </row>
    <row r="1313" ht="15" customHeight="1">
      <c r="A1313" t="inlineStr">
        <is>
          <t>mRNA_with_minus_2_frameshift</t>
        </is>
      </c>
      <c r="B1313" t="inlineStr">
        <is>
          <t>http://identifiers.org/so/SO:0000335</t>
        </is>
      </c>
      <c r="C1313" t="inlineStr">
        <is>
          <t>['mRNA with minus 1 frameshift']</t>
        </is>
      </c>
    </row>
    <row r="1314" ht="15" customHeight="1">
      <c r="A1314" t="inlineStr">
        <is>
          <t>mRNA_with_plus_1_frameshift</t>
        </is>
      </c>
      <c r="B1314" t="inlineStr">
        <is>
          <t>http://identifiers.org/so/SO:0000321</t>
        </is>
      </c>
      <c r="C1314" t="inlineStr">
        <is>
          <t>['mRNA with minus 2 frameshift']</t>
        </is>
      </c>
    </row>
    <row r="1315" ht="15" customHeight="1">
      <c r="A1315" t="inlineStr">
        <is>
          <t>mRNA_with_plus_2_frameshift</t>
        </is>
      </c>
      <c r="B1315" t="inlineStr">
        <is>
          <t>http://identifiers.org/so/SO:0000329</t>
        </is>
      </c>
      <c r="C1315" t="inlineStr">
        <is>
          <t>['mRNA with plus 1 frameshift']</t>
        </is>
      </c>
    </row>
    <row r="1316" ht="15" customHeight="1">
      <c r="A1316" t="inlineStr">
        <is>
          <t>mt_gene</t>
        </is>
      </c>
      <c r="B1316" t="inlineStr">
        <is>
          <t>http://identifiers.org/so/SO:0000088</t>
        </is>
      </c>
      <c r="C1316" t="inlineStr">
        <is>
          <t>['mRNA with plus 2 frameshift']</t>
        </is>
      </c>
    </row>
    <row r="1317" ht="15" customHeight="1">
      <c r="A1317" t="inlineStr">
        <is>
          <t>mt_rRNA</t>
        </is>
      </c>
      <c r="B1317" t="inlineStr">
        <is>
          <t>http://identifiers.org/so/SO:0002128</t>
        </is>
      </c>
      <c r="C1317" t="inlineStr">
        <is>
          <t>['mt gene', 'mitochondrial gene']</t>
        </is>
      </c>
    </row>
    <row r="1318" ht="15" customHeight="1">
      <c r="A1318" t="inlineStr">
        <is>
          <t>mt_tRNA</t>
        </is>
      </c>
      <c r="B1318" t="inlineStr">
        <is>
          <t>http://identifiers.org/so/SO:0002129</t>
        </is>
      </c>
      <c r="C1318" t="inlineStr">
        <is>
          <t>['mitochondrial_rRNA', 'Mt_rRNA']</t>
        </is>
      </c>
    </row>
    <row r="1319" ht="15" customHeight="1">
      <c r="A1319" t="inlineStr">
        <is>
          <t>MTE</t>
        </is>
      </c>
      <c r="B1319" t="inlineStr">
        <is>
          <t>http://identifiers.org/so/SO:0001162</t>
        </is>
      </c>
      <c r="C1319" t="inlineStr">
        <is>
          <t>['Mt_tRNA', 'mitochondrial_tRNA']</t>
        </is>
      </c>
    </row>
    <row r="1320" ht="15" customHeight="1">
      <c r="A1320" t="inlineStr">
        <is>
          <t>multiplexing_sequence_identifier</t>
        </is>
      </c>
      <c r="B1320" t="inlineStr">
        <is>
          <t>http://identifiers.org/so/SO:0002023</t>
        </is>
      </c>
      <c r="C1320" t="inlineStr">
        <is>
          <t>['CSARCSSAACGS', 'motif_ten_element', 'motif ten element']</t>
        </is>
      </c>
    </row>
    <row r="1321" ht="15" customHeight="1">
      <c r="A1321" t="inlineStr">
        <is>
          <t>mutated_variant_site</t>
        </is>
      </c>
      <c r="B1321" t="inlineStr">
        <is>
          <t>http://identifiers.org/so/SO:0001148</t>
        </is>
      </c>
      <c r="C1321" t="inlineStr">
        <is>
          <t>['multiplexing sequence identifier']</t>
        </is>
      </c>
    </row>
    <row r="1322" ht="15" customHeight="1">
      <c r="A1322" t="inlineStr">
        <is>
          <t>mutation_causing_inframe_polypeptide_N_terminal_elongation</t>
        </is>
      </c>
      <c r="B1322" t="inlineStr">
        <is>
          <t>http://identifiers.org/so/SO:1000106</t>
        </is>
      </c>
      <c r="C1322" t="inlineStr">
        <is>
          <t>['mutated_site', 'mutagen', 'mutagenesis']</t>
        </is>
      </c>
    </row>
    <row r="1323" ht="15" customHeight="1">
      <c r="A1323" t="inlineStr">
        <is>
          <t>mutation_causing_out_of_frame_polypeptide_C_terminal_elongation</t>
        </is>
      </c>
      <c r="B1323" t="inlineStr">
        <is>
          <t>http://identifiers.org/so/SO:1000109</t>
        </is>
      </c>
      <c r="C1323" t="inlineStr">
        <is>
          <t>['inframe polypeptide N-terminal elongation', 'mutation causing inframe polypeptide N terminal elongation']</t>
        </is>
      </c>
    </row>
    <row r="1324" ht="15" customHeight="1">
      <c r="A1324" t="inlineStr">
        <is>
          <t>mutation_causing_out_of_frame_polypeptide_N_terminal_elongation</t>
        </is>
      </c>
      <c r="B1324" t="inlineStr">
        <is>
          <t>http://identifiers.org/so/SO:1000107</t>
        </is>
      </c>
      <c r="C1324" t="inlineStr">
        <is>
          <t>['mutation causing out of frame polypeptide C terminal elongation', 'out of frame polypeptide C-terminal elongation']</t>
        </is>
      </c>
    </row>
    <row r="1325" ht="15" customHeight="1">
      <c r="A1325" t="inlineStr">
        <is>
          <t>mutation_causing_polypeptide_C_terminal_elongation</t>
        </is>
      </c>
      <c r="B1325" t="inlineStr">
        <is>
          <t>http://identifiers.org/so/SO:1000101</t>
        </is>
      </c>
      <c r="C1325" t="inlineStr">
        <is>
          <t>['mutation causing out of frame polypeptide N terminal elongation', 'out of frame polypeptide N-terminal elongation']</t>
        </is>
      </c>
    </row>
    <row r="1326" ht="15" customHeight="1">
      <c r="A1326" t="inlineStr">
        <is>
          <t>mutation_causing_polypeptide_N_terminal_elongation</t>
        </is>
      </c>
      <c r="B1326" t="inlineStr">
        <is>
          <t>http://identifiers.org/so/SO:1000100</t>
        </is>
      </c>
      <c r="C1326" t="inlineStr">
        <is>
          <t>['polypeptide C-terminal elongation', 'mutation causing polypeptide C terminal elongation']</t>
        </is>
      </c>
    </row>
    <row r="1327" ht="15" customHeight="1">
      <c r="A1327" t="inlineStr">
        <is>
          <t>mutational_hotspot</t>
        </is>
      </c>
      <c r="B1327" t="inlineStr">
        <is>
          <t>http://identifiers.org/so/SO:0002186</t>
        </is>
      </c>
      <c r="C1327" t="inlineStr">
        <is>
          <t>['polypeptide N-terminal elongation', 'mutation causing polypeptide N terminal elongation']</t>
        </is>
      </c>
    </row>
    <row r="1328" ht="15" customHeight="1">
      <c r="A1328" t="inlineStr">
        <is>
          <t>mutaton_causing_inframe_polypeptide_C_terminal_elongation</t>
        </is>
      </c>
      <c r="B1328" t="inlineStr">
        <is>
          <t>http://identifiers.org/so/SO:1000108</t>
        </is>
      </c>
      <c r="C1328" t="inlineStr">
        <is>
          <t>['mutational hotspot']</t>
        </is>
      </c>
    </row>
    <row r="1329" ht="15" customHeight="1">
      <c r="A1329" t="inlineStr">
        <is>
          <t>Mutator_TIR_transposon</t>
        </is>
      </c>
      <c r="B1329" t="inlineStr">
        <is>
          <t>http://identifiers.org/so/SO:0002280</t>
        </is>
      </c>
      <c r="C1329" t="inlineStr">
        <is>
          <t>['inframe_polypeptide C-terminal elongation', 'mutaton causing inframe polypeptide C terminal elongation']</t>
        </is>
      </c>
    </row>
    <row r="1330" ht="15" customHeight="1">
      <c r="A1330" t="inlineStr">
        <is>
          <t>N_region</t>
        </is>
      </c>
      <c r="B1330" t="inlineStr">
        <is>
          <t>http://identifiers.org/so/SO:0001835</t>
        </is>
      </c>
      <c r="C1330" t="inlineStr">
        <is>
          <t>['MuDR', 'Mutator transposon', 'DTM transposon', 'MULE', 'Mutator TIR transposon', 'Mu transposon', 'MLE transposon']</t>
        </is>
      </c>
    </row>
    <row r="1331" ht="15" customHeight="1">
      <c r="A1331" t="inlineStr">
        <is>
          <t>n_terminal_region</t>
        </is>
      </c>
      <c r="B1331" t="inlineStr">
        <is>
          <t>http://identifiers.org/so/SO:0100014</t>
        </is>
      </c>
      <c r="C1331" t="inlineStr">
        <is>
          <t>['INSDC_feature:N_region', 'N-region']</t>
        </is>
      </c>
    </row>
    <row r="1332" ht="15" customHeight="1">
      <c r="A1332" t="inlineStr">
        <is>
          <t>N2_2_prime_O_dimethylguanosine</t>
        </is>
      </c>
      <c r="B1332" t="inlineStr">
        <is>
          <t>http://identifiers.org/so/SO:0001329</t>
        </is>
      </c>
      <c r="C1332" t="inlineStr">
        <is>
          <t>['N-region']</t>
        </is>
      </c>
    </row>
    <row r="1333" ht="15" customHeight="1">
      <c r="A1333" t="inlineStr">
        <is>
          <t>N2_7_2prirme_O_trimethylguanosine</t>
        </is>
      </c>
      <c r="B1333" t="inlineStr">
        <is>
          <t>http://identifiers.org/so/SO:0001343</t>
        </is>
      </c>
      <c r="C1333" t="inlineStr">
        <is>
          <t>['N2 2 prime O dimethylguanosine', "N2,2'-O-dimethylguanosine", 'm2Gm']</t>
        </is>
      </c>
    </row>
    <row r="1334" ht="15" customHeight="1">
      <c r="A1334" t="inlineStr">
        <is>
          <t>N2_7_dimethylguanosine</t>
        </is>
      </c>
      <c r="B1334" t="inlineStr">
        <is>
          <t>http://identifiers.org/so/SO:0001338</t>
        </is>
      </c>
      <c r="C1334" t="inlineStr">
        <is>
          <t>["N2,7,2'-O-trimethylguanosine", 'N2 7 2prirme O trimethylguanosine', 'm2,7Gm']</t>
        </is>
      </c>
    </row>
    <row r="1335" ht="15" customHeight="1">
      <c r="A1335" t="inlineStr">
        <is>
          <t>N2_methylguanosine</t>
        </is>
      </c>
      <c r="B1335" t="inlineStr">
        <is>
          <t>http://identifiers.org/so/SO:0001325</t>
        </is>
      </c>
      <c r="C1335" t="inlineStr">
        <is>
          <t>['m2,7G', 'N2,7-dimethylguanosine', 'N2 7 dimethylguanosine']</t>
        </is>
      </c>
    </row>
    <row r="1336" ht="15" customHeight="1">
      <c r="A1336" t="inlineStr">
        <is>
          <t>N2_N2_2_prime_O_trimethylguanosine</t>
        </is>
      </c>
      <c r="B1336" t="inlineStr">
        <is>
          <t>http://identifiers.org/so/SO:0001330</t>
        </is>
      </c>
      <c r="C1336" t="inlineStr">
        <is>
          <t>['m2G', 'N2-methylguanosine', 'N2 methylguanosine']</t>
        </is>
      </c>
    </row>
    <row r="1337" ht="15" customHeight="1">
      <c r="A1337" t="inlineStr">
        <is>
          <t>N2_N2_7_trimethylguanosine</t>
        </is>
      </c>
      <c r="B1337" t="inlineStr">
        <is>
          <t>http://identifiers.org/so/SO:0001339</t>
        </is>
      </c>
      <c r="C1337" t="inlineStr">
        <is>
          <t>['m22Gmv', "N2,N2,2'-O-trimethylguanosine"]</t>
        </is>
      </c>
    </row>
    <row r="1338" ht="15" customHeight="1">
      <c r="A1338" t="inlineStr">
        <is>
          <t>N2_N2_dimethylguanosine</t>
        </is>
      </c>
      <c r="B1338" t="inlineStr">
        <is>
          <t>http://identifiers.org/so/SO:0001328</t>
        </is>
      </c>
      <c r="C1338" t="inlineStr">
        <is>
          <t>['m2,2,7G', 'N2,N2,7-trimethylguanosine']</t>
        </is>
      </c>
    </row>
    <row r="1339" ht="15" customHeight="1">
      <c r="A1339" t="inlineStr">
        <is>
          <t>N4_2_prime_O_dimethylcytidine</t>
        </is>
      </c>
      <c r="B1339" t="inlineStr">
        <is>
          <t>http://identifiers.org/so/SO:0001291</t>
        </is>
      </c>
      <c r="C1339" t="inlineStr">
        <is>
          <t>['m22G', 'N2,N2-dimethylguanosine']</t>
        </is>
      </c>
    </row>
    <row r="1340" ht="15" customHeight="1">
      <c r="A1340" t="inlineStr">
        <is>
          <t>N4_acetyl_2_prime_O_methylcytidine</t>
        </is>
      </c>
      <c r="B1340" t="inlineStr">
        <is>
          <t>http://identifiers.org/so/SO:0001288</t>
        </is>
      </c>
      <c r="C1340" t="inlineStr">
        <is>
          <t>['m4Cm', 'N4 2 prime O dimethylcytidine', "N4,2'-O-dimethylcytidine"]</t>
        </is>
      </c>
    </row>
    <row r="1341" ht="15" customHeight="1">
      <c r="A1341" t="inlineStr">
        <is>
          <t>N4_acetylcytidine</t>
        </is>
      </c>
      <c r="B1341" t="inlineStr">
        <is>
          <t>http://identifiers.org/so/SO:0001285</t>
        </is>
      </c>
      <c r="C1341" t="inlineStr">
        <is>
          <t>['ac4Cm', "N4-acetyl-2'-O-methylcytidine", 'N4 acetyl 2 prime O methylcytidine']</t>
        </is>
      </c>
    </row>
    <row r="1342" ht="15" customHeight="1">
      <c r="A1342" t="inlineStr">
        <is>
          <t>N4_methylcytidine</t>
        </is>
      </c>
      <c r="B1342" t="inlineStr">
        <is>
          <t>http://identifiers.org/so/SO:0001290</t>
        </is>
      </c>
      <c r="C1342" t="inlineStr">
        <is>
          <t>['N4 acetylcytidine', 'N4-acetylcytidine', 'ac4C']</t>
        </is>
      </c>
    </row>
    <row r="1343" ht="15" customHeight="1">
      <c r="A1343" t="inlineStr">
        <is>
          <t>N4_N4_2_prime_O_trimethylcytidine</t>
        </is>
      </c>
      <c r="B1343" t="inlineStr">
        <is>
          <t>http://identifiers.org/so/SO:0001294</t>
        </is>
      </c>
      <c r="C1343" t="inlineStr">
        <is>
          <t>['m4C', 'N4-methylcytidine', 'N4 methylcytidine']</t>
        </is>
      </c>
    </row>
    <row r="1344" ht="15" customHeight="1">
      <c r="A1344" t="inlineStr">
        <is>
          <t>N6_2_prime_O_dimethyladenosine</t>
        </is>
      </c>
      <c r="B1344" t="inlineStr">
        <is>
          <t>http://identifiers.org/so/SO:0001312</t>
        </is>
      </c>
      <c r="C1344" t="inlineStr">
        <is>
          <t>["N4,N4,2'-O-trimethylcytidine", 'm42Cm']</t>
        </is>
      </c>
    </row>
    <row r="1345" ht="15" customHeight="1">
      <c r="A1345" t="inlineStr">
        <is>
          <t>N6_acetyladenosine</t>
        </is>
      </c>
      <c r="B1345" t="inlineStr">
        <is>
          <t>http://identifiers.org/so/SO:0001315</t>
        </is>
      </c>
      <c r="C1345" t="inlineStr">
        <is>
          <t>['N6 2 prime O dimethyladenosine', 'm6Am', "N6,2'-O-dimethyladenosine"]</t>
        </is>
      </c>
    </row>
    <row r="1346" ht="15" customHeight="1">
      <c r="A1346" t="inlineStr">
        <is>
          <t>N6_cis_hydroxyisopentenyl_adenosine</t>
        </is>
      </c>
      <c r="B1346" t="inlineStr">
        <is>
          <t>http://identifiers.org/so/SO:0001302</t>
        </is>
      </c>
      <c r="C1346" t="inlineStr">
        <is>
          <t>['N6 acetyladenosine', 'ac6A', 'N6-acetyladenosine']</t>
        </is>
      </c>
    </row>
    <row r="1347" ht="15" customHeight="1">
      <c r="A1347" t="inlineStr">
        <is>
          <t>N6_glycinylcarbamoyladenosine</t>
        </is>
      </c>
      <c r="B1347" t="inlineStr">
        <is>
          <t>http://identifiers.org/so/SO:0001304</t>
        </is>
      </c>
      <c r="C1347" t="inlineStr">
        <is>
          <t>['N6 cis hydroxyisopentenyl adenosine', 'io6A', 'N6-(cis-hydroxyisopentenyl)adenosine']</t>
        </is>
      </c>
    </row>
    <row r="1348" ht="15" customHeight="1">
      <c r="A1348" t="inlineStr">
        <is>
          <t>N6_hydroxynorvalylcarbamoyladenosine</t>
        </is>
      </c>
      <c r="B1348" t="inlineStr">
        <is>
          <t>http://identifiers.org/so/SO:0001308</t>
        </is>
      </c>
      <c r="C1348" t="inlineStr">
        <is>
          <t>['g6A', 'N6-glycinylcarbamoyladenosine', 'N6 glycinylcarbamoyladenosine']</t>
        </is>
      </c>
    </row>
    <row r="1349" ht="15" customHeight="1">
      <c r="A1349" t="inlineStr">
        <is>
          <t>N6_isopentenyladenosine</t>
        </is>
      </c>
      <c r="B1349" t="inlineStr">
        <is>
          <t>http://identifiers.org/so/SO:0001300</t>
        </is>
      </c>
      <c r="C1349" t="inlineStr">
        <is>
          <t>['N6-hydroxynorvalylcarbamoyladenosine', 'hn6A', 'N6 hydroxynorvalylcarbamoyladenosine']</t>
        </is>
      </c>
    </row>
    <row r="1350" ht="15" customHeight="1">
      <c r="A1350" t="inlineStr">
        <is>
          <t>N6_methyl_N6_threonylcarbamoyladenosine</t>
        </is>
      </c>
      <c r="B1350" t="inlineStr">
        <is>
          <t>http://identifiers.org/so/SO:0001307</t>
        </is>
      </c>
      <c r="C1350" t="inlineStr">
        <is>
          <t>['i6A', 'N6 isopentenyladenosine', 'N6-isopentenyladenosine']</t>
        </is>
      </c>
    </row>
    <row r="1351" ht="15" customHeight="1">
      <c r="A1351" t="inlineStr">
        <is>
          <t>N6_methyladenine</t>
        </is>
      </c>
      <c r="B1351" t="inlineStr">
        <is>
          <t>http://identifiers.org/so/SO:0001920</t>
        </is>
      </c>
      <c r="C1351" t="inlineStr">
        <is>
          <t>['N6-methyl-N6-threonylcarbamoyladenosine', 'N6 methyl N6 threonylcarbamoyladenosine', 'm6t6A']</t>
        </is>
      </c>
    </row>
    <row r="1352" ht="15" customHeight="1">
      <c r="A1352" t="inlineStr">
        <is>
          <t>N6_methyladenosine</t>
        </is>
      </c>
      <c r="B1352" t="inlineStr">
        <is>
          <t>http://identifiers.org/so/SO:0001297</t>
        </is>
      </c>
      <c r="C1352" t="inlineStr">
        <is>
          <t>['6-mA', '6mA', '6-methyladenine', 'm-6A', 'm6a', 'N6-methyladenine']</t>
        </is>
      </c>
    </row>
    <row r="1353" ht="15" customHeight="1">
      <c r="A1353" t="inlineStr">
        <is>
          <t>N6_N6_2_prime_O_trimethyladenosine</t>
        </is>
      </c>
      <c r="B1353" t="inlineStr">
        <is>
          <t>http://identifiers.org/so/SO:0001313</t>
        </is>
      </c>
      <c r="C1353" t="inlineStr">
        <is>
          <t>['N6 methyladenosine', 'N6-methyladenosine', 'm6A']</t>
        </is>
      </c>
    </row>
    <row r="1354" ht="15" customHeight="1">
      <c r="A1354" t="inlineStr">
        <is>
          <t>N6_N6_dimethyladenosine</t>
        </is>
      </c>
      <c r="B1354" t="inlineStr">
        <is>
          <t>http://identifiers.org/so/SO:0001311</t>
        </is>
      </c>
      <c r="C1354" t="inlineStr">
        <is>
          <t>["N6,N6,2'-O-trimethyladenosine", 'm62Am']</t>
        </is>
      </c>
    </row>
    <row r="1355" ht="15" customHeight="1">
      <c r="A1355" t="inlineStr">
        <is>
          <t>N6_threonylcarbamoyladenosine</t>
        </is>
      </c>
      <c r="B1355" t="inlineStr">
        <is>
          <t>http://identifiers.org/so/SO:0001305</t>
        </is>
      </c>
      <c r="C1355" t="inlineStr">
        <is>
          <t>['m62A', 'N6,N6-dimethyladenosine']</t>
        </is>
      </c>
    </row>
    <row r="1356" ht="15" customHeight="1">
      <c r="A1356" t="inlineStr">
        <is>
          <t>natural</t>
        </is>
      </c>
      <c r="B1356" t="inlineStr">
        <is>
          <t>http://identifiers.org/so/SO:0000782</t>
        </is>
      </c>
      <c r="C1356" t="inlineStr">
        <is>
          <t>['t6A', 'N6 threonylcarbamoyladenosine', 'N6-threonylcarbamoyladenosine']</t>
        </is>
      </c>
    </row>
    <row r="1357" ht="15" customHeight="1">
      <c r="A1357" t="inlineStr">
        <is>
          <t>natural_plasmid</t>
        </is>
      </c>
      <c r="B1357" t="inlineStr">
        <is>
          <t>http://identifiers.org/so/SO:0001476</t>
        </is>
      </c>
    </row>
    <row r="1358" ht="15" customHeight="1">
      <c r="A1358" t="inlineStr">
        <is>
          <t>natural_transposable_element</t>
        </is>
      </c>
      <c r="B1358" t="inlineStr">
        <is>
          <t>http://identifiers.org/so/SO:0000797</t>
        </is>
      </c>
      <c r="C1358" t="inlineStr">
        <is>
          <t>['natural plasmid']</t>
        </is>
      </c>
    </row>
    <row r="1359" ht="15" customHeight="1">
      <c r="A1359" t="inlineStr">
        <is>
          <t>natural_variant_site</t>
        </is>
      </c>
      <c r="B1359" t="inlineStr">
        <is>
          <t>http://identifiers.org/so/SO:0001147</t>
        </is>
      </c>
      <c r="C1359" t="inlineStr">
        <is>
          <t>['natural transposable element']</t>
        </is>
      </c>
    </row>
    <row r="1360" ht="15" customHeight="1">
      <c r="A1360" t="inlineStr">
        <is>
          <t>nc_conserved_region</t>
        </is>
      </c>
      <c r="B1360" t="inlineStr">
        <is>
          <t>http://identifiers.org/so/SO:0000334</t>
        </is>
      </c>
      <c r="C1360" t="inlineStr">
        <is>
          <t>['sequence variation', 'natural_variant', 'variant']</t>
        </is>
      </c>
    </row>
    <row r="1361" ht="15" customHeight="1">
      <c r="A1361" t="inlineStr">
        <is>
          <t>nc_primary_transcript</t>
        </is>
      </c>
      <c r="B1361" t="inlineStr">
        <is>
          <t>http://identifiers.org/so/SO:0000483</t>
        </is>
      </c>
      <c r="C1361" t="inlineStr">
        <is>
          <t>['conserved non-coding element', 'nc conserved region', 'conserved non-coding sequence', 'noncoding conserved region']</t>
        </is>
      </c>
    </row>
    <row r="1362" ht="15" customHeight="1">
      <c r="A1362" t="inlineStr">
        <is>
          <t>ncRNA</t>
        </is>
      </c>
      <c r="B1362" t="inlineStr">
        <is>
          <t>http://identifiers.org/so/SO:0000655</t>
        </is>
      </c>
      <c r="C1362" t="inlineStr">
        <is>
          <t>['noncoding primary transcript', 'nc primary transcript']</t>
        </is>
      </c>
    </row>
    <row r="1363" ht="15" customHeight="1">
      <c r="A1363" t="inlineStr">
        <is>
          <t>ncRNA_gene</t>
        </is>
      </c>
      <c r="B1363" t="inlineStr">
        <is>
          <t>http://identifiers.org/so/SO:0001263</t>
        </is>
      </c>
      <c r="C1363" t="inlineStr">
        <is>
          <t>['INSDC_qualifier:other', 'noncoding RNA', 'known_ncrna']</t>
        </is>
      </c>
    </row>
    <row r="1364" ht="15" customHeight="1">
      <c r="A1364" t="inlineStr">
        <is>
          <t>NDM2_motif</t>
        </is>
      </c>
      <c r="B1364" t="inlineStr">
        <is>
          <t>http://identifiers.org/so/SO:0001167</t>
        </is>
      </c>
      <c r="C1364" t="inlineStr">
        <is>
          <t>['ncRNA gene', 'non-coding RNA gene']</t>
        </is>
      </c>
    </row>
    <row r="1365" ht="15" customHeight="1">
      <c r="A1365" t="inlineStr">
        <is>
          <t>NDM3_motif</t>
        </is>
      </c>
      <c r="B1365" t="inlineStr">
        <is>
          <t>http://identifiers.org/so/SO:0001168</t>
        </is>
      </c>
      <c r="C1365" t="inlineStr">
        <is>
          <t>['non directional promoter motif 2', 'NDM2 motif', 'NDM2']</t>
        </is>
      </c>
    </row>
    <row r="1366" ht="15" customHeight="1">
      <c r="A1366" t="inlineStr">
        <is>
          <t>negative_sense_ssRNA_viral_sequence</t>
        </is>
      </c>
      <c r="B1366" t="inlineStr">
        <is>
          <t>http://identifiers.org/so/SO:0001200</t>
        </is>
      </c>
      <c r="C1366" t="inlineStr">
        <is>
          <t>['NDM3 motif', 'non directional motif 3', 'NDM3']</t>
        </is>
      </c>
    </row>
    <row r="1367" ht="15" customHeight="1">
      <c r="A1367" t="inlineStr">
        <is>
          <t>negatively_autoregulated</t>
        </is>
      </c>
      <c r="B1367" t="inlineStr">
        <is>
          <t>http://identifiers.org/so/SO:0000473</t>
        </is>
      </c>
      <c r="C1367" t="inlineStr">
        <is>
          <t>['negative sense single stranded RNA virus', 'negative sense ssRNA viral sequence']</t>
        </is>
      </c>
    </row>
    <row r="1368" ht="15" customHeight="1">
      <c r="A1368" t="inlineStr">
        <is>
          <t>negatively_autoregulated_gene</t>
        </is>
      </c>
      <c r="B1368" t="inlineStr">
        <is>
          <t>http://identifiers.org/so/SO:0000891</t>
        </is>
      </c>
      <c r="C1368" t="inlineStr">
        <is>
          <t>['negatively autoregulated']</t>
        </is>
      </c>
    </row>
    <row r="1369" ht="15" customHeight="1">
      <c r="A1369" t="inlineStr">
        <is>
          <t>nested_region</t>
        </is>
      </c>
      <c r="B1369" t="inlineStr">
        <is>
          <t>http://identifiers.org/so/SO:0001051</t>
        </is>
      </c>
      <c r="C1369" t="inlineStr">
        <is>
          <t>['negatively autoregulated gene']</t>
        </is>
      </c>
    </row>
    <row r="1370" ht="15" customHeight="1">
      <c r="A1370" t="inlineStr">
        <is>
          <t>nested_repeat</t>
        </is>
      </c>
      <c r="B1370" t="inlineStr">
        <is>
          <t>http://identifiers.org/so/SO:0001649</t>
        </is>
      </c>
    </row>
    <row r="1371" ht="15" customHeight="1">
      <c r="A1371" t="inlineStr">
        <is>
          <t>nested_tandem_repeat</t>
        </is>
      </c>
      <c r="B1371" t="inlineStr">
        <is>
          <t>http://identifiers.org/so/SO:0001658</t>
        </is>
      </c>
    </row>
    <row r="1372" ht="15" customHeight="1">
      <c r="A1372" t="inlineStr">
        <is>
          <t>nested_transposon</t>
        </is>
      </c>
      <c r="B1372" t="inlineStr">
        <is>
          <t>http://identifiers.org/so/SO:0001053</t>
        </is>
      </c>
      <c r="C1372" t="inlineStr">
        <is>
          <t>['INSDC_feature:repeat_region', 'nested repeat', 'INSDC_qualifier:nested']</t>
        </is>
      </c>
    </row>
    <row r="1373" ht="15" customHeight="1">
      <c r="A1373" t="inlineStr">
        <is>
          <t>Ngaro_YR_retrotransposon</t>
        </is>
      </c>
      <c r="B1373" t="inlineStr">
        <is>
          <t>http://identifiers.org/so/SO:0002288</t>
        </is>
      </c>
      <c r="C1373" t="inlineStr">
        <is>
          <t>['NTR', 'nested tandem repeat']</t>
        </is>
      </c>
    </row>
    <row r="1374" ht="15" customHeight="1">
      <c r="A1374" t="inlineStr">
        <is>
          <t>NMD_polymorphic_pseudogene_transcript</t>
        </is>
      </c>
      <c r="B1374" t="inlineStr">
        <is>
          <t>http://identifiers.org/so/SO:0002118</t>
        </is>
      </c>
    </row>
    <row r="1375" ht="15" customHeight="1">
      <c r="A1375" t="inlineStr">
        <is>
          <t>NMD_transcript</t>
        </is>
      </c>
      <c r="B1375" t="inlineStr">
        <is>
          <t>http://identifiers.org/so/SO:0002114</t>
        </is>
      </c>
      <c r="C1375" t="inlineStr">
        <is>
          <t>['nested transposon']</t>
        </is>
      </c>
    </row>
    <row r="1376" ht="15" customHeight="1">
      <c r="A1376" t="inlineStr">
        <is>
          <t>NMD_transcript_variant</t>
        </is>
      </c>
      <c r="B1376" t="inlineStr">
        <is>
          <t>http://identifiers.org/so/SO:0001621</t>
        </is>
      </c>
      <c r="C1376" t="inlineStr">
        <is>
          <t>['Ngaro YR retrotransposon', 'Ngaro retrotransposon', 'RYN retrotransposon']</t>
        </is>
      </c>
    </row>
    <row r="1377" ht="15" customHeight="1">
      <c r="A1377" t="inlineStr">
        <is>
          <t>no_output</t>
        </is>
      </c>
      <c r="B1377" t="inlineStr">
        <is>
          <t>http://identifiers.org/so/SO:0100010</t>
        </is>
      </c>
      <c r="C1377" t="inlineStr">
        <is>
          <t>['nonsense_mediated_decay_polymorphic_pseudogene', 'NMD polymorphic pseudogene transcript']</t>
        </is>
      </c>
    </row>
    <row r="1378" ht="15" customHeight="1">
      <c r="A1378" t="inlineStr">
        <is>
          <t>no_sequence_alteration</t>
        </is>
      </c>
      <c r="B1378" t="inlineStr">
        <is>
          <t>http://identifiers.org/so/SO:0002073</t>
        </is>
      </c>
      <c r="C1378" t="inlineStr">
        <is>
          <t>['protein_coding_NMD', 'NMD transcript', 'nonsense mediated decay transcript']</t>
        </is>
      </c>
    </row>
    <row r="1379" ht="15" customHeight="1">
      <c r="A1379" t="inlineStr">
        <is>
          <t>non_adjacent_residues</t>
        </is>
      </c>
      <c r="B1379" t="inlineStr">
        <is>
          <t>http://identifiers.org/so/SO:0001083</t>
        </is>
      </c>
      <c r="C1379" t="inlineStr">
        <is>
          <t>['NMD transcript variant', 'NMD_transcript', 'VEP:NMD_transcript_variant', 'Nonsense mediated decay transcript variant']</t>
        </is>
      </c>
    </row>
    <row r="1380" ht="15" customHeight="1">
      <c r="A1380" t="inlineStr">
        <is>
          <t>non_allelic_homologous_recombination_region</t>
        </is>
      </c>
      <c r="B1380" t="inlineStr">
        <is>
          <t>http://identifiers.org/so/SO:0002094</t>
        </is>
      </c>
      <c r="C1380" t="inlineStr">
        <is>
          <t>['no output']</t>
        </is>
      </c>
    </row>
    <row r="1381" ht="15" customHeight="1">
      <c r="A1381" t="inlineStr">
        <is>
          <t>non_AUG_initiated_uORF</t>
        </is>
      </c>
      <c r="B1381" t="inlineStr">
        <is>
          <t>http://identifiers.org/so/SO:0002151</t>
        </is>
      </c>
      <c r="C1381" t="inlineStr">
        <is>
          <t>['no sequence alteration']</t>
        </is>
      </c>
    </row>
    <row r="1382" ht="15" customHeight="1">
      <c r="A1382" t="inlineStr">
        <is>
          <t>non_canonical_five_prime_splice_site</t>
        </is>
      </c>
      <c r="B1382" t="inlineStr">
        <is>
          <t>http://identifiers.org/so/SO:0000679</t>
        </is>
      </c>
      <c r="C1382" t="inlineStr">
        <is>
          <t>['non consecutive', 'non_cons']</t>
        </is>
      </c>
    </row>
    <row r="1383" ht="15" customHeight="1">
      <c r="A1383" t="inlineStr">
        <is>
          <t>non_canonical_splice_site</t>
        </is>
      </c>
      <c r="B1383" t="inlineStr">
        <is>
          <t>http://identifiers.org/so/SO:0000674</t>
        </is>
      </c>
      <c r="C1383" t="inlineStr">
        <is>
          <t>['INSDC_qualifier:non_allelic_homologous', 'INSDC_feature:misc_recomb', 'NAHRR', 'INSDC_qualifier:non_allelic_homologous_recombination', 'non allelic homologous recombination region']</t>
        </is>
      </c>
    </row>
    <row r="1384" ht="15" customHeight="1">
      <c r="A1384" t="inlineStr">
        <is>
          <t>non_canonical_start_codon</t>
        </is>
      </c>
      <c r="B1384" t="inlineStr">
        <is>
          <t>http://identifiers.org/so/SO:0000680</t>
        </is>
      </c>
      <c r="C1384" t="inlineStr">
        <is>
          <t>['non AUG initiated uORF']</t>
        </is>
      </c>
    </row>
    <row r="1385" ht="15" customHeight="1">
      <c r="A1385" t="inlineStr">
        <is>
          <t>non_canonical_three_prime_splice_site</t>
        </is>
      </c>
      <c r="B1385" t="inlineStr">
        <is>
          <t>http://identifiers.org/so/SO:0000678</t>
        </is>
      </c>
      <c r="C1385" t="inlineStr">
        <is>
          <t>['non-canonical five prime splice site', "non canonical 5' splice site", 'non canonical five prime splice site']</t>
        </is>
      </c>
    </row>
    <row r="1386" ht="15" customHeight="1">
      <c r="A1386" t="inlineStr">
        <is>
          <t>non_capped_primary_transcript</t>
        </is>
      </c>
      <c r="B1386" t="inlineStr">
        <is>
          <t>http://identifiers.org/so/SO:0000106</t>
        </is>
      </c>
      <c r="C1386" t="inlineStr">
        <is>
          <t>['non-canonical splice site', 'non canonical splice site']</t>
        </is>
      </c>
    </row>
    <row r="1387" ht="15" customHeight="1">
      <c r="A1387" t="inlineStr">
        <is>
          <t>non_coding_transcript_exon_variant</t>
        </is>
      </c>
      <c r="B1387" t="inlineStr">
        <is>
          <t>http://identifiers.org/so/SO:0001792</t>
        </is>
      </c>
      <c r="C1387" t="inlineStr">
        <is>
          <t>['non-canonical start codon', 'non ATG start codon', 'non canonical start codon']</t>
        </is>
      </c>
    </row>
    <row r="1388" ht="15" customHeight="1">
      <c r="A1388" t="inlineStr">
        <is>
          <t>non_coding_transcript_intron_variant</t>
        </is>
      </c>
      <c r="B1388" t="inlineStr">
        <is>
          <t>http://identifiers.org/so/SO:0001970</t>
        </is>
      </c>
      <c r="C1388" t="inlineStr">
        <is>
          <t>['non canonical three prime splice site', "non canonical 3' splice site", 'non-canonical three prime splice site']</t>
        </is>
      </c>
    </row>
    <row r="1389" ht="15" customHeight="1">
      <c r="A1389" t="inlineStr">
        <is>
          <t>non_coding_transcript_splice_region_variant</t>
        </is>
      </c>
      <c r="B1389" t="inlineStr">
        <is>
          <t>http://identifiers.org/so/SO:0002088</t>
        </is>
      </c>
    </row>
    <row r="1390" ht="15" customHeight="1">
      <c r="A1390" t="inlineStr">
        <is>
          <t>non_coding_transcript_variant</t>
        </is>
      </c>
      <c r="B1390" t="inlineStr">
        <is>
          <t>http://identifiers.org/so/SO:0001619</t>
        </is>
      </c>
      <c r="C1390" t="inlineStr">
        <is>
          <t>['snpEff:non_coding_exon_variant', 'Seattleseq:non-coding-exon-near-splice', 'non_coding_transcript_exon_variant', 'Seattleseq:non-coding-exon', 'ANNOVAR:ncRNA_exonic', 'VEP:non_coding_transcript_exon_variant', 'Jannovar:non_coding_transcript_exon_variant', 'non coding transcript exon variant']</t>
        </is>
      </c>
    </row>
    <row r="1391" ht="15" customHeight="1">
      <c r="A1391" t="inlineStr">
        <is>
          <t>non_complimentary_stem</t>
        </is>
      </c>
      <c r="B1391" t="inlineStr">
        <is>
          <t>http://identifiers.org/so/SO:0002256</t>
        </is>
      </c>
      <c r="C1391" t="inlineStr">
        <is>
          <t>['ANNOVAR:ncRNA_intronic', 'non coding transcript intron variant', 'Jannovar:non_coding_transcript_intron_variant']</t>
        </is>
      </c>
    </row>
    <row r="1392" ht="15" customHeight="1">
      <c r="A1392" t="inlineStr">
        <is>
          <t>non_conservative_amino_acid_substitution</t>
        </is>
      </c>
      <c r="B1392" t="inlineStr">
        <is>
          <t>http://identifiers.org/so/SO:0001608</t>
        </is>
      </c>
      <c r="C1392" t="inlineStr">
        <is>
          <t>['ANNOVAR:ncRNA_splicing']</t>
        </is>
      </c>
    </row>
    <row r="1393" ht="15" customHeight="1">
      <c r="A1393" t="inlineStr">
        <is>
          <t>non_conservative_missense_variant</t>
        </is>
      </c>
      <c r="B1393" t="inlineStr">
        <is>
          <t>http://identifiers.org/so/SO:0001586</t>
        </is>
      </c>
      <c r="C1393" t="inlineStr">
        <is>
          <t>['Jannovar:non_coding_transcript_variant', 'nc transcript variant', 'within_non_coding_gene', 'non coding transcript variant', 'VEP:non_coding_transcript_variant', 'ANNOVAR:ncRNA']</t>
        </is>
      </c>
    </row>
    <row r="1394" ht="15" customHeight="1">
      <c r="A1394" t="inlineStr">
        <is>
          <t>non_covalent_binding_site</t>
        </is>
      </c>
      <c r="B1394" t="inlineStr">
        <is>
          <t>http://identifiers.org/so/SO:0001091</t>
        </is>
      </c>
      <c r="C1394" t="inlineStr">
        <is>
          <t>['noncomplimentary stem', 'non-complimentary stem']</t>
        </is>
      </c>
    </row>
    <row r="1395" ht="15" customHeight="1">
      <c r="A1395" t="inlineStr">
        <is>
          <t>non_cytoplasmic_polypeptide_region</t>
        </is>
      </c>
      <c r="B1395" t="inlineStr">
        <is>
          <t>http://identifiers.org/so/SO:0001074</t>
        </is>
      </c>
      <c r="C1395" t="inlineStr">
        <is>
          <t>['non conservative amino acid substitution']</t>
        </is>
      </c>
    </row>
    <row r="1396" ht="15" customHeight="1">
      <c r="A1396" t="inlineStr">
        <is>
          <t>non_functional_homolog_of</t>
        </is>
      </c>
      <c r="B1396" t="inlineStr">
        <is>
          <t>#VALUE!</t>
        </is>
      </c>
      <c r="C1396" t="inlineStr">
        <is>
          <t>['non conservative missense codon', 'non conservative missense variant']</t>
        </is>
      </c>
    </row>
    <row r="1397" ht="15" customHeight="1">
      <c r="A1397" t="inlineStr">
        <is>
          <t>non_LTR_retrotransposon</t>
        </is>
      </c>
      <c r="B1397" t="inlineStr">
        <is>
          <t>http://identifiers.org/so/SO:0000189</t>
        </is>
      </c>
      <c r="C1397" t="inlineStr">
        <is>
          <t>['binding site', 'binding', 'non covalent binding site']</t>
        </is>
      </c>
    </row>
    <row r="1398" ht="15" customHeight="1">
      <c r="A1398" t="inlineStr">
        <is>
          <t>non_LTR_retrotransposon_polymeric_tract</t>
        </is>
      </c>
      <c r="B1398" t="inlineStr">
        <is>
          <t>http://identifiers.org/so/SO:0000433</t>
        </is>
      </c>
      <c r="C1398" t="inlineStr">
        <is>
          <t>['non_cytoplasm_location', 'outside', 'non cytoplasmic polypeptide region']</t>
        </is>
      </c>
    </row>
    <row r="1399" ht="15" customHeight="1">
      <c r="A1399" t="inlineStr">
        <is>
          <t>non_processed_pseudogene</t>
        </is>
      </c>
      <c r="B1399" t="inlineStr">
        <is>
          <t>http://identifiers.org/so/SO:0001760</t>
        </is>
      </c>
    </row>
    <row r="1400" ht="15" customHeight="1">
      <c r="A1400" t="inlineStr">
        <is>
          <t>non_protein_coding</t>
        </is>
      </c>
      <c r="B1400" t="inlineStr">
        <is>
          <t>http://identifiers.org/so/SO:0000011</t>
        </is>
      </c>
      <c r="C1400" t="inlineStr">
        <is>
          <t>['non LTR retrotransposon']</t>
        </is>
      </c>
    </row>
    <row r="1401" ht="15" customHeight="1">
      <c r="A1401" t="inlineStr">
        <is>
          <t>non_synonymous</t>
        </is>
      </c>
      <c r="B1401" t="inlineStr">
        <is>
          <t>http://identifiers.org/so/SO:0001816</t>
        </is>
      </c>
      <c r="C1401" t="inlineStr">
        <is>
          <t>['INSDC_qualifier:non_ltr_retrotransposon_polymeric_tract', 'non LTR retrotransposon polymeric tract', 'INSDC_feature:repeat_region']</t>
        </is>
      </c>
    </row>
    <row r="1402" ht="15" customHeight="1">
      <c r="A1402" t="inlineStr">
        <is>
          <t>non_terminal_residue</t>
        </is>
      </c>
      <c r="B1402" t="inlineStr">
        <is>
          <t>http://identifiers.org/so/SO:0001084</t>
        </is>
      </c>
      <c r="C1402" t="inlineStr">
        <is>
          <t>['unprocessed pseudogene', 'INSDC_feature:gene', 'non processed pseudogene', 'INSDC_qualifier:unprocessed', 'unprocessed_pseudogene']</t>
        </is>
      </c>
    </row>
    <row r="1403" ht="15" customHeight="1">
      <c r="A1403" t="inlineStr">
        <is>
          <t>non_transcribed_region</t>
        </is>
      </c>
      <c r="B1403" t="inlineStr">
        <is>
          <t>http://identifiers.org/so/SO:0000183</t>
        </is>
      </c>
      <c r="C1403" t="inlineStr">
        <is>
          <t>['non protein-coding']</t>
        </is>
      </c>
    </row>
    <row r="1404" ht="15" customHeight="1">
      <c r="A1404" t="inlineStr">
        <is>
          <t>nonamer_of_recombination_feature_of_vertebrate_immune_system_gene</t>
        </is>
      </c>
      <c r="B1404" t="inlineStr">
        <is>
          <t>http://identifiers.org/so/SO:0000562</t>
        </is>
      </c>
      <c r="C1404" t="inlineStr">
        <is>
          <t>['non synonymous']</t>
        </is>
      </c>
    </row>
    <row r="1405" ht="15" customHeight="1">
      <c r="A1405" t="inlineStr">
        <is>
          <t>noncoding_exon</t>
        </is>
      </c>
      <c r="B1405" t="inlineStr">
        <is>
          <t>http://identifiers.org/so/SO:0000198</t>
        </is>
      </c>
      <c r="C1405" t="inlineStr">
        <is>
          <t>['non_ter', 'non terminal']</t>
        </is>
      </c>
    </row>
    <row r="1406" ht="15" customHeight="1">
      <c r="A1406" t="inlineStr">
        <is>
          <t>noncoding_region_of_exon</t>
        </is>
      </c>
      <c r="B1406" t="inlineStr">
        <is>
          <t>http://identifiers.org/so/SO:0001214</t>
        </is>
      </c>
      <c r="C1406" t="inlineStr">
        <is>
          <t>['non transcribed region', 'nontranscribed sequence', 'nontranscribed region', 'non-transcribed sequence']</t>
        </is>
      </c>
    </row>
    <row r="1407" ht="15" customHeight="1">
      <c r="A1407" t="inlineStr">
        <is>
          <t>noncontiguous_finished</t>
        </is>
      </c>
      <c r="B1407" t="inlineStr">
        <is>
          <t>http://identifiers.org/so/SO:0001490</t>
        </is>
      </c>
      <c r="C1407" t="inlineStr">
        <is>
          <t>['nonamer of recombination feature of vertebrate immune system gene']</t>
        </is>
      </c>
    </row>
    <row r="1408" ht="15" customHeight="1">
      <c r="A1408" t="inlineStr">
        <is>
          <t>nonsynonymous_variant</t>
        </is>
      </c>
      <c r="B1408" t="inlineStr">
        <is>
          <t>http://identifiers.org/so/SO:0001992</t>
        </is>
      </c>
      <c r="C1408" t="inlineStr">
        <is>
          <t>['noncoding exon']</t>
        </is>
      </c>
    </row>
    <row r="1409" ht="15" customHeight="1">
      <c r="A1409" t="inlineStr">
        <is>
          <t>novel_sequence_insertion</t>
        </is>
      </c>
      <c r="B1409" t="inlineStr">
        <is>
          <t>http://identifiers.org/so/SO:0001838</t>
        </is>
      </c>
      <c r="C1409" t="inlineStr">
        <is>
          <t>['noncoding region of exon']</t>
        </is>
      </c>
    </row>
    <row r="1410" ht="15" customHeight="1">
      <c r="A1410" t="inlineStr">
        <is>
          <t>NSD_transcript</t>
        </is>
      </c>
      <c r="B1410" t="inlineStr">
        <is>
          <t>http://identifiers.org/so/SO:0002130</t>
        </is>
      </c>
      <c r="C1410" t="inlineStr">
        <is>
          <t>['non contiguous finished']</t>
        </is>
      </c>
    </row>
    <row r="1411" ht="15" customHeight="1">
      <c r="A1411" t="inlineStr">
        <is>
          <t>nuclear_chromosome</t>
        </is>
      </c>
      <c r="B1411" t="inlineStr">
        <is>
          <t>http://identifiers.org/so/SO:0000828</t>
        </is>
      </c>
      <c r="C1411" t="inlineStr">
        <is>
          <t>['non_synonymous_coding', 'nonsynonymous variant']</t>
        </is>
      </c>
    </row>
    <row r="1412" ht="15" customHeight="1">
      <c r="A1412" t="inlineStr">
        <is>
          <t>nuclear_export_signal</t>
        </is>
      </c>
      <c r="B1412" t="inlineStr">
        <is>
          <t>http://identifiers.org/so/SO:0001531</t>
        </is>
      </c>
      <c r="C1412" t="inlineStr">
        <is>
          <t>['novel sequence insertion']</t>
        </is>
      </c>
    </row>
    <row r="1413" ht="15" customHeight="1">
      <c r="A1413" t="inlineStr">
        <is>
          <t>nuclear_gene</t>
        </is>
      </c>
      <c r="B1413" t="inlineStr">
        <is>
          <t>http://identifiers.org/so/SO:0000087</t>
        </is>
      </c>
      <c r="C1413" t="inlineStr">
        <is>
          <t>['non_stop_decay_transcript']</t>
        </is>
      </c>
    </row>
    <row r="1414" ht="15" customHeight="1">
      <c r="A1414" t="inlineStr">
        <is>
          <t>nuclear_localization_signal</t>
        </is>
      </c>
      <c r="B1414" t="inlineStr">
        <is>
          <t>http://identifiers.org/so/SO:0001528</t>
        </is>
      </c>
      <c r="C1414" t="inlineStr">
        <is>
          <t>['nuclear chromosome']</t>
        </is>
      </c>
    </row>
    <row r="1415" ht="15" customHeight="1">
      <c r="A1415" t="inlineStr">
        <is>
          <t>nuclear_mitochondrial</t>
        </is>
      </c>
      <c r="B1415" t="inlineStr">
        <is>
          <t>http://identifiers.org/so/SO:0000899</t>
        </is>
      </c>
      <c r="C1415" t="inlineStr">
        <is>
          <t>['nuclear export signal', 'NES']</t>
        </is>
      </c>
    </row>
    <row r="1416" ht="15" customHeight="1">
      <c r="A1416" t="inlineStr">
        <is>
          <t>nuclear_mt_pseudogene</t>
        </is>
      </c>
      <c r="B1416" t="inlineStr">
        <is>
          <t>http://identifiers.org/so/SO:0001044</t>
        </is>
      </c>
      <c r="C1416" t="inlineStr">
        <is>
          <t>['nuclear gene']</t>
        </is>
      </c>
    </row>
    <row r="1417" ht="15" customHeight="1">
      <c r="A1417" t="inlineStr">
        <is>
          <t>nuclear_rim_localization_signal</t>
        </is>
      </c>
      <c r="B1417" t="inlineStr">
        <is>
          <t>http://identifiers.org/so/SO:0001534</t>
        </is>
      </c>
      <c r="C1417" t="inlineStr">
        <is>
          <t>['NLS']</t>
        </is>
      </c>
    </row>
    <row r="1418" ht="15" customHeight="1">
      <c r="A1418" t="inlineStr">
        <is>
          <t>nuclear_sequence</t>
        </is>
      </c>
      <c r="B1418" t="inlineStr">
        <is>
          <t>http://identifiers.org/so/SO:0000738</t>
        </is>
      </c>
      <c r="C1418" t="inlineStr">
        <is>
          <t>['nuclear mitochondrial']</t>
        </is>
      </c>
    </row>
    <row r="1419" ht="15" customHeight="1">
      <c r="A1419" t="inlineStr">
        <is>
          <t>nuclease_binding_site</t>
        </is>
      </c>
      <c r="B1419" t="inlineStr">
        <is>
          <t>http://identifiers.org/so/SO:0000059</t>
        </is>
      </c>
      <c r="C1419" t="inlineStr">
        <is>
          <t>['NUMT', 'nuclear mt pseudogene', 'nuclear mitochondrial pseudogene']</t>
        </is>
      </c>
    </row>
    <row r="1420" ht="15" customHeight="1">
      <c r="A1420" t="inlineStr">
        <is>
          <t>nuclease_hypersensitive_site</t>
        </is>
      </c>
      <c r="B1420" t="inlineStr">
        <is>
          <t>http://identifiers.org/so/SO:0000322</t>
        </is>
      </c>
      <c r="C1420" t="inlineStr">
        <is>
          <t>['nuclear rim localization signal']</t>
        </is>
      </c>
    </row>
    <row r="1421" ht="15" customHeight="1">
      <c r="A1421" t="inlineStr">
        <is>
          <t>nuclease_sensitive_site</t>
        </is>
      </c>
      <c r="B1421" t="inlineStr">
        <is>
          <t>http://identifiers.org/so/SO:0000684</t>
        </is>
      </c>
      <c r="C1421" t="inlineStr">
        <is>
          <t>['nuclear sequence']</t>
        </is>
      </c>
    </row>
    <row r="1422" ht="15" customHeight="1">
      <c r="A1422" t="inlineStr">
        <is>
          <t>nucleic_acid</t>
        </is>
      </c>
      <c r="B1422" t="inlineStr">
        <is>
          <t>http://identifiers.org/so/SO:0000348</t>
        </is>
      </c>
      <c r="C1422" t="inlineStr">
        <is>
          <t>['nuclease binding site']</t>
        </is>
      </c>
    </row>
    <row r="1423" ht="15" customHeight="1">
      <c r="A1423" t="inlineStr">
        <is>
          <t>nucleomorph_gene</t>
        </is>
      </c>
      <c r="B1423" t="inlineStr">
        <is>
          <t>http://identifiers.org/so/SO:0000097</t>
        </is>
      </c>
      <c r="C1423" t="inlineStr">
        <is>
          <t>['nuclease hypersensitive site']</t>
        </is>
      </c>
    </row>
    <row r="1424" ht="15" customHeight="1">
      <c r="A1424" t="inlineStr">
        <is>
          <t>nucleomorphic_chromosome</t>
        </is>
      </c>
      <c r="B1424" t="inlineStr">
        <is>
          <t>http://identifiers.org/so/SO:0000829</t>
        </is>
      </c>
      <c r="C1424" t="inlineStr">
        <is>
          <t>['nuclease sensitive site']</t>
        </is>
      </c>
    </row>
    <row r="1425" ht="15" customHeight="1">
      <c r="A1425" t="inlineStr">
        <is>
          <t>nucleomorphic_sequence</t>
        </is>
      </c>
      <c r="B1425" t="inlineStr">
        <is>
          <t>http://identifiers.org/so/SO:0000739</t>
        </is>
      </c>
      <c r="C1425" t="inlineStr">
        <is>
          <t>['nucleic acid']</t>
        </is>
      </c>
    </row>
    <row r="1426" ht="15" customHeight="1">
      <c r="A1426" t="inlineStr">
        <is>
          <t>nucleotide_binding_site</t>
        </is>
      </c>
      <c r="B1426" t="inlineStr">
        <is>
          <t>http://identifiers.org/so/SO:0001655</t>
        </is>
      </c>
      <c r="C1426" t="inlineStr">
        <is>
          <t>['nucleomorph gene']</t>
        </is>
      </c>
    </row>
    <row r="1427" ht="15" customHeight="1">
      <c r="A1427" t="inlineStr">
        <is>
          <t>nucleotide_cleavage_site</t>
        </is>
      </c>
      <c r="B1427" t="inlineStr">
        <is>
          <t>http://identifiers.org/so/SO:0002204</t>
        </is>
      </c>
      <c r="C1427" t="inlineStr">
        <is>
          <t>['nucleomorphic chromosome']</t>
        </is>
      </c>
    </row>
    <row r="1428" ht="15" customHeight="1">
      <c r="A1428" t="inlineStr">
        <is>
          <t>nucleotide_match</t>
        </is>
      </c>
      <c r="B1428" t="inlineStr">
        <is>
          <t>http://identifiers.org/so/SO:0000347</t>
        </is>
      </c>
      <c r="C1428" t="inlineStr">
        <is>
          <t>['nucleomorphic sequence']</t>
        </is>
      </c>
    </row>
    <row r="1429" ht="15" customHeight="1">
      <c r="A1429" t="inlineStr">
        <is>
          <t>nucleotide_motif</t>
        </is>
      </c>
      <c r="B1429" t="inlineStr">
        <is>
          <t>http://identifiers.org/so/SO:0000714</t>
        </is>
      </c>
      <c r="C1429" t="inlineStr">
        <is>
          <t>['np_bind', 'nucleotide binding site']</t>
        </is>
      </c>
    </row>
    <row r="1430" ht="15" customHeight="1">
      <c r="A1430" t="inlineStr">
        <is>
          <t>nucleotide_to_protein_binding_site</t>
        </is>
      </c>
      <c r="B1430" t="inlineStr">
        <is>
          <t>http://identifiers.org/so/SO:0001654</t>
        </is>
      </c>
      <c r="C1430" t="inlineStr">
        <is>
          <t>['INSDC_feature:misc_feature', 'nucleotide cleavage site', 'INSDC_note:nucleotide_cleavage_site']</t>
        </is>
      </c>
    </row>
    <row r="1431" ht="15" customHeight="1">
      <c r="A1431" t="inlineStr">
        <is>
          <t>null_mutation</t>
        </is>
      </c>
      <c r="B1431" t="inlineStr">
        <is>
          <t>http://identifiers.org/so/SO:0002055</t>
        </is>
      </c>
      <c r="C1431" t="inlineStr">
        <is>
          <t>['nucleotide match']</t>
        </is>
      </c>
    </row>
    <row r="1432" ht="15" customHeight="1">
      <c r="A1432" t="inlineStr">
        <is>
          <t>octamer_motif</t>
        </is>
      </c>
      <c r="B1432" t="inlineStr">
        <is>
          <t>http://identifiers.org/so/SO:0001258</t>
        </is>
      </c>
      <c r="C1432" t="inlineStr">
        <is>
          <t>['INSDC_feature:misc_feature', 'INSDC_note:nucleotide_motif', 'nucleotide motif']</t>
        </is>
      </c>
    </row>
    <row r="1433" ht="15" customHeight="1">
      <c r="A1433" t="inlineStr">
        <is>
          <t>Okazaki_fragment</t>
        </is>
      </c>
      <c r="B1433" t="inlineStr">
        <is>
          <t>http://identifiers.org/so/SO:0001985</t>
        </is>
      </c>
      <c r="C1433" t="inlineStr">
        <is>
          <t>['nucleotide to protein binding site']</t>
        </is>
      </c>
    </row>
    <row r="1434" ht="15" customHeight="1">
      <c r="A1434" t="inlineStr">
        <is>
          <t>oligo</t>
        </is>
      </c>
      <c r="B1434" t="inlineStr">
        <is>
          <t>http://identifiers.org/so/SO:0000696</t>
        </is>
      </c>
      <c r="C1434" t="inlineStr">
        <is>
          <t>['null mutation']</t>
        </is>
      </c>
    </row>
    <row r="1435" ht="15" customHeight="1">
      <c r="A1435" t="inlineStr">
        <is>
          <t>oligo_U_tail</t>
        </is>
      </c>
      <c r="B1435" t="inlineStr">
        <is>
          <t>http://identifiers.org/so/SO:0000609</t>
        </is>
      </c>
      <c r="C1435" t="inlineStr">
        <is>
          <t>['octamer motif']</t>
        </is>
      </c>
    </row>
    <row r="1436" ht="15" customHeight="1">
      <c r="A1436" t="inlineStr">
        <is>
          <t>one_methyl_three_three_amino_three_carboxypropyl_pseudouridine</t>
        </is>
      </c>
      <c r="B1436" t="inlineStr">
        <is>
          <t>http://identifiers.org/so/SO:0001373</t>
        </is>
      </c>
      <c r="C1436" t="inlineStr">
        <is>
          <t>['Okazaki fragment']</t>
        </is>
      </c>
    </row>
    <row r="1437" ht="15" customHeight="1">
      <c r="A1437" t="inlineStr">
        <is>
          <t>one_methyladenosine</t>
        </is>
      </c>
      <c r="B1437" t="inlineStr">
        <is>
          <t>http://identifiers.org/so/SO:0001295</t>
        </is>
      </c>
      <c r="C1437" t="inlineStr">
        <is>
          <t>['oligonucleotide']</t>
        </is>
      </c>
    </row>
    <row r="1438" ht="15" customHeight="1">
      <c r="A1438" t="inlineStr">
        <is>
          <t>one_methylguanosine</t>
        </is>
      </c>
      <c r="B1438" t="inlineStr">
        <is>
          <t>http://identifiers.org/so/SO:0001324</t>
        </is>
      </c>
      <c r="C1438" t="inlineStr">
        <is>
          <t>['oligo U tail']</t>
        </is>
      </c>
    </row>
    <row r="1439" ht="15" customHeight="1">
      <c r="A1439" t="inlineStr">
        <is>
          <t>one_methylinosine</t>
        </is>
      </c>
      <c r="B1439" t="inlineStr">
        <is>
          <t>http://identifiers.org/so/SO:0001278</t>
        </is>
      </c>
      <c r="C1439" t="inlineStr">
        <is>
          <t>['m1acp3Y', '1-methyl-3-(3-amino-3-carboxypropyl) pseudouridine']</t>
        </is>
      </c>
    </row>
    <row r="1440" ht="15" customHeight="1">
      <c r="A1440" t="inlineStr">
        <is>
          <t>one_methylpseudouridine</t>
        </is>
      </c>
      <c r="B1440" t="inlineStr">
        <is>
          <t>http://identifiers.org/so/SO:0001347</t>
        </is>
      </c>
      <c r="C1440" t="inlineStr">
        <is>
          <t>['one methyladenosine', 'm1A', '1-methyladenosine']</t>
        </is>
      </c>
    </row>
    <row r="1441" ht="15" customHeight="1">
      <c r="A1441" t="inlineStr">
        <is>
          <t>one_two_prime_O_dimethyladenosine</t>
        </is>
      </c>
      <c r="B1441" t="inlineStr">
        <is>
          <t>http://identifiers.org/so/SO:0001314</t>
        </is>
      </c>
      <c r="C1441" t="inlineStr">
        <is>
          <t>['1-methylguanosine', 'm1G', 'one methylguanosine']</t>
        </is>
      </c>
    </row>
    <row r="1442" ht="15" customHeight="1">
      <c r="A1442" t="inlineStr">
        <is>
          <t>one_two_prime_O_dimethylguanosine</t>
        </is>
      </c>
      <c r="B1442" t="inlineStr">
        <is>
          <t>http://identifiers.org/so/SO:0001340</t>
        </is>
      </c>
      <c r="C1442" t="inlineStr">
        <is>
          <t>['one methylinosine', '1-methylinosine', 'm1I']</t>
        </is>
      </c>
    </row>
    <row r="1443" ht="15" customHeight="1">
      <c r="A1443" t="inlineStr">
        <is>
          <t>one_two_prime_O_dimethylinosine</t>
        </is>
      </c>
      <c r="B1443" t="inlineStr">
        <is>
          <t>http://identifiers.org/so/SO:0001279</t>
        </is>
      </c>
      <c r="C1443" t="inlineStr">
        <is>
          <t>['m1Y', 'one methylpseudouridine', '1-methylpseudouridine']</t>
        </is>
      </c>
    </row>
    <row r="1444" ht="15" customHeight="1">
      <c r="A1444" t="inlineStr">
        <is>
          <t>open_chromatin_region</t>
        </is>
      </c>
      <c r="B1444" t="inlineStr">
        <is>
          <t>http://identifiers.org/so/SO:0001747</t>
        </is>
      </c>
      <c r="C1444" t="inlineStr">
        <is>
          <t>["1,2'-O-dimethyladenosine", 'one two prime O dimethyladenosine', 'm1Am']</t>
        </is>
      </c>
    </row>
    <row r="1445" ht="15" customHeight="1">
      <c r="A1445" t="inlineStr">
        <is>
          <t>operator</t>
        </is>
      </c>
      <c r="B1445" t="inlineStr">
        <is>
          <t>http://identifiers.org/so/SO:0000057</t>
        </is>
      </c>
      <c r="C1445" t="inlineStr">
        <is>
          <t>["1,2'-O-dimethylguanosine", 'm1Gm', 'one two prime O dimethylguanosine']</t>
        </is>
      </c>
    </row>
    <row r="1446" ht="15" customHeight="1">
      <c r="A1446" t="inlineStr">
        <is>
          <t>operon</t>
        </is>
      </c>
      <c r="B1446" t="inlineStr">
        <is>
          <t>http://identifiers.org/so/SO:0000178</t>
        </is>
      </c>
      <c r="C1446" t="inlineStr">
        <is>
          <t>["1,2'-O-dimethylinosine", 'one two prime O dimethylinosine', "m'Im"]</t>
        </is>
      </c>
    </row>
    <row r="1447" ht="15" customHeight="1">
      <c r="A1447" t="inlineStr">
        <is>
          <t>operon_member</t>
        </is>
      </c>
      <c r="B1447" t="inlineStr">
        <is>
          <t>http://identifiers.org/so/SO:0000080</t>
        </is>
      </c>
      <c r="C1447" t="inlineStr">
        <is>
          <t>['open chromatin region']</t>
        </is>
      </c>
    </row>
    <row r="1448" ht="15" customHeight="1">
      <c r="A1448" t="inlineStr">
        <is>
          <t>ORF</t>
        </is>
      </c>
      <c r="B1448" t="inlineStr">
        <is>
          <t>http://identifiers.org/so/SO:0000236</t>
        </is>
      </c>
      <c r="C1448" t="inlineStr">
        <is>
          <t>['operator segment']</t>
        </is>
      </c>
    </row>
    <row r="1449" ht="15" customHeight="1">
      <c r="A1449" t="inlineStr">
        <is>
          <t>organelle_sequence</t>
        </is>
      </c>
      <c r="B1449" t="inlineStr">
        <is>
          <t>http://identifiers.org/so/SO:0000736</t>
        </is>
      </c>
      <c r="C1449" t="inlineStr">
        <is>
          <t>['INSDC_feature:operon']</t>
        </is>
      </c>
    </row>
    <row r="1450" ht="15" customHeight="1">
      <c r="A1450" t="inlineStr">
        <is>
          <t>oriC</t>
        </is>
      </c>
      <c r="B1450" t="inlineStr">
        <is>
          <t>http://identifiers.org/so/SO:0000953</t>
        </is>
      </c>
      <c r="C1450" t="inlineStr">
        <is>
          <t>['operon member']</t>
        </is>
      </c>
    </row>
    <row r="1451" ht="15" customHeight="1">
      <c r="A1451" t="inlineStr">
        <is>
          <t>orphan</t>
        </is>
      </c>
      <c r="B1451" t="inlineStr">
        <is>
          <t>http://identifiers.org/so/SO:0000910</t>
        </is>
      </c>
      <c r="C1451" t="inlineStr">
        <is>
          <t>['open reading frame']</t>
        </is>
      </c>
    </row>
    <row r="1452" ht="15" customHeight="1">
      <c r="A1452" t="inlineStr">
        <is>
          <t>orphan_CDS</t>
        </is>
      </c>
      <c r="B1452" t="inlineStr">
        <is>
          <t>http://identifiers.org/so/SO:1001247</t>
        </is>
      </c>
      <c r="C1452" t="inlineStr">
        <is>
          <t>['organelle sequence']</t>
        </is>
      </c>
    </row>
    <row r="1453" ht="15" customHeight="1">
      <c r="A1453" t="inlineStr">
        <is>
          <t>orthologous</t>
        </is>
      </c>
      <c r="B1453" t="inlineStr">
        <is>
          <t>http://identifiers.org/so/SO:0000858</t>
        </is>
      </c>
      <c r="C1453" t="inlineStr">
        <is>
          <t>['origin of bacterial chromosome replication']</t>
        </is>
      </c>
    </row>
    <row r="1454" ht="15" customHeight="1">
      <c r="A1454" t="inlineStr">
        <is>
          <t>orthologous_region</t>
        </is>
      </c>
      <c r="B1454" t="inlineStr">
        <is>
          <t>http://identifiers.org/so/SO:0000855</t>
        </is>
      </c>
    </row>
    <row r="1455" ht="15" customHeight="1">
      <c r="A1455" t="inlineStr">
        <is>
          <t>outron</t>
        </is>
      </c>
      <c r="B1455" t="inlineStr">
        <is>
          <t>http://identifiers.org/so/SO:0001475</t>
        </is>
      </c>
      <c r="C1455" t="inlineStr">
        <is>
          <t>['orphan CDS']</t>
        </is>
      </c>
    </row>
    <row r="1456" ht="15" customHeight="1">
      <c r="A1456" t="inlineStr">
        <is>
          <t>overlapping</t>
        </is>
      </c>
      <c r="B1456" t="inlineStr">
        <is>
          <t>http://identifiers.org/so/SO:0000068</t>
        </is>
      </c>
    </row>
    <row r="1457" ht="15" customHeight="1">
      <c r="A1457" t="inlineStr">
        <is>
          <t>overlapping_EST_set</t>
        </is>
      </c>
      <c r="B1457" t="inlineStr">
        <is>
          <t>http://identifiers.org/so/SO:0001262</t>
        </is>
      </c>
      <c r="C1457" t="inlineStr">
        <is>
          <t>['orthologue', 'ortholog', 'orthologous region']</t>
        </is>
      </c>
    </row>
    <row r="1458" ht="15" customHeight="1">
      <c r="A1458" t="inlineStr">
        <is>
          <t>overlapping_feature_set</t>
        </is>
      </c>
      <c r="B1458" t="inlineStr">
        <is>
          <t>http://identifiers.org/so/SO:0001261</t>
        </is>
      </c>
    </row>
    <row r="1459" ht="15" customHeight="1">
      <c r="A1459" t="inlineStr">
        <is>
          <t>OxyS_RNA</t>
        </is>
      </c>
      <c r="B1459" t="inlineStr">
        <is>
          <t>http://identifiers.org/so/SO:0000384</t>
        </is>
      </c>
    </row>
    <row r="1460" ht="15" customHeight="1">
      <c r="A1460" t="inlineStr">
        <is>
          <t>P_TIR_transposon</t>
        </is>
      </c>
      <c r="B1460" t="inlineStr">
        <is>
          <t>http://identifiers.org/so/SO:0001535</t>
        </is>
      </c>
      <c r="C1460" t="inlineStr">
        <is>
          <t>['overlapping EST set']</t>
        </is>
      </c>
    </row>
    <row r="1461" ht="15" customHeight="1">
      <c r="A1461" t="inlineStr">
        <is>
          <t>PAC</t>
        </is>
      </c>
      <c r="B1461" t="inlineStr">
        <is>
          <t>http://identifiers.org/so/SO:0000154</t>
        </is>
      </c>
      <c r="C1461" t="inlineStr">
        <is>
          <t>['overlapping feature set']</t>
        </is>
      </c>
    </row>
    <row r="1462" ht="15" customHeight="1">
      <c r="A1462" t="inlineStr">
        <is>
          <t>PAC_clone</t>
        </is>
      </c>
      <c r="B1462" t="inlineStr">
        <is>
          <t>http://identifiers.org/so/SO:0000762</t>
        </is>
      </c>
      <c r="C1462" t="inlineStr">
        <is>
          <t>['OxyS RNA']</t>
        </is>
      </c>
    </row>
    <row r="1463" ht="15" customHeight="1">
      <c r="A1463" t="inlineStr">
        <is>
          <t>PAC_end</t>
        </is>
      </c>
      <c r="B1463" t="inlineStr">
        <is>
          <t>http://identifiers.org/so/SO:0001480</t>
        </is>
      </c>
      <c r="C1463" t="inlineStr">
        <is>
          <t>['P-element', 'DTP transposon', 'P TIR transposon', 'P element', 'P transposable element']</t>
        </is>
      </c>
    </row>
    <row r="1464" ht="15" customHeight="1">
      <c r="A1464" t="inlineStr">
        <is>
          <t>paired_end_fragment</t>
        </is>
      </c>
      <c r="B1464" t="inlineStr">
        <is>
          <t>http://identifiers.org/so/SO:0001790</t>
        </is>
      </c>
      <c r="C1464" t="inlineStr">
        <is>
          <t>['P1 artificial chromosome', 'P1']</t>
        </is>
      </c>
    </row>
    <row r="1465" ht="15" customHeight="1">
      <c r="A1465" t="inlineStr">
        <is>
          <t>paracentric</t>
        </is>
      </c>
      <c r="B1465" t="inlineStr">
        <is>
          <t>http://identifiers.org/so/SO:0001519</t>
        </is>
      </c>
      <c r="C1465" t="inlineStr">
        <is>
          <t>['P1_clone']</t>
        </is>
      </c>
    </row>
    <row r="1466" ht="15" customHeight="1">
      <c r="A1466" t="inlineStr">
        <is>
          <t>paracentric_inversion</t>
        </is>
      </c>
      <c r="B1466" t="inlineStr">
        <is>
          <t>http://identifiers.org/so/SO:1000047</t>
        </is>
      </c>
      <c r="C1466" t="inlineStr">
        <is>
          <t>['PAC end']</t>
        </is>
      </c>
    </row>
    <row r="1467" ht="15" customHeight="1">
      <c r="A1467" t="inlineStr">
        <is>
          <t>parallel_beta_strand</t>
        </is>
      </c>
      <c r="B1467" t="inlineStr">
        <is>
          <t>http://identifiers.org/so/SO:0001113</t>
        </is>
      </c>
      <c r="C1467" t="inlineStr">
        <is>
          <t>['paired end fragment']</t>
        </is>
      </c>
    </row>
    <row r="1468" ht="15" customHeight="1">
      <c r="A1468" t="inlineStr">
        <is>
          <t>paralogous</t>
        </is>
      </c>
      <c r="B1468" t="inlineStr">
        <is>
          <t>http://identifiers.org/so/SO:0000859</t>
        </is>
      </c>
    </row>
    <row r="1469" ht="15" customHeight="1">
      <c r="A1469" t="inlineStr">
        <is>
          <t>paralogous_region</t>
        </is>
      </c>
      <c r="B1469" t="inlineStr">
        <is>
          <t>http://identifiers.org/so/SO:0000854</t>
        </is>
      </c>
      <c r="C1469" t="inlineStr">
        <is>
          <t>['paracentric inversion']</t>
        </is>
      </c>
    </row>
    <row r="1470" ht="15" customHeight="1">
      <c r="A1470" t="inlineStr">
        <is>
          <t>partial_genomic_sequence_assembly</t>
        </is>
      </c>
      <c r="B1470" t="inlineStr">
        <is>
          <t>http://identifiers.org/so/SO:0001876</t>
        </is>
      </c>
      <c r="C1470" t="inlineStr">
        <is>
          <t>['parallel beta strand']</t>
        </is>
      </c>
    </row>
    <row r="1471" ht="15" customHeight="1">
      <c r="A1471" t="inlineStr">
        <is>
          <t>partially_characterized_chromosomal_mutation</t>
        </is>
      </c>
      <c r="B1471" t="inlineStr">
        <is>
          <t>http://identifiers.org/so/SO:1000175</t>
        </is>
      </c>
    </row>
    <row r="1472" ht="15" customHeight="1">
      <c r="A1472" t="inlineStr">
        <is>
          <t>partially_duplicated_transcript</t>
        </is>
      </c>
      <c r="B1472" t="inlineStr">
        <is>
          <t>http://identifiers.org/so/SO:0002244</t>
        </is>
      </c>
      <c r="C1472" t="inlineStr">
        <is>
          <t>['paralogous region', 'paralog', 'paralogue']</t>
        </is>
      </c>
    </row>
    <row r="1473" ht="15" customHeight="1">
      <c r="A1473" t="inlineStr">
        <is>
          <t>partially_processed_cDNA_clone</t>
        </is>
      </c>
      <c r="B1473" t="inlineStr">
        <is>
          <t>http://identifiers.org/so/SO:0000813</t>
        </is>
      </c>
      <c r="C1473" t="inlineStr">
        <is>
          <t>['partial genomic sequence assembly', 'sequence assembly with N-gaps', 'pseudomolecule']</t>
        </is>
      </c>
    </row>
    <row r="1474" ht="15" customHeight="1">
      <c r="A1474" t="inlineStr">
        <is>
          <t>paternal_uniparental_disomy</t>
        </is>
      </c>
      <c r="B1474" t="inlineStr">
        <is>
          <t>http://identifiers.org/so/SO:0001746</t>
        </is>
      </c>
      <c r="C1474" t="inlineStr">
        <is>
          <t>['partially characterized chromosomal mutation']</t>
        </is>
      </c>
    </row>
    <row r="1475" ht="15" customHeight="1">
      <c r="A1475" t="inlineStr">
        <is>
          <t>paternal_variant</t>
        </is>
      </c>
      <c r="B1475" t="inlineStr">
        <is>
          <t>http://identifiers.org/so/SO:0001776</t>
        </is>
      </c>
      <c r="C1475" t="inlineStr">
        <is>
          <t>['partially duplicated transcript']</t>
        </is>
      </c>
    </row>
    <row r="1476" ht="15" customHeight="1">
      <c r="A1476" t="inlineStr">
        <is>
          <t>paternally_imprinted</t>
        </is>
      </c>
      <c r="B1476" t="inlineStr">
        <is>
          <t>http://identifiers.org/so/SO:0000136</t>
        </is>
      </c>
      <c r="C1476" t="inlineStr">
        <is>
          <t>['partially processed cDNA clone']</t>
        </is>
      </c>
    </row>
    <row r="1477" ht="15" customHeight="1">
      <c r="A1477" t="inlineStr">
        <is>
          <t>paternally_imprinted_gene</t>
        </is>
      </c>
      <c r="B1477" t="inlineStr">
        <is>
          <t>http://identifiers.org/so/SO:0000889</t>
        </is>
      </c>
      <c r="C1477" t="inlineStr">
        <is>
          <t>['paternal uniparental disomy']</t>
        </is>
      </c>
    </row>
    <row r="1478" ht="15" customHeight="1">
      <c r="A1478" t="inlineStr">
        <is>
          <t>pathogenic_island</t>
        </is>
      </c>
      <c r="B1478" t="inlineStr">
        <is>
          <t>http://identifiers.org/so/SO:0000773</t>
        </is>
      </c>
      <c r="C1478" t="inlineStr">
        <is>
          <t>['paternal variant']</t>
        </is>
      </c>
    </row>
    <row r="1479" ht="15" customHeight="1">
      <c r="A1479" t="inlineStr">
        <is>
          <t>PCB</t>
        </is>
      </c>
      <c r="B1479" t="inlineStr">
        <is>
          <t>http://identifiers.org/so/SO:0001871</t>
        </is>
      </c>
      <c r="C1479" t="inlineStr">
        <is>
          <t>['paternally imprinted']</t>
        </is>
      </c>
    </row>
    <row r="1480" ht="15" customHeight="1">
      <c r="A1480" t="inlineStr">
        <is>
          <t>PCR_product</t>
        </is>
      </c>
      <c r="B1480" t="inlineStr">
        <is>
          <t>http://identifiers.org/so/SO:0000006</t>
        </is>
      </c>
      <c r="C1480" t="inlineStr">
        <is>
          <t>['paternally imprinted gene']</t>
        </is>
      </c>
    </row>
    <row r="1481" ht="15" customHeight="1">
      <c r="A1481" t="inlineStr">
        <is>
          <t>pedigree_specific_variant</t>
        </is>
      </c>
      <c r="B1481" t="inlineStr">
        <is>
          <t>http://identifiers.org/so/SO:0001779</t>
        </is>
      </c>
      <c r="C1481" t="inlineStr">
        <is>
          <t>['pathogenic island']</t>
        </is>
      </c>
    </row>
    <row r="1482" ht="15" customHeight="1">
      <c r="A1482" t="inlineStr">
        <is>
          <t>Penelope_retrotransposon</t>
        </is>
      </c>
      <c r="B1482" t="inlineStr">
        <is>
          <t>http://identifiers.org/so/SO:0002290</t>
        </is>
      </c>
    </row>
    <row r="1483" ht="15" customHeight="1">
      <c r="A1483" t="inlineStr">
        <is>
          <t>peptide_coil</t>
        </is>
      </c>
      <c r="B1483" t="inlineStr">
        <is>
          <t>http://identifiers.org/so/SO:0100012</t>
        </is>
      </c>
      <c r="C1483" t="inlineStr">
        <is>
          <t>['amplicon', 'PCR product']</t>
        </is>
      </c>
    </row>
    <row r="1484" ht="15" customHeight="1">
      <c r="A1484" t="inlineStr">
        <is>
          <t>peptide_collection</t>
        </is>
      </c>
      <c r="B1484" t="inlineStr">
        <is>
          <t>http://identifiers.org/so/SO:0001501</t>
        </is>
      </c>
      <c r="C1484" t="inlineStr">
        <is>
          <t>['pedigree specific variant']</t>
        </is>
      </c>
    </row>
    <row r="1485" ht="15" customHeight="1">
      <c r="A1485" t="inlineStr">
        <is>
          <t>peptide_helix</t>
        </is>
      </c>
      <c r="B1485" t="inlineStr">
        <is>
          <t>http://identifiers.org/so/SO:0001114</t>
        </is>
      </c>
      <c r="C1485" t="inlineStr">
        <is>
          <t>['RPP retrotransposon', 'Penelope retrotransposon']</t>
        </is>
      </c>
    </row>
    <row r="1486" ht="15" customHeight="1">
      <c r="A1486" t="inlineStr">
        <is>
          <t>peptide_localization_signal</t>
        </is>
      </c>
      <c r="B1486" t="inlineStr">
        <is>
          <t>http://identifiers.org/so/SO:0001527</t>
        </is>
      </c>
      <c r="C1486" t="inlineStr">
        <is>
          <t>['peptide coil', 'random coil', 'coil']</t>
        </is>
      </c>
    </row>
    <row r="1487" ht="15" customHeight="1">
      <c r="A1487" t="inlineStr">
        <is>
          <t>peptidyl</t>
        </is>
      </c>
      <c r="B1487" t="inlineStr">
        <is>
          <t>http://identifiers.org/so/SO:0001407</t>
        </is>
      </c>
      <c r="C1487" t="inlineStr">
        <is>
          <t>['peptide set', 'peptide collection']</t>
        </is>
      </c>
    </row>
    <row r="1488" ht="15" customHeight="1">
      <c r="A1488" t="inlineStr">
        <is>
          <t>pericentric</t>
        </is>
      </c>
      <c r="B1488" t="inlineStr">
        <is>
          <t>http://identifiers.org/so/SO:0001518</t>
        </is>
      </c>
      <c r="C1488" t="inlineStr">
        <is>
          <t>['helix']</t>
        </is>
      </c>
    </row>
    <row r="1489" ht="15" customHeight="1">
      <c r="A1489" t="inlineStr">
        <is>
          <t>pericentric_inversion</t>
        </is>
      </c>
      <c r="B1489" t="inlineStr">
        <is>
          <t>http://identifiers.org/so/SO:1000046</t>
        </is>
      </c>
      <c r="C1489" t="inlineStr">
        <is>
          <t>['peptide localization signal', 'localization signal']</t>
        </is>
      </c>
    </row>
    <row r="1490" ht="15" customHeight="1">
      <c r="A1490" t="inlineStr">
        <is>
          <t>peroxywybutosine</t>
        </is>
      </c>
      <c r="B1490" t="inlineStr">
        <is>
          <t>http://identifiers.org/so/SO:0001333</t>
        </is>
      </c>
    </row>
    <row r="1491" ht="15" customHeight="1">
      <c r="A1491" t="inlineStr">
        <is>
          <t>Phage_RNA_Polymerase_Promoter</t>
        </is>
      </c>
      <c r="B1491" t="inlineStr">
        <is>
          <t>http://identifiers.org/so/SO:0001204</t>
        </is>
      </c>
    </row>
    <row r="1492" ht="15" customHeight="1">
      <c r="A1492" t="inlineStr">
        <is>
          <t>phage_sequence</t>
        </is>
      </c>
      <c r="B1492" t="inlineStr">
        <is>
          <t>http://identifiers.org/so/SO:0001042</t>
        </is>
      </c>
      <c r="C1492" t="inlineStr">
        <is>
          <t>['pericentric inversion']</t>
        </is>
      </c>
    </row>
    <row r="1493" ht="15" customHeight="1">
      <c r="A1493" t="inlineStr">
        <is>
          <t>phagemid</t>
        </is>
      </c>
      <c r="B1493" t="inlineStr">
        <is>
          <t>http://identifiers.org/so/SO:0000157</t>
        </is>
      </c>
      <c r="C1493" t="inlineStr">
        <is>
          <t>['o2yW']</t>
        </is>
      </c>
    </row>
    <row r="1494" ht="15" customHeight="1">
      <c r="A1494" t="inlineStr">
        <is>
          <t>phagemid_clone</t>
        </is>
      </c>
      <c r="B1494" t="inlineStr">
        <is>
          <t>http://identifiers.org/so/SO:0000761</t>
        </is>
      </c>
      <c r="C1494" t="inlineStr">
        <is>
          <t>['Phage RNA Polymerase Promoter']</t>
        </is>
      </c>
    </row>
    <row r="1495" ht="15" customHeight="1">
      <c r="A1495" t="inlineStr">
        <is>
          <t>phenylalanine</t>
        </is>
      </c>
      <c r="B1495" t="inlineStr">
        <is>
          <t>http://identifiers.org/so/SO:0001441</t>
        </is>
      </c>
      <c r="C1495" t="inlineStr">
        <is>
          <t>['bacteriophage', 'phage', 'phage sequence']</t>
        </is>
      </c>
    </row>
    <row r="1496" ht="15" customHeight="1">
      <c r="A1496" t="inlineStr">
        <is>
          <t>phenylalanine_tRNA_primary_transcript</t>
        </is>
      </c>
      <c r="B1496" t="inlineStr">
        <is>
          <t>http://identifiers.org/so/SO:0000224</t>
        </is>
      </c>
      <c r="C1496" t="inlineStr">
        <is>
          <t>['phagemid vector']</t>
        </is>
      </c>
    </row>
    <row r="1497" ht="15" customHeight="1">
      <c r="A1497" t="inlineStr">
        <is>
          <t>phenylalanyl_tRNA</t>
        </is>
      </c>
      <c r="B1497" t="inlineStr">
        <is>
          <t>http://identifiers.org/so/SO:0000267</t>
        </is>
      </c>
    </row>
    <row r="1498" ht="15" customHeight="1">
      <c r="A1498" t="inlineStr">
        <is>
          <t>pheromone_response_element</t>
        </is>
      </c>
      <c r="B1498" t="inlineStr">
        <is>
          <t>http://identifiers.org/so/SO:0002045</t>
        </is>
      </c>
      <c r="C1498" t="inlineStr">
        <is>
          <t>['Phe', 'F']</t>
        </is>
      </c>
    </row>
    <row r="1499" ht="15" customHeight="1">
      <c r="A1499" t="inlineStr">
        <is>
          <t>Pho7_binding_site</t>
        </is>
      </c>
      <c r="B1499" t="inlineStr">
        <is>
          <t>http://identifiers.org/so/SO:0002216</t>
        </is>
      </c>
      <c r="C1499" t="inlineStr">
        <is>
          <t>['phenylalanine tRNA primary transcript']</t>
        </is>
      </c>
    </row>
    <row r="1500" ht="15" customHeight="1">
      <c r="A1500" t="inlineStr">
        <is>
          <t>phosphorylation_site</t>
        </is>
      </c>
      <c r="B1500" t="inlineStr">
        <is>
          <t>http://identifiers.org/so/SO:0001811</t>
        </is>
      </c>
      <c r="C1500" t="inlineStr">
        <is>
          <t>['phenylalanyl-transfer RNA', 'phenylalanyl-transfer ribonucleic acid', 'phenylalanyl tRNA']</t>
        </is>
      </c>
    </row>
    <row r="1501" ht="15" customHeight="1">
      <c r="A1501" t="inlineStr">
        <is>
          <t>pi_helix</t>
        </is>
      </c>
      <c r="B1501" t="inlineStr">
        <is>
          <t>http://identifiers.org/so/SO:0001118</t>
        </is>
      </c>
      <c r="C1501" t="inlineStr">
        <is>
          <t>['PRE', 'pheromone response element']</t>
        </is>
      </c>
    </row>
    <row r="1502" ht="15" customHeight="1">
      <c r="A1502" t="inlineStr">
        <is>
          <t>PIF_Harbinger_TIR_transposon</t>
        </is>
      </c>
      <c r="B1502" t="inlineStr">
        <is>
          <t>http://identifiers.org/so/SO:0002284</t>
        </is>
      </c>
      <c r="C1502" t="inlineStr">
        <is>
          <t>['Pho7 binding site']</t>
        </is>
      </c>
    </row>
    <row r="1503" ht="15" customHeight="1">
      <c r="A1503" t="inlineStr">
        <is>
          <t>piggyBac_TIR_transposon</t>
        </is>
      </c>
      <c r="B1503" t="inlineStr">
        <is>
          <t>http://identifiers.org/so/SO:0002283</t>
        </is>
      </c>
      <c r="C1503" t="inlineStr">
        <is>
          <t>['phosphorylation site']</t>
        </is>
      </c>
    </row>
    <row r="1504" ht="15" customHeight="1">
      <c r="A1504" t="inlineStr">
        <is>
          <t>PIP_box</t>
        </is>
      </c>
      <c r="B1504" t="inlineStr">
        <is>
          <t>http://identifiers.org/so/SO:0001810</t>
        </is>
      </c>
      <c r="C1504" t="inlineStr">
        <is>
          <t>['pi helix']</t>
        </is>
      </c>
    </row>
    <row r="1505" ht="15" customHeight="1">
      <c r="A1505" t="inlineStr">
        <is>
          <t>piRNA</t>
        </is>
      </c>
      <c r="B1505" t="inlineStr">
        <is>
          <t>http://identifiers.org/so/SO:0001035</t>
        </is>
      </c>
      <c r="C1505" t="inlineStr">
        <is>
          <t>['PIF transposon', 'Harbinger transposon', 'Tourist transposon element', 'PIF Harbinger TIR transposon', 'DTH transposon']</t>
        </is>
      </c>
    </row>
    <row r="1506" ht="15" customHeight="1">
      <c r="A1506" t="inlineStr">
        <is>
          <t>piRNA_gene</t>
        </is>
      </c>
      <c r="B1506" t="inlineStr">
        <is>
          <t>http://identifiers.org/so/SO:0001638</t>
        </is>
      </c>
      <c r="C1506" t="inlineStr">
        <is>
          <t>['PiggyBac transposable element', 'piggyBac TIR transposon', 'DTB transposon']</t>
        </is>
      </c>
    </row>
    <row r="1507" ht="15" customHeight="1">
      <c r="A1507" t="inlineStr">
        <is>
          <t>plasmid</t>
        </is>
      </c>
      <c r="B1507" t="inlineStr">
        <is>
          <t>http://identifiers.org/so/SO:0000155</t>
        </is>
      </c>
      <c r="C1507" t="inlineStr">
        <is>
          <t>['PIP box']</t>
        </is>
      </c>
    </row>
    <row r="1508" ht="15" customHeight="1">
      <c r="A1508" t="inlineStr">
        <is>
          <t>plasmid_clone</t>
        </is>
      </c>
      <c r="B1508" t="inlineStr">
        <is>
          <t>http://identifiers.org/so/SO:0000759</t>
        </is>
      </c>
      <c r="C1508" t="inlineStr">
        <is>
          <t>['INSDC_feature:ncRNA', 'INSDC_qualifier:piRNA', 'piwi-associated RNA']</t>
        </is>
      </c>
    </row>
    <row r="1509" ht="15" customHeight="1">
      <c r="A1509" t="inlineStr">
        <is>
          <t>plasmid_gene</t>
        </is>
      </c>
      <c r="B1509" t="inlineStr">
        <is>
          <t>http://identifiers.org/so/SO:0000098</t>
        </is>
      </c>
      <c r="C1509" t="inlineStr">
        <is>
          <t>['piRNA gene']</t>
        </is>
      </c>
    </row>
    <row r="1510" ht="15" customHeight="1">
      <c r="A1510" t="inlineStr">
        <is>
          <t>plasmid_location</t>
        </is>
      </c>
      <c r="B1510" t="inlineStr">
        <is>
          <t>http://identifiers.org/so/SO:0000749</t>
        </is>
      </c>
      <c r="C1510" t="inlineStr">
        <is>
          <t>['plasmid sequence']</t>
        </is>
      </c>
    </row>
    <row r="1511" ht="15" customHeight="1">
      <c r="A1511" t="inlineStr">
        <is>
          <t>plasmid_vector</t>
        </is>
      </c>
      <c r="B1511" t="inlineStr">
        <is>
          <t>http://identifiers.org/so/SO:0000755</t>
        </is>
      </c>
    </row>
    <row r="1512" ht="15" customHeight="1">
      <c r="A1512" t="inlineStr">
        <is>
          <t>plastid_gene</t>
        </is>
      </c>
      <c r="B1512" t="inlineStr">
        <is>
          <t>http://identifiers.org/so/SO:0000090</t>
        </is>
      </c>
      <c r="C1512" t="inlineStr">
        <is>
          <t>['plasmid gene']</t>
        </is>
      </c>
    </row>
    <row r="1513" ht="15" customHeight="1">
      <c r="A1513" t="inlineStr">
        <is>
          <t>plastid_sequence</t>
        </is>
      </c>
      <c r="B1513" t="inlineStr">
        <is>
          <t>http://identifiers.org/so/SO:0000740</t>
        </is>
      </c>
      <c r="C1513" t="inlineStr">
        <is>
          <t>['plasmid location']</t>
        </is>
      </c>
    </row>
    <row r="1514" ht="15" customHeight="1">
      <c r="A1514" t="inlineStr">
        <is>
          <t>plus_1_frameshift</t>
        </is>
      </c>
      <c r="B1514" t="inlineStr">
        <is>
          <t>http://identifiers.org/so/SO:0000868</t>
        </is>
      </c>
      <c r="C1514" t="inlineStr">
        <is>
          <t>['plasmid vector']</t>
        </is>
      </c>
    </row>
    <row r="1515" ht="15" customHeight="1">
      <c r="A1515" t="inlineStr">
        <is>
          <t>plus_1_frameshift_variant</t>
        </is>
      </c>
      <c r="B1515" t="inlineStr">
        <is>
          <t>http://identifiers.org/so/SO:0001594</t>
        </is>
      </c>
      <c r="C1515" t="inlineStr">
        <is>
          <t>['plastid gene']</t>
        </is>
      </c>
    </row>
    <row r="1516" ht="15" customHeight="1">
      <c r="A1516" t="inlineStr">
        <is>
          <t>plus_1_translational_frameshift</t>
        </is>
      </c>
      <c r="B1516" t="inlineStr">
        <is>
          <t>http://identifiers.org/so/SO:0001211</t>
        </is>
      </c>
      <c r="C1516" t="inlineStr">
        <is>
          <t>['plastid sequence']</t>
        </is>
      </c>
    </row>
    <row r="1517" ht="15" customHeight="1">
      <c r="A1517" t="inlineStr">
        <is>
          <t>plus_1_translationally_frameshifted</t>
        </is>
      </c>
      <c r="B1517" t="inlineStr">
        <is>
          <t>http://identifiers.org/so/SO:1001263</t>
        </is>
      </c>
      <c r="C1517" t="inlineStr">
        <is>
          <t>['plus 1 frameshift']</t>
        </is>
      </c>
    </row>
    <row r="1518" ht="15" customHeight="1">
      <c r="A1518" t="inlineStr">
        <is>
          <t>plus_2_frameshift_variant</t>
        </is>
      </c>
      <c r="B1518" t="inlineStr">
        <is>
          <t>http://identifiers.org/so/SO:0001595</t>
        </is>
      </c>
      <c r="C1518" t="inlineStr">
        <is>
          <t>['+1 frameshift variant', 'plus 1 frameshift variant']</t>
        </is>
      </c>
    </row>
    <row r="1519" ht="15" customHeight="1">
      <c r="A1519" t="inlineStr">
        <is>
          <t>plus_2_framshift</t>
        </is>
      </c>
      <c r="B1519" t="inlineStr">
        <is>
          <t>http://identifiers.org/so/SO:0000869</t>
        </is>
      </c>
      <c r="C1519" t="inlineStr">
        <is>
          <t>['plus 1 translational frameshift', 'plus 1 ribosomal frameshift']</t>
        </is>
      </c>
    </row>
    <row r="1520" ht="15" customHeight="1">
      <c r="A1520" t="inlineStr">
        <is>
          <t>plus_2_translational_frameshift</t>
        </is>
      </c>
      <c r="B1520" t="inlineStr">
        <is>
          <t>http://identifiers.org/so/SO:0001212</t>
        </is>
      </c>
      <c r="C1520" t="inlineStr">
        <is>
          <t>['plus 1 translationally frameshifted']</t>
        </is>
      </c>
    </row>
    <row r="1521" ht="15" customHeight="1">
      <c r="A1521" t="inlineStr">
        <is>
          <t>PNA</t>
        </is>
      </c>
      <c r="B1521" t="inlineStr">
        <is>
          <t>http://identifiers.org/so/SO:0001184</t>
        </is>
      </c>
      <c r="C1521" t="inlineStr">
        <is>
          <t>['+2 frameshift variant', 'plus 2 frameshift variant']</t>
        </is>
      </c>
    </row>
    <row r="1522" ht="15" customHeight="1">
      <c r="A1522" t="inlineStr">
        <is>
          <t>PNA_oligo</t>
        </is>
      </c>
      <c r="B1522" t="inlineStr">
        <is>
          <t>http://identifiers.org/so/SO:0001011</t>
        </is>
      </c>
      <c r="C1522" t="inlineStr">
        <is>
          <t>['plus 2 framshift']</t>
        </is>
      </c>
    </row>
    <row r="1523" ht="15" customHeight="1">
      <c r="A1523" t="inlineStr">
        <is>
          <t>point_centromere</t>
        </is>
      </c>
      <c r="B1523" t="inlineStr">
        <is>
          <t>http://identifiers.org/so/SO:0001794</t>
        </is>
      </c>
      <c r="C1523" t="inlineStr">
        <is>
          <t>['plus 2 ribosomal frameshift', 'plus 2 translational frameshift']</t>
        </is>
      </c>
    </row>
    <row r="1524" ht="15" customHeight="1">
      <c r="A1524" t="inlineStr">
        <is>
          <t>point_mutation</t>
        </is>
      </c>
      <c r="B1524" t="inlineStr">
        <is>
          <t>http://identifiers.org/so/SO:1000008</t>
        </is>
      </c>
      <c r="C1524" t="inlineStr">
        <is>
          <t>['peptide nucleic acid']</t>
        </is>
      </c>
    </row>
    <row r="1525" ht="15" customHeight="1">
      <c r="A1525" t="inlineStr">
        <is>
          <t>polinton</t>
        </is>
      </c>
      <c r="B1525" t="inlineStr">
        <is>
          <t>http://identifiers.org/so/SO:0001170</t>
        </is>
      </c>
      <c r="C1525" t="inlineStr">
        <is>
          <t>['peptide nucleic acid', 'PNA oligo']</t>
        </is>
      </c>
    </row>
    <row r="1526" ht="15" customHeight="1">
      <c r="A1526" t="inlineStr">
        <is>
          <t>polyA_primed_cDNA_clone</t>
        </is>
      </c>
      <c r="B1526" t="inlineStr">
        <is>
          <t>http://identifiers.org/so/SO:0000812</t>
        </is>
      </c>
      <c r="C1526" t="inlineStr">
        <is>
          <t>['point centromere']</t>
        </is>
      </c>
    </row>
    <row r="1527" ht="15" customHeight="1">
      <c r="A1527" t="inlineStr">
        <is>
          <t>polyA_sequence</t>
        </is>
      </c>
      <c r="B1527" t="inlineStr">
        <is>
          <t>http://identifiers.org/so/SO:0000610</t>
        </is>
      </c>
      <c r="C1527" t="inlineStr">
        <is>
          <t>['point mutation']</t>
        </is>
      </c>
    </row>
    <row r="1528" ht="15" customHeight="1">
      <c r="A1528" t="inlineStr">
        <is>
          <t>polyA_signal_sequence</t>
        </is>
      </c>
      <c r="B1528" t="inlineStr">
        <is>
          <t>http://identifiers.org/so/SO:0000551</t>
        </is>
      </c>
      <c r="C1528" t="inlineStr">
        <is>
          <t>['maverick element']</t>
        </is>
      </c>
    </row>
    <row r="1529" ht="15" customHeight="1">
      <c r="A1529" t="inlineStr">
        <is>
          <t>polyA_site</t>
        </is>
      </c>
      <c r="B1529" t="inlineStr">
        <is>
          <t>http://identifiers.org/so/SO:0000553</t>
        </is>
      </c>
      <c r="C1529" t="inlineStr">
        <is>
          <t>['polyA primed cDNA clone']</t>
        </is>
      </c>
    </row>
    <row r="1530" ht="15" customHeight="1">
      <c r="A1530" t="inlineStr">
        <is>
          <t>polyA_site_cluster</t>
        </is>
      </c>
      <c r="B1530" t="inlineStr">
        <is>
          <t>http://identifiers.org/so/SO:0002259</t>
        </is>
      </c>
      <c r="C1530" t="inlineStr">
        <is>
          <t>['polyA sequence']</t>
        </is>
      </c>
    </row>
    <row r="1531" ht="15" customHeight="1">
      <c r="A1531" t="inlineStr">
        <is>
          <t>polyadenylated</t>
        </is>
      </c>
      <c r="B1531" t="inlineStr">
        <is>
          <t>http://identifiers.org/so/SO:0000246</t>
        </is>
      </c>
      <c r="C1531" t="inlineStr">
        <is>
          <t>['INSDC_qualifier:polyA_signal_sequence', 'polyA signal sequence', 'INSDC_feature:regulatory', 'polyadenylation termination signal', 'poly(A) signal']</t>
        </is>
      </c>
    </row>
    <row r="1532" ht="15" customHeight="1">
      <c r="A1532" t="inlineStr">
        <is>
          <t>polyadenylated_mRNA</t>
        </is>
      </c>
      <c r="B1532" t="inlineStr">
        <is>
          <t>http://identifiers.org/so/SO:0000871</t>
        </is>
      </c>
      <c r="C1532" t="inlineStr">
        <is>
          <t>['polyA site', 'INSDC_feature:polyA_site', 'polyadenylation site', 'polyA_junction', 'polyA junction', 'polyA cleavage site']</t>
        </is>
      </c>
    </row>
    <row r="1533" ht="15" customHeight="1">
      <c r="A1533" t="inlineStr">
        <is>
          <t>polyadenylation_variant</t>
        </is>
      </c>
      <c r="B1533" t="inlineStr">
        <is>
          <t>http://identifiers.org/so/SO:0001545</t>
        </is>
      </c>
      <c r="C1533" t="inlineStr">
        <is>
          <t>['polyA cluster', 'polyA site cluster', 'polyA_cluster']</t>
        </is>
      </c>
    </row>
    <row r="1534" ht="15" customHeight="1">
      <c r="A1534" t="inlineStr">
        <is>
          <t>polycistronic</t>
        </is>
      </c>
      <c r="B1534" t="inlineStr">
        <is>
          <t>http://identifiers.org/so/SO:0000880</t>
        </is>
      </c>
    </row>
    <row r="1535" ht="15" customHeight="1">
      <c r="A1535" t="inlineStr">
        <is>
          <t>polycistronic_gene</t>
        </is>
      </c>
      <c r="B1535" t="inlineStr">
        <is>
          <t>http://identifiers.org/so/SO:0000477</t>
        </is>
      </c>
      <c r="C1535" t="inlineStr">
        <is>
          <t>['polyadenylated mRNA']</t>
        </is>
      </c>
    </row>
    <row r="1536" ht="15" customHeight="1">
      <c r="A1536" t="inlineStr">
        <is>
          <t>polycistronic_mRNA</t>
        </is>
      </c>
      <c r="B1536" t="inlineStr">
        <is>
          <t>http://identifiers.org/so/SO:0000634</t>
        </is>
      </c>
      <c r="C1536" t="inlineStr">
        <is>
          <t>['polyadenylation variant']</t>
        </is>
      </c>
    </row>
    <row r="1537" ht="15" customHeight="1">
      <c r="A1537" t="inlineStr">
        <is>
          <t>polycistronic_primary_transcript</t>
        </is>
      </c>
      <c r="B1537" t="inlineStr">
        <is>
          <t>http://identifiers.org/so/SO:0000631</t>
        </is>
      </c>
    </row>
    <row r="1538" ht="15" customHeight="1">
      <c r="A1538" t="inlineStr">
        <is>
          <t>polycistronic_transcript</t>
        </is>
      </c>
      <c r="B1538" t="inlineStr">
        <is>
          <t>http://identifiers.org/so/SO:0000078</t>
        </is>
      </c>
    </row>
    <row r="1539" ht="15" customHeight="1">
      <c r="A1539" t="inlineStr">
        <is>
          <t>polymer_attribute</t>
        </is>
      </c>
      <c r="B1539" t="inlineStr">
        <is>
          <t>http://identifiers.org/so/SO:0000443</t>
        </is>
      </c>
      <c r="C1539" t="inlineStr">
        <is>
          <t>['polycistronic processed transcript', 'polycistronic mRNA']</t>
        </is>
      </c>
    </row>
    <row r="1540" ht="15" customHeight="1">
      <c r="A1540" t="inlineStr">
        <is>
          <t>polymerase_synthesis_read</t>
        </is>
      </c>
      <c r="B1540" t="inlineStr">
        <is>
          <t>http://identifiers.org/so/SO:0001426</t>
        </is>
      </c>
      <c r="C1540" t="inlineStr">
        <is>
          <t>['polycistronic primary transcript']</t>
        </is>
      </c>
    </row>
    <row r="1541" ht="15" customHeight="1">
      <c r="A1541" t="inlineStr">
        <is>
          <t>polymorphic_pseudogene</t>
        </is>
      </c>
      <c r="B1541" t="inlineStr">
        <is>
          <t>http://identifiers.org/so/SO:0001841</t>
        </is>
      </c>
      <c r="C1541" t="inlineStr">
        <is>
          <t>['polycistronic transcript']</t>
        </is>
      </c>
    </row>
    <row r="1542" ht="15" customHeight="1">
      <c r="A1542" t="inlineStr">
        <is>
          <t>polymorphic_pseudogene_processed_transcript</t>
        </is>
      </c>
      <c r="B1542" t="inlineStr">
        <is>
          <t>http://identifiers.org/so/SO:0002116</t>
        </is>
      </c>
      <c r="C1542" t="inlineStr">
        <is>
          <t>['polymer attribute']</t>
        </is>
      </c>
    </row>
    <row r="1543" ht="15" customHeight="1">
      <c r="A1543" t="inlineStr">
        <is>
          <t>polymorphic_pseudogene_with_retained_intron</t>
        </is>
      </c>
      <c r="B1543" t="inlineStr">
        <is>
          <t>http://identifiers.org/so/SO:0002110</t>
        </is>
      </c>
      <c r="C1543" t="inlineStr">
        <is>
          <t>['polymerase synthesis read']</t>
        </is>
      </c>
    </row>
    <row r="1544" ht="15" customHeight="1">
      <c r="A1544" t="inlineStr">
        <is>
          <t>polymorphic_sequence_variant</t>
        </is>
      </c>
      <c r="B1544" t="inlineStr">
        <is>
          <t>http://identifiers.org/so/SO:0001025</t>
        </is>
      </c>
      <c r="C1544" t="inlineStr">
        <is>
          <t>['polymorphic psuedogene']</t>
        </is>
      </c>
    </row>
    <row r="1545" ht="15" customHeight="1">
      <c r="A1545" t="inlineStr">
        <is>
          <t>polymorphic_variant</t>
        </is>
      </c>
      <c r="B1545" t="inlineStr">
        <is>
          <t>http://identifiers.org/so/SO:0001766</t>
        </is>
      </c>
      <c r="C1545" t="inlineStr">
        <is>
          <t>['polymorphic pseudogene processed transcript']</t>
        </is>
      </c>
    </row>
    <row r="1546" ht="15" customHeight="1">
      <c r="A1546" t="inlineStr">
        <is>
          <t>polypeptide</t>
        </is>
      </c>
      <c r="B1546" t="inlineStr">
        <is>
          <t>http://identifiers.org/so/SO:0000104</t>
        </is>
      </c>
      <c r="C1546" t="inlineStr">
        <is>
          <t>['polymorphic pseudogene with retained intron']</t>
        </is>
      </c>
    </row>
    <row r="1547" ht="15" customHeight="1">
      <c r="A1547" t="inlineStr">
        <is>
          <t>polypeptide_binding_motif</t>
        </is>
      </c>
      <c r="B1547" t="inlineStr">
        <is>
          <t>http://identifiers.org/so/SO:0100018</t>
        </is>
      </c>
      <c r="C1547" t="inlineStr">
        <is>
          <t>['polymorphic sequence variant']</t>
        </is>
      </c>
    </row>
    <row r="1548" ht="15" customHeight="1">
      <c r="A1548" t="inlineStr">
        <is>
          <t>polypeptide_calcium_ion_contact_site</t>
        </is>
      </c>
      <c r="B1548" t="inlineStr">
        <is>
          <t>http://identifiers.org/so/SO:0001094</t>
        </is>
      </c>
      <c r="C1548" t="inlineStr">
        <is>
          <t>['polymorphic variant']</t>
        </is>
      </c>
    </row>
    <row r="1549" ht="15" customHeight="1">
      <c r="A1549" t="inlineStr">
        <is>
          <t>polypeptide_catalytic_motif</t>
        </is>
      </c>
      <c r="B1549" t="inlineStr">
        <is>
          <t>http://identifiers.org/so/SO:0100019</t>
        </is>
      </c>
      <c r="C1549" t="inlineStr">
        <is>
          <t>['protein']</t>
        </is>
      </c>
    </row>
    <row r="1550" ht="15" customHeight="1">
      <c r="A1550" t="inlineStr">
        <is>
          <t>polypeptide_cobalt_ion_contact_site</t>
        </is>
      </c>
      <c r="B1550" t="inlineStr">
        <is>
          <t>http://identifiers.org/so/SO:0001095</t>
        </is>
      </c>
      <c r="C1550" t="inlineStr">
        <is>
          <t>['polypeptide binding motif', 'binding']</t>
        </is>
      </c>
    </row>
    <row r="1551" ht="15" customHeight="1">
      <c r="A1551" t="inlineStr">
        <is>
          <t>polypeptide_conserved_motif</t>
        </is>
      </c>
      <c r="B1551" t="inlineStr">
        <is>
          <t>http://identifiers.org/so/SO:0100017</t>
        </is>
      </c>
      <c r="C1551" t="inlineStr">
        <is>
          <t>['polypeptide calcium ion contact site', 'ca bind', 'Ca_contact_site', 'ca_bind']</t>
        </is>
      </c>
    </row>
    <row r="1552" ht="15" customHeight="1">
      <c r="A1552" t="inlineStr">
        <is>
          <t>polypeptide_conserved_region</t>
        </is>
      </c>
      <c r="B1552" t="inlineStr">
        <is>
          <t>http://identifiers.org/so/SO:0100021</t>
        </is>
      </c>
      <c r="C1552" t="inlineStr">
        <is>
          <t>['polypeptide catalytic motif', 'catalytic_motif']</t>
        </is>
      </c>
    </row>
    <row r="1553" ht="15" customHeight="1">
      <c r="A1553" t="inlineStr">
        <is>
          <t>polypeptide_copper_ion_contact_site</t>
        </is>
      </c>
      <c r="B1553" t="inlineStr">
        <is>
          <t>http://identifiers.org/so/SO:0001096</t>
        </is>
      </c>
      <c r="C1553" t="inlineStr">
        <is>
          <t>['polypeptide cobalt ion contact site', 'Co_contact_site']</t>
        </is>
      </c>
    </row>
    <row r="1554" ht="15" customHeight="1">
      <c r="A1554" t="inlineStr">
        <is>
          <t>polypeptide_DNA_contact</t>
        </is>
      </c>
      <c r="B1554" t="inlineStr">
        <is>
          <t>http://identifiers.org/so/SO:0100020</t>
        </is>
      </c>
      <c r="C1554" t="inlineStr">
        <is>
          <t>['motif']</t>
        </is>
      </c>
    </row>
    <row r="1555" ht="15" customHeight="1">
      <c r="A1555" t="inlineStr">
        <is>
          <t>polypeptide_domain</t>
        </is>
      </c>
      <c r="B1555" t="inlineStr">
        <is>
          <t>http://identifiers.org/so/SO:0000417</t>
        </is>
      </c>
      <c r="C1555" t="inlineStr">
        <is>
          <t>['polypeptide conserved region']</t>
        </is>
      </c>
    </row>
    <row r="1556" ht="15" customHeight="1">
      <c r="A1556" t="inlineStr">
        <is>
          <t>polypeptide_function_variant</t>
        </is>
      </c>
      <c r="B1556" t="inlineStr">
        <is>
          <t>http://identifiers.org/so/SO:0001554</t>
        </is>
      </c>
      <c r="C1556" t="inlineStr">
        <is>
          <t>['Cu_contact_site', 'polypeptide copper ion contact site']</t>
        </is>
      </c>
    </row>
    <row r="1557" ht="15" customHeight="1">
      <c r="A1557" t="inlineStr">
        <is>
          <t>polypeptide_fusion</t>
        </is>
      </c>
      <c r="B1557" t="inlineStr">
        <is>
          <t>http://identifiers.org/so/SO:0001616</t>
        </is>
      </c>
      <c r="C1557" t="inlineStr">
        <is>
          <t>['DNA_bind', 'polypeptide DNA contact']</t>
        </is>
      </c>
    </row>
    <row r="1558" ht="15" customHeight="1">
      <c r="A1558" t="inlineStr">
        <is>
          <t>polypeptide_gain_of_function_variant</t>
        </is>
      </c>
      <c r="B1558" t="inlineStr">
        <is>
          <t>http://identifiers.org/so/SO:0001557</t>
        </is>
      </c>
    </row>
    <row r="1559" ht="15" customHeight="1">
      <c r="A1559" t="inlineStr">
        <is>
          <t>polypeptide_iron_ion_contact_site</t>
        </is>
      </c>
      <c r="B1559" t="inlineStr">
        <is>
          <t>http://identifiers.org/so/SO:0001097</t>
        </is>
      </c>
      <c r="C1559" t="inlineStr">
        <is>
          <t>['polypeptide domain', 'polypeptide_structural_domain', 'domain', 'structural domain']</t>
        </is>
      </c>
    </row>
    <row r="1560" ht="15" customHeight="1">
      <c r="A1560" t="inlineStr">
        <is>
          <t>polypeptide_ligand_contact</t>
        </is>
      </c>
      <c r="B1560" t="inlineStr">
        <is>
          <t>http://identifiers.org/so/SO:0001105</t>
        </is>
      </c>
      <c r="C1560" t="inlineStr">
        <is>
          <t>['polypeptide function variant']</t>
        </is>
      </c>
    </row>
    <row r="1561" ht="15" customHeight="1">
      <c r="A1561" t="inlineStr">
        <is>
          <t>polypeptide_localization_variant</t>
        </is>
      </c>
      <c r="B1561" t="inlineStr">
        <is>
          <t>http://identifiers.org/so/SO:0001558</t>
        </is>
      </c>
      <c r="C1561" t="inlineStr">
        <is>
          <t>['polypeptide fusion']</t>
        </is>
      </c>
    </row>
    <row r="1562" ht="15" customHeight="1">
      <c r="A1562" t="inlineStr">
        <is>
          <t>polypeptide_loss_of_function_variant</t>
        </is>
      </c>
      <c r="B1562" t="inlineStr">
        <is>
          <t>http://identifiers.org/so/SO:0001559</t>
        </is>
      </c>
      <c r="C1562" t="inlineStr">
        <is>
          <t>['polypeptide gain of function variant']</t>
        </is>
      </c>
    </row>
    <row r="1563" ht="15" customHeight="1">
      <c r="A1563" t="inlineStr">
        <is>
          <t>polypeptide_magnesium_ion_contact_site</t>
        </is>
      </c>
      <c r="B1563" t="inlineStr">
        <is>
          <t>http://identifiers.org/so/SO:0001098</t>
        </is>
      </c>
      <c r="C1563" t="inlineStr">
        <is>
          <t>['Fe_contact_site', 'polypeptide iron ion contact site']</t>
        </is>
      </c>
    </row>
    <row r="1564" ht="15" customHeight="1">
      <c r="A1564" t="inlineStr">
        <is>
          <t>polypeptide_manganese_ion_contact_site</t>
        </is>
      </c>
      <c r="B1564" t="inlineStr">
        <is>
          <t>http://identifiers.org/so/SO:0001099</t>
        </is>
      </c>
      <c r="C1564" t="inlineStr">
        <is>
          <t>['polypeptide ligand contact', 'protein-ligand interaction']</t>
        </is>
      </c>
    </row>
    <row r="1565" ht="15" customHeight="1">
      <c r="A1565" t="inlineStr">
        <is>
          <t>polypeptide_metal_contact</t>
        </is>
      </c>
      <c r="B1565" t="inlineStr">
        <is>
          <t>http://identifiers.org/so/SO:0001092</t>
        </is>
      </c>
      <c r="C1565" t="inlineStr">
        <is>
          <t>['polypeptide localization variant']</t>
        </is>
      </c>
    </row>
    <row r="1566" ht="15" customHeight="1">
      <c r="A1566" t="inlineStr">
        <is>
          <t>polypeptide_molybdenum_ion_contact_site</t>
        </is>
      </c>
      <c r="B1566" t="inlineStr">
        <is>
          <t>http://identifiers.org/so/SO:0001100</t>
        </is>
      </c>
      <c r="C1566" t="inlineStr">
        <is>
          <t>['polypeptide loss of function variant']</t>
        </is>
      </c>
    </row>
    <row r="1567" ht="15" customHeight="1">
      <c r="A1567" t="inlineStr">
        <is>
          <t>polypeptide_motif</t>
        </is>
      </c>
      <c r="B1567" t="inlineStr">
        <is>
          <t>http://identifiers.org/so/SO:0001067</t>
        </is>
      </c>
      <c r="C1567" t="inlineStr">
        <is>
          <t>['polypeptide magnesium ion contact site', 'Mg_contact_site']</t>
        </is>
      </c>
    </row>
    <row r="1568" ht="15" customHeight="1">
      <c r="A1568" t="inlineStr">
        <is>
          <t>polypeptide_nest_left_right_motif</t>
        </is>
      </c>
      <c r="B1568" t="inlineStr">
        <is>
          <t>http://identifiers.org/so/SO:0001121</t>
        </is>
      </c>
      <c r="C1568" t="inlineStr">
        <is>
          <t>['Mn_contact_site', 'polypeptide manganese ion contact site']</t>
        </is>
      </c>
    </row>
    <row r="1569" ht="15" customHeight="1">
      <c r="A1569" t="inlineStr">
        <is>
          <t>polypeptide_nest_motif</t>
        </is>
      </c>
      <c r="B1569" t="inlineStr">
        <is>
          <t>http://identifiers.org/so/SO:0001120</t>
        </is>
      </c>
      <c r="C1569" t="inlineStr">
        <is>
          <t>['metal_binding']</t>
        </is>
      </c>
    </row>
    <row r="1570" ht="15" customHeight="1">
      <c r="A1570" t="inlineStr">
        <is>
          <t>polypeptide_nest_right_left_motif</t>
        </is>
      </c>
      <c r="B1570" t="inlineStr">
        <is>
          <t>http://identifiers.org/so/SO:0001122</t>
        </is>
      </c>
      <c r="C1570" t="inlineStr">
        <is>
          <t>['Mo_contact_site', 'polypeptide molybdenum ion contact site']</t>
        </is>
      </c>
    </row>
    <row r="1571" ht="15" customHeight="1">
      <c r="A1571" t="inlineStr">
        <is>
          <t>polypeptide_nickel_ion_contact_site</t>
        </is>
      </c>
      <c r="B1571" t="inlineStr">
        <is>
          <t>http://identifiers.org/so/SO:0001101</t>
        </is>
      </c>
      <c r="C1571" t="inlineStr">
        <is>
          <t>['polypeptide motif', 'motif']</t>
        </is>
      </c>
    </row>
    <row r="1572" ht="15" customHeight="1">
      <c r="A1572" t="inlineStr">
        <is>
          <t>polypeptide_partial_loss_of_function</t>
        </is>
      </c>
      <c r="B1572" t="inlineStr">
        <is>
          <t>http://identifiers.org/so/SO:0001561</t>
        </is>
      </c>
      <c r="C1572" t="inlineStr">
        <is>
          <t>['polypeptide nest left right motif', 'nest_left_right', 'nest_lr']</t>
        </is>
      </c>
    </row>
    <row r="1573" ht="15" customHeight="1">
      <c r="A1573" t="inlineStr">
        <is>
          <t>polypeptide_post_translational_processing_affected</t>
        </is>
      </c>
      <c r="B1573" t="inlineStr">
        <is>
          <t>http://identifiers.org/so/SO:1000123</t>
        </is>
      </c>
      <c r="C1573" t="inlineStr">
        <is>
          <t>['nest_motif', 'polypeptide nest motif', 'nest']</t>
        </is>
      </c>
    </row>
    <row r="1574" ht="15" customHeight="1">
      <c r="A1574" t="inlineStr">
        <is>
          <t>polypeptide_post_translational_processing_variant</t>
        </is>
      </c>
      <c r="B1574" t="inlineStr">
        <is>
          <t>http://identifiers.org/so/SO:0001562</t>
        </is>
      </c>
      <c r="C1574" t="inlineStr">
        <is>
          <t>['nest_right_left', 'nest_rl', 'polypeptide nest right left motif']</t>
        </is>
      </c>
    </row>
    <row r="1575" ht="15" customHeight="1">
      <c r="A1575" t="inlineStr">
        <is>
          <t>polypeptide_region</t>
        </is>
      </c>
      <c r="B1575" t="inlineStr">
        <is>
          <t>http://identifiers.org/so/SO:0000839</t>
        </is>
      </c>
      <c r="C1575" t="inlineStr">
        <is>
          <t>['polypeptide nickel ion contact site', 'Ni_contact_site']</t>
        </is>
      </c>
    </row>
    <row r="1576" ht="15" customHeight="1">
      <c r="A1576" t="inlineStr">
        <is>
          <t>polypeptide_repeat</t>
        </is>
      </c>
      <c r="B1576" t="inlineStr">
        <is>
          <t>http://identifiers.org/so/SO:0001068</t>
        </is>
      </c>
      <c r="C1576" t="inlineStr">
        <is>
          <t>['polypeptide partial loss of function']</t>
        </is>
      </c>
    </row>
    <row r="1577" ht="15" customHeight="1">
      <c r="A1577" t="inlineStr">
        <is>
          <t>polypeptide_secondary_structure</t>
        </is>
      </c>
      <c r="B1577" t="inlineStr">
        <is>
          <t>http://identifiers.org/so/SO:0001078</t>
        </is>
      </c>
      <c r="C1577" t="inlineStr">
        <is>
          <t>['polypeptide_post-translational_processing_affected']</t>
        </is>
      </c>
    </row>
    <row r="1578" ht="15" customHeight="1">
      <c r="A1578" t="inlineStr">
        <is>
          <t>polypeptide_sequence_variant</t>
        </is>
      </c>
      <c r="B1578" t="inlineStr">
        <is>
          <t>http://identifiers.org/so/SO:0001603</t>
        </is>
      </c>
      <c r="C1578" t="inlineStr">
        <is>
          <t>['polypeptide post translational processing variant']</t>
        </is>
      </c>
    </row>
    <row r="1579" ht="15" customHeight="1">
      <c r="A1579" t="inlineStr">
        <is>
          <t>polypeptide_sequencing_information</t>
        </is>
      </c>
      <c r="B1579" t="inlineStr">
        <is>
          <t>http://identifiers.org/so/SO:0001082</t>
        </is>
      </c>
      <c r="C1579" t="inlineStr">
        <is>
          <t>['region', 'region or site annotation', 'site', 'positional polypeptide feature', 'positional']</t>
        </is>
      </c>
    </row>
    <row r="1580" ht="15" customHeight="1">
      <c r="A1580" t="inlineStr">
        <is>
          <t>polypeptide_structural_motif</t>
        </is>
      </c>
      <c r="B1580" t="inlineStr">
        <is>
          <t>http://identifiers.org/so/SO:0001079</t>
        </is>
      </c>
      <c r="C1580" t="inlineStr">
        <is>
          <t>['polypeptide repeat', 'repeat']</t>
        </is>
      </c>
    </row>
    <row r="1581" ht="15" customHeight="1">
      <c r="A1581" t="inlineStr">
        <is>
          <t>polypeptide_structural_region</t>
        </is>
      </c>
      <c r="B1581" t="inlineStr">
        <is>
          <t>http://identifiers.org/so/SO:0001070</t>
        </is>
      </c>
      <c r="C1581" t="inlineStr">
        <is>
          <t>['2nary structure', 'polypeptide secondary structure', 'secondary structure', 'secondary_structure', 'secondary structure region']</t>
        </is>
      </c>
    </row>
    <row r="1582" ht="15" customHeight="1">
      <c r="A1582" t="inlineStr">
        <is>
          <t>polypeptide_truncation</t>
        </is>
      </c>
      <c r="B1582" t="inlineStr">
        <is>
          <t>http://identifiers.org/so/SO:0001617</t>
        </is>
      </c>
      <c r="C1582" t="inlineStr">
        <is>
          <t>['polypeptide sequence variant']</t>
        </is>
      </c>
    </row>
    <row r="1583" ht="15" customHeight="1">
      <c r="A1583" t="inlineStr">
        <is>
          <t>polypeptide_tungsten_ion_contact_site</t>
        </is>
      </c>
      <c r="B1583" t="inlineStr">
        <is>
          <t>http://identifiers.org/so/SO:0001102</t>
        </is>
      </c>
      <c r="C1583" t="inlineStr">
        <is>
          <t>['sequencing_information']</t>
        </is>
      </c>
    </row>
    <row r="1584" ht="15" customHeight="1">
      <c r="A1584" t="inlineStr">
        <is>
          <t>polypeptide_turn_motif</t>
        </is>
      </c>
      <c r="B1584" t="inlineStr">
        <is>
          <t>http://identifiers.org/so/SO:0001128</t>
        </is>
      </c>
      <c r="C1584" t="inlineStr">
        <is>
          <t>['polypeptide structural motif', 'structural_motif']</t>
        </is>
      </c>
    </row>
    <row r="1585" ht="15" customHeight="1">
      <c r="A1585" t="inlineStr">
        <is>
          <t>polypeptide_variation_site</t>
        </is>
      </c>
      <c r="B1585" t="inlineStr">
        <is>
          <t>http://identifiers.org/so/SO:0001146</t>
        </is>
      </c>
      <c r="C1585" t="inlineStr">
        <is>
          <t>['structural_region', 'polypeptide structural region']</t>
        </is>
      </c>
    </row>
    <row r="1586" ht="15" customHeight="1">
      <c r="A1586" t="inlineStr">
        <is>
          <t>polypeptide_zinc_ion_contact_site</t>
        </is>
      </c>
      <c r="B1586" t="inlineStr">
        <is>
          <t>http://identifiers.org/so/SO:0001103</t>
        </is>
      </c>
      <c r="C1586" t="inlineStr">
        <is>
          <t>['polypeptide truncation']</t>
        </is>
      </c>
    </row>
    <row r="1587" ht="15" customHeight="1">
      <c r="A1587" t="inlineStr">
        <is>
          <t>polyploid</t>
        </is>
      </c>
      <c r="B1587" t="inlineStr">
        <is>
          <t>http://identifiers.org/so/SO:0001254</t>
        </is>
      </c>
      <c r="C1587" t="inlineStr">
        <is>
          <t>['W_contact_site', 'polypeptide tungsten ion contact site']</t>
        </is>
      </c>
    </row>
    <row r="1588" ht="15" customHeight="1">
      <c r="A1588" t="inlineStr">
        <is>
          <t>polypyrimidine_tract</t>
        </is>
      </c>
      <c r="B1588" t="inlineStr">
        <is>
          <t>http://identifiers.org/so/SO:0000612</t>
        </is>
      </c>
      <c r="C1588" t="inlineStr">
        <is>
          <t>['turn']</t>
        </is>
      </c>
    </row>
    <row r="1589" ht="15" customHeight="1">
      <c r="A1589" t="inlineStr">
        <is>
          <t>population_specific_variant</t>
        </is>
      </c>
      <c r="B1589" t="inlineStr">
        <is>
          <t>http://identifiers.org/so/SO:0001780</t>
        </is>
      </c>
      <c r="C1589" t="inlineStr">
        <is>
          <t>['sequence_variations']</t>
        </is>
      </c>
    </row>
    <row r="1590" ht="15" customHeight="1">
      <c r="A1590" t="inlineStr">
        <is>
          <t>positional_candidate_gene</t>
        </is>
      </c>
      <c r="B1590" t="inlineStr">
        <is>
          <t>http://identifiers.org/so/SO:0001868</t>
        </is>
      </c>
      <c r="C1590" t="inlineStr">
        <is>
          <t>['Zn_contact_site', 'polypeptide zinc ion contact site']</t>
        </is>
      </c>
    </row>
    <row r="1591" ht="15" customHeight="1">
      <c r="A1591" t="inlineStr">
        <is>
          <t>positive_sense_ssRNA_viral_sequence</t>
        </is>
      </c>
      <c r="B1591" t="inlineStr">
        <is>
          <t>http://identifiers.org/so/SO:0001201</t>
        </is>
      </c>
    </row>
    <row r="1592" ht="15" customHeight="1">
      <c r="A1592" t="inlineStr">
        <is>
          <t>positively_autoregulated</t>
        </is>
      </c>
      <c r="B1592" t="inlineStr">
        <is>
          <t>http://identifiers.org/so/SO:0000475</t>
        </is>
      </c>
      <c r="C1592" t="inlineStr">
        <is>
          <t>['polypyrimidine tract']</t>
        </is>
      </c>
    </row>
    <row r="1593" ht="15" customHeight="1">
      <c r="A1593" t="inlineStr">
        <is>
          <t>positively_autoregulated_gene</t>
        </is>
      </c>
      <c r="B1593" t="inlineStr">
        <is>
          <t>http://identifiers.org/so/SO:0000892</t>
        </is>
      </c>
      <c r="C1593" t="inlineStr">
        <is>
          <t>['population specific variant']</t>
        </is>
      </c>
    </row>
    <row r="1594" ht="15" customHeight="1">
      <c r="A1594" t="inlineStr">
        <is>
          <t>possible_assembly_error</t>
        </is>
      </c>
      <c r="B1594" t="inlineStr">
        <is>
          <t>http://identifiers.org/so/SO:0000702</t>
        </is>
      </c>
      <c r="C1594" t="inlineStr">
        <is>
          <t>['positional target gene', 'positional candidate gene']</t>
        </is>
      </c>
    </row>
    <row r="1595" ht="15" customHeight="1">
      <c r="A1595" t="inlineStr">
        <is>
          <t>possible_base_call_error</t>
        </is>
      </c>
      <c r="B1595" t="inlineStr">
        <is>
          <t>http://identifiers.org/so/SO:0000701</t>
        </is>
      </c>
      <c r="C1595" t="inlineStr">
        <is>
          <t>['positive sense ssRNA viral sequence', 'positive sense single stranded RNA virus']</t>
        </is>
      </c>
    </row>
    <row r="1596" ht="15" customHeight="1">
      <c r="A1596" t="inlineStr">
        <is>
          <t>post_translationally_modified_region</t>
        </is>
      </c>
      <c r="B1596" t="inlineStr">
        <is>
          <t>http://identifiers.org/so/SO:0001089</t>
        </is>
      </c>
      <c r="C1596" t="inlineStr">
        <is>
          <t>['positively autoregulated']</t>
        </is>
      </c>
    </row>
    <row r="1597" ht="15" customHeight="1">
      <c r="A1597" t="inlineStr">
        <is>
          <t>post_translationally_regulated</t>
        </is>
      </c>
      <c r="B1597" t="inlineStr">
        <is>
          <t>http://identifiers.org/so/SO:0000130</t>
        </is>
      </c>
      <c r="C1597" t="inlineStr">
        <is>
          <t>['positively autoregulated gene']</t>
        </is>
      </c>
    </row>
    <row r="1598" ht="15" customHeight="1">
      <c r="A1598" t="inlineStr">
        <is>
          <t>post_translationally_regulated_by_protein_modification</t>
        </is>
      </c>
      <c r="B1598" t="inlineStr">
        <is>
          <t>http://identifiers.org/so/SO:0000469</t>
        </is>
      </c>
      <c r="C1598" t="inlineStr">
        <is>
          <t>['possible assembly error']</t>
        </is>
      </c>
    </row>
    <row r="1599" ht="15" customHeight="1">
      <c r="A1599" t="inlineStr">
        <is>
          <t>post_translationally_regulated_by_protein_stability</t>
        </is>
      </c>
      <c r="B1599" t="inlineStr">
        <is>
          <t>http://identifiers.org/so/SO:0000467</t>
        </is>
      </c>
      <c r="C1599" t="inlineStr">
        <is>
          <t>['possible base call error']</t>
        </is>
      </c>
    </row>
    <row r="1600" ht="15" customHeight="1">
      <c r="A1600" t="inlineStr">
        <is>
          <t>post_translationally_regulated_gene</t>
        </is>
      </c>
      <c r="B1600" t="inlineStr">
        <is>
          <t>http://identifiers.org/so/SO:0000890</t>
        </is>
      </c>
      <c r="C1600" t="inlineStr">
        <is>
          <t>['post_translational_modification', 'modified residue', 'mod_res']</t>
        </is>
      </c>
    </row>
    <row r="1601" ht="15" customHeight="1">
      <c r="A1601" t="inlineStr">
        <is>
          <t>pre_edited_mRNA</t>
        </is>
      </c>
      <c r="B1601" t="inlineStr">
        <is>
          <t>http://identifiers.org/so/SO:0000932</t>
        </is>
      </c>
      <c r="C1601" t="inlineStr">
        <is>
          <t>['post translationally regulated', 'post-translationally regulated']</t>
        </is>
      </c>
    </row>
    <row r="1602" ht="15" customHeight="1">
      <c r="A1602" t="inlineStr">
        <is>
          <t>pre_edited_region</t>
        </is>
      </c>
      <c r="B1602" t="inlineStr">
        <is>
          <t>http://identifiers.org/so/SO:0000583</t>
        </is>
      </c>
      <c r="C1602" t="inlineStr">
        <is>
          <t>['post-translationally regulated by protein modification', 'post translationally regulated by protein modification']</t>
        </is>
      </c>
    </row>
    <row r="1603" ht="15" customHeight="1">
      <c r="A1603" t="inlineStr">
        <is>
          <t>pre_miRNA</t>
        </is>
      </c>
      <c r="B1603" t="inlineStr">
        <is>
          <t>http://identifiers.org/so/SO:0001244</t>
        </is>
      </c>
      <c r="C1603" t="inlineStr">
        <is>
          <t>['post-translationally regulated by protein stability', 'post translationally regulated by protein stability']</t>
        </is>
      </c>
    </row>
    <row r="1604" ht="15" customHeight="1">
      <c r="A1604" t="inlineStr">
        <is>
          <t>predicted</t>
        </is>
      </c>
      <c r="B1604" t="inlineStr">
        <is>
          <t>http://identifiers.org/so/SO:0000732</t>
        </is>
      </c>
      <c r="C1604" t="inlineStr">
        <is>
          <t>['post translationally regulated gene']</t>
        </is>
      </c>
    </row>
    <row r="1605" ht="15" customHeight="1">
      <c r="A1605" t="inlineStr">
        <is>
          <t>predicted_ab_initio_computation</t>
        </is>
      </c>
      <c r="B1605" t="inlineStr">
        <is>
          <t>http://identifiers.org/so/SO:0000310</t>
        </is>
      </c>
      <c r="C1605" t="inlineStr">
        <is>
          <t>['pre-edited mRNA']</t>
        </is>
      </c>
    </row>
    <row r="1606" ht="15" customHeight="1">
      <c r="A1606" t="inlineStr">
        <is>
          <t>predicted_by_ab_initio_computation</t>
        </is>
      </c>
      <c r="B1606" t="inlineStr">
        <is>
          <t>http://identifiers.org/so/SO:0000911</t>
        </is>
      </c>
      <c r="C1606" t="inlineStr">
        <is>
          <t>['pre-edited region', 'pre edited region']</t>
        </is>
      </c>
    </row>
    <row r="1607" ht="15" customHeight="1">
      <c r="A1607" t="inlineStr">
        <is>
          <t>predicted_gene</t>
        </is>
      </c>
      <c r="B1607" t="inlineStr">
        <is>
          <t>http://identifiers.org/so/SO:0000996</t>
        </is>
      </c>
      <c r="C1607" t="inlineStr">
        <is>
          <t>['pre-miRNA']</t>
        </is>
      </c>
    </row>
    <row r="1608" ht="15" customHeight="1">
      <c r="A1608" t="inlineStr">
        <is>
          <t>predicted_transcript</t>
        </is>
      </c>
      <c r="B1608" t="inlineStr">
        <is>
          <t>http://identifiers.org/so/SO:0002138</t>
        </is>
      </c>
    </row>
    <row r="1609" ht="15" customHeight="1">
      <c r="A1609" t="inlineStr">
        <is>
          <t>presence_absence_variation</t>
        </is>
      </c>
      <c r="B1609" t="inlineStr">
        <is>
          <t>http://identifiers.org/so/SO:0002210</t>
        </is>
      </c>
    </row>
    <row r="1610" ht="15" customHeight="1">
      <c r="A1610" t="inlineStr">
        <is>
          <t>primary_transcript</t>
        </is>
      </c>
      <c r="B1610" t="inlineStr">
        <is>
          <t>http://identifiers.org/so/SO:0000185</t>
        </is>
      </c>
      <c r="C1610" t="inlineStr">
        <is>
          <t>['predicted by ab initio computation']</t>
        </is>
      </c>
    </row>
    <row r="1611" ht="15" customHeight="1">
      <c r="A1611" t="inlineStr">
        <is>
          <t>primary_transcript_attribute</t>
        </is>
      </c>
      <c r="B1611" t="inlineStr">
        <is>
          <t>http://identifiers.org/so/SO:0000144</t>
        </is>
      </c>
      <c r="C1611" t="inlineStr">
        <is>
          <t>['predicted gene']</t>
        </is>
      </c>
    </row>
    <row r="1612" ht="15" customHeight="1">
      <c r="A1612" t="inlineStr">
        <is>
          <t>primary_transcript_region</t>
        </is>
      </c>
      <c r="B1612" t="inlineStr">
        <is>
          <t>http://identifiers.org/so/SO:0000835</t>
        </is>
      </c>
      <c r="C1612" t="inlineStr">
        <is>
          <t>['predicted transcript']</t>
        </is>
      </c>
    </row>
    <row r="1613" ht="15" customHeight="1">
      <c r="A1613" t="inlineStr">
        <is>
          <t>primer</t>
        </is>
      </c>
      <c r="B1613" t="inlineStr">
        <is>
          <t>http://identifiers.org/so/SO:0000112</t>
        </is>
      </c>
      <c r="C1613" t="inlineStr">
        <is>
          <t>['presence/absence variation', 'presence/absence_variation', 'presence-absence_variation', 'PAV', 'presence-absence variation', 'presence absence variation']</t>
        </is>
      </c>
    </row>
    <row r="1614" ht="15" customHeight="1">
      <c r="A1614" t="inlineStr">
        <is>
          <t>primer_binding_site</t>
        </is>
      </c>
      <c r="B1614" t="inlineStr">
        <is>
          <t>http://identifiers.org/so/SO:0005850</t>
        </is>
      </c>
      <c r="C1614" t="inlineStr">
        <is>
          <t>['primary transcript', 'INSDC_feature:precursor_RNA', 'INSDC_feature:prim_transcript', 'precursor RNA']</t>
        </is>
      </c>
    </row>
    <row r="1615" ht="15" customHeight="1">
      <c r="A1615" t="inlineStr">
        <is>
          <t>primer_match</t>
        </is>
      </c>
      <c r="B1615" t="inlineStr">
        <is>
          <t>http://identifiers.org/so/SO:0001472</t>
        </is>
      </c>
    </row>
    <row r="1616" ht="15" customHeight="1">
      <c r="A1616" t="inlineStr">
        <is>
          <t>priRNA</t>
        </is>
      </c>
      <c r="B1616" t="inlineStr">
        <is>
          <t>http://identifiers.org/so/SO:0002022</t>
        </is>
      </c>
      <c r="C1616" t="inlineStr">
        <is>
          <t>['primary transcript region']</t>
        </is>
      </c>
    </row>
    <row r="1617" ht="15" customHeight="1">
      <c r="A1617" t="inlineStr">
        <is>
          <t>probe</t>
        </is>
      </c>
      <c r="B1617" t="inlineStr">
        <is>
          <t>http://identifiers.org/so/SO:0000051</t>
        </is>
      </c>
      <c r="C1617" t="inlineStr">
        <is>
          <t>['primer polynucleotide', 'primer oligonucleotide', 'primer sequence', 'DNA primer']</t>
        </is>
      </c>
    </row>
    <row r="1618" ht="15" customHeight="1">
      <c r="A1618" t="inlineStr">
        <is>
          <t>processed</t>
        </is>
      </c>
      <c r="B1618" t="inlineStr">
        <is>
          <t>http://identifiers.org/so/SO:0000900</t>
        </is>
      </c>
      <c r="C1618" t="inlineStr">
        <is>
          <t>['INSDC_feature:primer_bind', 'primer binding site']</t>
        </is>
      </c>
    </row>
    <row r="1619" ht="15" customHeight="1">
      <c r="A1619" t="inlineStr">
        <is>
          <t>processed_pseudogene</t>
        </is>
      </c>
      <c r="B1619" t="inlineStr">
        <is>
          <t>http://identifiers.org/so/SO:0000043</t>
        </is>
      </c>
      <c r="C1619" t="inlineStr">
        <is>
          <t>['primer match']</t>
        </is>
      </c>
    </row>
    <row r="1620" ht="15" customHeight="1">
      <c r="A1620" t="inlineStr">
        <is>
          <t>processed_pseudogenic_rRNA</t>
        </is>
      </c>
      <c r="B1620" t="inlineStr">
        <is>
          <t>http://identifiers.org/so/SO:0002193</t>
        </is>
      </c>
      <c r="C1620" t="inlineStr">
        <is>
          <t>['primal small RNA']</t>
        </is>
      </c>
    </row>
    <row r="1621" ht="15" customHeight="1">
      <c r="A1621" t="inlineStr">
        <is>
          <t>processed_pseudogenic_tRNA</t>
        </is>
      </c>
      <c r="B1621" t="inlineStr">
        <is>
          <t>http://identifiers.org/so/SO:0002197</t>
        </is>
      </c>
    </row>
    <row r="1622" ht="15" customHeight="1">
      <c r="A1622" t="inlineStr">
        <is>
          <t>processed_transcript</t>
        </is>
      </c>
      <c r="B1622" t="inlineStr">
        <is>
          <t>http://identifiers.org/so/SO:0001503</t>
        </is>
      </c>
    </row>
    <row r="1623" ht="15" customHeight="1">
      <c r="A1623" t="inlineStr">
        <is>
          <t>processed_transcript_attribute</t>
        </is>
      </c>
      <c r="B1623" t="inlineStr">
        <is>
          <t>http://identifiers.org/so/SO:0000082</t>
        </is>
      </c>
      <c r="C1623" t="inlineStr">
        <is>
          <t>['pseudogene by reverse transcription', 'retropseudogene', 'INSDC_qualifier:processed', 'INSDC_feature:gene', 'R psi G', 'processed pseudogene']</t>
        </is>
      </c>
    </row>
    <row r="1624" ht="15" customHeight="1">
      <c r="A1624" t="inlineStr">
        <is>
          <t>prokaryotic_promoter</t>
        </is>
      </c>
      <c r="B1624" t="inlineStr">
        <is>
          <t>http://identifiers.org/so/SO:0002222</t>
        </is>
      </c>
      <c r="C1624" t="inlineStr">
        <is>
          <t>['INSDC_feature:rRNA', 'INSDC_qualifier:processed', 'processed pseudogenic rRNA']</t>
        </is>
      </c>
    </row>
    <row r="1625" ht="15" customHeight="1">
      <c r="A1625" t="inlineStr">
        <is>
          <t>proline</t>
        </is>
      </c>
      <c r="B1625" t="inlineStr">
        <is>
          <t>http://identifiers.org/so/SO:0001439</t>
        </is>
      </c>
      <c r="C1625" t="inlineStr">
        <is>
          <t>['INSDC_qualifier:processed', 'INSDC_feature:tRNA', 'processed pseudogenic tRNA']</t>
        </is>
      </c>
    </row>
    <row r="1626" ht="15" customHeight="1">
      <c r="A1626" t="inlineStr">
        <is>
          <t>proline_tRNA_primary_transcript</t>
        </is>
      </c>
      <c r="B1626" t="inlineStr">
        <is>
          <t>http://identifiers.org/so/SO:0000225</t>
        </is>
      </c>
      <c r="C1626" t="inlineStr">
        <is>
          <t>['processed transcript']</t>
        </is>
      </c>
    </row>
    <row r="1627" ht="15" customHeight="1">
      <c r="A1627" t="inlineStr">
        <is>
          <t>prolyl_tRNA</t>
        </is>
      </c>
      <c r="B1627" t="inlineStr">
        <is>
          <t>http://identifiers.org/so/SO:0000268</t>
        </is>
      </c>
    </row>
    <row r="1628" ht="15" customHeight="1">
      <c r="A1628" t="inlineStr">
        <is>
          <t>promoter_element</t>
        </is>
      </c>
      <c r="B1628" t="inlineStr">
        <is>
          <t>http://identifiers.org/so/SO:0001659</t>
        </is>
      </c>
      <c r="C1628" t="inlineStr">
        <is>
          <t>['Prokaryotic promoter']</t>
        </is>
      </c>
    </row>
    <row r="1629" ht="15" customHeight="1">
      <c r="A1629" t="inlineStr">
        <is>
          <t>promoter_flanking_region</t>
        </is>
      </c>
      <c r="B1629" t="inlineStr">
        <is>
          <t>http://identifiers.org/so/SO:0001952</t>
        </is>
      </c>
      <c r="C1629" t="inlineStr">
        <is>
          <t>['Pro', 'P']</t>
        </is>
      </c>
    </row>
    <row r="1630" ht="15" customHeight="1">
      <c r="A1630" t="inlineStr">
        <is>
          <t>promoter_region</t>
        </is>
      </c>
      <c r="B1630" t="inlineStr">
        <is>
          <t>http://identifiers.org/so/SO:0000832</t>
        </is>
      </c>
      <c r="C1630" t="inlineStr">
        <is>
          <t>['proline tRNA primary transcript']</t>
        </is>
      </c>
    </row>
    <row r="1631" ht="15" customHeight="1">
      <c r="A1631" t="inlineStr">
        <is>
          <t>promoter_targeting_sequence</t>
        </is>
      </c>
      <c r="B1631" t="inlineStr">
        <is>
          <t>http://identifiers.org/so/SO:0001058</t>
        </is>
      </c>
      <c r="C1631" t="inlineStr">
        <is>
          <t>['prolyl tRNA', 'prolyl-transfer RNA', 'prolyl-transfer ribonucleic acid']</t>
        </is>
      </c>
    </row>
    <row r="1632" ht="15" customHeight="1">
      <c r="A1632" t="inlineStr">
        <is>
          <t>promoter_trap_construct</t>
        </is>
      </c>
      <c r="B1632" t="inlineStr">
        <is>
          <t>http://identifiers.org/so/SO:0001478</t>
        </is>
      </c>
      <c r="C1632" t="inlineStr">
        <is>
          <t>['promoter element']</t>
        </is>
      </c>
    </row>
    <row r="1633" ht="15" customHeight="1">
      <c r="A1633" t="inlineStr">
        <is>
          <t>propeptide</t>
        </is>
      </c>
      <c r="B1633" t="inlineStr">
        <is>
          <t>http://identifiers.org/so/SO:0001062</t>
        </is>
      </c>
      <c r="C1633" t="inlineStr">
        <is>
          <t>['promoter flanking region']</t>
        </is>
      </c>
    </row>
    <row r="1634" ht="15" customHeight="1">
      <c r="A1634" t="inlineStr">
        <is>
          <t>propeptide_cleavage_site</t>
        </is>
      </c>
      <c r="B1634" t="inlineStr">
        <is>
          <t>http://identifiers.org/so/SO:0001061</t>
        </is>
      </c>
    </row>
    <row r="1635" ht="15" customHeight="1">
      <c r="A1635" t="inlineStr">
        <is>
          <t>propeptide_region_of_CDS</t>
        </is>
      </c>
      <c r="B1635" t="inlineStr">
        <is>
          <t>http://identifiers.org/so/SO:0002250</t>
        </is>
      </c>
      <c r="C1635" t="inlineStr">
        <is>
          <t>['promoter targeting sequence']</t>
        </is>
      </c>
    </row>
    <row r="1636" ht="15" customHeight="1">
      <c r="A1636" t="inlineStr">
        <is>
          <t>prophage</t>
        </is>
      </c>
      <c r="B1636" t="inlineStr">
        <is>
          <t>http://identifiers.org/so/SO:0001006</t>
        </is>
      </c>
      <c r="C1636" t="inlineStr">
        <is>
          <t>['promoter trap construct']</t>
        </is>
      </c>
    </row>
    <row r="1637" ht="15" customHeight="1">
      <c r="A1637" t="inlineStr">
        <is>
          <t>proplastid_gene</t>
        </is>
      </c>
      <c r="B1637" t="inlineStr">
        <is>
          <t>http://identifiers.org/so/SO:0000096</t>
        </is>
      </c>
      <c r="C1637" t="inlineStr">
        <is>
          <t>['propep', 'INSDC_feature:propeptide']</t>
        </is>
      </c>
    </row>
    <row r="1638" ht="15" customHeight="1">
      <c r="A1638" t="inlineStr">
        <is>
          <t>proplastid_sequence</t>
        </is>
      </c>
      <c r="B1638" t="inlineStr">
        <is>
          <t>http://identifiers.org/so/SO:0000748</t>
        </is>
      </c>
      <c r="C1638" t="inlineStr">
        <is>
          <t>['propeptide cleavage site']</t>
        </is>
      </c>
    </row>
    <row r="1639" ht="15" customHeight="1">
      <c r="A1639" t="inlineStr">
        <is>
          <t>protease_site</t>
        </is>
      </c>
      <c r="B1639" t="inlineStr">
        <is>
          <t>http://identifiers.org/so/SO:0001956</t>
        </is>
      </c>
      <c r="C1639" t="inlineStr">
        <is>
          <t>['propeptide region of CDS', 'INSDC_feature:propeptide']</t>
        </is>
      </c>
    </row>
    <row r="1640" ht="15" customHeight="1">
      <c r="A1640" t="inlineStr">
        <is>
          <t>protein_altering_variant</t>
        </is>
      </c>
      <c r="B1640" t="inlineStr">
        <is>
          <t>http://identifiers.org/so/SO:0001818</t>
        </is>
      </c>
    </row>
    <row r="1641" ht="15" customHeight="1">
      <c r="A1641" t="inlineStr">
        <is>
          <t>protein_binding_site</t>
        </is>
      </c>
      <c r="B1641" t="inlineStr">
        <is>
          <t>http://identifiers.org/so/SO:0000410</t>
        </is>
      </c>
      <c r="C1641" t="inlineStr">
        <is>
          <t>['proplastid gene']</t>
        </is>
      </c>
    </row>
    <row r="1642" ht="15" customHeight="1">
      <c r="A1642" t="inlineStr">
        <is>
          <t>protein_coding</t>
        </is>
      </c>
      <c r="B1642" t="inlineStr">
        <is>
          <t>http://identifiers.org/so/SO:0000010</t>
        </is>
      </c>
      <c r="C1642" t="inlineStr">
        <is>
          <t>['proplastid sequence']</t>
        </is>
      </c>
    </row>
    <row r="1643" ht="15" customHeight="1">
      <c r="A1643" t="inlineStr">
        <is>
          <t>protein_coding_gene</t>
        </is>
      </c>
      <c r="B1643" t="inlineStr">
        <is>
          <t>http://identifiers.org/so/SO:0001217</t>
        </is>
      </c>
      <c r="C1643" t="inlineStr">
        <is>
          <t>['protease site']</t>
        </is>
      </c>
    </row>
    <row r="1644" ht="15" customHeight="1">
      <c r="A1644" t="inlineStr">
        <is>
          <t>protein_coding_primary_transcript</t>
        </is>
      </c>
      <c r="B1644" t="inlineStr">
        <is>
          <t>http://identifiers.org/so/SO:0000120</t>
        </is>
      </c>
      <c r="C1644" t="inlineStr">
        <is>
          <t>['VEP:protein_altering_variant', 'protein altering variant']</t>
        </is>
      </c>
    </row>
    <row r="1645" ht="15" customHeight="1">
      <c r="A1645" t="inlineStr">
        <is>
          <t>protein_hmm_match</t>
        </is>
      </c>
      <c r="B1645" t="inlineStr">
        <is>
          <t>http://identifiers.org/so/SO:0001831</t>
        </is>
      </c>
      <c r="C1645" t="inlineStr">
        <is>
          <t>['INSDC_feature:protein_bind', 'protein binding site']</t>
        </is>
      </c>
    </row>
    <row r="1646" ht="15" customHeight="1">
      <c r="A1646" t="inlineStr">
        <is>
          <t>protein_match</t>
        </is>
      </c>
      <c r="B1646" t="inlineStr">
        <is>
          <t>http://identifiers.org/so/SO:0000349</t>
        </is>
      </c>
      <c r="C1646" t="inlineStr">
        <is>
          <t>['protein-coding']</t>
        </is>
      </c>
    </row>
    <row r="1647" ht="15" customHeight="1">
      <c r="A1647" t="inlineStr">
        <is>
          <t>protein_protein_contact</t>
        </is>
      </c>
      <c r="B1647" t="inlineStr">
        <is>
          <t>http://identifiers.org/so/SO:0001093</t>
        </is>
      </c>
      <c r="C1647" t="inlineStr">
        <is>
          <t>['protein coding gene']</t>
        </is>
      </c>
    </row>
    <row r="1648" ht="15" customHeight="1">
      <c r="A1648" t="inlineStr">
        <is>
          <t>protein_stability_element</t>
        </is>
      </c>
      <c r="B1648" t="inlineStr">
        <is>
          <t>http://identifiers.org/so/SO:0001955</t>
        </is>
      </c>
      <c r="C1648" t="inlineStr">
        <is>
          <t>['pre mRNA', 'protein coding primary transcript']</t>
        </is>
      </c>
    </row>
    <row r="1649" ht="15" customHeight="1">
      <c r="A1649" t="inlineStr">
        <is>
          <t>proviral_gene</t>
        </is>
      </c>
      <c r="B1649" t="inlineStr">
        <is>
          <t>http://identifiers.org/so/SO:0000099</t>
        </is>
      </c>
      <c r="C1649" t="inlineStr">
        <is>
          <t>['protein hmm match']</t>
        </is>
      </c>
    </row>
    <row r="1650" ht="15" customHeight="1">
      <c r="A1650" t="inlineStr">
        <is>
          <t>proviral_location</t>
        </is>
      </c>
      <c r="B1650" t="inlineStr">
        <is>
          <t>http://identifiers.org/so/SO:0000751</t>
        </is>
      </c>
      <c r="C1650" t="inlineStr">
        <is>
          <t>['protein match']</t>
        </is>
      </c>
    </row>
    <row r="1651" ht="15" customHeight="1">
      <c r="A1651" t="inlineStr">
        <is>
          <t>proviral_region</t>
        </is>
      </c>
      <c r="B1651" t="inlineStr">
        <is>
          <t>http://identifiers.org/so/SO:0000113</t>
        </is>
      </c>
      <c r="C1651" t="inlineStr">
        <is>
          <t>['protein_protein_interaction', 'protein protein contact site', 'protein protein contact']</t>
        </is>
      </c>
    </row>
    <row r="1652" ht="15" customHeight="1">
      <c r="A1652" t="inlineStr">
        <is>
          <t>proximal_promoter_element</t>
        </is>
      </c>
      <c r="B1652" t="inlineStr">
        <is>
          <t>http://identifiers.org/so/SO:0001668</t>
        </is>
      </c>
      <c r="C1652" t="inlineStr">
        <is>
          <t>['protein stability element']</t>
        </is>
      </c>
    </row>
    <row r="1653" ht="15" customHeight="1">
      <c r="A1653" t="inlineStr">
        <is>
          <t>PSE_motif</t>
        </is>
      </c>
      <c r="B1653" t="inlineStr">
        <is>
          <t>http://identifiers.org/so/SO:0000017</t>
        </is>
      </c>
      <c r="C1653" t="inlineStr">
        <is>
          <t>['proviral gene']</t>
        </is>
      </c>
    </row>
    <row r="1654" ht="15" customHeight="1">
      <c r="A1654" t="inlineStr">
        <is>
          <t>pseudogene</t>
        </is>
      </c>
      <c r="B1654" t="inlineStr">
        <is>
          <t>http://identifiers.org/so/SO:0000336</t>
        </is>
      </c>
      <c r="C1654" t="inlineStr">
        <is>
          <t>['proviral location']</t>
        </is>
      </c>
    </row>
    <row r="1655" ht="15" customHeight="1">
      <c r="A1655" t="inlineStr">
        <is>
          <t>pseudogene_attribute</t>
        </is>
      </c>
      <c r="B1655" t="inlineStr">
        <is>
          <t>http://identifiers.org/so/SO:0000042</t>
        </is>
      </c>
      <c r="C1655" t="inlineStr">
        <is>
          <t>['proviral region', 'proviral sequence']</t>
        </is>
      </c>
    </row>
    <row r="1656" ht="15" customHeight="1">
      <c r="A1656" t="inlineStr">
        <is>
          <t>pseudogene_by_unequal_crossing_over</t>
        </is>
      </c>
      <c r="B1656" t="inlineStr">
        <is>
          <t>http://identifiers.org/so/SO:0000044</t>
        </is>
      </c>
      <c r="C1656" t="inlineStr">
        <is>
          <t>['specific transcription factor binding site', 'proximal promoter element']</t>
        </is>
      </c>
    </row>
    <row r="1657" ht="15" customHeight="1">
      <c r="A1657" t="inlineStr">
        <is>
          <t>pseudogene_processed_transcript</t>
        </is>
      </c>
      <c r="B1657" t="inlineStr">
        <is>
          <t>http://identifiers.org/so/SO:0002111</t>
        </is>
      </c>
      <c r="C1657" t="inlineStr">
        <is>
          <t>['PSE motif', 'proximal sequence element']</t>
        </is>
      </c>
    </row>
    <row r="1658" ht="15" customHeight="1">
      <c r="A1658" t="inlineStr">
        <is>
          <t>pseudogenic_CDS</t>
        </is>
      </c>
      <c r="B1658" t="inlineStr">
        <is>
          <t>http://identifiers.org/so/SO:0002087</t>
        </is>
      </c>
      <c r="C1658" t="inlineStr">
        <is>
          <t>['INSDC_qualifier:pseudo', 'INSDC_qualifier:unknown', 'INSDC_feature:gene']</t>
        </is>
      </c>
    </row>
    <row r="1659" ht="15" customHeight="1">
      <c r="A1659" t="inlineStr">
        <is>
          <t>pseudogenic_exon</t>
        </is>
      </c>
      <c r="B1659" t="inlineStr">
        <is>
          <t>http://identifiers.org/so/SO:0000507</t>
        </is>
      </c>
      <c r="C1659" t="inlineStr">
        <is>
          <t>['pseudogene attribute']</t>
        </is>
      </c>
    </row>
    <row r="1660" ht="15" customHeight="1">
      <c r="A1660" t="inlineStr">
        <is>
          <t>pseudogenic_gene_segment</t>
        </is>
      </c>
      <c r="B1660" t="inlineStr">
        <is>
          <t>http://identifiers.org/so/SO:0001741</t>
        </is>
      </c>
      <c r="C1660" t="inlineStr">
        <is>
          <t>['pseudogene by unequal crossing over']</t>
        </is>
      </c>
    </row>
    <row r="1661" ht="15" customHeight="1">
      <c r="A1661" t="inlineStr">
        <is>
          <t>pseudogenic_region</t>
        </is>
      </c>
      <c r="B1661" t="inlineStr">
        <is>
          <t>http://identifiers.org/so/SO:0000462</t>
        </is>
      </c>
      <c r="C1661" t="inlineStr">
        <is>
          <t>['pseudogene processed transcript']</t>
        </is>
      </c>
    </row>
    <row r="1662" ht="15" customHeight="1">
      <c r="A1662" t="inlineStr">
        <is>
          <t>pseudogenic_rRNA</t>
        </is>
      </c>
      <c r="B1662" t="inlineStr">
        <is>
          <t>http://identifiers.org/so/SO:0000777</t>
        </is>
      </c>
      <c r="C1662" t="inlineStr">
        <is>
          <t>['pseudogenic CDS', 'INSDC_qualifier:pseudo', 'INSDC_feature:CDS']</t>
        </is>
      </c>
    </row>
    <row r="1663" ht="15" customHeight="1">
      <c r="A1663" t="inlineStr">
        <is>
          <t>pseudogenic_transcript</t>
        </is>
      </c>
      <c r="B1663" t="inlineStr">
        <is>
          <t>http://identifiers.org/so/SO:0000516</t>
        </is>
      </c>
      <c r="C1663" t="inlineStr">
        <is>
          <t>['pseudogenic exon']</t>
        </is>
      </c>
    </row>
    <row r="1664" ht="15" customHeight="1">
      <c r="A1664" t="inlineStr">
        <is>
          <t>pseudogenic_transcript_with_retained_intron</t>
        </is>
      </c>
      <c r="B1664" t="inlineStr">
        <is>
          <t>http://identifiers.org/so/SO:0002115</t>
        </is>
      </c>
      <c r="C1664" t="inlineStr">
        <is>
          <t>['pseudogenic gene segment']</t>
        </is>
      </c>
    </row>
    <row r="1665" ht="15" customHeight="1">
      <c r="A1665" t="inlineStr">
        <is>
          <t>pseudogenic_tRNA</t>
        </is>
      </c>
      <c r="B1665" t="inlineStr">
        <is>
          <t>http://identifiers.org/so/SO:0000778</t>
        </is>
      </c>
      <c r="C1665" t="inlineStr">
        <is>
          <t>['pseudogenic region']</t>
        </is>
      </c>
    </row>
    <row r="1666" ht="15" customHeight="1">
      <c r="A1666" t="inlineStr">
        <is>
          <t>pseudoknot</t>
        </is>
      </c>
      <c r="B1666" t="inlineStr">
        <is>
          <t>http://identifiers.org/so/SO:0000591</t>
        </is>
      </c>
      <c r="C1666" t="inlineStr">
        <is>
          <t>['INSDC_qualifier:pseudo', 'pseudogenic rRNA', 'INSDC_feature:rRNA']</t>
        </is>
      </c>
    </row>
    <row r="1667" ht="15" customHeight="1">
      <c r="A1667" t="inlineStr">
        <is>
          <t>pseudouridine</t>
        </is>
      </c>
      <c r="B1667" t="inlineStr">
        <is>
          <t>http://identifiers.org/so/SO:0001229</t>
        </is>
      </c>
      <c r="C1667" t="inlineStr">
        <is>
          <t>['pseudogenic transcript', 'INSDC_feature:misc_RNA', 'INSDC_qualifier:pseudo']</t>
        </is>
      </c>
    </row>
    <row r="1668" ht="15" customHeight="1">
      <c r="A1668" t="inlineStr">
        <is>
          <t>pseudouridylation_guide_snoRNA</t>
        </is>
      </c>
      <c r="B1668" t="inlineStr">
        <is>
          <t>http://identifiers.org/so/SO:0001187</t>
        </is>
      </c>
      <c r="C1668" t="inlineStr">
        <is>
          <t>['pseudogene retained intron']</t>
        </is>
      </c>
    </row>
    <row r="1669" ht="15" customHeight="1">
      <c r="A1669" t="inlineStr">
        <is>
          <t>pumilio_response_element</t>
        </is>
      </c>
      <c r="B1669" t="inlineStr">
        <is>
          <t>http://identifiers.org/so/SO:0002234</t>
        </is>
      </c>
      <c r="C1669" t="inlineStr">
        <is>
          <t>['INSDC_feature:tRNA', 'pseudogenic tRNA', 'INSDC_qualifier:pseudo']</t>
        </is>
      </c>
    </row>
    <row r="1670" ht="15" customHeight="1">
      <c r="A1670" t="inlineStr">
        <is>
          <t>purine_to_pyrimidine_transversion</t>
        </is>
      </c>
      <c r="B1670" t="inlineStr">
        <is>
          <t>http://identifiers.org/so/SO:1000023</t>
        </is>
      </c>
    </row>
    <row r="1671" ht="15" customHeight="1">
      <c r="A1671" t="inlineStr">
        <is>
          <t>purine_transition</t>
        </is>
      </c>
      <c r="B1671" t="inlineStr">
        <is>
          <t>http://identifiers.org/so/SO:1000014</t>
        </is>
      </c>
      <c r="C1671" t="inlineStr">
        <is>
          <t>[' Y']</t>
        </is>
      </c>
    </row>
    <row r="1672" ht="15" customHeight="1">
      <c r="A1672" t="inlineStr">
        <is>
          <t>pyrimidine_to_purine_transversion</t>
        </is>
      </c>
      <c r="B1672" t="inlineStr">
        <is>
          <t>http://identifiers.org/so/SO:1000018</t>
        </is>
      </c>
      <c r="C1672" t="inlineStr">
        <is>
          <t>['pseudouridylation guide snoRNA']</t>
        </is>
      </c>
    </row>
    <row r="1673" ht="15" customHeight="1">
      <c r="A1673" t="inlineStr">
        <is>
          <t>pyrimidine_transition</t>
        </is>
      </c>
      <c r="B1673" t="inlineStr">
        <is>
          <t>http://identifiers.org/so/SO:1000010</t>
        </is>
      </c>
      <c r="C1673" t="inlineStr">
        <is>
          <t>['pumilio response element', 'PRE binding RNA']</t>
        </is>
      </c>
    </row>
    <row r="1674" ht="15" customHeight="1">
      <c r="A1674" t="inlineStr">
        <is>
          <t>pyrosequenced_read</t>
        </is>
      </c>
      <c r="B1674" t="inlineStr">
        <is>
          <t>http://identifiers.org/so/SO:0001424</t>
        </is>
      </c>
      <c r="C1674" t="inlineStr">
        <is>
          <t>['purine to pyrimidine transversion']</t>
        </is>
      </c>
    </row>
    <row r="1675" ht="15" customHeight="1">
      <c r="A1675" t="inlineStr">
        <is>
          <t>pyrrolysine</t>
        </is>
      </c>
      <c r="B1675" t="inlineStr">
        <is>
          <t>http://identifiers.org/so/SO:0001456</t>
        </is>
      </c>
      <c r="C1675" t="inlineStr">
        <is>
          <t>['purine transition']</t>
        </is>
      </c>
    </row>
    <row r="1676" ht="15" customHeight="1">
      <c r="A1676" t="inlineStr">
        <is>
          <t>pyrrolysine_loss</t>
        </is>
      </c>
      <c r="B1676" t="inlineStr">
        <is>
          <t>http://identifiers.org/so/SO:0002010</t>
        </is>
      </c>
      <c r="C1676" t="inlineStr">
        <is>
          <t>['pyrimidine to purine transversion']</t>
        </is>
      </c>
    </row>
    <row r="1677" ht="15" customHeight="1">
      <c r="A1677" t="inlineStr">
        <is>
          <t>pyrrolysine_tRNA_primary_transcript</t>
        </is>
      </c>
      <c r="B1677" t="inlineStr">
        <is>
          <t>http://identifiers.org/so/SO:0001178</t>
        </is>
      </c>
      <c r="C1677" t="inlineStr">
        <is>
          <t>['pyrimidine transition']</t>
        </is>
      </c>
    </row>
    <row r="1678" ht="15" customHeight="1">
      <c r="A1678" t="inlineStr">
        <is>
          <t>pyrrolysyl_tRNA</t>
        </is>
      </c>
      <c r="B1678" t="inlineStr">
        <is>
          <t>http://identifiers.org/so/SO:0000766</t>
        </is>
      </c>
      <c r="C1678" t="inlineStr">
        <is>
          <t>['pyorsequenced read']</t>
        </is>
      </c>
    </row>
    <row r="1679" ht="15" customHeight="1">
      <c r="A1679" t="inlineStr">
        <is>
          <t>QTL</t>
        </is>
      </c>
      <c r="B1679" t="inlineStr">
        <is>
          <t>http://identifiers.org/so/SO:0000771</t>
        </is>
      </c>
      <c r="C1679" t="inlineStr">
        <is>
          <t>['Pyl', 'O']</t>
        </is>
      </c>
    </row>
    <row r="1680" ht="15" customHeight="1">
      <c r="A1680" t="inlineStr">
        <is>
          <t>quality_value</t>
        </is>
      </c>
      <c r="B1680" t="inlineStr">
        <is>
          <t>http://identifiers.org/so/SO:0001686</t>
        </is>
      </c>
      <c r="C1680" t="inlineStr">
        <is>
          <t>['pyrrolysine loss']</t>
        </is>
      </c>
    </row>
    <row r="1681" ht="15" customHeight="1">
      <c r="A1681" t="inlineStr">
        <is>
          <t>quantitative_variant</t>
        </is>
      </c>
      <c r="B1681" t="inlineStr">
        <is>
          <t>http://identifiers.org/so/SO:0001774</t>
        </is>
      </c>
      <c r="C1681" t="inlineStr">
        <is>
          <t>['pyrrolysine tRNA primary transcript']</t>
        </is>
      </c>
    </row>
    <row r="1682" ht="15" customHeight="1">
      <c r="A1682" t="inlineStr">
        <is>
          <t>queuosine</t>
        </is>
      </c>
      <c r="B1682" t="inlineStr">
        <is>
          <t>http://identifiers.org/so/SO:0001317</t>
        </is>
      </c>
      <c r="C1682" t="inlineStr">
        <is>
          <t>['pyrrolysyl tRNA', 'pyrrolysyl-transfer RNA', 'pyrrolysyl-transfer ribonucleic acid']</t>
        </is>
      </c>
    </row>
    <row r="1683" ht="15" customHeight="1">
      <c r="A1683" t="inlineStr">
        <is>
          <t>R_five_prime_LTR_region</t>
        </is>
      </c>
      <c r="B1683" t="inlineStr">
        <is>
          <t>http://identifiers.org/so/SO:0000427</t>
        </is>
      </c>
      <c r="C1683" t="inlineStr">
        <is>
          <t>['quantitative trait locus']</t>
        </is>
      </c>
    </row>
    <row r="1684" ht="15" customHeight="1">
      <c r="A1684" t="inlineStr">
        <is>
          <t>R_GNA</t>
        </is>
      </c>
      <c r="B1684" t="inlineStr">
        <is>
          <t>http://identifiers.org/so/SO:0001194</t>
        </is>
      </c>
      <c r="C1684" t="inlineStr">
        <is>
          <t>['quality value']</t>
        </is>
      </c>
    </row>
    <row r="1685" ht="15" customHeight="1">
      <c r="A1685" t="inlineStr">
        <is>
          <t>R_GNA_oligo</t>
        </is>
      </c>
      <c r="B1685" t="inlineStr">
        <is>
          <t>http://identifiers.org/so/SO:0001195</t>
        </is>
      </c>
      <c r="C1685" t="inlineStr">
        <is>
          <t>['quantitative variant']</t>
        </is>
      </c>
    </row>
    <row r="1686" ht="15" customHeight="1">
      <c r="A1686" t="inlineStr">
        <is>
          <t>R_LTR_region</t>
        </is>
      </c>
      <c r="B1686" t="inlineStr">
        <is>
          <t>http://identifiers.org/so/SO:0000423</t>
        </is>
      </c>
      <c r="C1686" t="inlineStr">
        <is>
          <t>[' Q']</t>
        </is>
      </c>
    </row>
    <row r="1687" ht="15" customHeight="1">
      <c r="A1687" t="inlineStr">
        <is>
          <t>R_three_prime_LTR_region</t>
        </is>
      </c>
      <c r="B1687" t="inlineStr">
        <is>
          <t>http://identifiers.org/so/SO:0000430</t>
        </is>
      </c>
      <c r="C1687" t="inlineStr">
        <is>
          <t>["R 5' long term repeat region", 'R five prime LTR region']</t>
        </is>
      </c>
    </row>
    <row r="1688" ht="15" customHeight="1">
      <c r="A1688" t="inlineStr">
        <is>
          <t>R2_LINE_retrotransposon</t>
        </is>
      </c>
      <c r="B1688" t="inlineStr">
        <is>
          <t>http://identifiers.org/so/SO:0002269</t>
        </is>
      </c>
      <c r="C1688" t="inlineStr">
        <is>
          <t>['R GNA']</t>
        </is>
      </c>
    </row>
    <row r="1689" ht="15" customHeight="1">
      <c r="A1689" t="inlineStr">
        <is>
          <t>random_sequence</t>
        </is>
      </c>
      <c r="B1689" t="inlineStr">
        <is>
          <t>http://identifiers.org/so/SO:0000449</t>
        </is>
      </c>
      <c r="C1689" t="inlineStr">
        <is>
          <t>['(R)-glycol nucleic acid', '(R)-glycerol nucleic acid', 'R GNA oligo']</t>
        </is>
      </c>
    </row>
    <row r="1690" ht="15" customHeight="1">
      <c r="A1690" t="inlineStr">
        <is>
          <t>RAPD</t>
        </is>
      </c>
      <c r="B1690" t="inlineStr">
        <is>
          <t>http://identifiers.org/so/SO:0001481</t>
        </is>
      </c>
      <c r="C1690" t="inlineStr">
        <is>
          <t>['R long terminal repeat region', 'R LTR region']</t>
        </is>
      </c>
    </row>
    <row r="1691" ht="15" customHeight="1">
      <c r="A1691" t="inlineStr">
        <is>
          <t>rare_amino_acid_variant</t>
        </is>
      </c>
      <c r="B1691" t="inlineStr">
        <is>
          <t>http://identifiers.org/so/SO:0002008</t>
        </is>
      </c>
      <c r="C1691" t="inlineStr">
        <is>
          <t>["R 3' long terminal repeat region", 'R three prime LTR region']</t>
        </is>
      </c>
    </row>
    <row r="1692" ht="15" customHeight="1">
      <c r="A1692" t="inlineStr">
        <is>
          <t>rare_variant</t>
        </is>
      </c>
      <c r="B1692" t="inlineStr">
        <is>
          <t>http://identifiers.org/so/SO:0001765</t>
        </is>
      </c>
      <c r="C1692" t="inlineStr">
        <is>
          <t>['R2 retrotransposon', 'RIR retrotransposon', 'R2 LINE retrotransposon']</t>
        </is>
      </c>
    </row>
    <row r="1693" ht="15" customHeight="1">
      <c r="A1693" t="inlineStr">
        <is>
          <t>rasiRNA</t>
        </is>
      </c>
      <c r="B1693" t="inlineStr">
        <is>
          <t>http://identifiers.org/so/SO:0000454</t>
        </is>
      </c>
      <c r="C1693" t="inlineStr">
        <is>
          <t>['random sequence']</t>
        </is>
      </c>
    </row>
    <row r="1694" ht="15" customHeight="1">
      <c r="A1694" t="inlineStr">
        <is>
          <t>rate_of_transcription_variant</t>
        </is>
      </c>
      <c r="B1694" t="inlineStr">
        <is>
          <t>http://identifiers.org/so/SO:0001550</t>
        </is>
      </c>
      <c r="C1694" t="inlineStr">
        <is>
          <t>['Random Amplification Polymorphic DNA']</t>
        </is>
      </c>
    </row>
    <row r="1695" ht="15" customHeight="1">
      <c r="A1695" t="inlineStr">
        <is>
          <t>rDNA_intergenic_spacer_element</t>
        </is>
      </c>
      <c r="B1695" t="inlineStr">
        <is>
          <t>http://identifiers.org/so/SO:0001860</t>
        </is>
      </c>
      <c r="C1695" t="inlineStr">
        <is>
          <t>['Jannovar:rare_amino_acid_variant', 'snpEff:RARE_AMINO_ACID', 'rare amino acid variant']</t>
        </is>
      </c>
    </row>
    <row r="1696" ht="15" customHeight="1">
      <c r="A1696" t="inlineStr">
        <is>
          <t>rDNA_replication_fork_barrier</t>
        </is>
      </c>
      <c r="B1696" t="inlineStr">
        <is>
          <t>http://identifiers.org/so/SO:0001914</t>
        </is>
      </c>
      <c r="C1696" t="inlineStr">
        <is>
          <t>['rare variant']</t>
        </is>
      </c>
    </row>
    <row r="1697" ht="15" customHeight="1">
      <c r="A1697" t="inlineStr">
        <is>
          <t>read</t>
        </is>
      </c>
      <c r="B1697" t="inlineStr">
        <is>
          <t>http://identifiers.org/so/SO:0000150</t>
        </is>
      </c>
      <c r="C1697" t="inlineStr">
        <is>
          <t>['repeat associated small interfering RNA', 'INSDC_feature:ncRNA', 'INSDC_qualifier:rasiRNA']</t>
        </is>
      </c>
    </row>
    <row r="1698" ht="15" customHeight="1">
      <c r="A1698" t="inlineStr">
        <is>
          <t>read_pair</t>
        </is>
      </c>
      <c r="B1698" t="inlineStr">
        <is>
          <t>http://identifiers.org/so/SO:0000007</t>
        </is>
      </c>
      <c r="C1698" t="inlineStr">
        <is>
          <t>['rate of transcription variant']</t>
        </is>
      </c>
    </row>
    <row r="1699" ht="15" customHeight="1">
      <c r="A1699" t="inlineStr">
        <is>
          <t>reading_frame</t>
        </is>
      </c>
      <c r="B1699" t="inlineStr">
        <is>
          <t>http://identifiers.org/so/SO:0000717</t>
        </is>
      </c>
      <c r="C1699" t="inlineStr">
        <is>
          <t>['rDIS']</t>
        </is>
      </c>
    </row>
    <row r="1700" ht="15" customHeight="1">
      <c r="A1700" t="inlineStr">
        <is>
          <t>reagent</t>
        </is>
      </c>
      <c r="B1700" t="inlineStr">
        <is>
          <t>http://identifiers.org/so/SO:0000695</t>
        </is>
      </c>
      <c r="C1700" t="inlineStr">
        <is>
          <t>['RFB', 'RTS1 element', 'rDNA replication fork barrier', 'RTS1 barrier', 'DNA spacer replication fork barrier']</t>
        </is>
      </c>
    </row>
    <row r="1701" ht="15" customHeight="1">
      <c r="A1701" t="inlineStr">
        <is>
          <t>reagent_attribute</t>
        </is>
      </c>
      <c r="B1701" t="inlineStr">
        <is>
          <t>http://identifiers.org/so/SO:0000786</t>
        </is>
      </c>
    </row>
    <row r="1702" ht="15" customHeight="1">
      <c r="A1702" t="inlineStr">
        <is>
          <t>rearranged_at_DNA_level</t>
        </is>
      </c>
      <c r="B1702" t="inlineStr">
        <is>
          <t>http://identifiers.org/so/SO:0000904</t>
        </is>
      </c>
      <c r="C1702" t="inlineStr">
        <is>
          <t>['mate pair', 'read-pair']</t>
        </is>
      </c>
    </row>
    <row r="1703" ht="15" customHeight="1">
      <c r="A1703" t="inlineStr">
        <is>
          <t>rearrangement_region</t>
        </is>
      </c>
      <c r="B1703" t="inlineStr">
        <is>
          <t>http://identifiers.org/so/SO:0001872</t>
        </is>
      </c>
      <c r="C1703" t="inlineStr">
        <is>
          <t>['reading frame']</t>
        </is>
      </c>
    </row>
    <row r="1704" ht="15" customHeight="1">
      <c r="A1704" t="inlineStr">
        <is>
          <t>reciprocal</t>
        </is>
      </c>
      <c r="B1704" t="inlineStr">
        <is>
          <t>http://identifiers.org/so/SO:0001521</t>
        </is>
      </c>
    </row>
    <row r="1705" ht="15" customHeight="1">
      <c r="A1705" t="inlineStr">
        <is>
          <t>reciprocal_chromosomal_translocation</t>
        </is>
      </c>
      <c r="B1705" t="inlineStr">
        <is>
          <t>http://identifiers.org/so/SO:1000048</t>
        </is>
      </c>
      <c r="C1705" t="inlineStr">
        <is>
          <t>['reagent attribute']</t>
        </is>
      </c>
    </row>
    <row r="1706" ht="15" customHeight="1">
      <c r="A1706" t="inlineStr">
        <is>
          <t>recoded</t>
        </is>
      </c>
      <c r="B1706" t="inlineStr">
        <is>
          <t>http://identifiers.org/so/SO:0000881</t>
        </is>
      </c>
      <c r="C1706" t="inlineStr">
        <is>
          <t>['rearranged at DNA level']</t>
        </is>
      </c>
    </row>
    <row r="1707" ht="15" customHeight="1">
      <c r="A1707" t="inlineStr">
        <is>
          <t>recoded_by_translational_bypass</t>
        </is>
      </c>
      <c r="B1707" t="inlineStr">
        <is>
          <t>http://identifiers.org/so/SO:0000886</t>
        </is>
      </c>
      <c r="C1707" t="inlineStr">
        <is>
          <t>['rearrangement region']</t>
        </is>
      </c>
    </row>
    <row r="1708" ht="15" customHeight="1">
      <c r="A1708" t="inlineStr">
        <is>
          <t>recoded_codon</t>
        </is>
      </c>
      <c r="B1708" t="inlineStr">
        <is>
          <t>http://identifiers.org/so/SO:0000145</t>
        </is>
      </c>
    </row>
    <row r="1709" ht="15" customHeight="1">
      <c r="A1709" t="inlineStr">
        <is>
          <t>recoded_mRNA</t>
        </is>
      </c>
      <c r="B1709" t="inlineStr">
        <is>
          <t>http://identifiers.org/so/SO:1001261</t>
        </is>
      </c>
      <c r="C1709" t="inlineStr">
        <is>
          <t>['reciprocal chromosomal translocation']</t>
        </is>
      </c>
    </row>
    <row r="1710" ht="15" customHeight="1">
      <c r="A1710" t="inlineStr">
        <is>
          <t>recoding_pseudoknot</t>
        </is>
      </c>
      <c r="B1710" t="inlineStr">
        <is>
          <t>http://identifiers.org/so/SO:0000545</t>
        </is>
      </c>
    </row>
    <row r="1711" ht="15" customHeight="1">
      <c r="A1711" t="inlineStr">
        <is>
          <t>recoding_stimulatory_region</t>
        </is>
      </c>
      <c r="B1711" t="inlineStr">
        <is>
          <t>http://identifiers.org/so/SO:1001268</t>
        </is>
      </c>
      <c r="C1711" t="inlineStr">
        <is>
          <t>['recoded by translational bypass']</t>
        </is>
      </c>
    </row>
    <row r="1712" ht="15" customHeight="1">
      <c r="A1712" t="inlineStr">
        <is>
          <t>recombination_enhancer</t>
        </is>
      </c>
      <c r="B1712" t="inlineStr">
        <is>
          <t>http://identifiers.org/so/SO:0002059</t>
        </is>
      </c>
      <c r="C1712" t="inlineStr">
        <is>
          <t>['recoded codon']</t>
        </is>
      </c>
    </row>
    <row r="1713" ht="15" customHeight="1">
      <c r="A1713" t="inlineStr">
        <is>
          <t>recombination_feature</t>
        </is>
      </c>
      <c r="B1713" t="inlineStr">
        <is>
          <t>http://identifiers.org/so/SO:0000298</t>
        </is>
      </c>
      <c r="C1713" t="inlineStr">
        <is>
          <t>['recoded mRNA']</t>
        </is>
      </c>
    </row>
    <row r="1714" ht="15" customHeight="1">
      <c r="A1714" t="inlineStr">
        <is>
          <t>recombination_feature_of_rearranged_gene</t>
        </is>
      </c>
      <c r="B1714" t="inlineStr">
        <is>
          <t>http://identifiers.org/so/SO:0000300</t>
        </is>
      </c>
      <c r="C1714" t="inlineStr">
        <is>
          <t>['recoding pseudoknot']</t>
        </is>
      </c>
    </row>
    <row r="1715" ht="15" customHeight="1">
      <c r="A1715" t="inlineStr">
        <is>
          <t>recombination_hotspot</t>
        </is>
      </c>
      <c r="B1715" t="inlineStr">
        <is>
          <t>http://identifiers.org/so/SO:0000339</t>
        </is>
      </c>
      <c r="C1715" t="inlineStr">
        <is>
          <t>['INSDC_feature:regulatory', 'recoding stimulatory signal', 'INSDC_qualifier:recoding_stimulatory_region', 'recoding stimulatory region']</t>
        </is>
      </c>
    </row>
    <row r="1716" ht="15" customHeight="1">
      <c r="A1716" t="inlineStr">
        <is>
          <t>recombination_regulatory_region</t>
        </is>
      </c>
      <c r="B1716" t="inlineStr">
        <is>
          <t>http://identifiers.org/so/SO:0001681</t>
        </is>
      </c>
      <c r="C1716" t="inlineStr">
        <is>
          <t>['recombination enhancer']</t>
        </is>
      </c>
    </row>
    <row r="1717" ht="15" customHeight="1">
      <c r="A1717" t="inlineStr">
        <is>
          <t>recombination_signal_sequence</t>
        </is>
      </c>
      <c r="B1717" t="inlineStr">
        <is>
          <t>http://identifiers.org/so/SO:0001532</t>
        </is>
      </c>
      <c r="C1717" t="inlineStr">
        <is>
          <t>['recombination feature', 'INSDC_qualifier:other', 'INSDC_feature:misc_recomb']</t>
        </is>
      </c>
    </row>
    <row r="1718" ht="15" customHeight="1">
      <c r="A1718" t="inlineStr">
        <is>
          <t>recombinationally_inverted_gene</t>
        </is>
      </c>
      <c r="B1718" t="inlineStr">
        <is>
          <t>http://identifiers.org/so/SO:0000373</t>
        </is>
      </c>
      <c r="C1718" t="inlineStr">
        <is>
          <t>['recombination feature of rearranged gene']</t>
        </is>
      </c>
    </row>
    <row r="1719" ht="15" customHeight="1">
      <c r="A1719" t="inlineStr">
        <is>
          <t>recombinationally_rearranged</t>
        </is>
      </c>
      <c r="B1719" t="inlineStr">
        <is>
          <t>http://identifiers.org/so/SO:0000940</t>
        </is>
      </c>
      <c r="C1719" t="inlineStr">
        <is>
          <t>['recombination hotspot']</t>
        </is>
      </c>
    </row>
    <row r="1720" ht="15" customHeight="1">
      <c r="A1720" t="inlineStr">
        <is>
          <t>recombinationally_rearranged_gene</t>
        </is>
      </c>
      <c r="B1720" t="inlineStr">
        <is>
          <t>http://identifiers.org/so/SO:0000456</t>
        </is>
      </c>
      <c r="C1720" t="inlineStr">
        <is>
          <t>['recombination regulatory region']</t>
        </is>
      </c>
    </row>
    <row r="1721" ht="15" customHeight="1">
      <c r="A1721" t="inlineStr">
        <is>
          <t>recombinationally_rearranged_vertebrate_immune_system_gene</t>
        </is>
      </c>
      <c r="B1721" t="inlineStr">
        <is>
          <t>http://identifiers.org/so/SO:0000941</t>
        </is>
      </c>
      <c r="C1721" t="inlineStr">
        <is>
          <t>['recombination signal sequence']</t>
        </is>
      </c>
    </row>
    <row r="1722" ht="15" customHeight="1">
      <c r="A1722" t="inlineStr">
        <is>
          <t>recursive_splice_site</t>
        </is>
      </c>
      <c r="B1722" t="inlineStr">
        <is>
          <t>http://identifiers.org/so/SO:0000998</t>
        </is>
      </c>
      <c r="C1722" t="inlineStr">
        <is>
          <t>['recombinationally inverted gene']</t>
        </is>
      </c>
    </row>
    <row r="1723" ht="15" customHeight="1">
      <c r="A1723" t="inlineStr">
        <is>
          <t>redundant_inserted_stop_gained</t>
        </is>
      </c>
      <c r="B1723" t="inlineStr">
        <is>
          <t>http://identifiers.org/so/SO:0002214</t>
        </is>
      </c>
      <c r="C1723" t="inlineStr">
        <is>
          <t>['recombinationally rearranged']</t>
        </is>
      </c>
    </row>
    <row r="1724" ht="15" customHeight="1">
      <c r="A1724" t="inlineStr">
        <is>
          <t>ref_miRNA</t>
        </is>
      </c>
      <c r="B1724" t="inlineStr">
        <is>
          <t>http://identifiers.org/so/SO:0002166</t>
        </is>
      </c>
      <c r="C1724" t="inlineStr">
        <is>
          <t>['recombinationally rearranged gene']</t>
        </is>
      </c>
    </row>
    <row r="1725" ht="15" customHeight="1">
      <c r="A1725" t="inlineStr">
        <is>
          <t>reference_genome</t>
        </is>
      </c>
      <c r="B1725" t="inlineStr">
        <is>
          <t>http://identifiers.org/so/SO:0001505</t>
        </is>
      </c>
      <c r="C1725" t="inlineStr">
        <is>
          <t>['recombinationally rearranged vertebrate immune system gene']</t>
        </is>
      </c>
    </row>
    <row r="1726" ht="15" customHeight="1">
      <c r="A1726" t="inlineStr">
        <is>
          <t>region</t>
        </is>
      </c>
      <c r="B1726" t="inlineStr">
        <is>
          <t>http://identifiers.org/so/SO:0000001</t>
        </is>
      </c>
      <c r="C1726" t="inlineStr">
        <is>
          <t>['recursive splice site']</t>
        </is>
      </c>
    </row>
    <row r="1727" ht="15" customHeight="1">
      <c r="A1727" t="inlineStr">
        <is>
          <t>regional_centromere</t>
        </is>
      </c>
      <c r="B1727" t="inlineStr">
        <is>
          <t>http://identifiers.org/so/SO:0001795</t>
        </is>
      </c>
      <c r="C1727" t="inlineStr">
        <is>
          <t>['redundant inserted stop gained']</t>
        </is>
      </c>
    </row>
    <row r="1728" ht="15" customHeight="1">
      <c r="A1728" t="inlineStr">
        <is>
          <t>regional_centromere_central_core</t>
        </is>
      </c>
      <c r="B1728" t="inlineStr">
        <is>
          <t>http://identifiers.org/so/SO:0001796</t>
        </is>
      </c>
      <c r="C1728" t="inlineStr">
        <is>
          <t>['RefSeq-miRNA', 'RefSeq miRNA', 'ref miRNA']</t>
        </is>
      </c>
    </row>
    <row r="1729" ht="15" customHeight="1">
      <c r="A1729" t="inlineStr">
        <is>
          <t>regional_centromere_inner_repeat_region</t>
        </is>
      </c>
      <c r="B1729" t="inlineStr">
        <is>
          <t>http://identifiers.org/so/SO:0001798</t>
        </is>
      </c>
      <c r="C1729" t="inlineStr">
        <is>
          <t>['reference genome']</t>
        </is>
      </c>
    </row>
    <row r="1730" ht="15" customHeight="1">
      <c r="A1730" t="inlineStr">
        <is>
          <t>regional_centromere_outer_repeat_region</t>
        </is>
      </c>
      <c r="B1730" t="inlineStr">
        <is>
          <t>http://identifiers.org/so/SO:0001799</t>
        </is>
      </c>
      <c r="C1730" t="inlineStr">
        <is>
          <t>['sequence']</t>
        </is>
      </c>
    </row>
    <row r="1731" ht="15" customHeight="1">
      <c r="A1731" t="inlineStr">
        <is>
          <t>regional_centromere_outer_repeat_transcript</t>
        </is>
      </c>
      <c r="B1731" t="inlineStr">
        <is>
          <t>http://identifiers.org/so/SO:0001905</t>
        </is>
      </c>
      <c r="C1731" t="inlineStr">
        <is>
          <t>['regional centromere']</t>
        </is>
      </c>
    </row>
    <row r="1732" ht="15" customHeight="1">
      <c r="A1732" t="inlineStr">
        <is>
          <t>regulated</t>
        </is>
      </c>
      <c r="B1732" t="inlineStr">
        <is>
          <t>http://identifiers.org/so/SO:0000119</t>
        </is>
      </c>
      <c r="C1732" t="inlineStr">
        <is>
          <t>['regional centromere central core']</t>
        </is>
      </c>
    </row>
    <row r="1733" ht="15" customHeight="1">
      <c r="A1733" t="inlineStr">
        <is>
          <t>regulatory_promoter_element</t>
        </is>
      </c>
      <c r="B1733" t="inlineStr">
        <is>
          <t>http://identifiers.org/so/SO:0001678</t>
        </is>
      </c>
      <c r="C1733" t="inlineStr">
        <is>
          <t>['lmr repeat', 'lmr1L', 'lmr1R', 'regional centromere inner repeat region']</t>
        </is>
      </c>
    </row>
    <row r="1734" ht="15" customHeight="1">
      <c r="A1734" t="inlineStr">
        <is>
          <t>regulatory_region</t>
        </is>
      </c>
      <c r="B1734" t="inlineStr">
        <is>
          <t>http://identifiers.org/so/SO:0005836</t>
        </is>
      </c>
      <c r="C1734" t="inlineStr">
        <is>
          <t>['regional centromere outer repeat region']</t>
        </is>
      </c>
    </row>
    <row r="1735" ht="15" customHeight="1">
      <c r="A1735" t="inlineStr">
        <is>
          <t>regulatory_region_ablation</t>
        </is>
      </c>
      <c r="B1735" t="inlineStr">
        <is>
          <t>http://identifiers.org/so/SO:0001894</t>
        </is>
      </c>
      <c r="C1735" t="inlineStr">
        <is>
          <t>['regional_centromere_outer_repeat_region_transcript', 'regional centromere outer repeat region transcript', 'centromere outer repeat transcript']</t>
        </is>
      </c>
    </row>
    <row r="1736" ht="15" customHeight="1">
      <c r="A1736" t="inlineStr">
        <is>
          <t>regulatory_region_amplification</t>
        </is>
      </c>
      <c r="B1736" t="inlineStr">
        <is>
          <t>http://identifiers.org/so/SO:0001891</t>
        </is>
      </c>
    </row>
    <row r="1737" ht="15" customHeight="1">
      <c r="A1737" t="inlineStr">
        <is>
          <t>regulatory_region_fusion</t>
        </is>
      </c>
      <c r="B1737" t="inlineStr">
        <is>
          <t>http://identifiers.org/so/SO:0001887</t>
        </is>
      </c>
      <c r="C1737" t="inlineStr">
        <is>
          <t>['regulatory promoter element']</t>
        </is>
      </c>
    </row>
    <row r="1738" ht="15" customHeight="1">
      <c r="A1738" t="inlineStr">
        <is>
          <t>regulatory_region_translocation</t>
        </is>
      </c>
      <c r="B1738" t="inlineStr">
        <is>
          <t>http://identifiers.org/so/SO:0001884</t>
        </is>
      </c>
      <c r="C1738" t="inlineStr">
        <is>
          <t>['INSDC_feature:regulatory', 'regulatory region', 'INSDC_qualifier:other']</t>
        </is>
      </c>
    </row>
    <row r="1739" ht="15" customHeight="1">
      <c r="A1739" t="inlineStr">
        <is>
          <t>regulatory_region_variant</t>
        </is>
      </c>
      <c r="B1739" t="inlineStr">
        <is>
          <t>http://identifiers.org/so/SO:0001566</t>
        </is>
      </c>
      <c r="C1739" t="inlineStr">
        <is>
          <t>['VEP:regulatory_region_ablation', 'regulatory region ablation']</t>
        </is>
      </c>
    </row>
    <row r="1740" ht="15" customHeight="1">
      <c r="A1740" t="inlineStr">
        <is>
          <t>regulon</t>
        </is>
      </c>
      <c r="B1740" t="inlineStr">
        <is>
          <t>http://identifiers.org/so/SO:1001284</t>
        </is>
      </c>
      <c r="C1740" t="inlineStr">
        <is>
          <t>['VEP:regulatory_region_amplification', 'regulatory region amplification']</t>
        </is>
      </c>
    </row>
    <row r="1741" ht="15" customHeight="1">
      <c r="A1741" t="inlineStr">
        <is>
          <t>remark</t>
        </is>
      </c>
      <c r="B1741" t="inlineStr">
        <is>
          <t>http://identifiers.org/so/SO:0000700</t>
        </is>
      </c>
      <c r="C1741" t="inlineStr">
        <is>
          <t>['regulatory region fusion']</t>
        </is>
      </c>
    </row>
    <row r="1742" ht="15" customHeight="1">
      <c r="A1742" t="inlineStr">
        <is>
          <t>repeat_component</t>
        </is>
      </c>
      <c r="B1742" t="inlineStr">
        <is>
          <t>http://identifiers.org/so/SO:0000840</t>
        </is>
      </c>
      <c r="C1742" t="inlineStr">
        <is>
          <t>['regulatory region translocation']</t>
        </is>
      </c>
    </row>
    <row r="1743" ht="15" customHeight="1">
      <c r="A1743" t="inlineStr">
        <is>
          <t>repeat_family</t>
        </is>
      </c>
      <c r="B1743" t="inlineStr">
        <is>
          <t>http://identifiers.org/so/SO:0000187</t>
        </is>
      </c>
      <c r="C1743" t="inlineStr">
        <is>
          <t>['regulatory region variant', 'regulatory_region_', 'VEP:regulatory_region_variant', 'snpEff:REGULATION', 'Jannovar:regulatory_region_variant']</t>
        </is>
      </c>
    </row>
    <row r="1744" ht="15" customHeight="1">
      <c r="A1744" t="inlineStr">
        <is>
          <t>repeat_fragment</t>
        </is>
      </c>
      <c r="B1744" t="inlineStr">
        <is>
          <t>http://identifiers.org/so/SO:0001050</t>
        </is>
      </c>
    </row>
    <row r="1745" ht="15" customHeight="1">
      <c r="A1745" t="inlineStr">
        <is>
          <t>repeat_instability_region</t>
        </is>
      </c>
      <c r="B1745" t="inlineStr">
        <is>
          <t>http://identifiers.org/so/SO:0002202</t>
        </is>
      </c>
    </row>
    <row r="1746" ht="15" customHeight="1">
      <c r="A1746" t="inlineStr">
        <is>
          <t>repeat_region</t>
        </is>
      </c>
      <c r="B1746" t="inlineStr">
        <is>
          <t>http://identifiers.org/so/SO:0000657</t>
        </is>
      </c>
      <c r="C1746" t="inlineStr">
        <is>
          <t>['repeat component']</t>
        </is>
      </c>
    </row>
    <row r="1747" ht="15" customHeight="1">
      <c r="A1747" t="inlineStr">
        <is>
          <t>repeat_unit</t>
        </is>
      </c>
      <c r="B1747" t="inlineStr">
        <is>
          <t>http://identifiers.org/so/SO:0000726</t>
        </is>
      </c>
    </row>
    <row r="1748" ht="15" customHeight="1">
      <c r="A1748" t="inlineStr">
        <is>
          <t>repetitive_element</t>
        </is>
      </c>
      <c r="B1748" t="inlineStr">
        <is>
          <t>http://identifiers.org/so/SO:0000292</t>
        </is>
      </c>
      <c r="C1748" t="inlineStr">
        <is>
          <t>['repeat fragment']</t>
        </is>
      </c>
    </row>
    <row r="1749" ht="15" customHeight="1">
      <c r="A1749" t="inlineStr">
        <is>
          <t>replication_regulatory_region</t>
        </is>
      </c>
      <c r="B1749" t="inlineStr">
        <is>
          <t>http://identifiers.org/so/SO:0001682</t>
        </is>
      </c>
      <c r="C1749" t="inlineStr">
        <is>
          <t>['repeat instability region', 'INSDC_feature:misc_feature', 'INSDC_note:repeat_instability_region']</t>
        </is>
      </c>
    </row>
    <row r="1750" ht="15" customHeight="1">
      <c r="A1750" t="inlineStr">
        <is>
          <t>replication_start_site</t>
        </is>
      </c>
      <c r="B1750" t="inlineStr">
        <is>
          <t>http://identifiers.org/so/SO:0002203</t>
        </is>
      </c>
      <c r="C1750" t="inlineStr">
        <is>
          <t>['INSDC_qualifier:other', 'repeat region', 'INSDC_feature:repeat_region']</t>
        </is>
      </c>
    </row>
    <row r="1751" ht="15" customHeight="1">
      <c r="A1751" t="inlineStr">
        <is>
          <t>replicon</t>
        </is>
      </c>
      <c r="B1751" t="inlineStr">
        <is>
          <t>http://identifiers.org/so/SO:0001235</t>
        </is>
      </c>
      <c r="C1751" t="inlineStr">
        <is>
          <t>['repeat unit']</t>
        </is>
      </c>
    </row>
    <row r="1752" ht="15" customHeight="1">
      <c r="A1752" t="inlineStr">
        <is>
          <t>rescue</t>
        </is>
      </c>
      <c r="B1752" t="inlineStr">
        <is>
          <t>http://identifiers.org/so/SO:0000814</t>
        </is>
      </c>
    </row>
    <row r="1753" ht="15" customHeight="1">
      <c r="A1753" t="inlineStr">
        <is>
          <t>rescue_gene</t>
        </is>
      </c>
      <c r="B1753" t="inlineStr">
        <is>
          <t>http://identifiers.org/so/SO:0000816</t>
        </is>
      </c>
      <c r="C1753" t="inlineStr">
        <is>
          <t>['INSDC_qualifier:replication_regulatory_region', 'replication regulatory region', 'INSDC_feature:regulatory']</t>
        </is>
      </c>
    </row>
    <row r="1754" ht="15" customHeight="1">
      <c r="A1754" t="inlineStr">
        <is>
          <t>rescue_mini_gene</t>
        </is>
      </c>
      <c r="B1754" t="inlineStr">
        <is>
          <t>http://identifiers.org/so/SO:0000795</t>
        </is>
      </c>
      <c r="C1754" t="inlineStr">
        <is>
          <t>['replication start site', 'INSDC_feature:misc_feature', 'INSDC_note:replication_start_site']</t>
        </is>
      </c>
    </row>
    <row r="1755" ht="15" customHeight="1">
      <c r="A1755" t="inlineStr">
        <is>
          <t>rescue_region</t>
        </is>
      </c>
      <c r="B1755" t="inlineStr">
        <is>
          <t>http://identifiers.org/so/SO:0000411</t>
        </is>
      </c>
    </row>
    <row r="1756" ht="15" customHeight="1">
      <c r="A1756" t="inlineStr">
        <is>
          <t>resolution_site</t>
        </is>
      </c>
      <c r="B1756" t="inlineStr">
        <is>
          <t>http://identifiers.org/so/SO:0000947</t>
        </is>
      </c>
    </row>
    <row r="1757" ht="15" customHeight="1">
      <c r="A1757" t="inlineStr">
        <is>
          <t>response_element</t>
        </is>
      </c>
      <c r="B1757" t="inlineStr">
        <is>
          <t>http://identifiers.org/so/SO:0002205</t>
        </is>
      </c>
      <c r="C1757" t="inlineStr">
        <is>
          <t>['rescue gene']</t>
        </is>
      </c>
    </row>
    <row r="1758" ht="15" customHeight="1">
      <c r="A1758" t="inlineStr">
        <is>
          <t>restriction_enzyme_assembly_scar</t>
        </is>
      </c>
      <c r="B1758" t="inlineStr">
        <is>
          <t>http://identifiers.org/so/SO:0001953</t>
        </is>
      </c>
      <c r="C1758" t="inlineStr">
        <is>
          <t>['rescue mini gene', 'rescue mini-gene']</t>
        </is>
      </c>
    </row>
    <row r="1759" ht="15" customHeight="1">
      <c r="A1759" t="inlineStr">
        <is>
          <t>restriction_enzyme_binding_site</t>
        </is>
      </c>
      <c r="B1759" t="inlineStr">
        <is>
          <t>http://identifiers.org/so/SO:0000061</t>
        </is>
      </c>
      <c r="C1759" t="inlineStr">
        <is>
          <t>['rescue segment', 'rescue region', 'rescue fragment']</t>
        </is>
      </c>
    </row>
    <row r="1760" ht="15" customHeight="1">
      <c r="A1760" t="inlineStr">
        <is>
          <t>restriction_enzyme_cleavage_junction</t>
        </is>
      </c>
      <c r="B1760" t="inlineStr">
        <is>
          <t>http://identifiers.org/so/SO:0001688</t>
        </is>
      </c>
      <c r="C1760" t="inlineStr">
        <is>
          <t>['res site', 'resolution site']</t>
        </is>
      </c>
    </row>
    <row r="1761" ht="15" customHeight="1">
      <c r="A1761" t="inlineStr">
        <is>
          <t>restriction_enzyme_cut_site</t>
        </is>
      </c>
      <c r="B1761" t="inlineStr">
        <is>
          <t>http://identifiers.org/so/SO:0000168</t>
        </is>
      </c>
      <c r="C1761" t="inlineStr">
        <is>
          <t>['response element', 'INSDC_qualifier:response_element', 'INSDC_feature:regulatory']</t>
        </is>
      </c>
    </row>
    <row r="1762" ht="15" customHeight="1">
      <c r="A1762" t="inlineStr">
        <is>
          <t>restriction_enzyme_five_prime_single_strand_overhang</t>
        </is>
      </c>
      <c r="B1762" t="inlineStr">
        <is>
          <t>http://identifiers.org/so/SO:0001932</t>
        </is>
      </c>
    </row>
    <row r="1763" ht="15" customHeight="1">
      <c r="A1763" t="inlineStr">
        <is>
          <t>restriction_enzyme_recognition_site</t>
        </is>
      </c>
      <c r="B1763" t="inlineStr">
        <is>
          <t>http://identifiers.org/so/SO:0001687</t>
        </is>
      </c>
      <c r="C1763" t="inlineStr">
        <is>
          <t>['restriction endonuclease binding site', 'restriction enzyme binding site']</t>
        </is>
      </c>
    </row>
    <row r="1764" ht="15" customHeight="1">
      <c r="A1764" t="inlineStr">
        <is>
          <t>restriction_enzyme_region</t>
        </is>
      </c>
      <c r="B1764" t="inlineStr">
        <is>
          <t>http://identifiers.org/so/SO:0001954</t>
        </is>
      </c>
      <c r="C1764" t="inlineStr">
        <is>
          <t>['restriction enzyme cleavage junction']</t>
        </is>
      </c>
    </row>
    <row r="1765" ht="15" customHeight="1">
      <c r="A1765" t="inlineStr">
        <is>
          <t>restriction_enzyme_single_strand_overhang</t>
        </is>
      </c>
      <c r="B1765" t="inlineStr">
        <is>
          <t>http://identifiers.org/so/SO:0001695</t>
        </is>
      </c>
    </row>
    <row r="1766" ht="15" customHeight="1">
      <c r="A1766" t="inlineStr">
        <is>
          <t>restriction_enzyme_three_prime_single_strand_overhang</t>
        </is>
      </c>
      <c r="B1766" t="inlineStr">
        <is>
          <t>http://identifiers.org/so/SO:0001933</t>
        </is>
      </c>
      <c r="C1766" t="inlineStr">
        <is>
          <t>['restriction enzyme five prime single strand overhang']</t>
        </is>
      </c>
    </row>
    <row r="1767" ht="15" customHeight="1">
      <c r="A1767" t="inlineStr">
        <is>
          <t>restriction_fragment</t>
        </is>
      </c>
      <c r="B1767" t="inlineStr">
        <is>
          <t>http://identifiers.org/so/SO:0000412</t>
        </is>
      </c>
      <c r="C1767" t="inlineStr">
        <is>
          <t>['restriction endonuclease recognition site', 'restriction enzyme recognition site']</t>
        </is>
      </c>
    </row>
    <row r="1768" ht="15" customHeight="1">
      <c r="A1768" t="inlineStr">
        <is>
          <t>retinoic_acid_responsive_element</t>
        </is>
      </c>
      <c r="B1768" t="inlineStr">
        <is>
          <t>http://identifiers.org/so/SO:0001653</t>
        </is>
      </c>
      <c r="C1768" t="inlineStr">
        <is>
          <t>['restriction enzyme region']</t>
        </is>
      </c>
    </row>
    <row r="1769" ht="15" customHeight="1">
      <c r="A1769" t="inlineStr">
        <is>
          <t>retrogene</t>
        </is>
      </c>
      <c r="B1769" t="inlineStr">
        <is>
          <t>http://identifiers.org/so/SO:0001219</t>
        </is>
      </c>
      <c r="C1769" t="inlineStr">
        <is>
          <t>['sticky end', 'single strand overhang']</t>
        </is>
      </c>
    </row>
    <row r="1770" ht="15" customHeight="1">
      <c r="A1770" t="inlineStr">
        <is>
          <t>retron</t>
        </is>
      </c>
      <c r="B1770" t="inlineStr">
        <is>
          <t>http://identifiers.org/so/SO:1001275</t>
        </is>
      </c>
      <c r="C1770" t="inlineStr">
        <is>
          <t>['restriction enzyme three prime single strand overhang']</t>
        </is>
      </c>
    </row>
    <row r="1771" ht="15" customHeight="1">
      <c r="A1771" t="inlineStr">
        <is>
          <t>retrotransposed</t>
        </is>
      </c>
      <c r="B1771" t="inlineStr">
        <is>
          <t>http://identifiers.org/so/SO:0000569</t>
        </is>
      </c>
      <c r="C1771" t="inlineStr">
        <is>
          <t>['restriction fragment']</t>
        </is>
      </c>
    </row>
    <row r="1772" ht="15" customHeight="1">
      <c r="A1772" t="inlineStr">
        <is>
          <t>retrotransposon</t>
        </is>
      </c>
      <c r="B1772" t="inlineStr">
        <is>
          <t>http://identifiers.org/so/SO:0000180</t>
        </is>
      </c>
      <c r="C1772" t="inlineStr">
        <is>
          <t>['retinoic acid responsive element', 'RARE']</t>
        </is>
      </c>
    </row>
    <row r="1773" ht="15" customHeight="1">
      <c r="A1773" t="inlineStr">
        <is>
          <t>Retrovirus_LTR_retrotransposon</t>
        </is>
      </c>
      <c r="B1773" t="inlineStr">
        <is>
          <t>http://identifiers.org/so/SO:0002267</t>
        </is>
      </c>
    </row>
    <row r="1774" ht="15" customHeight="1">
      <c r="A1774" t="inlineStr">
        <is>
          <t>reverse</t>
        </is>
      </c>
      <c r="B1774" t="inlineStr">
        <is>
          <t>http://identifiers.org/so/SO:0001031</t>
        </is>
      </c>
    </row>
    <row r="1775" ht="15" customHeight="1">
      <c r="A1775" t="inlineStr">
        <is>
          <t>reverse_Hoogsteen_base_pair</t>
        </is>
      </c>
      <c r="B1775" t="inlineStr">
        <is>
          <t>http://identifiers.org/so/SO:0000501</t>
        </is>
      </c>
    </row>
    <row r="1776" ht="15" customHeight="1">
      <c r="A1776" t="inlineStr">
        <is>
          <t>reverse_primer</t>
        </is>
      </c>
      <c r="B1776" t="inlineStr">
        <is>
          <t>http://identifiers.org/so/SO:0000132</t>
        </is>
      </c>
      <c r="C1776" t="inlineStr">
        <is>
          <t>['class I', 'retrotransposon element', 'class I transposon']</t>
        </is>
      </c>
    </row>
    <row r="1777" ht="15" customHeight="1">
      <c r="A1777" t="inlineStr">
        <is>
          <t>RFLP_fragment</t>
        </is>
      </c>
      <c r="B1777" t="inlineStr">
        <is>
          <t>http://identifiers.org/so/SO:0000193</t>
        </is>
      </c>
      <c r="C1777" t="inlineStr">
        <is>
          <t>['RLR retrotransposon', 'Retrovirus LTR retrotransposon']</t>
        </is>
      </c>
    </row>
    <row r="1778" ht="15" customHeight="1">
      <c r="A1778" t="inlineStr">
        <is>
          <t>RH_map</t>
        </is>
      </c>
      <c r="B1778" t="inlineStr">
        <is>
          <t>http://identifiers.org/so/SO:0001252</t>
        </is>
      </c>
    </row>
    <row r="1779" ht="15" customHeight="1">
      <c r="A1779" t="inlineStr">
        <is>
          <t>rho_dependent_bacterial_terminator</t>
        </is>
      </c>
      <c r="B1779" t="inlineStr">
        <is>
          <t>http://identifiers.org/so/SO:0000981</t>
        </is>
      </c>
      <c r="C1779" t="inlineStr">
        <is>
          <t>['reverse Hoogsteen base pair']</t>
        </is>
      </c>
    </row>
    <row r="1780" ht="15" customHeight="1">
      <c r="A1780" t="inlineStr">
        <is>
          <t>rho_independent_bacterial_terminator</t>
        </is>
      </c>
      <c r="B1780" t="inlineStr">
        <is>
          <t>http://identifiers.org/so/SO:0000982</t>
        </is>
      </c>
      <c r="C1780" t="inlineStr">
        <is>
          <t>['reverse primer oligonucleotide', 'reverse primer', 'DNA reverse primer', 'reverse DNA primer', 'reverse primer sequence', 'reverse primer oligo']</t>
        </is>
      </c>
    </row>
    <row r="1781" ht="15" customHeight="1">
      <c r="A1781" t="inlineStr">
        <is>
          <t>ribonuclease_site</t>
        </is>
      </c>
      <c r="B1781" t="inlineStr">
        <is>
          <t>http://identifiers.org/so/SO:0001977</t>
        </is>
      </c>
      <c r="C1781" t="inlineStr">
        <is>
          <t>['RFLP fragment', 'RFLP', 'restriction fragment length polymorphism']</t>
        </is>
      </c>
    </row>
    <row r="1782" ht="15" customHeight="1">
      <c r="A1782" t="inlineStr">
        <is>
          <t>riboswitch</t>
        </is>
      </c>
      <c r="B1782" t="inlineStr">
        <is>
          <t>http://identifiers.org/so/SO:0000035</t>
        </is>
      </c>
      <c r="C1782" t="inlineStr">
        <is>
          <t>['RH map', 'radiation hybrid map']</t>
        </is>
      </c>
    </row>
    <row r="1783" ht="15" customHeight="1">
      <c r="A1783" t="inlineStr">
        <is>
          <t>ribothymidine</t>
        </is>
      </c>
      <c r="B1783" t="inlineStr">
        <is>
          <t>http://identifiers.org/so/SO:0001232</t>
        </is>
      </c>
      <c r="C1783" t="inlineStr">
        <is>
          <t>['rho dependent bacterial terminator']</t>
        </is>
      </c>
    </row>
    <row r="1784" ht="15" customHeight="1">
      <c r="A1784" t="inlineStr">
        <is>
          <t>ribozyme</t>
        </is>
      </c>
      <c r="B1784" t="inlineStr">
        <is>
          <t>http://identifiers.org/so/SO:0000374</t>
        </is>
      </c>
      <c r="C1784" t="inlineStr">
        <is>
          <t>['rho independent bacterial terminator']</t>
        </is>
      </c>
    </row>
    <row r="1785" ht="15" customHeight="1">
      <c r="A1785" t="inlineStr">
        <is>
          <t>ribozyme_gene</t>
        </is>
      </c>
      <c r="B1785" t="inlineStr">
        <is>
          <t>http://identifiers.org/so/SO:0002181</t>
        </is>
      </c>
      <c r="C1785" t="inlineStr">
        <is>
          <t>['ribonuclease site']</t>
        </is>
      </c>
    </row>
    <row r="1786" ht="15" customHeight="1">
      <c r="A1786" t="inlineStr">
        <is>
          <t>ribozymic</t>
        </is>
      </c>
      <c r="B1786" t="inlineStr">
        <is>
          <t>http://identifiers.org/so/SO:0001186</t>
        </is>
      </c>
      <c r="C1786" t="inlineStr">
        <is>
          <t>['INSDC_feature:regulatory', 'INSDC_qualifier:riboswitch', 'riboswitch RNA']</t>
        </is>
      </c>
    </row>
    <row r="1787" ht="15" customHeight="1">
      <c r="A1787" t="inlineStr">
        <is>
          <t>right_handed_peptide_helix</t>
        </is>
      </c>
      <c r="B1787" t="inlineStr">
        <is>
          <t>http://identifiers.org/so/SO:0001116</t>
        </is>
      </c>
    </row>
    <row r="1788" ht="15" customHeight="1">
      <c r="A1788" t="inlineStr">
        <is>
          <t>ring_chromosome</t>
        </is>
      </c>
      <c r="B1788" t="inlineStr">
        <is>
          <t>http://identifiers.org/so/SO:1000045</t>
        </is>
      </c>
      <c r="C1788" t="inlineStr">
        <is>
          <t>['INSDC_feature:ncRNA', 'INSDC_qualifier:ribozyme']</t>
        </is>
      </c>
    </row>
    <row r="1789" ht="15" customHeight="1">
      <c r="A1789" t="inlineStr">
        <is>
          <t>RNA</t>
        </is>
      </c>
      <c r="B1789" t="inlineStr">
        <is>
          <t>http://identifiers.org/so/SO:0000356</t>
        </is>
      </c>
      <c r="C1789" t="inlineStr">
        <is>
          <t>['ribozyme gene']</t>
        </is>
      </c>
    </row>
    <row r="1790" ht="15" customHeight="1">
      <c r="A1790" t="inlineStr">
        <is>
          <t>RNA_6S</t>
        </is>
      </c>
      <c r="B1790" t="inlineStr">
        <is>
          <t>http://identifiers.org/so/SO:0000376</t>
        </is>
      </c>
    </row>
    <row r="1791" ht="15" customHeight="1">
      <c r="A1791" t="inlineStr">
        <is>
          <t>RNA_aptamer</t>
        </is>
      </c>
      <c r="B1791" t="inlineStr">
        <is>
          <t>http://identifiers.org/so/SO:0000033</t>
        </is>
      </c>
      <c r="C1791" t="inlineStr">
        <is>
          <t>['right handed helix', 'helix']</t>
        </is>
      </c>
    </row>
    <row r="1792" ht="15" customHeight="1">
      <c r="A1792" t="inlineStr">
        <is>
          <t>RNA_chromosome</t>
        </is>
      </c>
      <c r="B1792" t="inlineStr">
        <is>
          <t>http://identifiers.org/so/SO:0000961</t>
        </is>
      </c>
      <c r="C1792" t="inlineStr">
        <is>
          <t>['(Drosophila)R', 'ring chromosome', '(fungi)C']</t>
        </is>
      </c>
    </row>
    <row r="1793" ht="15" customHeight="1">
      <c r="A1793" t="inlineStr">
        <is>
          <t>RNA_hook_turn</t>
        </is>
      </c>
      <c r="B1793" t="inlineStr">
        <is>
          <t>http://identifiers.org/so/SO:0000027</t>
        </is>
      </c>
    </row>
    <row r="1794" ht="15" customHeight="1">
      <c r="A1794" t="inlineStr">
        <is>
          <t>RNA_internal_loop</t>
        </is>
      </c>
      <c r="B1794" t="inlineStr">
        <is>
          <t>http://identifiers.org/so/SO:0000020</t>
        </is>
      </c>
      <c r="C1794" t="inlineStr">
        <is>
          <t>['6S RNA', 'RNA 6S']</t>
        </is>
      </c>
    </row>
    <row r="1795" ht="15" customHeight="1">
      <c r="A1795" t="inlineStr">
        <is>
          <t>RNA_junction_loop</t>
        </is>
      </c>
      <c r="B1795" t="inlineStr">
        <is>
          <t>http://identifiers.org/so/SO:0000026</t>
        </is>
      </c>
      <c r="C1795" t="inlineStr">
        <is>
          <t>['RNA aptamer']</t>
        </is>
      </c>
    </row>
    <row r="1796" ht="15" customHeight="1">
      <c r="A1796" t="inlineStr">
        <is>
          <t>RNA_motif</t>
        </is>
      </c>
      <c r="B1796" t="inlineStr">
        <is>
          <t>http://identifiers.org/so/SO:0000715</t>
        </is>
      </c>
      <c r="C1796" t="inlineStr">
        <is>
          <t>['RNA chromosome']</t>
        </is>
      </c>
    </row>
    <row r="1797" ht="15" customHeight="1">
      <c r="A1797" t="inlineStr">
        <is>
          <t>RNA_polymerase_II_TATA_box</t>
        </is>
      </c>
      <c r="B1797" t="inlineStr">
        <is>
          <t>http://identifiers.org/so/SO:0001661</t>
        </is>
      </c>
      <c r="C1797" t="inlineStr">
        <is>
          <t>['hook turn', 'hook-turn motif', 'RNA hook turn']</t>
        </is>
      </c>
    </row>
    <row r="1798" ht="15" customHeight="1">
      <c r="A1798" t="inlineStr">
        <is>
          <t>RNA_polymerase_III_TATA_box</t>
        </is>
      </c>
      <c r="B1798" t="inlineStr">
        <is>
          <t>http://identifiers.org/so/SO:0001662</t>
        </is>
      </c>
      <c r="C1798" t="inlineStr">
        <is>
          <t>['RNA internal loop']</t>
        </is>
      </c>
    </row>
    <row r="1799" ht="15" customHeight="1">
      <c r="A1799" t="inlineStr">
        <is>
          <t>RNA_polymerase_promoter</t>
        </is>
      </c>
      <c r="B1799" t="inlineStr">
        <is>
          <t>http://identifiers.org/so/SO:0001203</t>
        </is>
      </c>
      <c r="C1799" t="inlineStr">
        <is>
          <t>['RNA junction loop']</t>
        </is>
      </c>
    </row>
    <row r="1800" ht="15" customHeight="1">
      <c r="A1800" t="inlineStr">
        <is>
          <t>RNA_replication_mode</t>
        </is>
      </c>
      <c r="B1800" t="inlineStr">
        <is>
          <t>http://identifiers.org/so/SO:0000972</t>
        </is>
      </c>
      <c r="C1800" t="inlineStr">
        <is>
          <t>['RNA motif']</t>
        </is>
      </c>
    </row>
    <row r="1801" ht="15" customHeight="1">
      <c r="A1801" t="inlineStr">
        <is>
          <t>RNA_sequence_secondary_structure</t>
        </is>
      </c>
      <c r="B1801" t="inlineStr">
        <is>
          <t>http://identifiers.org/so/SO:0000122</t>
        </is>
      </c>
      <c r="C1801" t="inlineStr">
        <is>
          <t>['RNA polymerase II TATA box']</t>
        </is>
      </c>
    </row>
    <row r="1802" ht="15" customHeight="1">
      <c r="A1802" t="inlineStr">
        <is>
          <t>RNA_stability_element</t>
        </is>
      </c>
      <c r="B1802" t="inlineStr">
        <is>
          <t>http://identifiers.org/so/SO:0001979</t>
        </is>
      </c>
      <c r="C1802" t="inlineStr">
        <is>
          <t>['RNA polymerase III TATA box']</t>
        </is>
      </c>
    </row>
    <row r="1803" ht="15" customHeight="1">
      <c r="A1803" t="inlineStr">
        <is>
          <t>RNA_thermometer</t>
        </is>
      </c>
      <c r="B1803" t="inlineStr">
        <is>
          <t>http://identifiers.org/so/SO:0002168</t>
        </is>
      </c>
      <c r="C1803" t="inlineStr">
        <is>
          <t>['RNA polymerase promoter']</t>
        </is>
      </c>
    </row>
    <row r="1804" ht="15" customHeight="1">
      <c r="A1804" t="inlineStr">
        <is>
          <t>RNAi_reagent</t>
        </is>
      </c>
      <c r="B1804" t="inlineStr">
        <is>
          <t>http://identifiers.org/so/SO:0000337</t>
        </is>
      </c>
      <c r="C1804" t="inlineStr">
        <is>
          <t>['RNA replication mode']</t>
        </is>
      </c>
    </row>
    <row r="1805" ht="15" customHeight="1">
      <c r="A1805" t="inlineStr">
        <is>
          <t>RNApol_I_promoter</t>
        </is>
      </c>
      <c r="B1805" t="inlineStr">
        <is>
          <t>http://identifiers.org/so/SO:0000169</t>
        </is>
      </c>
      <c r="C1805" t="inlineStr">
        <is>
          <t>['RNA sequence secondary structure']</t>
        </is>
      </c>
    </row>
    <row r="1806" ht="15" customHeight="1">
      <c r="A1806" t="inlineStr">
        <is>
          <t>RNApol_II_core_promoter</t>
        </is>
      </c>
      <c r="B1806" t="inlineStr">
        <is>
          <t>http://identifiers.org/so/SO:0001669</t>
        </is>
      </c>
      <c r="C1806" t="inlineStr">
        <is>
          <t>['RNA stability element']</t>
        </is>
      </c>
    </row>
    <row r="1807" ht="15" customHeight="1">
      <c r="A1807" t="inlineStr">
        <is>
          <t>RNApol_II_promoter</t>
        </is>
      </c>
      <c r="B1807" t="inlineStr">
        <is>
          <t>http://identifiers.org/so/SO:0000170</t>
        </is>
      </c>
      <c r="C1807" t="inlineStr">
        <is>
          <t>['RNAT', 'thermoregulator', 'RNA thermometer', 'RNA thermoregulator']</t>
        </is>
      </c>
    </row>
    <row r="1808" ht="15" customHeight="1">
      <c r="A1808" t="inlineStr">
        <is>
          <t>RNApol_II_promoter_region</t>
        </is>
      </c>
      <c r="B1808" t="inlineStr">
        <is>
          <t>http://identifiers.org/so/SO:0000844</t>
        </is>
      </c>
      <c r="C1808" t="inlineStr">
        <is>
          <t>['RNAi reagent']</t>
        </is>
      </c>
    </row>
    <row r="1809" ht="15" customHeight="1">
      <c r="A1809" t="inlineStr">
        <is>
          <t>RNApol_III_promoter</t>
        </is>
      </c>
      <c r="B1809" t="inlineStr">
        <is>
          <t>http://identifiers.org/so/SO:0000171</t>
        </is>
      </c>
      <c r="C1809" t="inlineStr">
        <is>
          <t>['pol I promoter', 'RNA polymerase A promoter', 'polymerase I promoter', 'RNApol I promoter']</t>
        </is>
      </c>
    </row>
    <row r="1810" ht="15" customHeight="1">
      <c r="A1810" t="inlineStr">
        <is>
          <t>RNApol_III_promoter_type_1</t>
        </is>
      </c>
      <c r="B1810" t="inlineStr">
        <is>
          <t>http://identifiers.org/so/SO:0000617</t>
        </is>
      </c>
      <c r="C1810" t="inlineStr">
        <is>
          <t>['RNApol II core promoter']</t>
        </is>
      </c>
    </row>
    <row r="1811" ht="15" customHeight="1">
      <c r="A1811" t="inlineStr">
        <is>
          <t>RNApol_III_promoter_type_1_region</t>
        </is>
      </c>
      <c r="B1811" t="inlineStr">
        <is>
          <t>http://identifiers.org/so/SO:0000845</t>
        </is>
      </c>
      <c r="C1811" t="inlineStr">
        <is>
          <t>['polymerase II promoter', 'RNA polymerase B promoter', 'pol II promoter', 'RNApol II promoter']</t>
        </is>
      </c>
    </row>
    <row r="1812" ht="15" customHeight="1">
      <c r="A1812" t="inlineStr">
        <is>
          <t>RNApol_III_promoter_type_2</t>
        </is>
      </c>
      <c r="B1812" t="inlineStr">
        <is>
          <t>http://identifiers.org/so/SO:0000618</t>
        </is>
      </c>
    </row>
    <row r="1813" ht="15" customHeight="1">
      <c r="A1813" t="inlineStr">
        <is>
          <t>RNApol_III_promoter_type_2_region</t>
        </is>
      </c>
      <c r="B1813" t="inlineStr">
        <is>
          <t>http://identifiers.org/so/SO:0000846</t>
        </is>
      </c>
      <c r="C1813" t="inlineStr">
        <is>
          <t>['RNApol III promoter', 'polymerase III promoter', 'pol III promoter', 'RNA polymerase C promoter']</t>
        </is>
      </c>
    </row>
    <row r="1814" ht="15" customHeight="1">
      <c r="A1814" t="inlineStr">
        <is>
          <t>RNApol_III_promoter_type_3</t>
        </is>
      </c>
      <c r="B1814" t="inlineStr">
        <is>
          <t>http://identifiers.org/so/SO:0000621</t>
        </is>
      </c>
      <c r="C1814" t="inlineStr">
        <is>
          <t>['RNApol III promoter type 1']</t>
        </is>
      </c>
    </row>
    <row r="1815" ht="15" customHeight="1">
      <c r="A1815" t="inlineStr">
        <is>
          <t>RNase_MRP_RNA</t>
        </is>
      </c>
      <c r="B1815" t="inlineStr">
        <is>
          <t>http://identifiers.org/so/SO:0000385</t>
        </is>
      </c>
    </row>
    <row r="1816" ht="15" customHeight="1">
      <c r="A1816" t="inlineStr">
        <is>
          <t>RNase_MRP_RNA_gene</t>
        </is>
      </c>
      <c r="B1816" t="inlineStr">
        <is>
          <t>http://identifiers.org/so/SO:0001640</t>
        </is>
      </c>
      <c r="C1816" t="inlineStr">
        <is>
          <t>['RNApol III promoter type 2', 'tRNA promoter']</t>
        </is>
      </c>
    </row>
    <row r="1817" ht="15" customHeight="1">
      <c r="A1817" t="inlineStr">
        <is>
          <t>RNase_P_RNA</t>
        </is>
      </c>
      <c r="B1817" t="inlineStr">
        <is>
          <t>http://identifiers.org/so/SO:0000386</t>
        </is>
      </c>
    </row>
    <row r="1818" ht="15" customHeight="1">
      <c r="A1818" t="inlineStr">
        <is>
          <t>RNase_P_RNA_gene</t>
        </is>
      </c>
      <c r="B1818" t="inlineStr">
        <is>
          <t>http://identifiers.org/so/SO:0001639</t>
        </is>
      </c>
      <c r="C1818" t="inlineStr">
        <is>
          <t>['RNApol III promoter type 3']</t>
        </is>
      </c>
    </row>
    <row r="1819" ht="15" customHeight="1">
      <c r="A1819" t="inlineStr">
        <is>
          <t>Robertsonian_fusion</t>
        </is>
      </c>
      <c r="B1819" t="inlineStr">
        <is>
          <t>http://identifiers.org/so/SO:1000043</t>
        </is>
      </c>
      <c r="C1819" t="inlineStr">
        <is>
          <t>['INSDC_qualifier:RNase_MRP_RNA', 'INSDC_feature:ncRNA', 'RNase MRP RNA']</t>
        </is>
      </c>
    </row>
    <row r="1820" ht="15" customHeight="1">
      <c r="A1820" t="inlineStr">
        <is>
          <t>rolling_circle</t>
        </is>
      </c>
      <c r="B1820" t="inlineStr">
        <is>
          <t>http://identifiers.org/so/SO:0000969</t>
        </is>
      </c>
      <c r="C1820" t="inlineStr">
        <is>
          <t>['RNase MRP RNA gene']</t>
        </is>
      </c>
    </row>
    <row r="1821" ht="15" customHeight="1">
      <c r="A1821" t="inlineStr">
        <is>
          <t>RprA_RNA</t>
        </is>
      </c>
      <c r="B1821" t="inlineStr">
        <is>
          <t>http://identifiers.org/so/SO:0000387</t>
        </is>
      </c>
      <c r="C1821" t="inlineStr">
        <is>
          <t>['INSDC_feature:ncRNA', 'RNase P RNA', 'INSDC_qualifier:RNase_P_RNA']</t>
        </is>
      </c>
    </row>
    <row r="1822" ht="15" customHeight="1">
      <c r="A1822" t="inlineStr">
        <is>
          <t>RR_tract</t>
        </is>
      </c>
      <c r="B1822" t="inlineStr">
        <is>
          <t>http://identifiers.org/so/SO:0000435</t>
        </is>
      </c>
      <c r="C1822" t="inlineStr">
        <is>
          <t>['RNase P RNA gene']</t>
        </is>
      </c>
    </row>
    <row r="1823" ht="15" customHeight="1">
      <c r="A1823" t="inlineStr">
        <is>
          <t>RRE_RNA</t>
        </is>
      </c>
      <c r="B1823" t="inlineStr">
        <is>
          <t>http://identifiers.org/so/SO:0000388</t>
        </is>
      </c>
      <c r="C1823" t="inlineStr">
        <is>
          <t>['centric-fusion translocations', 'whole-arm translocations', 'Robertsonian fusion']</t>
        </is>
      </c>
    </row>
    <row r="1824" ht="15" customHeight="1">
      <c r="A1824" t="inlineStr">
        <is>
          <t>rRNA</t>
        </is>
      </c>
      <c r="B1824" t="inlineStr">
        <is>
          <t>http://identifiers.org/so/SO:0000252</t>
        </is>
      </c>
      <c r="C1824" t="inlineStr">
        <is>
          <t>['rolling circle']</t>
        </is>
      </c>
    </row>
    <row r="1825" ht="15" customHeight="1">
      <c r="A1825" t="inlineStr">
        <is>
          <t>rRNA_16S</t>
        </is>
      </c>
      <c r="B1825" t="inlineStr">
        <is>
          <t>http://identifiers.org/so/SO:0001000</t>
        </is>
      </c>
      <c r="C1825" t="inlineStr">
        <is>
          <t>['RprA RNA']</t>
        </is>
      </c>
    </row>
    <row r="1826" ht="15" customHeight="1">
      <c r="A1826" t="inlineStr">
        <is>
          <t>rRNA_16S_gene</t>
        </is>
      </c>
      <c r="B1826" t="inlineStr">
        <is>
          <t>http://identifiers.org/so/SO:0002237</t>
        </is>
      </c>
      <c r="C1826" t="inlineStr">
        <is>
          <t>['RR tract', 'LTR retrotransposon poly purine tract']</t>
        </is>
      </c>
    </row>
    <row r="1827" ht="15" customHeight="1">
      <c r="A1827" t="inlineStr">
        <is>
          <t>rRNA_18S</t>
        </is>
      </c>
      <c r="B1827" t="inlineStr">
        <is>
          <t>http://identifiers.org/so/SO:0000407</t>
        </is>
      </c>
      <c r="C1827" t="inlineStr">
        <is>
          <t>['RRE RNA']</t>
        </is>
      </c>
    </row>
    <row r="1828" ht="15" customHeight="1">
      <c r="A1828" t="inlineStr">
        <is>
          <t>rRNA_18S_gene</t>
        </is>
      </c>
      <c r="B1828" t="inlineStr">
        <is>
          <t>http://identifiers.org/so/SO:0002236</t>
        </is>
      </c>
      <c r="C1828" t="inlineStr">
        <is>
          <t>['ribosomal ribonucleic acid', 'INSDC_qualifier:unknown', 'ribosomal RNA', 'INSDC_feature:rRNA']</t>
        </is>
      </c>
    </row>
    <row r="1829" ht="15" customHeight="1">
      <c r="A1829" t="inlineStr">
        <is>
          <t>rRNA_21S</t>
        </is>
      </c>
      <c r="B1829" t="inlineStr">
        <is>
          <t>http://identifiers.org/so/SO:0001171</t>
        </is>
      </c>
      <c r="C1829" t="inlineStr">
        <is>
          <t>['16S ribosomal RNA', 'rRNA 16S', '16S SSU RNA', '16S rRNA']</t>
        </is>
      </c>
    </row>
    <row r="1830" ht="15" customHeight="1">
      <c r="A1830" t="inlineStr">
        <is>
          <t>rRNA_21S_gene</t>
        </is>
      </c>
      <c r="B1830" t="inlineStr">
        <is>
          <t>http://identifiers.org/so/SO:0002241</t>
        </is>
      </c>
      <c r="C1830" t="inlineStr">
        <is>
          <t>['16S_rRNA_gene', '16S rRNA gene']</t>
        </is>
      </c>
    </row>
    <row r="1831" ht="15" customHeight="1">
      <c r="A1831" t="inlineStr">
        <is>
          <t>rRNA_23S</t>
        </is>
      </c>
      <c r="B1831" t="inlineStr">
        <is>
          <t>http://identifiers.org/so/SO:0001001</t>
        </is>
      </c>
      <c r="C1831" t="inlineStr">
        <is>
          <t>['rRNA 18S', '18S ribosomal RNA', '18S rRNA']</t>
        </is>
      </c>
    </row>
    <row r="1832" ht="15" customHeight="1">
      <c r="A1832" t="inlineStr">
        <is>
          <t>rRNA_23S_gene</t>
        </is>
      </c>
      <c r="B1832" t="inlineStr">
        <is>
          <t>http://identifiers.org/so/SO:0002243</t>
        </is>
      </c>
      <c r="C1832" t="inlineStr">
        <is>
          <t>['18S_rRNA_gene', '18S rRNA gene']</t>
        </is>
      </c>
    </row>
    <row r="1833" ht="15" customHeight="1">
      <c r="A1833" t="inlineStr">
        <is>
          <t>rRNA_25S</t>
        </is>
      </c>
      <c r="B1833" t="inlineStr">
        <is>
          <t>http://identifiers.org/so/SO:0001002</t>
        </is>
      </c>
      <c r="C1833" t="inlineStr">
        <is>
          <t>['rRNA 21S', '21S LSU rRNA', '21S rRNA', '21S ribosomal RNA']</t>
        </is>
      </c>
    </row>
    <row r="1834" ht="15" customHeight="1">
      <c r="A1834" t="inlineStr">
        <is>
          <t>rRNA_25S_gene</t>
        </is>
      </c>
      <c r="B1834" t="inlineStr">
        <is>
          <t>http://identifiers.org/so/SO:0002242</t>
        </is>
      </c>
      <c r="C1834" t="inlineStr">
        <is>
          <t>['21S_rRNA_gene', '21S rRNA gene']</t>
        </is>
      </c>
    </row>
    <row r="1835" ht="15" customHeight="1">
      <c r="A1835" t="inlineStr">
        <is>
          <t>rRNA_28S</t>
        </is>
      </c>
      <c r="B1835" t="inlineStr">
        <is>
          <t>http://identifiers.org/so/SO:0000653</t>
        </is>
      </c>
      <c r="C1835" t="inlineStr">
        <is>
          <t>['23S rRNA', 'rRNA 23S', '23S ribosomal RNA', '23S LSU rRNA']</t>
        </is>
      </c>
    </row>
    <row r="1836" ht="15" customHeight="1">
      <c r="A1836" t="inlineStr">
        <is>
          <t>rRNA_28S_gene</t>
        </is>
      </c>
      <c r="B1836" t="inlineStr">
        <is>
          <t>http://identifiers.org/so/SO:0002239</t>
        </is>
      </c>
      <c r="C1836" t="inlineStr">
        <is>
          <t>['23S_rRNA_gene', '23S rRNA gene']</t>
        </is>
      </c>
    </row>
    <row r="1837" ht="15" customHeight="1">
      <c r="A1837" t="inlineStr">
        <is>
          <t>rRNA_5_8S</t>
        </is>
      </c>
      <c r="B1837" t="inlineStr">
        <is>
          <t>http://identifiers.org/so/SO:0000375</t>
        </is>
      </c>
      <c r="C1837" t="inlineStr">
        <is>
          <t>['25S LSU rRNA', '25S rRNA', '25S ribosomal RNA', 'rRNA 25S']</t>
        </is>
      </c>
    </row>
    <row r="1838" ht="15" customHeight="1">
      <c r="A1838" t="inlineStr">
        <is>
          <t>rRNA_5_8S_gene</t>
        </is>
      </c>
      <c r="B1838" t="inlineStr">
        <is>
          <t>http://identifiers.org/so/SO:0002240</t>
        </is>
      </c>
      <c r="C1838" t="inlineStr">
        <is>
          <t>['25S_rRNA_gene', '25S rRNA gene']</t>
        </is>
      </c>
    </row>
    <row r="1839" ht="15" customHeight="1">
      <c r="A1839" t="inlineStr">
        <is>
          <t>rRNA_5S</t>
        </is>
      </c>
      <c r="B1839" t="inlineStr">
        <is>
          <t>http://identifiers.org/so/SO:0000652</t>
        </is>
      </c>
      <c r="C1839" t="inlineStr">
        <is>
          <t>['28S LSU rRNA', '28S rRNA', 'rRNA 28S', '28S ribosomal RNA']</t>
        </is>
      </c>
    </row>
    <row r="1840" ht="15" customHeight="1">
      <c r="A1840" t="inlineStr">
        <is>
          <t>rRNA_5S_gene</t>
        </is>
      </c>
      <c r="B1840" t="inlineStr">
        <is>
          <t>http://identifiers.org/so/SO:0002238</t>
        </is>
      </c>
      <c r="C1840" t="inlineStr">
        <is>
          <t>['28S rRNA gene', '28S_rRNA_gene']</t>
        </is>
      </c>
    </row>
    <row r="1841" ht="15" customHeight="1">
      <c r="A1841" t="inlineStr">
        <is>
          <t>rRNA_cleavage_RNA</t>
        </is>
      </c>
      <c r="B1841" t="inlineStr">
        <is>
          <t>http://identifiers.org/so/SO:0005843</t>
        </is>
      </c>
      <c r="C1841" t="inlineStr">
        <is>
          <t>['5.8S ribosomal RNA', 'rRNA 5 8S', '5.8S rRNA', '5.8S LSU rRNA']</t>
        </is>
      </c>
    </row>
    <row r="1842" ht="15" customHeight="1">
      <c r="A1842" t="inlineStr">
        <is>
          <t>rRNA_cleavage_snoRNA_primary_transcript</t>
        </is>
      </c>
      <c r="B1842" t="inlineStr">
        <is>
          <t>http://identifiers.org/so/SO:0000582</t>
        </is>
      </c>
      <c r="C1842" t="inlineStr">
        <is>
          <t>['5_8S rRNA gene', '5_8S_rRNA_gene', '5.8S rRNA gene']</t>
        </is>
      </c>
    </row>
    <row r="1843" ht="15" customHeight="1">
      <c r="A1843" t="inlineStr">
        <is>
          <t>rRNA_encoding</t>
        </is>
      </c>
      <c r="B1843" t="inlineStr">
        <is>
          <t>http://identifiers.org/so/SO:0000573</t>
        </is>
      </c>
      <c r="C1843" t="inlineStr">
        <is>
          <t>['5S ribosomal RNA', '5S rRNA', '5S LSU rRNA', 'rRNA 5S']</t>
        </is>
      </c>
    </row>
    <row r="1844" ht="15" customHeight="1">
      <c r="A1844" t="inlineStr">
        <is>
          <t>rRNA_gene</t>
        </is>
      </c>
      <c r="B1844" t="inlineStr">
        <is>
          <t>http://identifiers.org/so/SO:0001637</t>
        </is>
      </c>
      <c r="C1844" t="inlineStr">
        <is>
          <t>['5S rRNA gene', '5S_rRNA_gene']</t>
        </is>
      </c>
    </row>
    <row r="1845" ht="15" customHeight="1">
      <c r="A1845" t="inlineStr">
        <is>
          <t>rRNA_large_subunit_primary_transcript</t>
        </is>
      </c>
      <c r="B1845" t="inlineStr">
        <is>
          <t>http://identifiers.org/so/SO:0000325</t>
        </is>
      </c>
      <c r="C1845" t="inlineStr">
        <is>
          <t>['rRNA cleavage RNA']</t>
        </is>
      </c>
    </row>
    <row r="1846" ht="15" customHeight="1">
      <c r="A1846" t="inlineStr">
        <is>
          <t>rRNA_primary_transcript</t>
        </is>
      </c>
      <c r="B1846" t="inlineStr">
        <is>
          <t>http://identifiers.org/so/SO:0000209</t>
        </is>
      </c>
      <c r="C1846" t="inlineStr">
        <is>
          <t>['rRNA cleavage snoRNA primary transcript']</t>
        </is>
      </c>
    </row>
    <row r="1847" ht="15" customHeight="1">
      <c r="A1847" t="inlineStr">
        <is>
          <t>rRNA_primary_transcript_region</t>
        </is>
      </c>
      <c r="B1847" t="inlineStr">
        <is>
          <t>http://identifiers.org/so/SO:0000838</t>
        </is>
      </c>
      <c r="C1847" t="inlineStr">
        <is>
          <t>['rRNA encoding']</t>
        </is>
      </c>
    </row>
    <row r="1848" ht="15" customHeight="1">
      <c r="A1848" t="inlineStr">
        <is>
          <t>rRNA_small_subunit_primary_transcript</t>
        </is>
      </c>
      <c r="B1848" t="inlineStr">
        <is>
          <t>http://identifiers.org/so/SO:0000255</t>
        </is>
      </c>
      <c r="C1848" t="inlineStr">
        <is>
          <t>['rDNA', 'rRNA gene']</t>
        </is>
      </c>
    </row>
    <row r="1849" ht="15" customHeight="1">
      <c r="A1849" t="inlineStr">
        <is>
          <t>RST</t>
        </is>
      </c>
      <c r="B1849" t="inlineStr">
        <is>
          <t>http://identifiers.org/so/SO:0001467</t>
        </is>
      </c>
      <c r="C1849" t="inlineStr">
        <is>
          <t>['35S rRNA primary transcript', 'rRNA large subunit primary transcript']</t>
        </is>
      </c>
    </row>
    <row r="1850" ht="15" customHeight="1">
      <c r="A1850" t="inlineStr">
        <is>
          <t>RST_match</t>
        </is>
      </c>
      <c r="B1850" t="inlineStr">
        <is>
          <t>http://identifiers.org/so/SO:0001471</t>
        </is>
      </c>
      <c r="C1850" t="inlineStr">
        <is>
          <t>['ribosomal RNA primary transcript', 'rRNA primary transcript']</t>
        </is>
      </c>
    </row>
    <row r="1851" ht="15" customHeight="1">
      <c r="A1851" t="inlineStr">
        <is>
          <t>RTE_LINE_retrotransposon</t>
        </is>
      </c>
      <c r="B1851" t="inlineStr">
        <is>
          <t>http://identifiers.org/so/SO:0002270</t>
        </is>
      </c>
      <c r="C1851" t="inlineStr">
        <is>
          <t>['rRNA primary transcript region']</t>
        </is>
      </c>
    </row>
    <row r="1852" ht="15" customHeight="1">
      <c r="A1852" t="inlineStr">
        <is>
          <t>S_GNA</t>
        </is>
      </c>
      <c r="B1852" t="inlineStr">
        <is>
          <t>http://identifiers.org/so/SO:0001196</t>
        </is>
      </c>
      <c r="C1852" t="inlineStr">
        <is>
          <t>['rRNA small subunit primary transcript']</t>
        </is>
      </c>
    </row>
    <row r="1853" ht="15" customHeight="1">
      <c r="A1853" t="inlineStr">
        <is>
          <t>S_GNA_oligo</t>
        </is>
      </c>
      <c r="B1853" t="inlineStr">
        <is>
          <t>http://identifiers.org/so/SO:0001197</t>
        </is>
      </c>
      <c r="C1853" t="inlineStr">
        <is>
          <t>['RACE sequence tag']</t>
        </is>
      </c>
    </row>
    <row r="1854" ht="15" customHeight="1">
      <c r="A1854" t="inlineStr">
        <is>
          <t>S_region</t>
        </is>
      </c>
      <c r="B1854" t="inlineStr">
        <is>
          <t>http://identifiers.org/so/SO:0001836</t>
        </is>
      </c>
      <c r="C1854" t="inlineStr">
        <is>
          <t>['RST match']</t>
        </is>
      </c>
    </row>
    <row r="1855" ht="15" customHeight="1">
      <c r="A1855" t="inlineStr">
        <is>
          <t>SAGE_tag</t>
        </is>
      </c>
      <c r="B1855" t="inlineStr">
        <is>
          <t>http://identifiers.org/so/SO:0000326</t>
        </is>
      </c>
      <c r="C1855" t="inlineStr">
        <is>
          <t>['RTE retrotransposon', 'RIT retrotransposon', 'RTE LINE retrotransposon']</t>
        </is>
      </c>
    </row>
    <row r="1856" ht="15" customHeight="1">
      <c r="A1856" t="inlineStr">
        <is>
          <t>Sap1_recognition_motif</t>
        </is>
      </c>
      <c r="B1856" t="inlineStr">
        <is>
          <t>http://identifiers.org/so/SO:0001864</t>
        </is>
      </c>
      <c r="C1856" t="inlineStr">
        <is>
          <t>['S GNA']</t>
        </is>
      </c>
    </row>
    <row r="1857" ht="15" customHeight="1">
      <c r="A1857" t="inlineStr">
        <is>
          <t>sarcin_like_RNA_motif</t>
        </is>
      </c>
      <c r="B1857" t="inlineStr">
        <is>
          <t>http://identifiers.org/so/SO:0000024</t>
        </is>
      </c>
      <c r="C1857" t="inlineStr">
        <is>
          <t>['S GNA oligo', '(S)-glycerol nucleic acid', '(S)-glycol nucleic acid']</t>
        </is>
      </c>
    </row>
    <row r="1858" ht="15" customHeight="1">
      <c r="A1858" t="inlineStr">
        <is>
          <t>satellite_DNA</t>
        </is>
      </c>
      <c r="B1858" t="inlineStr">
        <is>
          <t>http://identifiers.org/so/SO:0000005</t>
        </is>
      </c>
      <c r="C1858" t="inlineStr">
        <is>
          <t>['INSDC_feature:S_region', 'S region']</t>
        </is>
      </c>
    </row>
    <row r="1859" ht="15" customHeight="1">
      <c r="A1859" t="inlineStr">
        <is>
          <t>scaRNA</t>
        </is>
      </c>
      <c r="B1859" t="inlineStr">
        <is>
          <t>http://identifiers.org/so/SO:0002095</t>
        </is>
      </c>
      <c r="C1859" t="inlineStr">
        <is>
          <t>['SAGE tag']</t>
        </is>
      </c>
    </row>
    <row r="1860" ht="15" customHeight="1">
      <c r="A1860" t="inlineStr">
        <is>
          <t>schellmann_loop</t>
        </is>
      </c>
      <c r="B1860" t="inlineStr">
        <is>
          <t>http://identifiers.org/so/SO:0001123</t>
        </is>
      </c>
      <c r="C1860" t="inlineStr">
        <is>
          <t>['Sap1 recognitions site']</t>
        </is>
      </c>
    </row>
    <row r="1861" ht="15" customHeight="1">
      <c r="A1861" t="inlineStr">
        <is>
          <t>schellmann_loop_seven</t>
        </is>
      </c>
      <c r="B1861" t="inlineStr">
        <is>
          <t>http://identifiers.org/so/SO:0001124</t>
        </is>
      </c>
      <c r="C1861" t="inlineStr">
        <is>
          <t>['sarcin/ricin domain', 'sarcin/ricin loop', 'sarcin like RNA motif', 'sarcin/ricin RNA domain']</t>
        </is>
      </c>
    </row>
    <row r="1862" ht="15" customHeight="1">
      <c r="A1862" t="inlineStr">
        <is>
          <t>schellmann_loop_six</t>
        </is>
      </c>
      <c r="B1862" t="inlineStr">
        <is>
          <t>http://identifiers.org/so/SO:0001125</t>
        </is>
      </c>
      <c r="C1862" t="inlineStr">
        <is>
          <t>['satellite DNA', 'INSDC_qualifier:satellite', 'INSDC_feature:repeat_region']</t>
        </is>
      </c>
    </row>
    <row r="1863" ht="15" customHeight="1">
      <c r="A1863" t="inlineStr">
        <is>
          <t>score</t>
        </is>
      </c>
      <c r="B1863" t="inlineStr">
        <is>
          <t>http://identifiers.org/so/SO:0001685</t>
        </is>
      </c>
      <c r="C1863" t="inlineStr">
        <is>
          <t>['small Cajal body-specific RNA', 'small Cajal body specific RNA']</t>
        </is>
      </c>
    </row>
    <row r="1864" ht="15" customHeight="1">
      <c r="A1864" t="inlineStr">
        <is>
          <t>scRNA</t>
        </is>
      </c>
      <c r="B1864" t="inlineStr">
        <is>
          <t>http://identifiers.org/so/SO:0000013</t>
        </is>
      </c>
      <c r="C1864" t="inlineStr">
        <is>
          <t>['schellmann loop', 'paperclip loop', 'paperclip']</t>
        </is>
      </c>
    </row>
    <row r="1865" ht="15" customHeight="1">
      <c r="A1865" t="inlineStr">
        <is>
          <t>scRNA_encoding</t>
        </is>
      </c>
      <c r="B1865" t="inlineStr">
        <is>
          <t>http://identifiers.org/so/SO:0000575</t>
        </is>
      </c>
      <c r="C1865" t="inlineStr">
        <is>
          <t>['schellmann loop seven', 'seven-residue schellmann loop']</t>
        </is>
      </c>
    </row>
    <row r="1866" ht="15" customHeight="1">
      <c r="A1866" t="inlineStr">
        <is>
          <t>scRNA_gene</t>
        </is>
      </c>
      <c r="B1866" t="inlineStr">
        <is>
          <t>http://identifiers.org/so/SO:0001266</t>
        </is>
      </c>
      <c r="C1866" t="inlineStr">
        <is>
          <t>['six-residue schellmann loop', 'schellmann loop six']</t>
        </is>
      </c>
    </row>
    <row r="1867" ht="15" customHeight="1">
      <c r="A1867" t="inlineStr">
        <is>
          <t>scRNA_primary_transcript</t>
        </is>
      </c>
      <c r="B1867" t="inlineStr">
        <is>
          <t>http://identifiers.org/so/SO:0000012</t>
        </is>
      </c>
    </row>
    <row r="1868" ht="15" customHeight="1">
      <c r="A1868" t="inlineStr">
        <is>
          <t>SECIS_element</t>
        </is>
      </c>
      <c r="B1868" t="inlineStr">
        <is>
          <t>http://identifiers.org/so/SO:1001274</t>
        </is>
      </c>
      <c r="C1868" t="inlineStr">
        <is>
          <t>['small cytoplasmic RNA', 'INSDC_qualifier:scRNA', 'INSDC_feature:ncRNA']</t>
        </is>
      </c>
    </row>
    <row r="1869" ht="15" customHeight="1">
      <c r="A1869" t="inlineStr">
        <is>
          <t>selection_marker</t>
        </is>
      </c>
      <c r="B1869" t="inlineStr">
        <is>
          <t>http://identifiers.org/so/SO:0002232</t>
        </is>
      </c>
      <c r="C1869" t="inlineStr">
        <is>
          <t>['scRNA encoding']</t>
        </is>
      </c>
    </row>
    <row r="1870" ht="15" customHeight="1">
      <c r="A1870" t="inlineStr">
        <is>
          <t>selenocysteine</t>
        </is>
      </c>
      <c r="B1870" t="inlineStr">
        <is>
          <t>http://identifiers.org/so/SO:0001455</t>
        </is>
      </c>
      <c r="C1870" t="inlineStr">
        <is>
          <t>['scRNA gene']</t>
        </is>
      </c>
    </row>
    <row r="1871" ht="15" customHeight="1">
      <c r="A1871" t="inlineStr">
        <is>
          <t>selenocysteine_loss</t>
        </is>
      </c>
      <c r="B1871" t="inlineStr">
        <is>
          <t>http://identifiers.org/so/SO:0002009</t>
        </is>
      </c>
      <c r="C1871" t="inlineStr">
        <is>
          <t>['scRNA transcript', 'small cytoplasmic RNA', 'small_cytoplasmic_RNA', 'small cytoplasmic RNA transcript', 'scRNA primary transcript']</t>
        </is>
      </c>
    </row>
    <row r="1872" ht="15" customHeight="1">
      <c r="A1872" t="inlineStr">
        <is>
          <t>selenocysteine_tRNA_primary_transcript</t>
        </is>
      </c>
      <c r="B1872" t="inlineStr">
        <is>
          <t>http://identifiers.org/so/SO:0005856</t>
        </is>
      </c>
      <c r="C1872" t="inlineStr">
        <is>
          <t>['SECIS element']</t>
        </is>
      </c>
    </row>
    <row r="1873" ht="15" customHeight="1">
      <c r="A1873" t="inlineStr">
        <is>
          <t>selenocysteinyl_tRNA</t>
        </is>
      </c>
      <c r="B1873" t="inlineStr">
        <is>
          <t>http://identifiers.org/so/SO:0005857</t>
        </is>
      </c>
      <c r="C1873" t="inlineStr">
        <is>
          <t>['selection marker', 'selectable_marker', 'selectable marker']</t>
        </is>
      </c>
    </row>
    <row r="1874" ht="15" customHeight="1">
      <c r="A1874" t="inlineStr">
        <is>
          <t>self_cleaving_ribozyme</t>
        </is>
      </c>
      <c r="B1874" t="inlineStr">
        <is>
          <t>http://identifiers.org/so/SO:0002231</t>
        </is>
      </c>
      <c r="C1874" t="inlineStr">
        <is>
          <t>['U', 'Sec']</t>
        </is>
      </c>
    </row>
    <row r="1875" ht="15" customHeight="1">
      <c r="A1875" t="inlineStr">
        <is>
          <t>sense_intronic_ncRNA</t>
        </is>
      </c>
      <c r="B1875" t="inlineStr">
        <is>
          <t>http://identifiers.org/so/SO:0002131</t>
        </is>
      </c>
      <c r="C1875" t="inlineStr">
        <is>
          <t>['selenocysteine loss']</t>
        </is>
      </c>
    </row>
    <row r="1876" ht="15" customHeight="1">
      <c r="A1876" t="inlineStr">
        <is>
          <t>sense_intronic_ncRNA_gene</t>
        </is>
      </c>
      <c r="B1876" t="inlineStr">
        <is>
          <t>http://identifiers.org/so/SO:0002184</t>
        </is>
      </c>
      <c r="C1876" t="inlineStr">
        <is>
          <t>['selenocysteine tRNA primary transcript']</t>
        </is>
      </c>
    </row>
    <row r="1877" ht="15" customHeight="1">
      <c r="A1877" t="inlineStr">
        <is>
          <t>sense_overlap_ncRNA</t>
        </is>
      </c>
      <c r="B1877" t="inlineStr">
        <is>
          <t>http://identifiers.org/so/SO:0002132</t>
        </is>
      </c>
      <c r="C1877" t="inlineStr">
        <is>
          <t>['selenocysteinyl-transfer ribonucleic acid', 'selenocysteinyl tRNA', 'selenocysteinyl-transfer RNA']</t>
        </is>
      </c>
    </row>
    <row r="1878" ht="15" customHeight="1">
      <c r="A1878" t="inlineStr">
        <is>
          <t>sense_overlap_ncRNA_gene</t>
        </is>
      </c>
      <c r="B1878" t="inlineStr">
        <is>
          <t>http://identifiers.org/so/SO:0002183</t>
        </is>
      </c>
      <c r="C1878" t="inlineStr">
        <is>
          <t>['self cleaving ribozyme']</t>
        </is>
      </c>
    </row>
    <row r="1879" ht="15" customHeight="1">
      <c r="A1879" t="inlineStr">
        <is>
          <t>sequence variant_affecting_transcript_stability</t>
        </is>
      </c>
      <c r="B1879" t="inlineStr">
        <is>
          <t>http://identifiers.org/so/SO:1000082</t>
        </is>
      </c>
      <c r="C1879" t="inlineStr">
        <is>
          <t>['sense_intronic_non-coding_RNA', 'sense intronic lncRNA', 'sense_intronic_lncRNA', 'sense_intronic']</t>
        </is>
      </c>
    </row>
    <row r="1880" ht="15" customHeight="1">
      <c r="A1880" t="inlineStr">
        <is>
          <t>sequence_alteration</t>
        </is>
      </c>
      <c r="B1880" t="inlineStr">
        <is>
          <t>http://identifiers.org/so/SO:0001059</t>
        </is>
      </c>
      <c r="C1880" t="inlineStr">
        <is>
          <t>['sense intronic lncRNA gene', 'sense_intronic_lncRNA_gene', 'sense intronic ncRNA gene']</t>
        </is>
      </c>
    </row>
    <row r="1881" ht="15" customHeight="1">
      <c r="A1881" t="inlineStr">
        <is>
          <t>sequence_alteration_artifact</t>
        </is>
      </c>
      <c r="B1881" t="inlineStr">
        <is>
          <t>http://identifiers.org/so/SO:0002172</t>
        </is>
      </c>
      <c r="C1881" t="inlineStr">
        <is>
          <t>['sense overlap lncRNA', 'sense_overlapping', 'sense_overlap_lncRNA']</t>
        </is>
      </c>
    </row>
    <row r="1882" ht="15" customHeight="1">
      <c r="A1882" t="inlineStr">
        <is>
          <t>sequence_assembly</t>
        </is>
      </c>
      <c r="B1882" t="inlineStr">
        <is>
          <t>http://identifiers.org/so/SO:0000353</t>
        </is>
      </c>
      <c r="C1882" t="inlineStr">
        <is>
          <t>['sense_overlap_lncRNA_gene', 'sense overlap lncRNA gene', 'sense overlap ncRNA gene']</t>
        </is>
      </c>
    </row>
    <row r="1883" ht="15" customHeight="1">
      <c r="A1883" t="inlineStr">
        <is>
          <t>sequence_attribute</t>
        </is>
      </c>
      <c r="B1883" t="inlineStr">
        <is>
          <t>http://identifiers.org/so/SO:0000400</t>
        </is>
      </c>
      <c r="C1883" t="inlineStr">
        <is>
          <t>['sequence variant affecting transcript stability', 'mutation affecting transcript stability']</t>
        </is>
      </c>
    </row>
    <row r="1884" ht="15" customHeight="1">
      <c r="A1884" t="inlineStr">
        <is>
          <t>sequence_collection</t>
        </is>
      </c>
      <c r="B1884" t="inlineStr">
        <is>
          <t>http://identifiers.org/so/SO:0001260</t>
        </is>
      </c>
      <c r="C1884" t="inlineStr">
        <is>
          <t>['INSDC_feature:variation', 'sequence alteration', 'sequence variation', 'partially_characterised_change_in_DNA_sequence', 'INSDC_note:sequence_alteration', 'INSDC_feature:misc_feature', 'partially characterised change in DNA sequence', 'uncharacterised_change_in_nucleotide_sequence']</t>
        </is>
      </c>
    </row>
    <row r="1885" ht="15" customHeight="1">
      <c r="A1885" t="inlineStr">
        <is>
          <t>sequence_comparison</t>
        </is>
      </c>
      <c r="B1885" t="inlineStr">
        <is>
          <t>http://identifiers.org/so/SO:0002072</t>
        </is>
      </c>
      <c r="C1885" t="inlineStr">
        <is>
          <t>['sequence alteration artifact']</t>
        </is>
      </c>
    </row>
    <row r="1886" ht="15" customHeight="1">
      <c r="A1886" t="inlineStr">
        <is>
          <t>sequence_conflict</t>
        </is>
      </c>
      <c r="B1886" t="inlineStr">
        <is>
          <t>http://identifiers.org/so/SO:0001085</t>
        </is>
      </c>
      <c r="C1886" t="inlineStr">
        <is>
          <t>['sequence assembly']</t>
        </is>
      </c>
    </row>
    <row r="1887" ht="15" customHeight="1">
      <c r="A1887" t="inlineStr">
        <is>
          <t>sequence_difference</t>
        </is>
      </c>
      <c r="B1887" t="inlineStr">
        <is>
          <t>http://identifiers.org/so/SO:0000413</t>
        </is>
      </c>
      <c r="C1887" t="inlineStr">
        <is>
          <t>['sequence attribute']</t>
        </is>
      </c>
    </row>
    <row r="1888" ht="15" customHeight="1">
      <c r="A1888" t="inlineStr">
        <is>
          <t>sequence_feature</t>
        </is>
      </c>
      <c r="B1888" t="inlineStr">
        <is>
          <t>http://identifiers.org/so/SO:0000110</t>
        </is>
      </c>
      <c r="C1888" t="inlineStr">
        <is>
          <t>['sequence collection']</t>
        </is>
      </c>
    </row>
    <row r="1889" ht="15" customHeight="1">
      <c r="A1889" t="inlineStr">
        <is>
          <t>sequence_feature_locating_method</t>
        </is>
      </c>
      <c r="B1889" t="inlineStr">
        <is>
          <t>http://identifiers.org/so/SO:0000308</t>
        </is>
      </c>
      <c r="C1889" t="inlineStr">
        <is>
          <t>['INSDC_feature:misc_feature', 'sequence comparison', 'INSDC_note:sequence_comparison']</t>
        </is>
      </c>
    </row>
    <row r="1890" ht="15" customHeight="1">
      <c r="A1890" t="inlineStr">
        <is>
          <t>sequence_length_alteration</t>
        </is>
      </c>
      <c r="B1890" t="inlineStr">
        <is>
          <t>http://identifiers.org/so/SO:0000248</t>
        </is>
      </c>
      <c r="C1890" t="inlineStr">
        <is>
          <t>['conflict']</t>
        </is>
      </c>
    </row>
    <row r="1891" ht="15" customHeight="1">
      <c r="A1891" t="inlineStr">
        <is>
          <t>sequence_length_variant</t>
        </is>
      </c>
      <c r="B1891" t="inlineStr">
        <is>
          <t>http://identifiers.org/so/SO:0002160</t>
        </is>
      </c>
      <c r="C1891" t="inlineStr">
        <is>
          <t>['INSDC_feature:misc_difference', 'sequence difference']</t>
        </is>
      </c>
    </row>
    <row r="1892" ht="15" customHeight="1">
      <c r="A1892" t="inlineStr">
        <is>
          <t>sequence_location</t>
        </is>
      </c>
      <c r="B1892" t="inlineStr">
        <is>
          <t>http://identifiers.org/so/SO:0000735</t>
        </is>
      </c>
      <c r="C1892" t="inlineStr">
        <is>
          <t>['INSDC_note:sequence_feature', 'located_sequence_feature', 'INSDC_note:other', 'sequence feature', 'INSDC_feature:misc_feature', 'located sequence feature']</t>
        </is>
      </c>
    </row>
    <row r="1893" ht="15" customHeight="1">
      <c r="A1893" t="inlineStr">
        <is>
          <t>sequence_motif</t>
        </is>
      </c>
      <c r="B1893" t="inlineStr">
        <is>
          <t>http://identifiers.org/so/SO:0001683</t>
        </is>
      </c>
    </row>
    <row r="1894" ht="15" customHeight="1">
      <c r="A1894" t="inlineStr">
        <is>
          <t>Sequence_Ontology</t>
        </is>
      </c>
      <c r="B1894" t="inlineStr">
        <is>
          <t>http://identifiers.org/so/SO:0000000</t>
        </is>
      </c>
      <c r="C1894" t="inlineStr">
        <is>
          <t>['sequence length alteration']</t>
        </is>
      </c>
    </row>
    <row r="1895" ht="15" customHeight="1">
      <c r="A1895" t="inlineStr">
        <is>
          <t>sequence_operation</t>
        </is>
      </c>
      <c r="B1895" t="inlineStr">
        <is>
          <t>http://identifiers.org/so/SO:0000041</t>
        </is>
      </c>
      <c r="C1895" t="inlineStr">
        <is>
          <t>['sequence length variant']</t>
        </is>
      </c>
    </row>
    <row r="1896" ht="15" customHeight="1">
      <c r="A1896" t="inlineStr">
        <is>
          <t>sequence_rearrangement_feature</t>
        </is>
      </c>
      <c r="B1896" t="inlineStr">
        <is>
          <t>http://identifiers.org/so/SO:0000669</t>
        </is>
      </c>
      <c r="C1896" t="inlineStr">
        <is>
          <t>['sequence location']</t>
        </is>
      </c>
    </row>
    <row r="1897" ht="15" customHeight="1">
      <c r="A1897" t="inlineStr">
        <is>
          <t>sequence_replication_mode</t>
        </is>
      </c>
      <c r="B1897" t="inlineStr">
        <is>
          <t>http://identifiers.org/so/SO:0000968</t>
        </is>
      </c>
      <c r="C1897" t="inlineStr">
        <is>
          <t>['sequence motif']</t>
        </is>
      </c>
    </row>
    <row r="1898" ht="15" customHeight="1">
      <c r="A1898" t="inlineStr">
        <is>
          <t>sequence_secondary_structure</t>
        </is>
      </c>
      <c r="B1898" t="inlineStr">
        <is>
          <t>http://identifiers.org/so/SO:0000002</t>
        </is>
      </c>
    </row>
    <row r="1899" ht="15" customHeight="1">
      <c r="A1899" t="inlineStr">
        <is>
          <t>sequence_source</t>
        </is>
      </c>
      <c r="B1899" t="inlineStr">
        <is>
          <t>http://identifiers.org/so/SO:0002206</t>
        </is>
      </c>
      <c r="C1899" t="inlineStr">
        <is>
          <t>['sequence operation']</t>
        </is>
      </c>
    </row>
    <row r="1900" ht="15" customHeight="1">
      <c r="A1900" t="inlineStr">
        <is>
          <t>sequence_uncertainty</t>
        </is>
      </c>
      <c r="B1900" t="inlineStr">
        <is>
          <t>http://identifiers.org/so/SO:0001086</t>
        </is>
      </c>
      <c r="C1900" t="inlineStr">
        <is>
          <t>['sequence rearrangement feature']</t>
        </is>
      </c>
    </row>
    <row r="1901" ht="15" customHeight="1">
      <c r="A1901" t="inlineStr">
        <is>
          <t>sequence_variant</t>
        </is>
      </c>
      <c r="B1901" t="inlineStr">
        <is>
          <t>http://identifiers.org/so/SO:0001060</t>
        </is>
      </c>
      <c r="C1901" t="inlineStr">
        <is>
          <t>['sequence replication mode']</t>
        </is>
      </c>
    </row>
    <row r="1902" ht="15" customHeight="1">
      <c r="A1902" t="inlineStr">
        <is>
          <t>sequence_variant_affecting_3D_structure_of_polypeptide</t>
        </is>
      </c>
      <c r="B1902" t="inlineStr">
        <is>
          <t>http://identifiers.org/so/SO:1000111</t>
        </is>
      </c>
      <c r="C1902" t="inlineStr">
        <is>
          <t>['sequence secondary structure', 'INSDC_feature:misc_structure']</t>
        </is>
      </c>
    </row>
    <row r="1903" ht="15" customHeight="1">
      <c r="A1903" t="inlineStr">
        <is>
          <t>sequence_variant_affecting_copy_number</t>
        </is>
      </c>
      <c r="B1903" t="inlineStr">
        <is>
          <t>http://identifiers.org/so/SO:0001020</t>
        </is>
      </c>
      <c r="C1903" t="inlineStr">
        <is>
          <t>['sequence source', 'INSDC_feature:source']</t>
        </is>
      </c>
    </row>
    <row r="1904" ht="15" customHeight="1">
      <c r="A1904" t="inlineStr">
        <is>
          <t>sequence_variant_affecting_editing</t>
        </is>
      </c>
      <c r="B1904" t="inlineStr">
        <is>
          <t>http://identifiers.org/so/SO:1000075</t>
        </is>
      </c>
      <c r="C1904" t="inlineStr">
        <is>
          <t>['unsure', 'INSDC_feature:unsure']</t>
        </is>
      </c>
    </row>
    <row r="1905" ht="15" customHeight="1">
      <c r="A1905" t="inlineStr">
        <is>
          <t>sequence_variant_affecting_gene_structure</t>
        </is>
      </c>
      <c r="B1905" t="inlineStr">
        <is>
          <t>http://identifiers.org/so/SO:1000180</t>
        </is>
      </c>
      <c r="C1905" t="inlineStr">
        <is>
          <t>['VAAST:sequence_variant', 'ANNOVAR:unknown', 'sequence variant', 'Jannovar:sequence_variant']</t>
        </is>
      </c>
    </row>
    <row r="1906" ht="15" customHeight="1">
      <c r="A1906" t="inlineStr">
        <is>
          <t>sequence_variant_affecting_level_of_translational_product</t>
        </is>
      </c>
      <c r="B1906" t="inlineStr">
        <is>
          <t>http://identifiers.org/so/SO:1000102</t>
        </is>
      </c>
      <c r="C1906" t="inlineStr">
        <is>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is>
      </c>
    </row>
    <row r="1907" ht="15" customHeight="1">
      <c r="A1907" t="inlineStr">
        <is>
          <t>sequence_variant_affecting_polyadenylation</t>
        </is>
      </c>
      <c r="B1907" t="inlineStr">
        <is>
          <t>http://identifiers.org/so/SO:0001432</t>
        </is>
      </c>
      <c r="C1907" t="inlineStr">
        <is>
          <t>['mutation affecting copy number', 'sequence variant affecting copy number']</t>
        </is>
      </c>
    </row>
    <row r="1908" ht="15" customHeight="1">
      <c r="A1908" t="inlineStr">
        <is>
          <t>sequence_variant_affecting_polypeptide_amino_acid_sequence</t>
        </is>
      </c>
      <c r="B1908" t="inlineStr">
        <is>
          <t>http://identifiers.org/so/SO:1000105</t>
        </is>
      </c>
      <c r="C1908" t="inlineStr">
        <is>
          <t>['mutation affecting editing', 'sequence variant affecting editing']</t>
        </is>
      </c>
    </row>
    <row r="1909" ht="15" customHeight="1">
      <c r="A1909" t="inlineStr">
        <is>
          <t>sequence_variant_affecting_polypeptide_function</t>
        </is>
      </c>
      <c r="B1909" t="inlineStr">
        <is>
          <t>http://identifiers.org/so/SO:1000117</t>
        </is>
      </c>
      <c r="C1909" t="inlineStr">
        <is>
          <t>['mutation affecting gene structure', 'sequence variant affecting gene structure']</t>
        </is>
      </c>
    </row>
    <row r="1910" ht="15" customHeight="1">
      <c r="A1910" t="inlineStr">
        <is>
          <t>sequence_variant_affecting_rate_of_transcription</t>
        </is>
      </c>
      <c r="B1910" t="inlineStr">
        <is>
          <t>http://identifiers.org/so/SO:1000081</t>
        </is>
      </c>
      <c r="C1910" t="inlineStr">
        <is>
          <t>['sequence variant affecting level of translational product', 'mutation affecting level of translational product']</t>
        </is>
      </c>
    </row>
    <row r="1911" ht="15" customHeight="1">
      <c r="A1911" t="inlineStr">
        <is>
          <t>sequence_variant_affecting_regulatory_region</t>
        </is>
      </c>
      <c r="B1911" t="inlineStr">
        <is>
          <t>http://identifiers.org/so/SO:0000053</t>
        </is>
      </c>
      <c r="C1911" t="inlineStr">
        <is>
          <t>['sequence variant affecting polyadenylation', 'mutation affecting polyadenylation']</t>
        </is>
      </c>
    </row>
    <row r="1912" ht="15" customHeight="1">
      <c r="A1912" t="inlineStr">
        <is>
          <t>sequence_variant_affecting_splice_acceptor</t>
        </is>
      </c>
      <c r="B1912" t="inlineStr">
        <is>
          <t>http://identifiers.org/so/SO:1000073</t>
        </is>
      </c>
      <c r="C1912" t="inlineStr">
        <is>
          <t>['mutation affecting polypeptide amino acid sequence', 'sequence variant affecting polypeptide amino acid sequence']</t>
        </is>
      </c>
    </row>
    <row r="1913" ht="15" customHeight="1">
      <c r="A1913" t="inlineStr">
        <is>
          <t>sequence_variant_affecting_splice_donor</t>
        </is>
      </c>
      <c r="B1913" t="inlineStr">
        <is>
          <t>http://identifiers.org/so/SO:1000072</t>
        </is>
      </c>
      <c r="C1913" t="inlineStr">
        <is>
          <t>['mutation affecting polypeptide function', 'sequence variant affecting polypeptide function']</t>
        </is>
      </c>
    </row>
    <row r="1914" ht="15" customHeight="1">
      <c r="A1914" t="inlineStr">
        <is>
          <t>sequence_variant_affecting_splicing</t>
        </is>
      </c>
      <c r="B1914" t="inlineStr">
        <is>
          <t>http://identifiers.org/so/SO:1000071</t>
        </is>
      </c>
      <c r="C1914" t="inlineStr">
        <is>
          <t>['mutation affecting rate of transcription', 'sequence variant affecting rate of transcription']</t>
        </is>
      </c>
    </row>
    <row r="1915" ht="15" customHeight="1">
      <c r="A1915" t="inlineStr">
        <is>
          <t>sequence_variant_affecting_transcript_processing</t>
        </is>
      </c>
      <c r="B1915" t="inlineStr">
        <is>
          <t>http://identifiers.org/so/SO:1000070</t>
        </is>
      </c>
      <c r="C1915" t="inlineStr">
        <is>
          <t>['mutation affecting regulatory region', 'sequence variant affecting regulatory region']</t>
        </is>
      </c>
    </row>
    <row r="1916" ht="15" customHeight="1">
      <c r="A1916" t="inlineStr">
        <is>
          <t>sequence_variant_affecting_transcript_secondary_structure</t>
        </is>
      </c>
      <c r="B1916" t="inlineStr">
        <is>
          <t>http://identifiers.org/so/SO:1000126</t>
        </is>
      </c>
      <c r="C1916" t="inlineStr">
        <is>
          <t>['splice acceptor mutation', 'sequence variant affecting splice acceptor', 'mutation affecting splicing']</t>
        </is>
      </c>
    </row>
    <row r="1917" ht="15" customHeight="1">
      <c r="A1917" t="inlineStr">
        <is>
          <t>sequence_variant_affecting_transcription</t>
        </is>
      </c>
      <c r="B1917" t="inlineStr">
        <is>
          <t>http://identifiers.org/so/SO:1000076</t>
        </is>
      </c>
      <c r="C1917" t="inlineStr">
        <is>
          <t>['mutation affecting splice donor', 'splice donor mutation', 'sequence variant affecting splice donor']</t>
        </is>
      </c>
    </row>
    <row r="1918" ht="15" customHeight="1">
      <c r="A1918" t="inlineStr">
        <is>
          <t>sequence_variant_affecting_translational_product</t>
        </is>
      </c>
      <c r="B1918" t="inlineStr">
        <is>
          <t>http://identifiers.org/so/SO:1000088</t>
        </is>
      </c>
      <c r="C1918" t="inlineStr">
        <is>
          <t>['mutation affecting splicing', 'sequence variant affecting splicing']</t>
        </is>
      </c>
    </row>
    <row r="1919" ht="15" customHeight="1">
      <c r="A1919" t="inlineStr">
        <is>
          <t>sequence_variant_causes_exon_loss</t>
        </is>
      </c>
      <c r="B1919" t="inlineStr">
        <is>
          <t>http://identifiers.org/so/SO:1000184</t>
        </is>
      </c>
      <c r="C1919" t="inlineStr">
        <is>
          <t>['sequence variant affecting transcript processing', 'mutation affecting transcript processing']</t>
        </is>
      </c>
    </row>
    <row r="1920" ht="15" customHeight="1">
      <c r="A1920" t="inlineStr">
        <is>
          <t>sequence_variant_causes_intron_gain</t>
        </is>
      </c>
      <c r="B1920" t="inlineStr">
        <is>
          <t>http://identifiers.org/so/SO:1000185</t>
        </is>
      </c>
      <c r="C1920" t="inlineStr">
        <is>
          <t>['mutation affecting transcript secondary structure', 'sequence variant affecting transcript secondary structure']</t>
        </is>
      </c>
    </row>
    <row r="1921" ht="15" customHeight="1">
      <c r="A1921" t="inlineStr">
        <is>
          <t>sequence_variant_causing_amino_acid_coding_codon_change_in_transcript</t>
        </is>
      </c>
      <c r="B1921" t="inlineStr">
        <is>
          <t>http://identifiers.org/so/SO:1000056</t>
        </is>
      </c>
      <c r="C1921" t="inlineStr">
        <is>
          <t>['mutation affecting transcription', 'sequence variant affecting transcription']</t>
        </is>
      </c>
    </row>
    <row r="1922" ht="15" customHeight="1">
      <c r="A1922" t="inlineStr">
        <is>
          <t>sequence_variant_causing_amino_acid_deletion</t>
        </is>
      </c>
      <c r="B1922" t="inlineStr">
        <is>
          <t>http://identifiers.org/so/SO:1000097</t>
        </is>
      </c>
      <c r="C1922" t="inlineStr">
        <is>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is>
      </c>
    </row>
    <row r="1923" ht="15" customHeight="1">
      <c r="A1923" t="inlineStr">
        <is>
          <t>sequence_variant_causing_amino_acid_insertion</t>
        </is>
      </c>
      <c r="B1923" t="inlineStr">
        <is>
          <t>http://identifiers.org/so/SO:1000096</t>
        </is>
      </c>
      <c r="C1923" t="inlineStr">
        <is>
          <t>['sequence variant causes exon loss', 'mutation causes exon loss']</t>
        </is>
      </c>
    </row>
    <row r="1924" ht="15" customHeight="1">
      <c r="A1924" t="inlineStr">
        <is>
          <t>sequence_variant_causing_amino_acid_substitution</t>
        </is>
      </c>
      <c r="B1924" t="inlineStr">
        <is>
          <t>http://identifiers.org/so/SO:1000093</t>
        </is>
      </c>
      <c r="C1924" t="inlineStr">
        <is>
          <t>['sequence variant causes intron gain', 'mutation causes intron gain']</t>
        </is>
      </c>
    </row>
    <row r="1925" ht="15" customHeight="1">
      <c r="A1925" t="inlineStr">
        <is>
          <t>sequence_variant_causing_compensatory_transcript_secondary_structure_mutation</t>
        </is>
      </c>
      <c r="B1925" t="inlineStr">
        <is>
          <t>http://identifiers.org/so/SO:1000127</t>
        </is>
      </c>
      <c r="C1925" t="inlineStr">
        <is>
          <t>['mutaton causing amino acid coding codon change in transcript', 'sequence variant causing amino acid coding codon change in transcript']</t>
        </is>
      </c>
    </row>
    <row r="1926" ht="15" customHeight="1">
      <c r="A1926" t="inlineStr">
        <is>
          <t>sequence_variant_causing_complex_3D_structural_change</t>
        </is>
      </c>
      <c r="B1926" t="inlineStr">
        <is>
          <t>http://identifiers.org/so/SO:1000115</t>
        </is>
      </c>
      <c r="C1926" t="inlineStr">
        <is>
          <t>['mutation causing amino acid deletion', 'sequence variant causing amino acid deletion']</t>
        </is>
      </c>
    </row>
    <row r="1927" ht="15" customHeight="1">
      <c r="A1927" t="inlineStr">
        <is>
          <t>sequence_variant_causing_complex_change_of_translational_product</t>
        </is>
      </c>
      <c r="B1927" t="inlineStr">
        <is>
          <t>http://identifiers.org/so/SO:1000092</t>
        </is>
      </c>
      <c r="C1927" t="inlineStr">
        <is>
          <t>['mutation causing amino acid insertion', 'sequence variant causing amino acid insertion']</t>
        </is>
      </c>
    </row>
    <row r="1928" ht="15" customHeight="1">
      <c r="A1928" t="inlineStr">
        <is>
          <t>sequence_variant_causing_conformational_change</t>
        </is>
      </c>
      <c r="B1928" t="inlineStr">
        <is>
          <t>http://identifiers.org/so/SO:1000116</t>
        </is>
      </c>
      <c r="C1928" t="inlineStr">
        <is>
          <t>['mutation causing amino acid substitution', 'sequence variant causing amino acid substitution']</t>
        </is>
      </c>
    </row>
    <row r="1929" ht="15" customHeight="1">
      <c r="A1929" t="inlineStr">
        <is>
          <t>sequence_variant_causing_conservative_amino_acid_substitution</t>
        </is>
      </c>
      <c r="B1929" t="inlineStr">
        <is>
          <t>http://identifiers.org/so/SO:1000094</t>
        </is>
      </c>
      <c r="C1929" t="inlineStr">
        <is>
          <t>['sequence variant causing compensatory transcript secondary structure mutation', 'mutation causing compensatory transcript secondary structure mutation']</t>
        </is>
      </c>
    </row>
    <row r="1930" ht="15" customHeight="1">
      <c r="A1930" t="inlineStr">
        <is>
          <t>sequence_variant_causing_conservative_missense_codon_change_in_transcript</t>
        </is>
      </c>
      <c r="B1930" t="inlineStr">
        <is>
          <t>http://identifiers.org/so/SO:1000060</t>
        </is>
      </c>
      <c r="C1930" t="inlineStr">
        <is>
          <t>['mutation causing complex 3D structural change', 'sequence variant causing complex 3D structural change']</t>
        </is>
      </c>
    </row>
    <row r="1931" ht="15" customHeight="1">
      <c r="A1931" t="inlineStr">
        <is>
          <t>sequence_variant_causing_cryptic_splice_acceptor_activation</t>
        </is>
      </c>
      <c r="B1931" t="inlineStr">
        <is>
          <t>http://identifiers.org/so/SO:1001186</t>
        </is>
      </c>
      <c r="C1931" t="inlineStr">
        <is>
          <t>['mutation causing complex change of translational product', 'sequence variant causing complex change of translational product']</t>
        </is>
      </c>
    </row>
    <row r="1932" ht="15" customHeight="1">
      <c r="A1932" t="inlineStr">
        <is>
          <t>sequence_variant_causing_cryptic_splice_activation</t>
        </is>
      </c>
      <c r="B1932" t="inlineStr">
        <is>
          <t>http://identifiers.org/so/SO:1000074</t>
        </is>
      </c>
      <c r="C1932" t="inlineStr">
        <is>
          <t>['sequence variant causing conformational change', 'mutation causing conformational change']</t>
        </is>
      </c>
    </row>
    <row r="1933" ht="15" customHeight="1">
      <c r="A1933" t="inlineStr">
        <is>
          <t>sequence_variant_causing_cryptic_splice_donor_activation</t>
        </is>
      </c>
      <c r="B1933" t="inlineStr">
        <is>
          <t>http://identifiers.org/so/SO:1000186</t>
        </is>
      </c>
      <c r="C1933" t="inlineStr">
        <is>
          <t>['mutation causing conservative amino acid substitution', 'sequence variant causing conservative amino acid substitution']</t>
        </is>
      </c>
    </row>
    <row r="1934" ht="15" customHeight="1">
      <c r="A1934" t="inlineStr">
        <is>
          <t>sequence_variant_causing_gain_of_function_of_polypeptide</t>
        </is>
      </c>
      <c r="B1934" t="inlineStr">
        <is>
          <t>http://identifiers.org/so/SO:1000125</t>
        </is>
      </c>
      <c r="C1934" t="inlineStr">
        <is>
          <t>['sequence variant causing conservative missense codon change in transcript', 'mutation causing conservative missense codon change in transcript']</t>
        </is>
      </c>
    </row>
    <row r="1935" ht="15" customHeight="1">
      <c r="A1935" t="inlineStr">
        <is>
          <t>sequence_variant_causing_gene_fusion</t>
        </is>
      </c>
      <c r="B1935" t="inlineStr">
        <is>
          <t>http://identifiers.org/so/SO:1000181</t>
        </is>
      </c>
      <c r="C1935" t="inlineStr">
        <is>
          <t>['sequence variant causing cryptic splice acceptor activation']</t>
        </is>
      </c>
    </row>
    <row r="1936" ht="15" customHeight="1">
      <c r="A1936" t="inlineStr">
        <is>
          <t>sequence_variant_causing_inactive_catalytic_site</t>
        </is>
      </c>
      <c r="B1936" t="inlineStr">
        <is>
          <t>http://identifiers.org/so/SO:1000120</t>
        </is>
      </c>
      <c r="C1936" t="inlineStr">
        <is>
          <t>['sequence variant causing cryptic splice activator', 'mutation causing cryptic splice activator', 'cryptic splice activator sequence variant']</t>
        </is>
      </c>
    </row>
    <row r="1937" ht="15" customHeight="1">
      <c r="A1937" t="inlineStr">
        <is>
          <t>sequence_variant_causing_inactive_ligand_binding_site</t>
        </is>
      </c>
      <c r="B1937" t="inlineStr">
        <is>
          <t>http://identifiers.org/so/SO:1000119</t>
        </is>
      </c>
      <c r="C1937" t="inlineStr">
        <is>
          <t>['sequence variant causing cryptic splice donor activation']</t>
        </is>
      </c>
    </row>
    <row r="1938" ht="15" customHeight="1">
      <c r="A1938" t="inlineStr">
        <is>
          <t>sequence_variant_causing_initiator_codon_change_in_transcript</t>
        </is>
      </c>
      <c r="B1938" t="inlineStr">
        <is>
          <t>http://identifiers.org/so/SO:1000055</t>
        </is>
      </c>
      <c r="C1938" t="inlineStr">
        <is>
          <t>['sequence variant causing gain of function of polypeptide', 'mutation causing gain of function of polypeptide', 'gain of function of polypeptide']</t>
        </is>
      </c>
    </row>
    <row r="1939" ht="15" customHeight="1">
      <c r="A1939" t="inlineStr">
        <is>
          <t>sequence_variant_causing_loss_of_function_of_polypeptide</t>
        </is>
      </c>
      <c r="B1939" t="inlineStr">
        <is>
          <t>http://identifiers.org/so/SO:1000118</t>
        </is>
      </c>
      <c r="C1939" t="inlineStr">
        <is>
          <t>['mutation causing gene fusion', 'sequence variant causing gene fusion']</t>
        </is>
      </c>
    </row>
    <row r="1940" ht="15" customHeight="1">
      <c r="A1940" t="inlineStr">
        <is>
          <t>sequence_variant_causing_minus_1_frameshift</t>
        </is>
      </c>
      <c r="B1940" t="inlineStr">
        <is>
          <t>http://identifiers.org/so/SO:1000067</t>
        </is>
      </c>
      <c r="C1940" t="inlineStr">
        <is>
          <t>['sequence variant causing inactive catalytic site', 'mutation causing inactive catalytic site']</t>
        </is>
      </c>
    </row>
    <row r="1941" ht="15" customHeight="1">
      <c r="A1941" t="inlineStr">
        <is>
          <t>sequence_variant_causing_minus_2_frameshift</t>
        </is>
      </c>
      <c r="B1941" t="inlineStr">
        <is>
          <t>http://identifiers.org/so/SO:1000069</t>
        </is>
      </c>
      <c r="C1941" t="inlineStr">
        <is>
          <t>['mutation causing inactive ligand binding site', 'sequence variant causing inactive ligand binding site']</t>
        </is>
      </c>
    </row>
    <row r="1942" ht="15" customHeight="1">
      <c r="A1942" t="inlineStr">
        <is>
          <t>sequence_variant_causing_missense_codon_change_in_transcript</t>
        </is>
      </c>
      <c r="B1942" t="inlineStr">
        <is>
          <t>http://identifiers.org/so/SO:1000059</t>
        </is>
      </c>
      <c r="C1942" t="inlineStr">
        <is>
          <t>['mutation causing initiator codon change in transcript', 'sequence variant causing initiator codon change in transcript']</t>
        </is>
      </c>
    </row>
    <row r="1943" ht="15" customHeight="1">
      <c r="A1943" t="inlineStr">
        <is>
          <t>sequence_variant_causing_no_3D_structural_change</t>
        </is>
      </c>
      <c r="B1943" t="inlineStr">
        <is>
          <t>http://identifiers.org/so/SO:1000112</t>
        </is>
      </c>
      <c r="C1943" t="inlineStr">
        <is>
          <t>['mutation causing loss of function of polypeptide', 'loss of function of polypeptide', 'sequence variant causing loss of function of polypeptide']</t>
        </is>
      </c>
    </row>
    <row r="1944" ht="15" customHeight="1">
      <c r="A1944" t="inlineStr">
        <is>
          <t>sequence_variant_causing_no_change_in_transcript</t>
        </is>
      </c>
      <c r="B1944" t="inlineStr">
        <is>
          <t>http://identifiers.org/so/SO:1000050</t>
        </is>
      </c>
      <c r="C1944" t="inlineStr">
        <is>
          <t>['sequence variant causing minus 1 frameshift', 'minus 1 frameshift mutation']</t>
        </is>
      </c>
    </row>
    <row r="1945" ht="15" customHeight="1">
      <c r="A1945" t="inlineStr">
        <is>
          <t>sequence_variant_causing_no_change_of_translational_product</t>
        </is>
      </c>
      <c r="B1945" t="inlineStr">
        <is>
          <t>http://identifiers.org/so/SO:1000089</t>
        </is>
      </c>
      <c r="C1945" t="inlineStr">
        <is>
          <t>['sequence variant causing minus 2 frameshift', 'minus 2 frameshift mutation']</t>
        </is>
      </c>
    </row>
    <row r="1946" ht="15" customHeight="1">
      <c r="A1946" t="inlineStr">
        <is>
          <t>sequence_variant_causing_non_synonymous_codon_change_in_transcript</t>
        </is>
      </c>
      <c r="B1946" t="inlineStr">
        <is>
          <t>http://identifiers.org/so/SO:1000058</t>
        </is>
      </c>
      <c r="C1946" t="inlineStr">
        <is>
          <t>['sequence variant causing missense codon change in transcript', 'mutation causing missense codon change in transcript']</t>
        </is>
      </c>
    </row>
    <row r="1947" ht="15" customHeight="1">
      <c r="A1947" t="inlineStr">
        <is>
          <t>sequence_variant_causing_nonconservative_amino_acid_substitution</t>
        </is>
      </c>
      <c r="B1947" t="inlineStr">
        <is>
          <t>http://identifiers.org/so/SO:1000095</t>
        </is>
      </c>
      <c r="C1947" t="inlineStr">
        <is>
          <t>['sequence variant causing no 3D structural change', 'mutation causing no 3D structural change']</t>
        </is>
      </c>
    </row>
    <row r="1948" ht="15" customHeight="1">
      <c r="A1948" t="inlineStr">
        <is>
          <t>sequence_variant_causing_nonconservative_missense_codon_change_in_transcript</t>
        </is>
      </c>
      <c r="B1948" t="inlineStr">
        <is>
          <t>http://identifiers.org/so/SO:1000061</t>
        </is>
      </c>
      <c r="C1948" t="inlineStr">
        <is>
          <t>['mutation causing no change in transcript', 'sequence variant causing no change in transcript']</t>
        </is>
      </c>
    </row>
    <row r="1949" ht="15" customHeight="1">
      <c r="A1949" t="inlineStr">
        <is>
          <t>sequence_variant_causing_nonsense_codon_change_in_transcript</t>
        </is>
      </c>
      <c r="B1949" t="inlineStr">
        <is>
          <t>http://identifiers.org/so/SO:1000062</t>
        </is>
      </c>
      <c r="C1949" t="inlineStr">
        <is>
          <t>['mutation causing no change of translational product', 'sequence variant causing no change of translational product']</t>
        </is>
      </c>
    </row>
    <row r="1950" ht="15" customHeight="1">
      <c r="A1950" t="inlineStr">
        <is>
          <t>sequence_variant_causing_partial_loss_of_function_of_polypeptide</t>
        </is>
      </c>
      <c r="B1950" t="inlineStr">
        <is>
          <t>http://identifiers.org/so/SO:1000124</t>
        </is>
      </c>
      <c r="C1950" t="inlineStr">
        <is>
          <t>['mutation causing non synonymous codon change in transcript', 'non-synonymous codon change in transcript', 'sequence variant causing non synonymous codon change in transcript']</t>
        </is>
      </c>
    </row>
    <row r="1951" ht="15" customHeight="1">
      <c r="A1951" t="inlineStr">
        <is>
          <t>sequence_variant_causing_plus_1_frameshift_mutation</t>
        </is>
      </c>
      <c r="B1951" t="inlineStr">
        <is>
          <t>http://identifiers.org/so/SO:1000066</t>
        </is>
      </c>
      <c r="C1951" t="inlineStr">
        <is>
          <t>['mutation causing nonconservative amino acid substitution', 'sequence variant causing nonconservative amino acid substitution']</t>
        </is>
      </c>
    </row>
    <row r="1952" ht="15" customHeight="1">
      <c r="A1952" t="inlineStr">
        <is>
          <t>sequence_variant_causing_plus_2_frameshift</t>
        </is>
      </c>
      <c r="B1952" t="inlineStr">
        <is>
          <t>http://identifiers.org/so/SO:1000068</t>
        </is>
      </c>
      <c r="C1952" t="inlineStr">
        <is>
          <t>['mutation causing nonconservative missense codon change in transcript', 'sequence variant causing nonconservative missense codon change in transcript']</t>
        </is>
      </c>
    </row>
    <row r="1953" ht="15" customHeight="1">
      <c r="A1953" t="inlineStr">
        <is>
          <t>sequence_variant_causing_polypeptide_elongation</t>
        </is>
      </c>
      <c r="B1953" t="inlineStr">
        <is>
          <t>http://identifiers.org/so/SO:1000099</t>
        </is>
      </c>
      <c r="C1953" t="inlineStr">
        <is>
          <t>['mutation causing nonsense codon change in transcript', 'sequence variant causing nonsense codon change in transcript']</t>
        </is>
      </c>
    </row>
    <row r="1954" ht="15" customHeight="1">
      <c r="A1954" t="inlineStr">
        <is>
          <t>sequence_variant_causing_polypeptide_fusion</t>
        </is>
      </c>
      <c r="B1954" t="inlineStr">
        <is>
          <t>http://identifiers.org/so/SO:1000134</t>
        </is>
      </c>
      <c r="C1954" t="inlineStr">
        <is>
          <t>['sequence variant causing partial loss of function of polypeptide', 'mutation causing partial loss of function of polypeptide', 'partial loss of function of polypeptide']</t>
        </is>
      </c>
    </row>
    <row r="1955" ht="15" customHeight="1">
      <c r="A1955" t="inlineStr">
        <is>
          <t>sequence_variant_causing_polypeptide_localization_change</t>
        </is>
      </c>
      <c r="B1955" t="inlineStr">
        <is>
          <t>http://identifiers.org/so/SO:1000121</t>
        </is>
      </c>
      <c r="C1955" t="inlineStr">
        <is>
          <t>['sequence variant causing plus 1 frameshift mutation', 'plus 1 frameshift mutation']</t>
        </is>
      </c>
    </row>
    <row r="1956" ht="15" customHeight="1">
      <c r="A1956" t="inlineStr">
        <is>
          <t>sequence_variant_causing_polypeptide_post_translational_processing_change</t>
        </is>
      </c>
      <c r="B1956" t="inlineStr">
        <is>
          <t>http://identifiers.org/so/SO:1000122</t>
        </is>
      </c>
      <c r="C1956" t="inlineStr">
        <is>
          <t>['plus 2 frameshift mutation', 'sequence variant causing plus 2 frameshift']</t>
        </is>
      </c>
    </row>
    <row r="1957" ht="15" customHeight="1">
      <c r="A1957" t="inlineStr">
        <is>
          <t>sequence_variant_causing_polypeptide_truncation</t>
        </is>
      </c>
      <c r="B1957" t="inlineStr">
        <is>
          <t>http://identifiers.org/so/SO:1000098</t>
        </is>
      </c>
      <c r="C1957" t="inlineStr">
        <is>
          <t>['mutation causing polypeptide elongation', 'sequence variant causing polypeptide elongation']</t>
        </is>
      </c>
    </row>
    <row r="1958" ht="15" customHeight="1">
      <c r="A1958" t="inlineStr">
        <is>
          <t>sequence_variant_causing_synonymous_codon_change_in_transcript</t>
        </is>
      </c>
      <c r="B1958" t="inlineStr">
        <is>
          <t>http://identifiers.org/so/SO:1000057</t>
        </is>
      </c>
      <c r="C1958" t="inlineStr">
        <is>
          <t>['sequence variant causing polypeptide fusion', 'mutation causing polypeptide fusion']</t>
        </is>
      </c>
    </row>
    <row r="1959" ht="15" customHeight="1">
      <c r="A1959" t="inlineStr">
        <is>
          <t>sequence_variant_causing_terminator_codon_change_in_transcript</t>
        </is>
      </c>
      <c r="B1959" t="inlineStr">
        <is>
          <t>http://identifiers.org/so/SO:1000063</t>
        </is>
      </c>
      <c r="C1959" t="inlineStr">
        <is>
          <t>['sequence variant causing polypeptide localization change', 'mutation causing polypeptide localization change']</t>
        </is>
      </c>
    </row>
    <row r="1960" ht="15" customHeight="1">
      <c r="A1960" t="inlineStr">
        <is>
          <t>sequence_variant_decreasing_level_of_translation_product</t>
        </is>
      </c>
      <c r="B1960" t="inlineStr">
        <is>
          <t>http://identifiers.org/so/SO:1000103</t>
        </is>
      </c>
      <c r="C1960" t="inlineStr">
        <is>
          <t>['mutation causing polypeptide post translational processing change', 'sequence variant causing polypeptide post translational processing change', 'polypeptide post-translational processing affected']</t>
        </is>
      </c>
    </row>
    <row r="1961" ht="15" customHeight="1">
      <c r="A1961" t="inlineStr">
        <is>
          <t>sequence_variant_decreasing_rate_of_transcription</t>
        </is>
      </c>
      <c r="B1961" t="inlineStr">
        <is>
          <t>http://identifiers.org/so/SO:1000078</t>
        </is>
      </c>
      <c r="C1961" t="inlineStr">
        <is>
          <t>['mutation causing polypeptide truncation', 'sequence variant causing polypeptide truncation']</t>
        </is>
      </c>
    </row>
    <row r="1962" ht="15" customHeight="1">
      <c r="A1962" t="inlineStr">
        <is>
          <t>sequence_variant_decreasing_transcript_stability</t>
        </is>
      </c>
      <c r="B1962" t="inlineStr">
        <is>
          <t>http://identifiers.org/so/SO:1000084</t>
        </is>
      </c>
      <c r="C1962" t="inlineStr">
        <is>
          <t>['mutation causing synonymous codon change in transcript', 'sequence variant causing synonymous codon change in transcript']</t>
        </is>
      </c>
    </row>
    <row r="1963" ht="15" customHeight="1">
      <c r="A1963" t="inlineStr">
        <is>
          <t>sequence_variant_effect</t>
        </is>
      </c>
      <c r="B1963" t="inlineStr">
        <is>
          <t>http://identifiers.org/so/SO:1000132</t>
        </is>
      </c>
      <c r="C1963" t="inlineStr">
        <is>
          <t>['sequence variant causing terminator codon change in transcript', 'mutation causing terminator codon change in transcript']</t>
        </is>
      </c>
    </row>
    <row r="1964" ht="15" customHeight="1">
      <c r="A1964" t="inlineStr">
        <is>
          <t>sequence_variant_increasing_level_of_translation_product</t>
        </is>
      </c>
      <c r="B1964" t="inlineStr">
        <is>
          <t>http://identifiers.org/so/SO:1000104</t>
        </is>
      </c>
      <c r="C1964" t="inlineStr">
        <is>
          <t>['mutationdecreasing level of translation product', 'sequence variant decreasing level of translation product']</t>
        </is>
      </c>
    </row>
    <row r="1965" ht="15" customHeight="1">
      <c r="A1965" t="inlineStr">
        <is>
          <t>sequence_variant_increasing_rate_of_transcription</t>
        </is>
      </c>
      <c r="B1965" t="inlineStr">
        <is>
          <t>http://identifiers.org/so/SO:1000080</t>
        </is>
      </c>
      <c r="C1965" t="inlineStr">
        <is>
          <t>['sequence variation decreasing rate of transcription', 'mutation decreasing rate of transcription']</t>
        </is>
      </c>
    </row>
    <row r="1966" ht="15" customHeight="1">
      <c r="A1966" t="inlineStr">
        <is>
          <t>sequence_variant_increasing_transcript_stability</t>
        </is>
      </c>
      <c r="B1966" t="inlineStr">
        <is>
          <t>http://identifiers.org/so/SO:1000083</t>
        </is>
      </c>
      <c r="C1966" t="inlineStr">
        <is>
          <t>['sequence variant decreasing transcript stability', 'mutation decreasing transcript stability']</t>
        </is>
      </c>
    </row>
    <row r="1967" ht="15" customHeight="1">
      <c r="A1967" t="inlineStr">
        <is>
          <t>sequence_variant_obs</t>
        </is>
      </c>
      <c r="B1967" t="inlineStr">
        <is>
          <t>http://identifiers.org/so/SO:0000109</t>
        </is>
      </c>
      <c r="C1967" t="inlineStr">
        <is>
          <t>['sequence variant effect']</t>
        </is>
      </c>
    </row>
    <row r="1968" ht="15" customHeight="1">
      <c r="A1968" t="inlineStr">
        <is>
          <t>sequence_variation_affecting_coding_sequence</t>
        </is>
      </c>
      <c r="B1968" t="inlineStr">
        <is>
          <t>http://identifiers.org/so/SO:1000054</t>
        </is>
      </c>
      <c r="C1968" t="inlineStr">
        <is>
          <t>['sequence variant increasing level of translation product', 'mutationt increasing level of translation product']</t>
        </is>
      </c>
    </row>
    <row r="1969" ht="15" customHeight="1">
      <c r="A1969" t="inlineStr">
        <is>
          <t>sequence_variation_affecting_level_of_transcript</t>
        </is>
      </c>
      <c r="B1969" t="inlineStr">
        <is>
          <t>http://identifiers.org/so/SO:1000085</t>
        </is>
      </c>
      <c r="C1969" t="inlineStr">
        <is>
          <t>['sequence variation increasing rate of transcription', 'mutation increasing rate of transcription']</t>
        </is>
      </c>
    </row>
    <row r="1970" ht="15" customHeight="1">
      <c r="A1970" t="inlineStr">
        <is>
          <t>sequence_variation_affecting_reading_frame</t>
        </is>
      </c>
      <c r="B1970" t="inlineStr">
        <is>
          <t>http://identifiers.org/so/SO:1000064</t>
        </is>
      </c>
      <c r="C1970" t="inlineStr">
        <is>
          <t>['mutation increasing transcript stability', 'sequence variant increasing transcript stability']</t>
        </is>
      </c>
    </row>
    <row r="1971" ht="15" customHeight="1">
      <c r="A1971" t="inlineStr">
        <is>
          <t>sequence_variation_affecting_transcript</t>
        </is>
      </c>
      <c r="B1971" t="inlineStr">
        <is>
          <t>http://identifiers.org/so/SO:1000049</t>
        </is>
      </c>
      <c r="C1971" t="inlineStr">
        <is>
          <t>['mutation']</t>
        </is>
      </c>
    </row>
    <row r="1972" ht="15" customHeight="1">
      <c r="A1972" t="inlineStr">
        <is>
          <t>sequence_variation_affecting_transcript_sequence</t>
        </is>
      </c>
      <c r="B1972" t="inlineStr">
        <is>
          <t>http://identifiers.org/so/SO:1000079</t>
        </is>
      </c>
      <c r="C1972" t="inlineStr">
        <is>
          <t>['sequence variation affecting coding sequence', 'mutation affecting coding sequence']</t>
        </is>
      </c>
    </row>
    <row r="1973" ht="15" customHeight="1">
      <c r="A1973" t="inlineStr">
        <is>
          <t>sequence_variation_decreasing_level_of_transcript</t>
        </is>
      </c>
      <c r="B1973" t="inlineStr">
        <is>
          <t>http://identifiers.org/so/SO:1000086</t>
        </is>
      </c>
      <c r="C1973" t="inlineStr">
        <is>
          <t>['mutation affecting level of transcript', 'sequence variation affecting level of transcript']</t>
        </is>
      </c>
    </row>
    <row r="1974" ht="15" customHeight="1">
      <c r="A1974" t="inlineStr">
        <is>
          <t>sequence_variation_increasing_level_of_transcript</t>
        </is>
      </c>
      <c r="B1974" t="inlineStr">
        <is>
          <t>http://identifiers.org/so/SO:1000087</t>
        </is>
      </c>
      <c r="C1974" t="inlineStr">
        <is>
          <t>['sequence variation affecting reading frame', 'mutation affecting reading frame']</t>
        </is>
      </c>
    </row>
    <row r="1975" ht="15" customHeight="1">
      <c r="A1975" t="inlineStr">
        <is>
          <t>sequencing_primer</t>
        </is>
      </c>
      <c r="B1975" t="inlineStr">
        <is>
          <t>http://identifiers.org/so/SO:0000107</t>
        </is>
      </c>
      <c r="C1975" t="inlineStr">
        <is>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is>
      </c>
    </row>
    <row r="1976" ht="15" customHeight="1">
      <c r="A1976" t="inlineStr">
        <is>
          <t>serine</t>
        </is>
      </c>
      <c r="B1976" t="inlineStr">
        <is>
          <t>http://identifiers.org/so/SO:0001444</t>
        </is>
      </c>
      <c r="C1976" t="inlineStr">
        <is>
          <t>['sequence variation affecting transcript sequence', 'mutation affecting transcript sequence']</t>
        </is>
      </c>
    </row>
    <row r="1977" ht="15" customHeight="1">
      <c r="A1977" t="inlineStr">
        <is>
          <t>serine_threonine_motif</t>
        </is>
      </c>
      <c r="B1977" t="inlineStr">
        <is>
          <t>http://identifiers.org/so/SO:0001126</t>
        </is>
      </c>
      <c r="C1977" t="inlineStr">
        <is>
          <t>['sequence variation decreasing level of transcript', 'mutation decreasing level of transcript']</t>
        </is>
      </c>
    </row>
    <row r="1978" ht="15" customHeight="1">
      <c r="A1978" t="inlineStr">
        <is>
          <t>serine_threonine_staple_motif</t>
        </is>
      </c>
      <c r="B1978" t="inlineStr">
        <is>
          <t>http://identifiers.org/so/SO:0001127</t>
        </is>
      </c>
      <c r="C1978" t="inlineStr">
        <is>
          <t>['sequence variation increasing level of transcript', 'mutation increasing level of transcript']</t>
        </is>
      </c>
    </row>
    <row r="1979" ht="15" customHeight="1">
      <c r="A1979" t="inlineStr">
        <is>
          <t>serine_threonine_turn</t>
        </is>
      </c>
      <c r="B1979" t="inlineStr">
        <is>
          <t>http://identifiers.org/so/SO:0001141</t>
        </is>
      </c>
      <c r="C1979" t="inlineStr">
        <is>
          <t>['sequencing primer']</t>
        </is>
      </c>
    </row>
    <row r="1980" ht="15" customHeight="1">
      <c r="A1980" t="inlineStr">
        <is>
          <t>serine_tRNA_primary_transcript</t>
        </is>
      </c>
      <c r="B1980" t="inlineStr">
        <is>
          <t>http://identifiers.org/so/SO:0000226</t>
        </is>
      </c>
      <c r="C1980" t="inlineStr">
        <is>
          <t>['S', 'Ser']</t>
        </is>
      </c>
    </row>
    <row r="1981" ht="15" customHeight="1">
      <c r="A1981" t="inlineStr">
        <is>
          <t>seryl_tRNA</t>
        </is>
      </c>
      <c r="B1981" t="inlineStr">
        <is>
          <t>http://identifiers.org/so/SO:0000269</t>
        </is>
      </c>
      <c r="C1981" t="inlineStr">
        <is>
          <t>['serine/threonine motif', 'st motif', 'st_motif']</t>
        </is>
      </c>
    </row>
    <row r="1982" ht="15" customHeight="1">
      <c r="A1982" t="inlineStr">
        <is>
          <t>seven_aminomethyl_seven_deazaguanosine</t>
        </is>
      </c>
      <c r="B1982" t="inlineStr">
        <is>
          <t>http://identifiers.org/so/SO:0001322</t>
        </is>
      </c>
      <c r="C1982" t="inlineStr">
        <is>
          <t>['st_staple', 'serine threonine staple motif']</t>
        </is>
      </c>
    </row>
    <row r="1983" ht="15" customHeight="1">
      <c r="A1983" t="inlineStr">
        <is>
          <t>seven_cyano_seven_deazaguanosine</t>
        </is>
      </c>
      <c r="B1983" t="inlineStr">
        <is>
          <t>http://identifiers.org/so/SO:0001321</t>
        </is>
      </c>
      <c r="C1983" t="inlineStr">
        <is>
          <t>['serine/threonine turn', 'st_turn']</t>
        </is>
      </c>
    </row>
    <row r="1984" ht="15" customHeight="1">
      <c r="A1984" t="inlineStr">
        <is>
          <t>seven_deazaguanosine</t>
        </is>
      </c>
      <c r="B1984" t="inlineStr">
        <is>
          <t>http://identifiers.org/so/SO:0001316</t>
        </is>
      </c>
      <c r="C1984" t="inlineStr">
        <is>
          <t>['serine tRNA primary transcript']</t>
        </is>
      </c>
    </row>
    <row r="1985" ht="15" customHeight="1">
      <c r="A1985" t="inlineStr">
        <is>
          <t>seven_methylguanine</t>
        </is>
      </c>
      <c r="B1985" t="inlineStr">
        <is>
          <t>http://identifiers.org/so/SO:0001231</t>
        </is>
      </c>
      <c r="C1985" t="inlineStr">
        <is>
          <t>['seryl tRNA', 'seryl-transfer ribonucleic acid', 'seryl-transfer RNA']</t>
        </is>
      </c>
    </row>
    <row r="1986" ht="15" customHeight="1">
      <c r="A1986" t="inlineStr">
        <is>
          <t>seven_methylguanosine</t>
        </is>
      </c>
      <c r="B1986" t="inlineStr">
        <is>
          <t>http://identifiers.org/so/SO:0001326</t>
        </is>
      </c>
      <c r="C1986" t="inlineStr">
        <is>
          <t>['seven aminomethyl seven deazaguanosine', 'preQ1', '7-aminomethyl-7-deazaguanosine']</t>
        </is>
      </c>
    </row>
    <row r="1987" ht="15" customHeight="1">
      <c r="A1987" t="inlineStr">
        <is>
          <t>sgRNA</t>
        </is>
      </c>
      <c r="B1987" t="inlineStr">
        <is>
          <t>http://identifiers.org/so/SO:0001998</t>
        </is>
      </c>
      <c r="C1987" t="inlineStr">
        <is>
          <t>['7-cyano-7-deazaguanosine', 'seven cyano seven deazaguanosine', 'preQ0']</t>
        </is>
      </c>
    </row>
    <row r="1988" ht="15" customHeight="1">
      <c r="A1988" t="inlineStr">
        <is>
          <t>shadow_enhancer</t>
        </is>
      </c>
      <c r="B1988" t="inlineStr">
        <is>
          <t>http://identifiers.org/so/SO:0001482</t>
        </is>
      </c>
      <c r="C1988" t="inlineStr">
        <is>
          <t>['seven deazaguanosine', '7-deazaguanosine']</t>
        </is>
      </c>
    </row>
    <row r="1989" ht="15" customHeight="1">
      <c r="A1989" t="inlineStr">
        <is>
          <t>Shine_Dalgarno_sequence</t>
        </is>
      </c>
      <c r="B1989" t="inlineStr">
        <is>
          <t>http://identifiers.org/so/SO:0000552</t>
        </is>
      </c>
      <c r="C1989" t="inlineStr">
        <is>
          <t>['seven methylguanine', '7-methylguanine']</t>
        </is>
      </c>
    </row>
    <row r="1990" ht="15" customHeight="1">
      <c r="A1990" t="inlineStr">
        <is>
          <t>short_tandem_repeat_change</t>
        </is>
      </c>
      <c r="B1990" t="inlineStr">
        <is>
          <t>http://identifiers.org/so/SO:0002161</t>
        </is>
      </c>
      <c r="C1990" t="inlineStr">
        <is>
          <t>['7-methylguanosine', 'm7G', 'seven methylguanosine']</t>
        </is>
      </c>
    </row>
    <row r="1991" ht="15" customHeight="1">
      <c r="A1991" t="inlineStr">
        <is>
          <t>short_tandem_repeat_contraction</t>
        </is>
      </c>
      <c r="B1991" t="inlineStr">
        <is>
          <t>http://identifiers.org/so/SO:0002163</t>
        </is>
      </c>
      <c r="C1991" t="inlineStr">
        <is>
          <t>['gRNA', 'small guide RNA', 'guide RNA']</t>
        </is>
      </c>
    </row>
    <row r="1992" ht="15" customHeight="1">
      <c r="A1992" t="inlineStr">
        <is>
          <t>short_tandem_repeat_expansion</t>
        </is>
      </c>
      <c r="B1992" t="inlineStr">
        <is>
          <t>http://identifiers.org/so/SO:0002162</t>
        </is>
      </c>
      <c r="C1992" t="inlineStr">
        <is>
          <t>['shadow enhancer']</t>
        </is>
      </c>
    </row>
    <row r="1993" ht="15" customHeight="1">
      <c r="A1993" t="inlineStr">
        <is>
          <t>short_tandem_repeat_variation</t>
        </is>
      </c>
      <c r="B1993" t="inlineStr">
        <is>
          <t>http://identifiers.org/so/SO:0002096</t>
        </is>
      </c>
      <c r="C1993" t="inlineStr">
        <is>
          <t>['Shine-Dalgarno sequence', 'Shine Dalgarno sequence', 'RBS', 'five prime ribosome binding site']</t>
        </is>
      </c>
    </row>
    <row r="1994" ht="15" customHeight="1">
      <c r="A1994" t="inlineStr">
        <is>
          <t>SHP_box</t>
        </is>
      </c>
      <c r="B1994" t="inlineStr">
        <is>
          <t>http://identifiers.org/so/SO:0002159</t>
        </is>
      </c>
      <c r="C1994" t="inlineStr">
        <is>
          <t>['str change', 'short tandem repeat change']</t>
        </is>
      </c>
    </row>
    <row r="1995" ht="15" customHeight="1">
      <c r="A1995" t="inlineStr">
        <is>
          <t>shRNA</t>
        </is>
      </c>
      <c r="B1995" t="inlineStr">
        <is>
          <t>http://identifiers.org/so/SO:0002031</t>
        </is>
      </c>
      <c r="C1995" t="inlineStr">
        <is>
          <t>['short tandem repeat contraction', 'str contraction']</t>
        </is>
      </c>
    </row>
    <row r="1996" ht="15" customHeight="1">
      <c r="A1996" t="inlineStr">
        <is>
          <t>shRNA_primary_transcript</t>
        </is>
      </c>
      <c r="B1996" t="inlineStr">
        <is>
          <t>http://identifiers.org/so/SO:0002038</t>
        </is>
      </c>
      <c r="C1996" t="inlineStr">
        <is>
          <t>['short tandem repeat expansion', 'str expansion']</t>
        </is>
      </c>
    </row>
    <row r="1997" ht="15" customHeight="1">
      <c r="A1997" t="inlineStr">
        <is>
          <t>signal_anchor</t>
        </is>
      </c>
      <c r="B1997" t="inlineStr">
        <is>
          <t>http://identifiers.org/so/SO:0001809</t>
        </is>
      </c>
      <c r="C1997" t="inlineStr">
        <is>
          <t>['short tandem repeat variation', 'str variation']</t>
        </is>
      </c>
    </row>
    <row r="1998" ht="15" customHeight="1">
      <c r="A1998" t="inlineStr">
        <is>
          <t>signal_peptide</t>
        </is>
      </c>
      <c r="B1998" t="inlineStr">
        <is>
          <t>http://identifiers.org/so/SO:0000418</t>
        </is>
      </c>
      <c r="C1998" t="inlineStr">
        <is>
          <t>['SHP box']</t>
        </is>
      </c>
    </row>
    <row r="1999" ht="15" customHeight="1">
      <c r="A1999" t="inlineStr">
        <is>
          <t>signature</t>
        </is>
      </c>
      <c r="B1999" t="inlineStr">
        <is>
          <t>http://identifiers.org/so/SO:0001978</t>
        </is>
      </c>
      <c r="C1999" t="inlineStr">
        <is>
          <t>['short hairpin RNA', 'small hairpin RNA']</t>
        </is>
      </c>
    </row>
    <row r="2000" ht="15" customHeight="1">
      <c r="A2000" t="inlineStr">
        <is>
          <t>silenced</t>
        </is>
      </c>
      <c r="B2000" t="inlineStr">
        <is>
          <t>http://identifiers.org/so/SO:0000893</t>
        </is>
      </c>
      <c r="C2000" t="inlineStr">
        <is>
          <t>['shRNA primary transcript']</t>
        </is>
      </c>
    </row>
    <row r="2001" ht="15" customHeight="1">
      <c r="A2001" t="inlineStr">
        <is>
          <t>silenced_by_DNA_methylation</t>
        </is>
      </c>
      <c r="B2001" t="inlineStr">
        <is>
          <t>http://identifiers.org/so/SO:0000895</t>
        </is>
      </c>
      <c r="C2001" t="inlineStr">
        <is>
          <t>['uncleaved signal peptide', 'signal anchor']</t>
        </is>
      </c>
    </row>
    <row r="2002" ht="15" customHeight="1">
      <c r="A2002" t="inlineStr">
        <is>
          <t>silenced_by_DNA_modification</t>
        </is>
      </c>
      <c r="B2002" t="inlineStr">
        <is>
          <t>http://identifiers.org/so/SO:0000894</t>
        </is>
      </c>
      <c r="C2002" t="inlineStr">
        <is>
          <t>['signal peptide coding sequence', 'signal', 'signal peptide', 'INSDC_feature:sig_peptide']</t>
        </is>
      </c>
    </row>
    <row r="2003" ht="15" customHeight="1">
      <c r="A2003" t="inlineStr">
        <is>
          <t>silenced_by_histone_deacetylation</t>
        </is>
      </c>
      <c r="B2003" t="inlineStr">
        <is>
          <t>http://identifiers.org/so/SO:0001223</t>
        </is>
      </c>
      <c r="C2003" t="inlineStr">
        <is>
          <t>['DNA signature']</t>
        </is>
      </c>
    </row>
    <row r="2004" ht="15" customHeight="1">
      <c r="A2004" t="inlineStr">
        <is>
          <t>silenced_by_histone_methylation</t>
        </is>
      </c>
      <c r="B2004" t="inlineStr">
        <is>
          <t>http://identifiers.org/so/SO:0001222</t>
        </is>
      </c>
    </row>
    <row r="2005" ht="15" customHeight="1">
      <c r="A2005" t="inlineStr">
        <is>
          <t>silenced_by_histone_modification</t>
        </is>
      </c>
      <c r="B2005" t="inlineStr">
        <is>
          <t>http://identifiers.org/so/SO:0001221</t>
        </is>
      </c>
      <c r="C2005" t="inlineStr">
        <is>
          <t>['silenced by DNA methylation']</t>
        </is>
      </c>
    </row>
    <row r="2006" ht="15" customHeight="1">
      <c r="A2006" t="inlineStr">
        <is>
          <t>silenced_by_RNA_interference</t>
        </is>
      </c>
      <c r="B2006" t="inlineStr">
        <is>
          <t>http://identifiers.org/so/SO:0001220</t>
        </is>
      </c>
      <c r="C2006" t="inlineStr">
        <is>
          <t>['silenced by DNA modification']</t>
        </is>
      </c>
    </row>
    <row r="2007" ht="15" customHeight="1">
      <c r="A2007" t="inlineStr">
        <is>
          <t>silenced_gene</t>
        </is>
      </c>
      <c r="B2007" t="inlineStr">
        <is>
          <t>http://identifiers.org/so/SO:0000127</t>
        </is>
      </c>
      <c r="C2007" t="inlineStr">
        <is>
          <t>['silenced by histone deacetylation']</t>
        </is>
      </c>
    </row>
    <row r="2008" ht="15" customHeight="1">
      <c r="A2008" t="inlineStr">
        <is>
          <t>silencer</t>
        </is>
      </c>
      <c r="B2008" t="inlineStr">
        <is>
          <t>http://identifiers.org/so/SO:0000625</t>
        </is>
      </c>
      <c r="C2008" t="inlineStr">
        <is>
          <t>['silenced by histone methylation']</t>
        </is>
      </c>
    </row>
    <row r="2009" ht="15" customHeight="1">
      <c r="A2009" t="inlineStr">
        <is>
          <t>silent_mating_type_cassette_array</t>
        </is>
      </c>
      <c r="B2009" t="inlineStr">
        <is>
          <t>http://identifiers.org/so/SO:0001984</t>
        </is>
      </c>
      <c r="C2009" t="inlineStr">
        <is>
          <t>['silenced by histone modification']</t>
        </is>
      </c>
    </row>
    <row r="2010" ht="15" customHeight="1">
      <c r="A2010" t="inlineStr">
        <is>
          <t>silent_mutation</t>
        </is>
      </c>
      <c r="B2010" t="inlineStr">
        <is>
          <t>http://identifiers.org/so/SO:0001017</t>
        </is>
      </c>
      <c r="C2010" t="inlineStr">
        <is>
          <t>['silenced by RNA interference']</t>
        </is>
      </c>
    </row>
    <row r="2011" ht="15" customHeight="1">
      <c r="A2011" t="inlineStr">
        <is>
          <t>simple_operon</t>
        </is>
      </c>
      <c r="B2011" t="inlineStr">
        <is>
          <t>http://identifiers.org/so/SO:0002298</t>
        </is>
      </c>
      <c r="C2011" t="inlineStr">
        <is>
          <t>['silenced gene']</t>
        </is>
      </c>
    </row>
    <row r="2012" ht="15" customHeight="1">
      <c r="A2012" t="inlineStr">
        <is>
          <t>simple_regulon</t>
        </is>
      </c>
      <c r="B2012" t="inlineStr">
        <is>
          <t>http://identifiers.org/so/SO:0002302</t>
        </is>
      </c>
      <c r="C2012" t="inlineStr">
        <is>
          <t>['INSDC_feature:regulatory', 'INSDC_qualifier:silencer']</t>
        </is>
      </c>
    </row>
    <row r="2013" ht="15" customHeight="1">
      <c r="A2013" t="inlineStr">
        <is>
          <t>simple_sequence_length_variation</t>
        </is>
      </c>
      <c r="B2013" t="inlineStr">
        <is>
          <t>http://identifiers.org/so/SO:0000207</t>
        </is>
      </c>
      <c r="C2013" t="inlineStr">
        <is>
          <t>['silent mating-type cassette']</t>
        </is>
      </c>
    </row>
    <row r="2014" ht="15" customHeight="1">
      <c r="A2014" t="inlineStr">
        <is>
          <t>SINE_element</t>
        </is>
      </c>
      <c r="B2014" t="inlineStr">
        <is>
          <t>http://identifiers.org/so/SO:0000206</t>
        </is>
      </c>
      <c r="C2014" t="inlineStr">
        <is>
          <t>['silent mutation']</t>
        </is>
      </c>
    </row>
    <row r="2015" ht="15" customHeight="1">
      <c r="A2015" t="inlineStr">
        <is>
          <t>single</t>
        </is>
      </c>
      <c r="B2015" t="inlineStr">
        <is>
          <t>http://identifiers.org/so/SO:0000984</t>
        </is>
      </c>
      <c r="C2015" t="inlineStr">
        <is>
          <t>['simple operon']</t>
        </is>
      </c>
    </row>
    <row r="2016" ht="15" customHeight="1">
      <c r="A2016" t="inlineStr">
        <is>
          <t>single_strand_restriction_enzyme_cleavage_site</t>
        </is>
      </c>
      <c r="B2016" t="inlineStr">
        <is>
          <t>http://identifiers.org/so/SO:0001694</t>
        </is>
      </c>
      <c r="C2016" t="inlineStr">
        <is>
          <t>['simple regulon']</t>
        </is>
      </c>
    </row>
    <row r="2017" ht="15" customHeight="1">
      <c r="A2017" t="inlineStr">
        <is>
          <t>single_stranded_cDNA</t>
        </is>
      </c>
      <c r="B2017" t="inlineStr">
        <is>
          <t>http://identifiers.org/so/SO:0000757</t>
        </is>
      </c>
      <c r="C2017" t="inlineStr">
        <is>
          <t>['simple sequence length variation', 'SSLP', 'simple sequence length polymorphism']</t>
        </is>
      </c>
    </row>
    <row r="2018" ht="15" customHeight="1">
      <c r="A2018" t="inlineStr">
        <is>
          <t>single_stranded_DNA_chromosome</t>
        </is>
      </c>
      <c r="B2018" t="inlineStr">
        <is>
          <t>http://identifiers.org/so/SO:0000956</t>
        </is>
      </c>
      <c r="C2018" t="inlineStr">
        <is>
          <t>['Short interspersed nuclear element', 'Short interspersed element', 'SINE element']</t>
        </is>
      </c>
    </row>
    <row r="2019" ht="15" customHeight="1">
      <c r="A2019" t="inlineStr">
        <is>
          <t>single_stranded_RNA_chromosome</t>
        </is>
      </c>
      <c r="B2019" t="inlineStr">
        <is>
          <t>http://identifiers.org/so/SO:0000962</t>
        </is>
      </c>
    </row>
    <row r="2020" ht="15" customHeight="1">
      <c r="A2020" t="inlineStr">
        <is>
          <t>siRNA</t>
        </is>
      </c>
      <c r="B2020" t="inlineStr">
        <is>
          <t>http://identifiers.org/so/SO:0000646</t>
        </is>
      </c>
      <c r="C2020" t="inlineStr">
        <is>
          <t>['single strand restriction enzyme cleavage site']</t>
        </is>
      </c>
    </row>
    <row r="2021" ht="15" customHeight="1">
      <c r="A2021" t="inlineStr">
        <is>
          <t>site</t>
        </is>
      </c>
      <c r="B2021" t="inlineStr">
        <is>
          <t>http://identifiers.org/so/SO:0000408</t>
        </is>
      </c>
      <c r="C2021" t="inlineStr">
        <is>
          <t>['single strand cDNA', 'single-strand cDNA', 'single stranded cDNA']</t>
        </is>
      </c>
    </row>
    <row r="2022" ht="15" customHeight="1">
      <c r="A2022" t="inlineStr">
        <is>
          <t>six_cutter_restriction_site</t>
        </is>
      </c>
      <c r="B2022" t="inlineStr">
        <is>
          <t>http://identifiers.org/so/SO:0000249</t>
        </is>
      </c>
      <c r="C2022" t="inlineStr">
        <is>
          <t>['single stranded DNA chromosome']</t>
        </is>
      </c>
    </row>
    <row r="2023" ht="15" customHeight="1">
      <c r="A2023" t="inlineStr">
        <is>
          <t>SL1_acceptor_site</t>
        </is>
      </c>
      <c r="B2023" t="inlineStr">
        <is>
          <t>http://identifiers.org/so/SO:0000708</t>
        </is>
      </c>
      <c r="C2023" t="inlineStr">
        <is>
          <t>['single stranded RNA chromosome']</t>
        </is>
      </c>
    </row>
    <row r="2024" ht="15" customHeight="1">
      <c r="A2024" t="inlineStr">
        <is>
          <t>SL10_acceptor_site</t>
        </is>
      </c>
      <c r="B2024" t="inlineStr">
        <is>
          <t>http://identifiers.org/so/SO:0001755</t>
        </is>
      </c>
      <c r="C2024" t="inlineStr">
        <is>
          <t>['small interfering RNA', 'INSDC_qualifier:siRNA', 'INSDC_feature:ncRNA']</t>
        </is>
      </c>
    </row>
    <row r="2025" ht="15" customHeight="1">
      <c r="A2025" t="inlineStr">
        <is>
          <t>SL11_acceptor_site</t>
        </is>
      </c>
      <c r="B2025" t="inlineStr">
        <is>
          <t>http://identifiers.org/so/SO:0001756</t>
        </is>
      </c>
    </row>
    <row r="2026" ht="15" customHeight="1">
      <c r="A2026" t="inlineStr">
        <is>
          <t>SL12_acceptor_site</t>
        </is>
      </c>
      <c r="B2026" t="inlineStr">
        <is>
          <t>http://identifiers.org/so/SO:0001757</t>
        </is>
      </c>
      <c r="C2026" t="inlineStr">
        <is>
          <t>['6-cutter_restriction_site', 'six-cutter_restriction_site']</t>
        </is>
      </c>
    </row>
    <row r="2027" ht="15" customHeight="1">
      <c r="A2027" t="inlineStr">
        <is>
          <t>SL2_acceptor_site</t>
        </is>
      </c>
      <c r="B2027" t="inlineStr">
        <is>
          <t>http://identifiers.org/so/SO:0000709</t>
        </is>
      </c>
      <c r="C2027" t="inlineStr">
        <is>
          <t>['SL1 acceptor site']</t>
        </is>
      </c>
    </row>
    <row r="2028" ht="15" customHeight="1">
      <c r="A2028" t="inlineStr">
        <is>
          <t>SL3_acceptor_site</t>
        </is>
      </c>
      <c r="B2028" t="inlineStr">
        <is>
          <t>http://identifiers.org/so/SO:0001748</t>
        </is>
      </c>
      <c r="C2028" t="inlineStr">
        <is>
          <t>['SL10 acceptor site']</t>
        </is>
      </c>
    </row>
    <row r="2029" ht="15" customHeight="1">
      <c r="A2029" t="inlineStr">
        <is>
          <t>SL4_acceptor_site</t>
        </is>
      </c>
      <c r="B2029" t="inlineStr">
        <is>
          <t>http://identifiers.org/so/SO:0001749</t>
        </is>
      </c>
      <c r="C2029" t="inlineStr">
        <is>
          <t>['SL11 acceptor site']</t>
        </is>
      </c>
    </row>
    <row r="2030" ht="15" customHeight="1">
      <c r="A2030" t="inlineStr">
        <is>
          <t>SL5_acceptor_site</t>
        </is>
      </c>
      <c r="B2030" t="inlineStr">
        <is>
          <t>http://identifiers.org/so/SO:0001750</t>
        </is>
      </c>
      <c r="C2030" t="inlineStr">
        <is>
          <t>['SL12 acceptor site']</t>
        </is>
      </c>
    </row>
    <row r="2031" ht="15" customHeight="1">
      <c r="A2031" t="inlineStr">
        <is>
          <t>SL6_acceptor_site</t>
        </is>
      </c>
      <c r="B2031" t="inlineStr">
        <is>
          <t>http://identifiers.org/so/SO:0001751</t>
        </is>
      </c>
      <c r="C2031" t="inlineStr">
        <is>
          <t>['SL2 acceptor site']</t>
        </is>
      </c>
    </row>
    <row r="2032" ht="15" customHeight="1">
      <c r="A2032" t="inlineStr">
        <is>
          <t>SL7_acceptor_site</t>
        </is>
      </c>
      <c r="B2032" t="inlineStr">
        <is>
          <t>http://identifiers.org/so/SO:0001752</t>
        </is>
      </c>
      <c r="C2032" t="inlineStr">
        <is>
          <t>['SL3 acceptor site']</t>
        </is>
      </c>
    </row>
    <row r="2033" ht="15" customHeight="1">
      <c r="A2033" t="inlineStr">
        <is>
          <t>SL8_acceptor_site</t>
        </is>
      </c>
      <c r="B2033" t="inlineStr">
        <is>
          <t>http://identifiers.org/so/SO:0001753</t>
        </is>
      </c>
      <c r="C2033" t="inlineStr">
        <is>
          <t>['SL4 acceptor site']</t>
        </is>
      </c>
    </row>
    <row r="2034" ht="15" customHeight="1">
      <c r="A2034" t="inlineStr">
        <is>
          <t>SL9_acceptor_site</t>
        </is>
      </c>
      <c r="B2034" t="inlineStr">
        <is>
          <t>http://identifiers.org/so/SO:0001754</t>
        </is>
      </c>
      <c r="C2034" t="inlineStr">
        <is>
          <t>['SL5 acceptor site']</t>
        </is>
      </c>
    </row>
    <row r="2035" ht="15" customHeight="1">
      <c r="A2035" t="inlineStr">
        <is>
          <t>small_regulatory_ncRNA</t>
        </is>
      </c>
      <c r="B2035" t="inlineStr">
        <is>
          <t>http://identifiers.org/so/SO:0000370</t>
        </is>
      </c>
      <c r="C2035" t="inlineStr">
        <is>
          <t>['SL6 acceptor site']</t>
        </is>
      </c>
    </row>
    <row r="2036" ht="15" customHeight="1">
      <c r="A2036" t="inlineStr">
        <is>
          <t>small_subunit_rRNA</t>
        </is>
      </c>
      <c r="B2036" t="inlineStr">
        <is>
          <t>http://identifiers.org/so/SO:0000650</t>
        </is>
      </c>
      <c r="C2036" t="inlineStr">
        <is>
          <t>['SL37 acceptor site']</t>
        </is>
      </c>
    </row>
    <row r="2037" ht="15" customHeight="1">
      <c r="A2037" t="inlineStr">
        <is>
          <t>smFISH_probe</t>
        </is>
      </c>
      <c r="B2037" t="inlineStr">
        <is>
          <t>http://identifiers.org/so/SO:0001854</t>
        </is>
      </c>
      <c r="C2037" t="inlineStr">
        <is>
          <t>['SL8 acceptor site']</t>
        </is>
      </c>
    </row>
    <row r="2038" ht="15" customHeight="1">
      <c r="A2038" t="inlineStr">
        <is>
          <t>sncRNA</t>
        </is>
      </c>
      <c r="B2038" t="inlineStr">
        <is>
          <t>http://identifiers.org/so/SO:0002247</t>
        </is>
      </c>
      <c r="C2038" t="inlineStr">
        <is>
          <t>['SL9 acceptor site']</t>
        </is>
      </c>
    </row>
    <row r="2039" ht="15" customHeight="1">
      <c r="A2039" t="inlineStr">
        <is>
          <t>snoRNA</t>
        </is>
      </c>
      <c r="B2039" t="inlineStr">
        <is>
          <t>http://identifiers.org/so/SO:0000275</t>
        </is>
      </c>
      <c r="C2039" t="inlineStr">
        <is>
          <t>['small regulatory ncRNA']</t>
        </is>
      </c>
    </row>
    <row r="2040" ht="15" customHeight="1">
      <c r="A2040" t="inlineStr">
        <is>
          <t>snoRNA_encoding</t>
        </is>
      </c>
      <c r="B2040" t="inlineStr">
        <is>
          <t>http://identifiers.org/so/SO:0000578</t>
        </is>
      </c>
      <c r="C2040" t="inlineStr">
        <is>
          <t>['small subunit rRNA', 'SSU rRNA', 'SSU RNA']</t>
        </is>
      </c>
    </row>
    <row r="2041" ht="15" customHeight="1">
      <c r="A2041" t="inlineStr">
        <is>
          <t>snoRNA_gene</t>
        </is>
      </c>
      <c r="B2041" t="inlineStr">
        <is>
          <t>http://identifiers.org/so/SO:0001267</t>
        </is>
      </c>
      <c r="C2041" t="inlineStr">
        <is>
          <t>['smFISH probe', 'single molecule fish probe']</t>
        </is>
      </c>
    </row>
    <row r="2042" ht="15" customHeight="1">
      <c r="A2042" t="inlineStr">
        <is>
          <t>snoRNA_primary_transcript</t>
        </is>
      </c>
      <c r="B2042" t="inlineStr">
        <is>
          <t>http://identifiers.org/so/SO:0000232</t>
        </is>
      </c>
      <c r="C2042" t="inlineStr">
        <is>
          <t>['Small noncoding RNA']</t>
        </is>
      </c>
    </row>
    <row r="2043" ht="15" customHeight="1">
      <c r="A2043" t="inlineStr">
        <is>
          <t>SNP</t>
        </is>
      </c>
      <c r="B2043" t="inlineStr">
        <is>
          <t>http://identifiers.org/so/SO:0000694</t>
        </is>
      </c>
      <c r="C2043" t="inlineStr">
        <is>
          <t>['INSDC_feature:ncRNA', 'INSDC_qualifier:snoRNA', 'small nucleolar RNA']</t>
        </is>
      </c>
    </row>
    <row r="2044" ht="15" customHeight="1">
      <c r="A2044" t="inlineStr">
        <is>
          <t>snRNA</t>
        </is>
      </c>
      <c r="B2044" t="inlineStr">
        <is>
          <t>http://identifiers.org/so/SO:0000274</t>
        </is>
      </c>
      <c r="C2044" t="inlineStr">
        <is>
          <t>['snoRNA encoding']</t>
        </is>
      </c>
    </row>
    <row r="2045" ht="15" customHeight="1">
      <c r="A2045" t="inlineStr">
        <is>
          <t>snRNA_encoding</t>
        </is>
      </c>
      <c r="B2045" t="inlineStr">
        <is>
          <t>http://identifiers.org/so/SO:0000623</t>
        </is>
      </c>
      <c r="C2045" t="inlineStr">
        <is>
          <t>['snoRNA gene']</t>
        </is>
      </c>
    </row>
    <row r="2046" ht="15" customHeight="1">
      <c r="A2046" t="inlineStr">
        <is>
          <t>snRNA_gene</t>
        </is>
      </c>
      <c r="B2046" t="inlineStr">
        <is>
          <t>http://identifiers.org/so/SO:0001268</t>
        </is>
      </c>
      <c r="C2046" t="inlineStr">
        <is>
          <t>['snoRNA primary transcript']</t>
        </is>
      </c>
    </row>
    <row r="2047" ht="15" customHeight="1">
      <c r="A2047" t="inlineStr">
        <is>
          <t>snRNA_primary_transcript</t>
        </is>
      </c>
      <c r="B2047" t="inlineStr">
        <is>
          <t>http://identifiers.org/so/SO:0000231</t>
        </is>
      </c>
      <c r="C2047" t="inlineStr">
        <is>
          <t>['single nucleotide polymorphism']</t>
        </is>
      </c>
    </row>
    <row r="2048" ht="15" customHeight="1">
      <c r="A2048" t="inlineStr">
        <is>
          <t>SNV</t>
        </is>
      </c>
      <c r="B2048" t="inlineStr">
        <is>
          <t>http://identifiers.org/so/SO:0001483</t>
        </is>
      </c>
      <c r="C2048" t="inlineStr">
        <is>
          <t>['INSDC_feature:ncRNA', 'small nuclear RNA', 'INSDC_qualifier:snRNA']</t>
        </is>
      </c>
    </row>
    <row r="2049" ht="15" customHeight="1">
      <c r="A2049" t="inlineStr">
        <is>
          <t>SNV_artifact</t>
        </is>
      </c>
      <c r="B2049" t="inlineStr">
        <is>
          <t>http://identifiers.org/so/SO:0002178</t>
        </is>
      </c>
      <c r="C2049" t="inlineStr">
        <is>
          <t>['snRNA encoding']</t>
        </is>
      </c>
    </row>
    <row r="2050" ht="15" customHeight="1">
      <c r="A2050" t="inlineStr">
        <is>
          <t>solo_LTR</t>
        </is>
      </c>
      <c r="B2050" t="inlineStr">
        <is>
          <t>http://identifiers.org/so/SO:0001003</t>
        </is>
      </c>
      <c r="C2050" t="inlineStr">
        <is>
          <t>['snRNA gene', 'small nuclear RNA gene']</t>
        </is>
      </c>
    </row>
    <row r="2051" ht="15" customHeight="1">
      <c r="A2051" t="inlineStr">
        <is>
          <t>somatic_variant</t>
        </is>
      </c>
      <c r="B2051" t="inlineStr">
        <is>
          <t>http://identifiers.org/so/SO:0001777</t>
        </is>
      </c>
      <c r="C2051" t="inlineStr">
        <is>
          <t>['snRNA primary transcript']</t>
        </is>
      </c>
    </row>
    <row r="2052" ht="15" customHeight="1">
      <c r="A2052" t="inlineStr">
        <is>
          <t>sonicate_fragment</t>
        </is>
      </c>
      <c r="B2052" t="inlineStr">
        <is>
          <t>http://identifiers.org/so/SO:0001253</t>
        </is>
      </c>
      <c r="C2052" t="inlineStr">
        <is>
          <t>['single nucleotide variant']</t>
        </is>
      </c>
    </row>
    <row r="2053" ht="15" customHeight="1">
      <c r="A2053" t="inlineStr">
        <is>
          <t>sORF</t>
        </is>
      </c>
      <c r="B2053" t="inlineStr">
        <is>
          <t>http://identifiers.org/so/SO:0002028</t>
        </is>
      </c>
      <c r="C2053" t="inlineStr">
        <is>
          <t>['SNV artifact']</t>
        </is>
      </c>
    </row>
    <row r="2054" ht="15" customHeight="1">
      <c r="A2054" t="inlineStr">
        <is>
          <t>SP6_RNA_Polymerase_Promoter</t>
        </is>
      </c>
      <c r="B2054" t="inlineStr">
        <is>
          <t>http://identifiers.org/so/SO:0001205</t>
        </is>
      </c>
      <c r="C2054" t="inlineStr">
        <is>
          <t>['solo LTR']</t>
        </is>
      </c>
    </row>
    <row r="2055" ht="15" customHeight="1">
      <c r="A2055" t="inlineStr">
        <is>
          <t>specific_recombination_site</t>
        </is>
      </c>
      <c r="B2055" t="inlineStr">
        <is>
          <t>http://identifiers.org/so/SO:0000299</t>
        </is>
      </c>
      <c r="C2055" t="inlineStr">
        <is>
          <t>['somatic variant']</t>
        </is>
      </c>
    </row>
    <row r="2056" ht="15" customHeight="1">
      <c r="A2056" t="inlineStr">
        <is>
          <t>splice_acceptor_variant</t>
        </is>
      </c>
      <c r="B2056" t="inlineStr">
        <is>
          <t>http://identifiers.org/so/SO:0001574</t>
        </is>
      </c>
      <c r="C2056" t="inlineStr">
        <is>
          <t>['sonicate fragment']</t>
        </is>
      </c>
    </row>
    <row r="2057" ht="15" customHeight="1">
      <c r="A2057" t="inlineStr">
        <is>
          <t>splice_donor_5th_base_variant</t>
        </is>
      </c>
      <c r="B2057" t="inlineStr">
        <is>
          <t>http://identifiers.org/so/SO:0001787</t>
        </is>
      </c>
      <c r="C2057" t="inlineStr">
        <is>
          <t>['smORF', 'small ORF']</t>
        </is>
      </c>
    </row>
    <row r="2058" ht="15" customHeight="1">
      <c r="A2058" t="inlineStr">
        <is>
          <t>splice_donor_region_variant</t>
        </is>
      </c>
      <c r="B2058" t="inlineStr">
        <is>
          <t>http://identifiers.org/so/SO:0002170</t>
        </is>
      </c>
      <c r="C2058" t="inlineStr">
        <is>
          <t>['SP6 RNA Polymerase Promoter']</t>
        </is>
      </c>
    </row>
    <row r="2059" ht="15" customHeight="1">
      <c r="A2059" t="inlineStr">
        <is>
          <t>splice_donor_variant</t>
        </is>
      </c>
      <c r="B2059" t="inlineStr">
        <is>
          <t>http://identifiers.org/so/SO:0001575</t>
        </is>
      </c>
      <c r="C2059" t="inlineStr">
        <is>
          <t>['specific recombination site']</t>
        </is>
      </c>
    </row>
    <row r="2060" ht="15" customHeight="1">
      <c r="A2060" t="inlineStr">
        <is>
          <t>splice_enhancer</t>
        </is>
      </c>
      <c r="B2060" t="inlineStr">
        <is>
          <t>http://identifiers.org/so/SO:0000344</t>
        </is>
      </c>
      <c r="C2060" t="inlineStr">
        <is>
          <t>['snpEff:SPLICE_SITE_ACCEPTOR', 'splice acceptor variant', 'Jannovar:splice_acceptor_variant', 'VAAST:splice_acceptor_variant', 'VEP:splice_acceptor_variant', 'Seattleseq:splice-acceptor']</t>
        </is>
      </c>
    </row>
    <row r="2061" ht="15" customHeight="1">
      <c r="A2061" t="inlineStr">
        <is>
          <t>splice_junction</t>
        </is>
      </c>
      <c r="B2061" t="inlineStr">
        <is>
          <t>http://identifiers.org/so/SO:0001421</t>
        </is>
      </c>
      <c r="C2061" t="inlineStr">
        <is>
          <t>['splice donor 5th base variant']</t>
        </is>
      </c>
    </row>
    <row r="2062" ht="15" customHeight="1">
      <c r="A2062" t="inlineStr">
        <is>
          <t>splice_polypyrimidine_tract_variant</t>
        </is>
      </c>
      <c r="B2062" t="inlineStr">
        <is>
          <t>http://identifiers.org/so/SO:0002169</t>
        </is>
      </c>
      <c r="C2062" t="inlineStr">
        <is>
          <t>['splice donor region variant']</t>
        </is>
      </c>
    </row>
    <row r="2063" ht="15" customHeight="1">
      <c r="A2063" t="inlineStr">
        <is>
          <t>splice_region</t>
        </is>
      </c>
      <c r="B2063" t="inlineStr">
        <is>
          <t>http://identifiers.org/so/SO:0001902</t>
        </is>
      </c>
      <c r="C2063" t="inlineStr">
        <is>
          <t>['Jannovar:splice_donor_variant', 'VEP:splice_donor_variant', 'snpEff:SPLICE_SITE_DONOR', 'VAAST:splice_donor_variant', 'Seattleseq:splice-donor', 'splice donor variant']</t>
        </is>
      </c>
    </row>
    <row r="2064" ht="15" customHeight="1">
      <c r="A2064" t="inlineStr">
        <is>
          <t>splice_region_variant</t>
        </is>
      </c>
      <c r="B2064" t="inlineStr">
        <is>
          <t>http://identifiers.org/so/SO:0001630</t>
        </is>
      </c>
      <c r="C2064" t="inlineStr">
        <is>
          <t>['splice enhancer']</t>
        </is>
      </c>
    </row>
    <row r="2065" ht="15" customHeight="1">
      <c r="A2065" t="inlineStr">
        <is>
          <t>splice_site</t>
        </is>
      </c>
      <c r="B2065" t="inlineStr">
        <is>
          <t>http://identifiers.org/so/SO:0000162</t>
        </is>
      </c>
      <c r="C2065" t="inlineStr">
        <is>
          <t>['splice boundary', 'splice junction']</t>
        </is>
      </c>
    </row>
    <row r="2066" ht="15" customHeight="1">
      <c r="A2066" t="inlineStr">
        <is>
          <t>splice_site_variant</t>
        </is>
      </c>
      <c r="B2066" t="inlineStr">
        <is>
          <t>http://identifiers.org/so/SO:0001629</t>
        </is>
      </c>
      <c r="C2066" t="inlineStr">
        <is>
          <t>['splice polypyrimidine tract variant']</t>
        </is>
      </c>
    </row>
    <row r="2067" ht="15" customHeight="1">
      <c r="A2067" t="inlineStr">
        <is>
          <t>spliced_leader_RNA</t>
        </is>
      </c>
      <c r="B2067" t="inlineStr">
        <is>
          <t>http://identifiers.org/so/SO:0000636</t>
        </is>
      </c>
      <c r="C2067" t="inlineStr">
        <is>
          <t>['splice region']</t>
        </is>
      </c>
    </row>
    <row r="2068" ht="15" customHeight="1">
      <c r="A2068" t="inlineStr">
        <is>
          <t>spliceosomal_intron</t>
        </is>
      </c>
      <c r="B2068" t="inlineStr">
        <is>
          <t>http://identifiers.org/so/SO:0000662</t>
        </is>
      </c>
      <c r="C2068" t="inlineStr">
        <is>
          <t>['ANNOVAR:splicing', 'Jannovar:splice_region_variant', 'VAAST:splice_region_variant', 'snpEff:SPLICE_SITE_REGION', 'snpEff:SPLICE_SITE_BRANCH_U12', 'snpEff:SPLICE_SITE_BRANCH', 'VEP:splice_region_variant', 'splice region variant']</t>
        </is>
      </c>
    </row>
    <row r="2069" ht="15" customHeight="1">
      <c r="A2069" t="inlineStr">
        <is>
          <t>spliceosomal_intron_region</t>
        </is>
      </c>
      <c r="B2069" t="inlineStr">
        <is>
          <t>http://identifiers.org/so/SO:0000841</t>
        </is>
      </c>
      <c r="C2069" t="inlineStr">
        <is>
          <t>['splice site']</t>
        </is>
      </c>
    </row>
    <row r="2070" ht="15" customHeight="1">
      <c r="A2070" t="inlineStr">
        <is>
          <t>splicing_feature</t>
        </is>
      </c>
      <c r="B2070" t="inlineStr">
        <is>
          <t>http://identifiers.org/so/SO:0000682</t>
        </is>
      </c>
      <c r="C2070" t="inlineStr">
        <is>
          <t>['essential_splice_site', 'splice site variant', 'VAT:spliceOverlap']</t>
        </is>
      </c>
    </row>
    <row r="2071" ht="15" customHeight="1">
      <c r="A2071" t="inlineStr">
        <is>
          <t>splicing_regulatory_region</t>
        </is>
      </c>
      <c r="B2071" t="inlineStr">
        <is>
          <t>http://identifiers.org/so/SO:0001056</t>
        </is>
      </c>
      <c r="C2071" t="inlineStr">
        <is>
          <t>['mini-exon', 'spliced leader RNA']</t>
        </is>
      </c>
    </row>
    <row r="2072" ht="15" customHeight="1">
      <c r="A2072" t="inlineStr">
        <is>
          <t>splicing_variant</t>
        </is>
      </c>
      <c r="B2072" t="inlineStr">
        <is>
          <t>http://identifiers.org/so/SO:0001568</t>
        </is>
      </c>
      <c r="C2072" t="inlineStr">
        <is>
          <t>['spliceosomal intron']</t>
        </is>
      </c>
    </row>
    <row r="2073" ht="15" customHeight="1">
      <c r="A2073" t="inlineStr">
        <is>
          <t>spot_42_RNA</t>
        </is>
      </c>
      <c r="B2073" t="inlineStr">
        <is>
          <t>http://identifiers.org/so/SO:0000389</t>
        </is>
      </c>
      <c r="C2073" t="inlineStr">
        <is>
          <t>['spliceosomal intron region']</t>
        </is>
      </c>
    </row>
    <row r="2074" ht="15" customHeight="1">
      <c r="A2074" t="inlineStr">
        <is>
          <t>spurious_protein</t>
        </is>
      </c>
      <c r="B2074" t="inlineStr">
        <is>
          <t>http://identifiers.org/so/SO:0002248</t>
        </is>
      </c>
    </row>
    <row r="2075" ht="15" customHeight="1">
      <c r="A2075" t="inlineStr">
        <is>
          <t>SRP_RNA</t>
        </is>
      </c>
      <c r="B2075" t="inlineStr">
        <is>
          <t>http://identifiers.org/so/SO:0000590</t>
        </is>
      </c>
      <c r="C2075" t="inlineStr">
        <is>
          <t>['splicing regulatory region']</t>
        </is>
      </c>
    </row>
    <row r="2076" ht="15" customHeight="1">
      <c r="A2076" t="inlineStr">
        <is>
          <t>SRP_RNA_encoding</t>
        </is>
      </c>
      <c r="B2076" t="inlineStr">
        <is>
          <t>http://identifiers.org/so/SO:0000642</t>
        </is>
      </c>
      <c r="C2076" t="inlineStr">
        <is>
          <t>['Jannovar:splicing_variant', 'splicing variant']</t>
        </is>
      </c>
    </row>
    <row r="2077" ht="15" customHeight="1">
      <c r="A2077" t="inlineStr">
        <is>
          <t>SRP_RNA_gene</t>
        </is>
      </c>
      <c r="B2077" t="inlineStr">
        <is>
          <t>http://identifiers.org/so/SO:0001269</t>
        </is>
      </c>
      <c r="C2077" t="inlineStr">
        <is>
          <t>['spot-42 RNA']</t>
        </is>
      </c>
    </row>
    <row r="2078" ht="15" customHeight="1">
      <c r="A2078" t="inlineStr">
        <is>
          <t>SRP_RNA_primary_transcript</t>
        </is>
      </c>
      <c r="B2078" t="inlineStr">
        <is>
          <t>http://identifiers.org/so/SO:0000589</t>
        </is>
      </c>
      <c r="C2078" t="inlineStr">
        <is>
          <t>['spurious protein']</t>
        </is>
      </c>
    </row>
    <row r="2079" ht="15" customHeight="1">
      <c r="A2079" t="inlineStr">
        <is>
          <t>ss_oligo</t>
        </is>
      </c>
      <c r="B2079" t="inlineStr">
        <is>
          <t>http://identifiers.org/so/SO:0000441</t>
        </is>
      </c>
      <c r="C2079" t="inlineStr">
        <is>
          <t>['7S RNA', 'signal recognition particle RNA', 'INSDC_feature:ncRNA', 'SRP RNA', 'INSDC_qualifier:SRP_RNA']</t>
        </is>
      </c>
    </row>
    <row r="2080" ht="15" customHeight="1">
      <c r="A2080" t="inlineStr">
        <is>
          <t>ss_RNA_viral_sequence</t>
        </is>
      </c>
      <c r="B2080" t="inlineStr">
        <is>
          <t>http://identifiers.org/so/SO:0001199</t>
        </is>
      </c>
      <c r="C2080" t="inlineStr">
        <is>
          <t>['SRP RNA encoding']</t>
        </is>
      </c>
    </row>
    <row r="2081" ht="15" customHeight="1">
      <c r="A2081" t="inlineStr">
        <is>
          <t>st_turn_left_handed_type_one</t>
        </is>
      </c>
      <c r="B2081" t="inlineStr">
        <is>
          <t>http://identifiers.org/so/SO:0001142</t>
        </is>
      </c>
      <c r="C2081" t="inlineStr">
        <is>
          <t>['SRP RNA gene']</t>
        </is>
      </c>
    </row>
    <row r="2082" ht="15" customHeight="1">
      <c r="A2082" t="inlineStr">
        <is>
          <t>st_turn_left_handed_type_two</t>
        </is>
      </c>
      <c r="B2082" t="inlineStr">
        <is>
          <t>http://identifiers.org/so/SO:0001143</t>
        </is>
      </c>
      <c r="C2082" t="inlineStr">
        <is>
          <t>['SRP RNA primary transcript']</t>
        </is>
      </c>
    </row>
    <row r="2083" ht="15" customHeight="1">
      <c r="A2083" t="inlineStr">
        <is>
          <t>st_turn_right_handed_type_one</t>
        </is>
      </c>
      <c r="B2083" t="inlineStr">
        <is>
          <t>http://identifiers.org/so/SO:0001144</t>
        </is>
      </c>
      <c r="C2083" t="inlineStr">
        <is>
          <t>['single stranded oligonucleotide', 'ss oligonucleotide', 'single strand oligonucleotide', 'single strand oligo', 'ss oligo']</t>
        </is>
      </c>
    </row>
    <row r="2084" ht="15" customHeight="1">
      <c r="A2084" t="inlineStr">
        <is>
          <t>st_turn_right_handed_type_two</t>
        </is>
      </c>
      <c r="B2084" t="inlineStr">
        <is>
          <t>http://identifiers.org/so/SO:0001145</t>
        </is>
      </c>
      <c r="C2084" t="inlineStr">
        <is>
          <t>['single strand RNA virus', 'ss RNA viral sequence']</t>
        </is>
      </c>
    </row>
    <row r="2085" ht="15" customHeight="1">
      <c r="A2085" t="inlineStr">
        <is>
          <t>standard_draft</t>
        </is>
      </c>
      <c r="B2085" t="inlineStr">
        <is>
          <t>http://identifiers.org/so/SO:0001486</t>
        </is>
      </c>
      <c r="C2085" t="inlineStr">
        <is>
          <t>['st_turn_il', 'st turn left handed type one']</t>
        </is>
      </c>
    </row>
    <row r="2086" ht="15" customHeight="1">
      <c r="A2086" t="inlineStr">
        <is>
          <t>start_codon</t>
        </is>
      </c>
      <c r="B2086" t="inlineStr">
        <is>
          <t>http://identifiers.org/so/SO:0000318</t>
        </is>
      </c>
      <c r="C2086" t="inlineStr">
        <is>
          <t>['st_turn_iil', 'st turn left handed type two']</t>
        </is>
      </c>
    </row>
    <row r="2087" ht="15" customHeight="1">
      <c r="A2087" t="inlineStr">
        <is>
          <t>start_lost</t>
        </is>
      </c>
      <c r="B2087" t="inlineStr">
        <is>
          <t>http://identifiers.org/so/SO:0002012</t>
        </is>
      </c>
      <c r="C2087" t="inlineStr">
        <is>
          <t>['st_turn_ir', 'st turn right handed type one']</t>
        </is>
      </c>
    </row>
    <row r="2088" ht="15" customHeight="1">
      <c r="A2088" t="inlineStr">
        <is>
          <t>start_retained_variant</t>
        </is>
      </c>
      <c r="B2088" t="inlineStr">
        <is>
          <t>http://identifiers.org/so/SO:0002019</t>
        </is>
      </c>
      <c r="C2088" t="inlineStr">
        <is>
          <t>['st turn right handed type two', 'st_turn_iir']</t>
        </is>
      </c>
    </row>
    <row r="2089" ht="15" customHeight="1">
      <c r="A2089" t="inlineStr">
        <is>
          <t>status</t>
        </is>
      </c>
      <c r="B2089" t="inlineStr">
        <is>
          <t>http://identifiers.org/so/SO:0000905</t>
        </is>
      </c>
      <c r="C2089" t="inlineStr">
        <is>
          <t>['standard draft']</t>
        </is>
      </c>
    </row>
    <row r="2090" ht="15" customHeight="1">
      <c r="A2090" t="inlineStr">
        <is>
          <t>status_of_coding_sequence</t>
        </is>
      </c>
      <c r="B2090" t="inlineStr">
        <is>
          <t>http://identifiers.org/so/SO:1001255</t>
        </is>
      </c>
      <c r="C2090" t="inlineStr">
        <is>
          <t>['start codon', 'initiation codon']</t>
        </is>
      </c>
    </row>
    <row r="2091" ht="15" customHeight="1">
      <c r="A2091" t="inlineStr">
        <is>
          <t>stem</t>
        </is>
      </c>
      <c r="B2091" t="inlineStr">
        <is>
          <t>http://identifiers.org/so/SO:0002255</t>
        </is>
      </c>
      <c r="C2091" t="inlineStr">
        <is>
          <t>['VEP:start_lost', 'Jannovar:start_lost', 'snpEff:START_LOST']</t>
        </is>
      </c>
    </row>
    <row r="2092" ht="15" customHeight="1">
      <c r="A2092" t="inlineStr">
        <is>
          <t>stem_loop</t>
        </is>
      </c>
      <c r="B2092" t="inlineStr">
        <is>
          <t>http://identifiers.org/so/SO:0000313</t>
        </is>
      </c>
      <c r="C2092" t="inlineStr">
        <is>
          <t>['snpEff:SYNONYMOUS_START']</t>
        </is>
      </c>
    </row>
    <row r="2093" ht="15" customHeight="1">
      <c r="A2093" t="inlineStr">
        <is>
          <t>stem_loop_region</t>
        </is>
      </c>
      <c r="B2093" t="inlineStr">
        <is>
          <t>http://identifiers.org/so/SO:0002253</t>
        </is>
      </c>
    </row>
    <row r="2094" ht="15" customHeight="1">
      <c r="A2094" t="inlineStr">
        <is>
          <t>sterol_regulatory_element</t>
        </is>
      </c>
      <c r="B2094" t="inlineStr">
        <is>
          <t>http://identifiers.org/so/SO:0001861</t>
        </is>
      </c>
    </row>
    <row r="2095" ht="15" customHeight="1">
      <c r="A2095" t="inlineStr">
        <is>
          <t>sticky_end_restriction_enzyme_cleavage_site</t>
        </is>
      </c>
      <c r="B2095" t="inlineStr">
        <is>
          <t>http://identifiers.org/so/SO:0001692</t>
        </is>
      </c>
      <c r="C2095" t="inlineStr">
        <is>
          <t>['stem portion of stem loop']</t>
        </is>
      </c>
    </row>
    <row r="2096" ht="15" customHeight="1">
      <c r="A2096" t="inlineStr">
        <is>
          <t>stop_codon</t>
        </is>
      </c>
      <c r="B2096" t="inlineStr">
        <is>
          <t>http://identifiers.org/so/SO:0000319</t>
        </is>
      </c>
      <c r="C2096" t="inlineStr">
        <is>
          <t>['RNA_hairpin_loop', 'stem-loop', 'stem loop', 'INSDC_feature:stem_loop']</t>
        </is>
      </c>
    </row>
    <row r="2097" ht="15" customHeight="1">
      <c r="A2097" t="inlineStr">
        <is>
          <t>stop_codon_read_through</t>
        </is>
      </c>
      <c r="B2097" t="inlineStr">
        <is>
          <t>http://identifiers.org/so/SO:0000883</t>
        </is>
      </c>
      <c r="C2097" t="inlineStr">
        <is>
          <t>['stem loop region']</t>
        </is>
      </c>
    </row>
    <row r="2098" ht="15" customHeight="1">
      <c r="A2098" t="inlineStr">
        <is>
          <t>stop_codon_readthrough</t>
        </is>
      </c>
      <c r="B2098" t="inlineStr">
        <is>
          <t>http://identifiers.org/so/SO:1001267</t>
        </is>
      </c>
      <c r="C2098" t="inlineStr">
        <is>
          <t>['SRE']</t>
        </is>
      </c>
    </row>
    <row r="2099" ht="15" customHeight="1">
      <c r="A2099" t="inlineStr">
        <is>
          <t>stop_codon_redefined_as_pyrrolysine</t>
        </is>
      </c>
      <c r="B2099" t="inlineStr">
        <is>
          <t>http://identifiers.org/so/SO:0000884</t>
        </is>
      </c>
      <c r="C2099" t="inlineStr">
        <is>
          <t>['sticky end restriction enzyme cleavage site']</t>
        </is>
      </c>
    </row>
    <row r="2100" ht="15" customHeight="1">
      <c r="A2100" t="inlineStr">
        <is>
          <t>stop_codon_redefined_as_selenocysteine</t>
        </is>
      </c>
      <c r="B2100" t="inlineStr">
        <is>
          <t>http://identifiers.org/so/SO:0000885</t>
        </is>
      </c>
      <c r="C2100" t="inlineStr">
        <is>
          <t>['stop codon']</t>
        </is>
      </c>
    </row>
    <row r="2101" ht="15" customHeight="1">
      <c r="A2101" t="inlineStr">
        <is>
          <t>stop_codon_redefinition_as_pyrrolysine</t>
        </is>
      </c>
      <c r="B2101" t="inlineStr">
        <is>
          <t>http://identifiers.org/so/SO:1001270</t>
        </is>
      </c>
      <c r="C2101" t="inlineStr">
        <is>
          <t>['stop codon read through', 'stop codon readthrough']</t>
        </is>
      </c>
    </row>
    <row r="2102" ht="15" customHeight="1">
      <c r="A2102" t="inlineStr">
        <is>
          <t>stop_codon_redefinition_as_selenocysteine</t>
        </is>
      </c>
      <c r="B2102" t="inlineStr">
        <is>
          <t>http://identifiers.org/so/SO:1001266</t>
        </is>
      </c>
    </row>
    <row r="2103" ht="15" customHeight="1">
      <c r="A2103" t="inlineStr">
        <is>
          <t>stop_codon_signal</t>
        </is>
      </c>
      <c r="B2103" t="inlineStr">
        <is>
          <t>http://identifiers.org/so/SO:1001288</t>
        </is>
      </c>
      <c r="C2103" t="inlineStr">
        <is>
          <t>['stop codon redefined as pyrrolysine']</t>
        </is>
      </c>
    </row>
    <row r="2104" ht="15" customHeight="1">
      <c r="A2104" t="inlineStr">
        <is>
          <t>stop_gained</t>
        </is>
      </c>
      <c r="B2104" t="inlineStr">
        <is>
          <t>http://identifiers.org/so/SO:0001587</t>
        </is>
      </c>
      <c r="C2104" t="inlineStr">
        <is>
          <t>['stop codon redefined as selenocysteine']</t>
        </is>
      </c>
    </row>
    <row r="2105" ht="15" customHeight="1">
      <c r="A2105" t="inlineStr">
        <is>
          <t>stop_lost</t>
        </is>
      </c>
      <c r="B2105" t="inlineStr">
        <is>
          <t>http://identifiers.org/so/SO:0001578</t>
        </is>
      </c>
    </row>
    <row r="2106" ht="15" customHeight="1">
      <c r="A2106" t="inlineStr">
        <is>
          <t>stop_retained_variant</t>
        </is>
      </c>
      <c r="B2106" t="inlineStr">
        <is>
          <t>http://identifiers.org/so/SO:0001567</t>
        </is>
      </c>
    </row>
    <row r="2107" ht="15" customHeight="1">
      <c r="A2107" t="inlineStr">
        <is>
          <t>strand_attribute</t>
        </is>
      </c>
      <c r="B2107" t="inlineStr">
        <is>
          <t>http://identifiers.org/so/SO:0000983</t>
        </is>
      </c>
      <c r="C2107" t="inlineStr">
        <is>
          <t>['stop codon signal']</t>
        </is>
      </c>
    </row>
    <row r="2108" ht="15" customHeight="1">
      <c r="A2108" t="inlineStr">
        <is>
          <t>STREP_motif</t>
        </is>
      </c>
      <c r="B2108" t="inlineStr">
        <is>
          <t>http://identifiers.org/so/SO:0001859</t>
        </is>
      </c>
      <c r="C2108" t="inlineStr">
        <is>
          <t>['nonsense', 'stop gained', 'stop codon gained', 'nonsense codon', 'Jannovar:stop_gained', 'Seattleseq:stop-gained', 'VAT:prematureStop', 'VEP:stop_gained', 'snpEff:STOP_GAINED', 'ANNOVAR:stopgain', 'VAAST:stop_gained', 'Seattleseq:stop-gained-near-splice']</t>
        </is>
      </c>
    </row>
    <row r="2109" ht="15" customHeight="1">
      <c r="A2109" t="inlineStr">
        <is>
          <t>stRNA_encoding</t>
        </is>
      </c>
      <c r="B2109" t="inlineStr">
        <is>
          <t>http://identifiers.org/so/SO:0000656</t>
        </is>
      </c>
      <c r="C2109" t="inlineStr">
        <is>
          <t>['snpEff:STOP_LOST', 'stop codon lost', 'Jannovar:stop_lost', 'VAT:removedStop', 'Seattleseq:stop-lost', 'stop lost', 'VEP:stop_lost', 'ANNOVAR:stoploss', 'Seattleseq:stop-lost-near-splice', 'VAAST:stop_lost']</t>
        </is>
      </c>
    </row>
    <row r="2110" ht="15" customHeight="1">
      <c r="A2110" t="inlineStr">
        <is>
          <t>structural_alteration</t>
        </is>
      </c>
      <c r="B2110" t="inlineStr">
        <is>
          <t>http://identifiers.org/so/SO:0001785</t>
        </is>
      </c>
      <c r="C2110" t="inlineStr">
        <is>
          <t>['VEP:stop_retained_variant', 'VAAST:stop_retained', 'Jannovar:stop_retained_variant', 'snpEff:NON_SYNONYMOUS_STOP', 'snpEff:SYNONYMOUS_STOP', 'VAAST:stop_retained_variant', 'stop retained variant']</t>
        </is>
      </c>
    </row>
    <row r="2111" ht="15" customHeight="1">
      <c r="A2111" t="inlineStr">
        <is>
          <t>structural_interaction_variant</t>
        </is>
      </c>
      <c r="B2111" t="inlineStr">
        <is>
          <t>http://identifiers.org/so/SO:0002093</t>
        </is>
      </c>
      <c r="C2111" t="inlineStr">
        <is>
          <t>['strand attribute']</t>
        </is>
      </c>
    </row>
    <row r="2112" ht="15" customHeight="1">
      <c r="A2112" t="inlineStr">
        <is>
          <t>structural_variant</t>
        </is>
      </c>
      <c r="B2112" t="inlineStr">
        <is>
          <t>http://identifiers.org/so/SO:0001537</t>
        </is>
      </c>
      <c r="C2112" t="inlineStr">
        <is>
          <t>['STREP motif', 'stress-starvation response element of Schizosaccharomyces pombe']</t>
        </is>
      </c>
    </row>
    <row r="2113" ht="15" customHeight="1">
      <c r="A2113" t="inlineStr">
        <is>
          <t>STS</t>
        </is>
      </c>
      <c r="B2113" t="inlineStr">
        <is>
          <t>http://identifiers.org/so/SO:0000331</t>
        </is>
      </c>
      <c r="C2113" t="inlineStr">
        <is>
          <t>['stRNA encoding']</t>
        </is>
      </c>
    </row>
    <row r="2114" ht="15" customHeight="1">
      <c r="A2114" t="inlineStr">
        <is>
          <t>STS_map</t>
        </is>
      </c>
      <c r="B2114" t="inlineStr">
        <is>
          <t>http://identifiers.org/so/SO:0001251</t>
        </is>
      </c>
      <c r="C2114" t="inlineStr">
        <is>
          <t>['structural alteration']</t>
        </is>
      </c>
    </row>
    <row r="2115" ht="15" customHeight="1">
      <c r="A2115" t="inlineStr">
        <is>
          <t>substitute</t>
        </is>
      </c>
      <c r="B2115" t="inlineStr">
        <is>
          <t>http://identifiers.org/so/SO:0000048</t>
        </is>
      </c>
      <c r="C2115" t="inlineStr">
        <is>
          <t>['structural interaction variant']</t>
        </is>
      </c>
    </row>
    <row r="2116" ht="15" customHeight="1">
      <c r="A2116" t="inlineStr">
        <is>
          <t>substitute_A_to_I</t>
        </is>
      </c>
      <c r="B2116" t="inlineStr">
        <is>
          <t>http://identifiers.org/so/SO:0000919</t>
        </is>
      </c>
      <c r="C2116" t="inlineStr">
        <is>
          <t>['structural variant', 'Jannovar:structural_variant', 'VAT:svOverlap']</t>
        </is>
      </c>
    </row>
    <row r="2117" ht="15" customHeight="1">
      <c r="A2117" t="inlineStr">
        <is>
          <t>substitute_C_to_U</t>
        </is>
      </c>
      <c r="B2117" t="inlineStr">
        <is>
          <t>http://identifiers.org/so/SO:0000922</t>
        </is>
      </c>
      <c r="C2117" t="inlineStr">
        <is>
          <t>['INSDC_feature:STS', 'sequence tag site']</t>
        </is>
      </c>
    </row>
    <row r="2118" ht="15" customHeight="1">
      <c r="A2118" t="inlineStr">
        <is>
          <t>substitution</t>
        </is>
      </c>
      <c r="B2118" t="inlineStr">
        <is>
          <t>http://identifiers.org/so/SO:1000002</t>
        </is>
      </c>
      <c r="C2118" t="inlineStr">
        <is>
          <t>['STS map']</t>
        </is>
      </c>
    </row>
    <row r="2119" ht="15" customHeight="1">
      <c r="A2119" t="inlineStr">
        <is>
          <t>substitution_artifact</t>
        </is>
      </c>
      <c r="B2119" t="inlineStr">
        <is>
          <t>http://identifiers.org/so/SO:0002176</t>
        </is>
      </c>
    </row>
    <row r="2120" ht="15" customHeight="1">
      <c r="A2120" t="inlineStr">
        <is>
          <t>subtelomere</t>
        </is>
      </c>
      <c r="B2120" t="inlineStr">
        <is>
          <t>http://identifiers.org/so/SO:0001997</t>
        </is>
      </c>
      <c r="C2120" t="inlineStr">
        <is>
          <t>['substitute A to I']</t>
        </is>
      </c>
    </row>
    <row r="2121" ht="15" customHeight="1">
      <c r="A2121" t="inlineStr">
        <is>
          <t>sugar_edge_base_pair</t>
        </is>
      </c>
      <c r="B2121" t="inlineStr">
        <is>
          <t>http://identifiers.org/so/SO:0000030</t>
        </is>
      </c>
      <c r="C2121" t="inlineStr">
        <is>
          <t>['substitute C to U']</t>
        </is>
      </c>
    </row>
    <row r="2122" ht="15" customHeight="1">
      <c r="A2122" t="inlineStr">
        <is>
          <t>SUMO_interaction_motif</t>
        </is>
      </c>
      <c r="B2122" t="inlineStr">
        <is>
          <t>http://identifiers.org/so/SO:0002235</t>
        </is>
      </c>
    </row>
    <row r="2123" ht="15" customHeight="1">
      <c r="A2123" t="inlineStr">
        <is>
          <t>supercontig</t>
        </is>
      </c>
      <c r="B2123" t="inlineStr">
        <is>
          <t>http://identifiers.org/so/SO:0000148</t>
        </is>
      </c>
      <c r="C2123" t="inlineStr">
        <is>
          <t>['substitution artifact']</t>
        </is>
      </c>
    </row>
    <row r="2124" ht="15" customHeight="1">
      <c r="A2124" t="inlineStr">
        <is>
          <t>supported_by_domain_match</t>
        </is>
      </c>
      <c r="B2124" t="inlineStr">
        <is>
          <t>http://identifiers.org/so/SO:0000908</t>
        </is>
      </c>
    </row>
    <row r="2125" ht="15" customHeight="1">
      <c r="A2125" t="inlineStr">
        <is>
          <t>supported_by_EST_or_cDNA</t>
        </is>
      </c>
      <c r="B2125" t="inlineStr">
        <is>
          <t>http://identifiers.org/so/SO:0000909</t>
        </is>
      </c>
      <c r="C2125" t="inlineStr">
        <is>
          <t>['sugar edge base pair']</t>
        </is>
      </c>
    </row>
    <row r="2126" ht="15" customHeight="1">
      <c r="A2126" t="inlineStr">
        <is>
          <t>supported_by_sequence_similarity</t>
        </is>
      </c>
      <c r="B2126" t="inlineStr">
        <is>
          <t>http://identifiers.org/so/SO:0000907</t>
        </is>
      </c>
      <c r="C2126" t="inlineStr">
        <is>
          <t>['SUMO interaction motif', 'SIM', 'SUMO binding motif', 'SBM']</t>
        </is>
      </c>
    </row>
    <row r="2127" ht="15" customHeight="1">
      <c r="A2127" t="inlineStr">
        <is>
          <t>SVA_deletion</t>
        </is>
      </c>
      <c r="B2127" t="inlineStr">
        <is>
          <t>http://identifiers.org/so/SO:0002068</t>
        </is>
      </c>
      <c r="C2127" t="inlineStr">
        <is>
          <t>['scaffold']</t>
        </is>
      </c>
    </row>
    <row r="2128" ht="15" customHeight="1">
      <c r="A2128" t="inlineStr">
        <is>
          <t>SVA_insertion</t>
        </is>
      </c>
      <c r="B2128" t="inlineStr">
        <is>
          <t>http://identifiers.org/so/SO:0002065</t>
        </is>
      </c>
      <c r="C2128" t="inlineStr">
        <is>
          <t>['supported by domain match']</t>
        </is>
      </c>
    </row>
    <row r="2129" ht="15" customHeight="1">
      <c r="A2129" t="inlineStr">
        <is>
          <t>symbiosis_island</t>
        </is>
      </c>
      <c r="B2129" t="inlineStr">
        <is>
          <t>http://identifiers.org/so/SO:0000776</t>
        </is>
      </c>
      <c r="C2129" t="inlineStr">
        <is>
          <t>['supported by EST or cDNA']</t>
        </is>
      </c>
    </row>
    <row r="2130" ht="15" customHeight="1">
      <c r="A2130" t="inlineStr">
        <is>
          <t>symmetric_RNA_internal_loop</t>
        </is>
      </c>
      <c r="B2130" t="inlineStr">
        <is>
          <t>http://identifiers.org/so/SO:0000025</t>
        </is>
      </c>
      <c r="C2130" t="inlineStr">
        <is>
          <t>['supported by sequence similarity']</t>
        </is>
      </c>
    </row>
    <row r="2131" ht="15" customHeight="1">
      <c r="A2131" t="inlineStr">
        <is>
          <t>synonymous</t>
        </is>
      </c>
      <c r="B2131" t="inlineStr">
        <is>
          <t>http://identifiers.org/so/SO:0001815</t>
        </is>
      </c>
      <c r="C2131" t="inlineStr">
        <is>
          <t>['SVA deletion']</t>
        </is>
      </c>
    </row>
    <row r="2132" ht="15" customHeight="1">
      <c r="A2132" t="inlineStr">
        <is>
          <t>synonymous_variant</t>
        </is>
      </c>
      <c r="B2132" t="inlineStr">
        <is>
          <t>http://identifiers.org/so/SO:0001819</t>
        </is>
      </c>
    </row>
    <row r="2133" ht="15" customHeight="1">
      <c r="A2133" t="inlineStr">
        <is>
          <t>syntenic</t>
        </is>
      </c>
      <c r="B2133" t="inlineStr">
        <is>
          <t>http://identifiers.org/so/SO:0000860</t>
        </is>
      </c>
      <c r="C2133" t="inlineStr">
        <is>
          <t>['symbiosis island']</t>
        </is>
      </c>
    </row>
    <row r="2134" ht="15" customHeight="1">
      <c r="A2134" t="inlineStr">
        <is>
          <t>syntenic_region</t>
        </is>
      </c>
      <c r="B2134" t="inlineStr">
        <is>
          <t>http://identifiers.org/so/SO:0005858</t>
        </is>
      </c>
      <c r="C2134" t="inlineStr">
        <is>
          <t>['A-minor RNA motif']</t>
        </is>
      </c>
    </row>
    <row r="2135" ht="15" customHeight="1">
      <c r="A2135" t="inlineStr">
        <is>
          <t>synthetic_oligo</t>
        </is>
      </c>
      <c r="B2135" t="inlineStr">
        <is>
          <t>http://identifiers.org/so/SO:0001247</t>
        </is>
      </c>
    </row>
    <row r="2136" ht="15" customHeight="1">
      <c r="A2136" t="inlineStr">
        <is>
          <t>synthetic_sequence</t>
        </is>
      </c>
      <c r="B2136" t="inlineStr">
        <is>
          <t>http://identifiers.org/so/SO:0000351</t>
        </is>
      </c>
      <c r="C2136" t="inlineStr">
        <is>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is>
      </c>
    </row>
    <row r="2137" ht="15" customHeight="1">
      <c r="A2137" t="inlineStr">
        <is>
          <t>T_cell_receptor_gene</t>
        </is>
      </c>
      <c r="B2137" t="inlineStr">
        <is>
          <t>http://identifiers.org/so/SO:0002133</t>
        </is>
      </c>
    </row>
    <row r="2138" ht="15" customHeight="1">
      <c r="A2138" t="inlineStr">
        <is>
          <t>T_cell_receptor_pseudogene</t>
        </is>
      </c>
      <c r="B2138" t="inlineStr">
        <is>
          <t>http://identifiers.org/so/SO:0002099</t>
        </is>
      </c>
      <c r="C2138" t="inlineStr">
        <is>
          <t>['syntenic region']</t>
        </is>
      </c>
    </row>
    <row r="2139" ht="15" customHeight="1">
      <c r="A2139" t="inlineStr">
        <is>
          <t>T_loop</t>
        </is>
      </c>
      <c r="B2139" t="inlineStr">
        <is>
          <t>http://identifiers.org/so/SO:0001177</t>
        </is>
      </c>
      <c r="C2139" t="inlineStr">
        <is>
          <t>['synthetic oligo']</t>
        </is>
      </c>
    </row>
    <row r="2140" ht="15" customHeight="1">
      <c r="A2140" t="inlineStr">
        <is>
          <t>T_to_A_transversion</t>
        </is>
      </c>
      <c r="B2140" t="inlineStr">
        <is>
          <t>http://identifiers.org/so/SO:1000021</t>
        </is>
      </c>
      <c r="C2140" t="inlineStr">
        <is>
          <t>['synthetic sequence']</t>
        </is>
      </c>
    </row>
    <row r="2141" ht="15" customHeight="1">
      <c r="A2141" t="inlineStr">
        <is>
          <t>T_to_C_transition</t>
        </is>
      </c>
      <c r="B2141" t="inlineStr">
        <is>
          <t>http://identifiers.org/so/SO:1000013</t>
        </is>
      </c>
      <c r="C2141" t="inlineStr">
        <is>
          <t>['TR_gene']</t>
        </is>
      </c>
    </row>
    <row r="2142" ht="15" customHeight="1">
      <c r="A2142" t="inlineStr">
        <is>
          <t>T_to_G_transversion</t>
        </is>
      </c>
      <c r="B2142" t="inlineStr">
        <is>
          <t>http://identifiers.org/so/SO:1000022</t>
        </is>
      </c>
    </row>
    <row r="2143" ht="15" customHeight="1">
      <c r="A2143" t="inlineStr">
        <is>
          <t>T3_RNA_Polymerase_Promoter</t>
        </is>
      </c>
      <c r="B2143" t="inlineStr">
        <is>
          <t>http://identifiers.org/so/SO:0001206</t>
        </is>
      </c>
      <c r="C2143" t="inlineStr">
        <is>
          <t>['T loop', 'TpsiC loop']</t>
        </is>
      </c>
    </row>
    <row r="2144" ht="15" customHeight="1">
      <c r="A2144" t="inlineStr">
        <is>
          <t>T7_RNA_Polymerase_Promoter</t>
        </is>
      </c>
      <c r="B2144" t="inlineStr">
        <is>
          <t>http://identifiers.org/so/SO:0001207</t>
        </is>
      </c>
      <c r="C2144" t="inlineStr">
        <is>
          <t>['T to A transversion']</t>
        </is>
      </c>
    </row>
    <row r="2145" ht="15" customHeight="1">
      <c r="A2145" t="inlineStr">
        <is>
          <t>tag</t>
        </is>
      </c>
      <c r="B2145" t="inlineStr">
        <is>
          <t>http://identifiers.org/so/SO:0000324</t>
        </is>
      </c>
      <c r="C2145" t="inlineStr">
        <is>
          <t>['T to C transition']</t>
        </is>
      </c>
    </row>
    <row r="2146" ht="15" customHeight="1">
      <c r="A2146" t="inlineStr">
        <is>
          <t>tandem</t>
        </is>
      </c>
      <c r="B2146" t="inlineStr">
        <is>
          <t>http://identifiers.org/so/SO:0001513</t>
        </is>
      </c>
      <c r="C2146" t="inlineStr">
        <is>
          <t>['T to G transversion']</t>
        </is>
      </c>
    </row>
    <row r="2147" ht="15" customHeight="1">
      <c r="A2147" t="inlineStr">
        <is>
          <t>tandem_duplication</t>
        </is>
      </c>
      <c r="B2147" t="inlineStr">
        <is>
          <t>http://identifiers.org/so/SO:1000173</t>
        </is>
      </c>
      <c r="C2147" t="inlineStr">
        <is>
          <t>['T3 RNA Polymerase Promoter']</t>
        </is>
      </c>
    </row>
    <row r="2148" ht="15" customHeight="1">
      <c r="A2148" t="inlineStr">
        <is>
          <t>tandem_repeat</t>
        </is>
      </c>
      <c r="B2148" t="inlineStr">
        <is>
          <t>http://identifiers.org/so/SO:0000705</t>
        </is>
      </c>
      <c r="C2148" t="inlineStr">
        <is>
          <t>['T7 RNA Polymerase Promoter']</t>
        </is>
      </c>
    </row>
    <row r="2149" ht="15" customHeight="1">
      <c r="A2149" t="inlineStr">
        <is>
          <t>target_site_duplication</t>
        </is>
      </c>
      <c r="B2149" t="inlineStr">
        <is>
          <t>http://identifiers.org/so/SO:0000434</t>
        </is>
      </c>
    </row>
    <row r="2150" ht="15" customHeight="1">
      <c r="A2150" t="inlineStr">
        <is>
          <t>targeting_vector</t>
        </is>
      </c>
      <c r="B2150" t="inlineStr">
        <is>
          <t>http://identifiers.org/so/SO:0001644</t>
        </is>
      </c>
    </row>
    <row r="2151" ht="15" customHeight="1">
      <c r="A2151" t="inlineStr">
        <is>
          <t>tasiRNA</t>
        </is>
      </c>
      <c r="B2151" t="inlineStr">
        <is>
          <t>http://identifiers.org/so/SO:0001800</t>
        </is>
      </c>
      <c r="C2151" t="inlineStr">
        <is>
          <t>['tandem duplication', 'erverted']</t>
        </is>
      </c>
    </row>
    <row r="2152" ht="15" customHeight="1">
      <c r="A2152" t="inlineStr">
        <is>
          <t>tasiRNA_primary_transcript</t>
        </is>
      </c>
      <c r="B2152" t="inlineStr">
        <is>
          <t>http://identifiers.org/so/SO:0001801</t>
        </is>
      </c>
      <c r="C2152" t="inlineStr">
        <is>
          <t>['INSDC_qualifier:tandem', 'tandem repeat', 'INSDC_feature:repeat_region']</t>
        </is>
      </c>
    </row>
    <row r="2153" ht="15" customHeight="1">
      <c r="A2153" t="inlineStr">
        <is>
          <t>TATA_box</t>
        </is>
      </c>
      <c r="B2153" t="inlineStr">
        <is>
          <t>http://identifiers.org/so/SO:0000174</t>
        </is>
      </c>
      <c r="C2153" t="inlineStr">
        <is>
          <t>['target site duplication']</t>
        </is>
      </c>
    </row>
    <row r="2154" ht="15" customHeight="1">
      <c r="A2154" t="inlineStr">
        <is>
          <t>Tc1_Mariner_TIR_transposon</t>
        </is>
      </c>
      <c r="B2154" t="inlineStr">
        <is>
          <t>http://identifiers.org/so/SO:0002278</t>
        </is>
      </c>
      <c r="C2154" t="inlineStr">
        <is>
          <t>['targeting vector']</t>
        </is>
      </c>
    </row>
    <row r="2155" ht="15" customHeight="1">
      <c r="A2155" t="inlineStr">
        <is>
          <t>TCS_element</t>
        </is>
      </c>
      <c r="B2155" t="inlineStr">
        <is>
          <t>http://identifiers.org/so/SO:0002044</t>
        </is>
      </c>
      <c r="C2155" t="inlineStr">
        <is>
          <t>['trans acting small interfering RNA']</t>
        </is>
      </c>
    </row>
    <row r="2156" ht="15" customHeight="1">
      <c r="A2156" t="inlineStr">
        <is>
          <t>TCT_motif</t>
        </is>
      </c>
      <c r="B2156" t="inlineStr">
        <is>
          <t>http://identifiers.org/so/SO:0001959</t>
        </is>
      </c>
      <c r="C2156" t="inlineStr">
        <is>
          <t>['tasiRNA primary transcript']</t>
        </is>
      </c>
    </row>
    <row r="2157" ht="15" customHeight="1">
      <c r="A2157" t="inlineStr">
        <is>
          <t>teb1_recognition_motif</t>
        </is>
      </c>
      <c r="B2157" t="inlineStr">
        <is>
          <t>http://identifiers.org/so/SO:0002258</t>
        </is>
      </c>
      <c r="C2157" t="inlineStr">
        <is>
          <t>['INSDC_feature:regulatory', 'INSDC_qualifier:TATA_box', 'TATA box', 'Goldstein-Hogness box']</t>
        </is>
      </c>
    </row>
    <row r="2158" ht="15" customHeight="1">
      <c r="A2158" t="inlineStr">
        <is>
          <t>telomerase_RNA</t>
        </is>
      </c>
      <c r="B2158" t="inlineStr">
        <is>
          <t>http://identifiers.org/so/SO:0000390</t>
        </is>
      </c>
      <c r="C2158" t="inlineStr">
        <is>
          <t>['Stowaway', 'TcMar-Stowaway transposon', 'Mariner', 'Tc1 transposon', 'DTT transposon', 'Tc1 Mariner TIR transposon']</t>
        </is>
      </c>
    </row>
    <row r="2159" ht="15" customHeight="1">
      <c r="A2159" t="inlineStr">
        <is>
          <t>telomerase_RNA_gene</t>
        </is>
      </c>
      <c r="B2159" t="inlineStr">
        <is>
          <t>http://identifiers.org/so/SO:0001643</t>
        </is>
      </c>
      <c r="C2159" t="inlineStr">
        <is>
          <t>['TEA Consensus Sequence ', 'TCS element']</t>
        </is>
      </c>
    </row>
    <row r="2160" ht="15" customHeight="1">
      <c r="A2160" t="inlineStr">
        <is>
          <t>telomere</t>
        </is>
      </c>
      <c r="B2160" t="inlineStr">
        <is>
          <t>http://identifiers.org/so/SO:0000624</t>
        </is>
      </c>
      <c r="C2160" t="inlineStr">
        <is>
          <t>['TCT element', 'polypyrimidine initiator']</t>
        </is>
      </c>
    </row>
    <row r="2161" ht="15" customHeight="1">
      <c r="A2161" t="inlineStr">
        <is>
          <t>telomeric_D_loop</t>
        </is>
      </c>
      <c r="B2161" t="inlineStr">
        <is>
          <t>http://identifiers.org/so/SO:0002171</t>
        </is>
      </c>
      <c r="C2161" t="inlineStr">
        <is>
          <t>['teb1 recognition motif']</t>
        </is>
      </c>
    </row>
    <row r="2162" ht="15" customHeight="1">
      <c r="A2162" t="inlineStr">
        <is>
          <t>telomeric_repeat</t>
        </is>
      </c>
      <c r="B2162" t="inlineStr">
        <is>
          <t>http://identifiers.org/so/SO:0001496</t>
        </is>
      </c>
      <c r="C2162" t="inlineStr">
        <is>
          <t>['telomerase RNA', 'INSDC_feature:ncRNA', 'INSDC_qualifier:telomerase_RNA']</t>
        </is>
      </c>
    </row>
    <row r="2163" ht="15" customHeight="1">
      <c r="A2163" t="inlineStr">
        <is>
          <t>telomeric_transcript</t>
        </is>
      </c>
      <c r="B2163" t="inlineStr">
        <is>
          <t>http://identifiers.org/so/SO:0001927</t>
        </is>
      </c>
      <c r="C2163" t="inlineStr">
        <is>
          <t>['TERC', 'telomerase RNA gene', 'Telomerase RNA component']</t>
        </is>
      </c>
    </row>
    <row r="2164" ht="15" customHeight="1">
      <c r="A2164" t="inlineStr">
        <is>
          <t>template_region</t>
        </is>
      </c>
      <c r="B2164" t="inlineStr">
        <is>
          <t>http://identifiers.org/so/SO:0000978</t>
        </is>
      </c>
      <c r="C2164" t="inlineStr">
        <is>
          <t>['INSDC_feature:telomere', 'telomeric DNA', 'telomeric sequence']</t>
        </is>
      </c>
    </row>
    <row r="2165" ht="15" customHeight="1">
      <c r="A2165" t="inlineStr">
        <is>
          <t>terminal_inverted_repeat</t>
        </is>
      </c>
      <c r="B2165" t="inlineStr">
        <is>
          <t>http://identifiers.org/so/SO:0000481</t>
        </is>
      </c>
      <c r="C2165" t="inlineStr">
        <is>
          <t>['telomeric D loop']</t>
        </is>
      </c>
    </row>
    <row r="2166" ht="15" customHeight="1">
      <c r="A2166" t="inlineStr">
        <is>
          <t>terminal_inverted_repeat_element</t>
        </is>
      </c>
      <c r="B2166" t="inlineStr">
        <is>
          <t>http://identifiers.org/so/SO:0000208</t>
        </is>
      </c>
      <c r="C2166" t="inlineStr">
        <is>
          <t>['INSDC_qualifier:telomeric_repeat', 'INSDC_feature:repeat_region', 'telomeric repeat']</t>
        </is>
      </c>
    </row>
    <row r="2167" ht="15" customHeight="1">
      <c r="A2167" t="inlineStr">
        <is>
          <t>terminal_repeat</t>
        </is>
      </c>
      <c r="B2167" t="inlineStr">
        <is>
          <t>http://identifiers.org/so/SO:0002201</t>
        </is>
      </c>
      <c r="C2167" t="inlineStr">
        <is>
          <t>['telomeric transcript']</t>
        </is>
      </c>
    </row>
    <row r="2168" ht="15" customHeight="1">
      <c r="A2168" t="inlineStr">
        <is>
          <t>terminator_codon_variant</t>
        </is>
      </c>
      <c r="B2168" t="inlineStr">
        <is>
          <t>http://identifiers.org/so/SO:0001590</t>
        </is>
      </c>
      <c r="C2168" t="inlineStr">
        <is>
          <t>['template region', 'information region']</t>
        </is>
      </c>
    </row>
    <row r="2169" ht="15" customHeight="1">
      <c r="A2169" t="inlineStr">
        <is>
          <t>terminator_of_type_2_RNApol_III_promoter</t>
        </is>
      </c>
      <c r="B2169" t="inlineStr">
        <is>
          <t>http://identifiers.org/so/SO:0000615</t>
        </is>
      </c>
      <c r="C2169" t="inlineStr">
        <is>
          <t>['terminal inverted repeat', 'TIR']</t>
        </is>
      </c>
    </row>
    <row r="2170" ht="15" customHeight="1">
      <c r="A2170" t="inlineStr">
        <is>
          <t>TERRA</t>
        </is>
      </c>
      <c r="B2170" t="inlineStr">
        <is>
          <t>http://identifiers.org/so/SO:0001923</t>
        </is>
      </c>
      <c r="C2170" t="inlineStr">
        <is>
          <t>['TIR element', 'terminal inverted repeat element']</t>
        </is>
      </c>
    </row>
    <row r="2171" ht="15" customHeight="1">
      <c r="A2171" t="inlineStr">
        <is>
          <t>tetraloop</t>
        </is>
      </c>
      <c r="B2171" t="inlineStr">
        <is>
          <t>http://identifiers.org/so/SO:0001008</t>
        </is>
      </c>
      <c r="C2171" t="inlineStr">
        <is>
          <t>['INSDC_qualifier:terminal', 'terminal repeat', 'INSDC_feature:repeat_region']</t>
        </is>
      </c>
    </row>
    <row r="2172" ht="15" customHeight="1">
      <c r="A2172" t="inlineStr">
        <is>
          <t>tetranucleotide_repeat_microsatellite_feature</t>
        </is>
      </c>
      <c r="B2172" t="inlineStr">
        <is>
          <t>http://identifiers.org/so/SO:0000641</t>
        </is>
      </c>
      <c r="C2172" t="inlineStr">
        <is>
          <t>['terminal codon variant', 'terminator codon variant', 'VAT:endOverlap', 'terminal_codon_variant']</t>
        </is>
      </c>
    </row>
    <row r="2173" ht="15" customHeight="1">
      <c r="A2173" t="inlineStr">
        <is>
          <t>TF_binding_site</t>
        </is>
      </c>
      <c r="B2173" t="inlineStr">
        <is>
          <t>http://identifiers.org/so/SO:0000235</t>
        </is>
      </c>
      <c r="C2173" t="inlineStr">
        <is>
          <t>['terminator of type 2 RNApol III promoter']</t>
        </is>
      </c>
    </row>
    <row r="2174" ht="15" customHeight="1">
      <c r="A2174" t="inlineStr">
        <is>
          <t>TF_binding_site_variant</t>
        </is>
      </c>
      <c r="B2174" t="inlineStr">
        <is>
          <t>http://identifiers.org/so/SO:0001782</t>
        </is>
      </c>
      <c r="C2174" t="inlineStr">
        <is>
          <t>['telomeric repeat containing RNA']</t>
        </is>
      </c>
    </row>
    <row r="2175" ht="15" customHeight="1">
      <c r="A2175" t="inlineStr">
        <is>
          <t>TFBS_ablation</t>
        </is>
      </c>
      <c r="B2175" t="inlineStr">
        <is>
          <t>http://identifiers.org/so/SO:0001895</t>
        </is>
      </c>
    </row>
    <row r="2176" ht="15" customHeight="1">
      <c r="A2176" t="inlineStr">
        <is>
          <t>TFBS_amplification</t>
        </is>
      </c>
      <c r="B2176" t="inlineStr">
        <is>
          <t>http://identifiers.org/so/SO:0001892</t>
        </is>
      </c>
      <c r="C2176" t="inlineStr">
        <is>
          <t>['tetranucleotide repeat microsatellite feature']</t>
        </is>
      </c>
    </row>
    <row r="2177" ht="15" customHeight="1">
      <c r="A2177" t="inlineStr">
        <is>
          <t>TFBS_fusion</t>
        </is>
      </c>
      <c r="B2177" t="inlineStr">
        <is>
          <t>http://identifiers.org/so/SO:0001888</t>
        </is>
      </c>
      <c r="C2177" t="inlineStr">
        <is>
          <t>['TF binding site', 'transcription factor binding site']</t>
        </is>
      </c>
    </row>
    <row r="2178" ht="15" customHeight="1">
      <c r="A2178" t="inlineStr">
        <is>
          <t>TFBS_translocation</t>
        </is>
      </c>
      <c r="B2178" t="inlineStr">
        <is>
          <t>http://identifiers.org/so/SO:0001885</t>
        </is>
      </c>
      <c r="C2178" t="inlineStr">
        <is>
          <t>['VEP:TF_binding_site_variant', 'TF binding site variant', 'Jannovar:tf_binding_site_variant']</t>
        </is>
      </c>
    </row>
    <row r="2179" ht="15" customHeight="1">
      <c r="A2179" t="inlineStr">
        <is>
          <t>TFRS_collection</t>
        </is>
      </c>
      <c r="B2179" t="inlineStr">
        <is>
          <t>http://identifiers.org/so/SO:0002297</t>
        </is>
      </c>
      <c r="C2179" t="inlineStr">
        <is>
          <t>['VEP:TFBS_ablation', 'TFBS ablation', 'transcription factor binding site ablation']</t>
        </is>
      </c>
    </row>
    <row r="2180" ht="15" customHeight="1">
      <c r="A2180" t="inlineStr">
        <is>
          <t>TFRS_module</t>
        </is>
      </c>
      <c r="B2180" t="inlineStr">
        <is>
          <t>http://identifiers.org/so/SO:0002296</t>
        </is>
      </c>
      <c r="C2180" t="inlineStr">
        <is>
          <t>['TFBS amplification ', 'VEP:TFBS_amplification', 'transcription factor binding site amplification']</t>
        </is>
      </c>
    </row>
    <row r="2181" ht="15" customHeight="1">
      <c r="A2181" t="inlineStr">
        <is>
          <t>theta_replication</t>
        </is>
      </c>
      <c r="B2181" t="inlineStr">
        <is>
          <t>http://identifiers.org/so/SO:0000970</t>
        </is>
      </c>
      <c r="C2181" t="inlineStr">
        <is>
          <t>['TFBS fusion ', 'transcription factor binding site fusion']</t>
        </is>
      </c>
    </row>
    <row r="2182" ht="15" customHeight="1">
      <c r="A2182" t="inlineStr">
        <is>
          <t>three_methylcytidine</t>
        </is>
      </c>
      <c r="B2182" t="inlineStr">
        <is>
          <t>http://identifiers.org/so/SO:0001281</t>
        </is>
      </c>
      <c r="C2182" t="inlineStr">
        <is>
          <t>['TFBS binding site translocation', 'transcription factor binding site translocation']</t>
        </is>
      </c>
    </row>
    <row r="2183" ht="15" customHeight="1">
      <c r="A2183" t="inlineStr">
        <is>
          <t>three_methylpseudouridine</t>
        </is>
      </c>
      <c r="B2183" t="inlineStr">
        <is>
          <t>http://identifiers.org/so/SO:0001377</t>
        </is>
      </c>
      <c r="C2183" t="inlineStr">
        <is>
          <t>['TFRS collection', 'transcription factor regulatory site collection']</t>
        </is>
      </c>
    </row>
    <row r="2184" ht="15" customHeight="1">
      <c r="A2184" t="inlineStr">
        <is>
          <t>three_methyluridine</t>
        </is>
      </c>
      <c r="B2184" t="inlineStr">
        <is>
          <t>http://identifiers.org/so/SO:0001372</t>
        </is>
      </c>
      <c r="C2184" t="inlineStr">
        <is>
          <t>['transcription factor regulatory site phrase', 'transcription factor regulatory site module', 'TFRS phrase', 'TFRS module']</t>
        </is>
      </c>
    </row>
    <row r="2185" ht="15" customHeight="1">
      <c r="A2185" t="inlineStr">
        <is>
          <t>three_prime_cis_splice_site</t>
        </is>
      </c>
      <c r="B2185" t="inlineStr">
        <is>
          <t>http://identifiers.org/so/SO:0000164</t>
        </is>
      </c>
      <c r="C2185" t="inlineStr">
        <is>
          <t>['theta replication']</t>
        </is>
      </c>
    </row>
    <row r="2186" ht="15" customHeight="1">
      <c r="A2186" t="inlineStr">
        <is>
          <t>three_prime_clip</t>
        </is>
      </c>
      <c r="B2186" t="inlineStr">
        <is>
          <t>http://identifiers.org/so/SO:0000557</t>
        </is>
      </c>
      <c r="C2186" t="inlineStr">
        <is>
          <t>['3-methylcytidine', 'm3C', 'three methylcytidine']</t>
        </is>
      </c>
    </row>
    <row r="2187" ht="15" customHeight="1">
      <c r="A2187" t="inlineStr">
        <is>
          <t>three_prime_coding_exon</t>
        </is>
      </c>
      <c r="B2187" t="inlineStr">
        <is>
          <t>http://identifiers.org/so/SO:0000202</t>
        </is>
      </c>
      <c r="C2187" t="inlineStr">
        <is>
          <t>['three methylpseudouridine', '3-methylpseudouridine', 'm3Y']</t>
        </is>
      </c>
    </row>
    <row r="2188" ht="15" customHeight="1">
      <c r="A2188" t="inlineStr">
        <is>
          <t>three_prime_coding_exon_coding_region</t>
        </is>
      </c>
      <c r="B2188" t="inlineStr">
        <is>
          <t>http://identifiers.org/so/SO:0000197</t>
        </is>
      </c>
      <c r="C2188" t="inlineStr">
        <is>
          <t>['m3U', 'three methyluridine', '3-methyluridine']</t>
        </is>
      </c>
    </row>
    <row r="2189" ht="15" customHeight="1">
      <c r="A2189" t="inlineStr">
        <is>
          <t>three_prime_coding_exon_noncoding_region</t>
        </is>
      </c>
      <c r="B2189" t="inlineStr">
        <is>
          <t>http://identifiers.org/so/SO:0000484</t>
        </is>
      </c>
      <c r="C2189" t="inlineStr">
        <is>
          <t>['acceptor', 'splice acceptor site', 'acceptor splice site', 'three prime splice site', "3' splice site"]</t>
        </is>
      </c>
    </row>
    <row r="2190" ht="15" customHeight="1">
      <c r="A2190" t="inlineStr">
        <is>
          <t>three_prime_D_heptamer</t>
        </is>
      </c>
      <c r="B2190" t="inlineStr">
        <is>
          <t>http://identifiers.org/so/SO:0000493</t>
        </is>
      </c>
      <c r="C2190" t="inlineStr">
        <is>
          <t>['three prime clip', "3'-clip"]</t>
        </is>
      </c>
    </row>
    <row r="2191" ht="15" customHeight="1">
      <c r="A2191" t="inlineStr">
        <is>
          <t>three_prime_D_nonamer</t>
        </is>
      </c>
      <c r="B2191" t="inlineStr">
        <is>
          <t>http://identifiers.org/so/SO:0000494</t>
        </is>
      </c>
      <c r="C2191" t="inlineStr">
        <is>
          <t>['three prime coding exon', "3' coding exon"]</t>
        </is>
      </c>
    </row>
    <row r="2192" ht="15" customHeight="1">
      <c r="A2192" t="inlineStr">
        <is>
          <t>three_prime_D_recombination_signal_sequence</t>
        </is>
      </c>
      <c r="B2192" t="inlineStr">
        <is>
          <t>http://identifiers.org/so/SO:0000570</t>
        </is>
      </c>
      <c r="C2192" t="inlineStr">
        <is>
          <t>['three prime exon coding region']</t>
        </is>
      </c>
    </row>
    <row r="2193" ht="15" customHeight="1">
      <c r="A2193" t="inlineStr">
        <is>
          <t>three_prime_D_spacer</t>
        </is>
      </c>
      <c r="B2193" t="inlineStr">
        <is>
          <t>http://identifiers.org/so/SO:0000495</t>
        </is>
      </c>
      <c r="C2193" t="inlineStr">
        <is>
          <t>['three_prime_exon_noncoding_region', 'three prime coding exon noncoding region']</t>
        </is>
      </c>
    </row>
    <row r="2194" ht="15" customHeight="1">
      <c r="A2194" t="inlineStr">
        <is>
          <t>three_prime_duplicated_transcript</t>
        </is>
      </c>
      <c r="B2194" t="inlineStr">
        <is>
          <t>http://identifiers.org/so/SO:0002246</t>
        </is>
      </c>
      <c r="C2194" t="inlineStr">
        <is>
          <t>["3'D-HEPTAMER", 'three prime D heptamer']</t>
        </is>
      </c>
    </row>
    <row r="2195" ht="15" customHeight="1">
      <c r="A2195" t="inlineStr">
        <is>
          <t>three_prime_EST</t>
        </is>
      </c>
      <c r="B2195" t="inlineStr">
        <is>
          <t>http://identifiers.org/so/SO:0001209</t>
        </is>
      </c>
      <c r="C2195" t="inlineStr">
        <is>
          <t>["3'D-NOMAMER", 'three prime D nonamer']</t>
        </is>
      </c>
    </row>
    <row r="2196" ht="15" customHeight="1">
      <c r="A2196" t="inlineStr">
        <is>
          <t>three_prime_five_prime_overlap</t>
        </is>
      </c>
      <c r="B2196" t="inlineStr">
        <is>
          <t>http://identifiers.org/so/SO:0000076</t>
        </is>
      </c>
      <c r="C2196" t="inlineStr">
        <is>
          <t>['three prime D recombination signal sequence', "3'D-RS", 'three_prime_D-recombination_signal_sequence']</t>
        </is>
      </c>
    </row>
    <row r="2197" ht="15" customHeight="1">
      <c r="A2197" t="inlineStr">
        <is>
          <t>three_prime_flanking_region</t>
        </is>
      </c>
      <c r="B2197" t="inlineStr">
        <is>
          <t>http://identifiers.org/so/SO:0001417</t>
        </is>
      </c>
      <c r="C2197" t="inlineStr">
        <is>
          <t>['three prime D spacer', "3'D-SPACER"]</t>
        </is>
      </c>
    </row>
    <row r="2198" ht="15" customHeight="1">
      <c r="A2198" t="inlineStr">
        <is>
          <t>three_prime_intron</t>
        </is>
      </c>
      <c r="B2198" t="inlineStr">
        <is>
          <t>http://identifiers.org/so/SO:0000192</t>
        </is>
      </c>
      <c r="C2198" t="inlineStr">
        <is>
          <t>['three prime partially duplicated transcript', 'three prime duplicated transcript', "3' duplicated transcript"]</t>
        </is>
      </c>
    </row>
    <row r="2199" ht="15" customHeight="1">
      <c r="A2199" t="inlineStr">
        <is>
          <t>three_prime_LTR</t>
        </is>
      </c>
      <c r="B2199" t="inlineStr">
        <is>
          <t>http://identifiers.org/so/SO:0000426</t>
        </is>
      </c>
      <c r="C2199" t="inlineStr">
        <is>
          <t>['three prime EST', "3' EST"]</t>
        </is>
      </c>
    </row>
    <row r="2200" ht="15" customHeight="1">
      <c r="A2200" t="inlineStr">
        <is>
          <t>three_prime_LTR_component</t>
        </is>
      </c>
      <c r="B2200" t="inlineStr">
        <is>
          <t>http://identifiers.org/so/SO:0000849</t>
        </is>
      </c>
      <c r="C2200" t="inlineStr">
        <is>
          <t>['three prime five prime overlap', "5' 3' overlap"]</t>
        </is>
      </c>
    </row>
    <row r="2201" ht="15" customHeight="1">
      <c r="A2201" t="inlineStr">
        <is>
          <t>three_prime_noncoding_exon</t>
        </is>
      </c>
      <c r="B2201" t="inlineStr">
        <is>
          <t>http://identifiers.org/so/SO:0000444</t>
        </is>
      </c>
      <c r="C2201" t="inlineStr">
        <is>
          <t>['three prime flanking region', "3' flanking region"]</t>
        </is>
      </c>
    </row>
    <row r="2202" ht="15" customHeight="1">
      <c r="A2202" t="inlineStr">
        <is>
          <t>three_prime_overlapping_ncrna</t>
        </is>
      </c>
      <c r="B2202" t="inlineStr">
        <is>
          <t>http://identifiers.org/so/SO:0002120</t>
        </is>
      </c>
      <c r="C2202" t="inlineStr">
        <is>
          <t>["3' intron sequence", "3' intron", 'three prime intron']</t>
        </is>
      </c>
    </row>
    <row r="2203" ht="15" customHeight="1">
      <c r="A2203" t="inlineStr">
        <is>
          <t>three_prime_RACE_clone</t>
        </is>
      </c>
      <c r="B2203" t="inlineStr">
        <is>
          <t>http://identifiers.org/so/SO:0001433</t>
        </is>
      </c>
      <c r="C2203" t="inlineStr">
        <is>
          <t>["3' LTR", "3' long terminal repeat", 'three prime LTR']</t>
        </is>
      </c>
    </row>
    <row r="2204" ht="15" customHeight="1">
      <c r="A2204" t="inlineStr">
        <is>
          <t>three_prime_recoding_site</t>
        </is>
      </c>
      <c r="B2204" t="inlineStr">
        <is>
          <t>http://identifiers.org/so/SO:1001277</t>
        </is>
      </c>
      <c r="C2204" t="inlineStr">
        <is>
          <t>['three prime LTR component', "3' long terminal repeat component"]</t>
        </is>
      </c>
    </row>
    <row r="2205" ht="15" customHeight="1">
      <c r="A2205" t="inlineStr">
        <is>
          <t>three_prime_repeat_recoding_signal</t>
        </is>
      </c>
      <c r="B2205" t="inlineStr">
        <is>
          <t>http://identifiers.org/so/SO:1001286</t>
        </is>
      </c>
      <c r="C2205" t="inlineStr">
        <is>
          <t>['three prime noncoding exon']</t>
        </is>
      </c>
    </row>
    <row r="2206" ht="15" customHeight="1">
      <c r="A2206" t="inlineStr">
        <is>
          <t>three_prime_restriction_enzyme_junction</t>
        </is>
      </c>
      <c r="B2206" t="inlineStr">
        <is>
          <t>http://identifiers.org/so/SO:0001690</t>
        </is>
      </c>
      <c r="C2206" t="inlineStr">
        <is>
          <t>["3'_overlapping_ncrna", 'three prime overlapping noncoding rna', '3prime_overlapping_ncRNA']</t>
        </is>
      </c>
    </row>
    <row r="2207" ht="15" customHeight="1">
      <c r="A2207" t="inlineStr">
        <is>
          <t>three_prime_RST</t>
        </is>
      </c>
      <c r="B2207" t="inlineStr">
        <is>
          <t>http://identifiers.org/so/SO:0001468</t>
        </is>
      </c>
      <c r="C2207" t="inlineStr">
        <is>
          <t>["3' RACE clone"]</t>
        </is>
      </c>
    </row>
    <row r="2208" ht="15" customHeight="1">
      <c r="A2208" t="inlineStr">
        <is>
          <t>three_prime_stem_loop_structure</t>
        </is>
      </c>
      <c r="B2208" t="inlineStr">
        <is>
          <t>http://identifiers.org/so/SO:1001279</t>
        </is>
      </c>
      <c r="C2208" t="inlineStr">
        <is>
          <t>['three prime recoding site']</t>
        </is>
      </c>
    </row>
    <row r="2209" ht="15" customHeight="1">
      <c r="A2209" t="inlineStr">
        <is>
          <t>three_prime_sticky_end_restriction_enzyme_cleavage_site</t>
        </is>
      </c>
      <c r="B2209" t="inlineStr">
        <is>
          <t>http://identifiers.org/so/SO:0001976</t>
        </is>
      </c>
      <c r="C2209" t="inlineStr">
        <is>
          <t>['three prime repeat recoding signal']</t>
        </is>
      </c>
    </row>
    <row r="2210" ht="15" customHeight="1">
      <c r="A2210" t="inlineStr">
        <is>
          <t>three_prime_terminal_inverted_repeat</t>
        </is>
      </c>
      <c r="B2210" t="inlineStr">
        <is>
          <t>http://identifiers.org/so/SO:0000421</t>
        </is>
      </c>
      <c r="C2210" t="inlineStr">
        <is>
          <t>["3' restriction enzyme junction"]</t>
        </is>
      </c>
    </row>
    <row r="2211" ht="15" customHeight="1">
      <c r="A2211" t="inlineStr">
        <is>
          <t>three_prime_three_prime_overlap</t>
        </is>
      </c>
      <c r="B2211" t="inlineStr">
        <is>
          <t>http://identifiers.org/so/SO:0000075</t>
        </is>
      </c>
      <c r="C2211" t="inlineStr">
        <is>
          <t>["3' RST"]</t>
        </is>
      </c>
    </row>
    <row r="2212" ht="15" customHeight="1">
      <c r="A2212" t="inlineStr">
        <is>
          <t>three_prime_UST</t>
        </is>
      </c>
      <c r="B2212" t="inlineStr">
        <is>
          <t>http://identifiers.org/so/SO:0001465</t>
        </is>
      </c>
      <c r="C2212" t="inlineStr">
        <is>
          <t>['three prime stem loop structure']</t>
        </is>
      </c>
    </row>
    <row r="2213" ht="15" customHeight="1">
      <c r="A2213" t="inlineStr">
        <is>
          <t>three_prime_UTR</t>
        </is>
      </c>
      <c r="B2213" t="inlineStr">
        <is>
          <t>http://identifiers.org/so/SO:0000205</t>
        </is>
      </c>
      <c r="C2213" t="inlineStr">
        <is>
          <t>['three prime sticky end restriction enzyme cleavage site']</t>
        </is>
      </c>
    </row>
    <row r="2214" ht="15" customHeight="1">
      <c r="A2214" t="inlineStr">
        <is>
          <t>three_prime_UTR_intron</t>
        </is>
      </c>
      <c r="B2214" t="inlineStr">
        <is>
          <t>http://identifiers.org/so/SO:0000448</t>
        </is>
      </c>
      <c r="C2214" t="inlineStr">
        <is>
          <t>['three prime terminal inverted repeat', "3' TIR"]</t>
        </is>
      </c>
    </row>
    <row r="2215" ht="15" customHeight="1">
      <c r="A2215" t="inlineStr">
        <is>
          <t>three_ten_helix</t>
        </is>
      </c>
      <c r="B2215" t="inlineStr">
        <is>
          <t>http://identifiers.org/so/SO:0001119</t>
        </is>
      </c>
      <c r="C2215" t="inlineStr">
        <is>
          <t>['three prime-three prime overlap']</t>
        </is>
      </c>
    </row>
    <row r="2216" ht="15" customHeight="1">
      <c r="A2216" t="inlineStr">
        <is>
          <t>three_three_amino_three_carboxypropyl_uridine</t>
        </is>
      </c>
      <c r="B2216" t="inlineStr">
        <is>
          <t>http://identifiers.org/so/SO:0001353</t>
        </is>
      </c>
      <c r="C2216" t="inlineStr">
        <is>
          <t>["3' UST"]</t>
        </is>
      </c>
    </row>
    <row r="2217" ht="15" customHeight="1">
      <c r="A2217" t="inlineStr">
        <is>
          <t>three_two_prime_O_dimethyluridine</t>
        </is>
      </c>
      <c r="B2217" t="inlineStr">
        <is>
          <t>http://identifiers.org/so/SO:0001375</t>
        </is>
      </c>
      <c r="C2217" t="inlineStr">
        <is>
          <t>["INSDC_feature:3'UTR", 'three prime untranslated region', 'three prime UTR']</t>
        </is>
      </c>
    </row>
    <row r="2218" ht="15" customHeight="1">
      <c r="A2218" t="inlineStr">
        <is>
          <t>threonine</t>
        </is>
      </c>
      <c r="B2218" t="inlineStr">
        <is>
          <t>http://identifiers.org/so/SO:0001445</t>
        </is>
      </c>
      <c r="C2218" t="inlineStr">
        <is>
          <t>['three prime UTR intron']</t>
        </is>
      </c>
    </row>
    <row r="2219" ht="15" customHeight="1">
      <c r="A2219" t="inlineStr">
        <is>
          <t>threonine_tRNA_primary_transcript</t>
        </is>
      </c>
      <c r="B2219" t="inlineStr">
        <is>
          <t>http://identifiers.org/so/SO:0000227</t>
        </is>
      </c>
      <c r="C2219" t="inlineStr">
        <is>
          <t>['three ten helix', '3(10) helix', '310 helix', '3-10 helix']</t>
        </is>
      </c>
    </row>
    <row r="2220" ht="15" customHeight="1">
      <c r="A2220" t="inlineStr">
        <is>
          <t>threonyl_tRNA</t>
        </is>
      </c>
      <c r="B2220" t="inlineStr">
        <is>
          <t>http://identifiers.org/so/SO:0000270</t>
        </is>
      </c>
      <c r="C2220" t="inlineStr">
        <is>
          <t>['3-(3-amino-3-carboxypropyl)uridine', 'acp3U']</t>
        </is>
      </c>
    </row>
    <row r="2221" ht="15" customHeight="1">
      <c r="A2221" t="inlineStr">
        <is>
          <t>tiling_path</t>
        </is>
      </c>
      <c r="B2221" t="inlineStr">
        <is>
          <t>http://identifiers.org/so/SO:0000472</t>
        </is>
      </c>
      <c r="C2221" t="inlineStr">
        <is>
          <t>['three two prime O dimethyluridine', "3,2'-O-dimethyluridine", 'm3Um']</t>
        </is>
      </c>
    </row>
    <row r="2222" ht="15" customHeight="1">
      <c r="A2222" t="inlineStr">
        <is>
          <t>tiling_path_clone</t>
        </is>
      </c>
      <c r="B2222" t="inlineStr">
        <is>
          <t>http://identifiers.org/so/SO:0000480</t>
        </is>
      </c>
      <c r="C2222" t="inlineStr">
        <is>
          <t>['T', 'Thr']</t>
        </is>
      </c>
    </row>
    <row r="2223" ht="15" customHeight="1">
      <c r="A2223" t="inlineStr">
        <is>
          <t>tiling_path_fragment</t>
        </is>
      </c>
      <c r="B2223" t="inlineStr">
        <is>
          <t>http://identifiers.org/so/SO:0000474</t>
        </is>
      </c>
      <c r="C2223" t="inlineStr">
        <is>
          <t>['threonine tRNA primary transcript']</t>
        </is>
      </c>
    </row>
    <row r="2224" ht="15" customHeight="1">
      <c r="A2224" t="inlineStr">
        <is>
          <t>tmRNA</t>
        </is>
      </c>
      <c r="B2224" t="inlineStr">
        <is>
          <t>http://identifiers.org/so/SO:0000584</t>
        </is>
      </c>
      <c r="C2224" t="inlineStr">
        <is>
          <t>['threonyl tRNA', 'threonyl-transfer RNA', 'threonyl-transfer ribonucleic acid']</t>
        </is>
      </c>
    </row>
    <row r="2225" ht="15" customHeight="1">
      <c r="A2225" t="inlineStr">
        <is>
          <t>tmRNA_acceptor_piece</t>
        </is>
      </c>
      <c r="B2225" t="inlineStr">
        <is>
          <t>http://identifiers.org/so/SO:0000770</t>
        </is>
      </c>
      <c r="C2225" t="inlineStr">
        <is>
          <t>['tiling path']</t>
        </is>
      </c>
    </row>
    <row r="2226" ht="15" customHeight="1">
      <c r="A2226" t="inlineStr">
        <is>
          <t>tmRNA_coding_piece</t>
        </is>
      </c>
      <c r="B2226" t="inlineStr">
        <is>
          <t>http://identifiers.org/so/SO:0000769</t>
        </is>
      </c>
      <c r="C2226" t="inlineStr">
        <is>
          <t>['tiling path clone']</t>
        </is>
      </c>
    </row>
    <row r="2227" ht="15" customHeight="1">
      <c r="A2227" t="inlineStr">
        <is>
          <t>tmRNA_encoding</t>
        </is>
      </c>
      <c r="B2227" t="inlineStr">
        <is>
          <t>http://identifiers.org/so/SO:0000659</t>
        </is>
      </c>
      <c r="C2227" t="inlineStr">
        <is>
          <t>['tiling path fragment']</t>
        </is>
      </c>
    </row>
    <row r="2228" ht="15" customHeight="1">
      <c r="A2228" t="inlineStr">
        <is>
          <t>tmRNA_gene</t>
        </is>
      </c>
      <c r="B2228" t="inlineStr">
        <is>
          <t>http://identifiers.org/so/SO:0001271</t>
        </is>
      </c>
      <c r="C2228" t="inlineStr">
        <is>
          <t>['INSDC_feature:tmRNA', 'ssrA', '10Sa RNA']</t>
        </is>
      </c>
    </row>
    <row r="2229" ht="15" customHeight="1">
      <c r="A2229" t="inlineStr">
        <is>
          <t>tmRNA_primary_transcript</t>
        </is>
      </c>
      <c r="B2229" t="inlineStr">
        <is>
          <t>http://identifiers.org/so/SO:0000586</t>
        </is>
      </c>
      <c r="C2229" t="inlineStr">
        <is>
          <t>['tmRNA acceptor piece']</t>
        </is>
      </c>
    </row>
    <row r="2230" ht="15" customHeight="1">
      <c r="A2230" t="inlineStr">
        <is>
          <t>tmRNA_region</t>
        </is>
      </c>
      <c r="B2230" t="inlineStr">
        <is>
          <t>http://identifiers.org/so/SO:0000847</t>
        </is>
      </c>
      <c r="C2230" t="inlineStr">
        <is>
          <t>['tmRNA coding piece']</t>
        </is>
      </c>
    </row>
    <row r="2231" ht="15" customHeight="1">
      <c r="A2231" t="inlineStr">
        <is>
          <t>TNA</t>
        </is>
      </c>
      <c r="B2231" t="inlineStr">
        <is>
          <t>http://identifiers.org/so/SO:0001190</t>
        </is>
      </c>
      <c r="C2231" t="inlineStr">
        <is>
          <t>['tmRNA encoding']</t>
        </is>
      </c>
    </row>
    <row r="2232" ht="15" customHeight="1">
      <c r="A2232" t="inlineStr">
        <is>
          <t>TNA_oligo</t>
        </is>
      </c>
      <c r="B2232" t="inlineStr">
        <is>
          <t>http://identifiers.org/so/SO:0001191</t>
        </is>
      </c>
      <c r="C2232" t="inlineStr">
        <is>
          <t>['tmRNA gene']</t>
        </is>
      </c>
    </row>
    <row r="2233" ht="15" customHeight="1">
      <c r="A2233" t="inlineStr">
        <is>
          <t>tnaORF</t>
        </is>
      </c>
      <c r="B2233" t="inlineStr">
        <is>
          <t>http://identifiers.org/so/SO:0002029</t>
        </is>
      </c>
      <c r="C2233" t="inlineStr">
        <is>
          <t>['ssrA RNA primary transcript', '10Sa RNA primary transcript', 'tmRNA primary transcript']</t>
        </is>
      </c>
    </row>
    <row r="2234" ht="15" customHeight="1">
      <c r="A2234" t="inlineStr">
        <is>
          <t>topologically_associated_domain</t>
        </is>
      </c>
      <c r="B2234" t="inlineStr">
        <is>
          <t>http://identifiers.org/so/SO:0002304</t>
        </is>
      </c>
      <c r="C2234" t="inlineStr">
        <is>
          <t>['tmRNA region']</t>
        </is>
      </c>
    </row>
    <row r="2235" ht="15" customHeight="1">
      <c r="A2235" t="inlineStr">
        <is>
          <t>topologically_associated_domain_boundary</t>
        </is>
      </c>
      <c r="B2235" t="inlineStr">
        <is>
          <t>http://identifiers.org/so/SO:0002305</t>
        </is>
      </c>
    </row>
    <row r="2236" ht="15" customHeight="1">
      <c r="A2236" t="inlineStr">
        <is>
          <t>topologically_defined_region</t>
        </is>
      </c>
      <c r="B2236" t="inlineStr">
        <is>
          <t>http://identifiers.org/so/SO:0001412</t>
        </is>
      </c>
      <c r="C2236" t="inlineStr">
        <is>
          <t>['threose nucleic acid', 'TNA oligo']</t>
        </is>
      </c>
    </row>
    <row r="2237" ht="15" customHeight="1">
      <c r="A2237" t="inlineStr">
        <is>
          <t>topology_attribute</t>
        </is>
      </c>
      <c r="B2237" t="inlineStr">
        <is>
          <t>http://identifiers.org/so/SO:0000986</t>
        </is>
      </c>
      <c r="C2237" t="inlineStr">
        <is>
          <t>['translated nested antisense gene']</t>
        </is>
      </c>
    </row>
    <row r="2238" ht="15" customHeight="1">
      <c r="A2238" t="inlineStr">
        <is>
          <t>TR_box</t>
        </is>
      </c>
      <c r="B2238" t="inlineStr">
        <is>
          <t>http://identifiers.org/so/SO:0001858</t>
        </is>
      </c>
      <c r="C2238" t="inlineStr">
        <is>
          <t>['TAD', 'topologically associated domain']</t>
        </is>
      </c>
    </row>
    <row r="2239" ht="15" customHeight="1">
      <c r="A2239" t="inlineStr">
        <is>
          <t>TR_C_Gene</t>
        </is>
      </c>
      <c r="B2239" t="inlineStr">
        <is>
          <t>http://identifiers.org/so/SO:0002134</t>
        </is>
      </c>
      <c r="C2239" t="inlineStr">
        <is>
          <t>['TAD_boundary', 'topologically associated domain boundary', 'TAD boundary']</t>
        </is>
      </c>
    </row>
    <row r="2240" ht="15" customHeight="1">
      <c r="A2240" t="inlineStr">
        <is>
          <t>TR_D_Gene</t>
        </is>
      </c>
      <c r="B2240" t="inlineStr">
        <is>
          <t>http://identifiers.org/so/SO:0002135</t>
        </is>
      </c>
      <c r="C2240" t="inlineStr">
        <is>
          <t>['topologically defined region']</t>
        </is>
      </c>
    </row>
    <row r="2241" ht="15" customHeight="1">
      <c r="A2241" t="inlineStr">
        <is>
          <t>TR_J_Gene</t>
        </is>
      </c>
      <c r="B2241" t="inlineStr">
        <is>
          <t>http://identifiers.org/so/SO:0002136</t>
        </is>
      </c>
      <c r="C2241" t="inlineStr">
        <is>
          <t>['topology attribute']</t>
        </is>
      </c>
    </row>
    <row r="2242" ht="15" customHeight="1">
      <c r="A2242" t="inlineStr">
        <is>
          <t>TR_J_pseudogene</t>
        </is>
      </c>
      <c r="B2242" t="inlineStr">
        <is>
          <t>http://identifiers.org/so/SO:0002104</t>
        </is>
      </c>
      <c r="C2242" t="inlineStr">
        <is>
          <t>['TR box']</t>
        </is>
      </c>
    </row>
    <row r="2243" ht="15" customHeight="1">
      <c r="A2243" t="inlineStr">
        <is>
          <t>TR_V_Gene</t>
        </is>
      </c>
      <c r="B2243" t="inlineStr">
        <is>
          <t>http://identifiers.org/so/SO:0002137</t>
        </is>
      </c>
      <c r="C2243" t="inlineStr">
        <is>
          <t>['T_cell_receptor_C_gene']</t>
        </is>
      </c>
    </row>
    <row r="2244" ht="15" customHeight="1">
      <c r="A2244" t="inlineStr">
        <is>
          <t>TR_V_pseudogene</t>
        </is>
      </c>
      <c r="B2244" t="inlineStr">
        <is>
          <t>http://identifiers.org/so/SO:0002103</t>
        </is>
      </c>
      <c r="C2244" t="inlineStr">
        <is>
          <t>['T_cell_receptor_D_gene']</t>
        </is>
      </c>
    </row>
    <row r="2245" ht="15" customHeight="1">
      <c r="A2245" t="inlineStr">
        <is>
          <t>trans_splice_acceptor_site</t>
        </is>
      </c>
      <c r="B2245" t="inlineStr">
        <is>
          <t>http://identifiers.org/so/SO:0000706</t>
        </is>
      </c>
      <c r="C2245" t="inlineStr">
        <is>
          <t>['T_cell_receptor_J_gene']</t>
        </is>
      </c>
    </row>
    <row r="2246" ht="15" customHeight="1">
      <c r="A2246" t="inlineStr">
        <is>
          <t>trans_splice_donor_site</t>
        </is>
      </c>
      <c r="B2246" t="inlineStr">
        <is>
          <t>http://identifiers.org/so/SO:0000707</t>
        </is>
      </c>
      <c r="C2246" t="inlineStr">
        <is>
          <t>['TR J pseudogene', 'T_cell_receptor_J_pseudogene', 'T_cell_receptor_Joining_pseudogene', 'T cell receptor Joining pseudogene', 'T cell receptor J pseudogene']</t>
        </is>
      </c>
    </row>
    <row r="2247" ht="15" customHeight="1">
      <c r="A2247" t="inlineStr">
        <is>
          <t>trans_splice_junction</t>
        </is>
      </c>
      <c r="B2247" t="inlineStr">
        <is>
          <t>http://identifiers.org/so/SO:0001474</t>
        </is>
      </c>
      <c r="C2247" t="inlineStr">
        <is>
          <t>['T_cell_receptor_V_gene']</t>
        </is>
      </c>
    </row>
    <row r="2248" ht="15" customHeight="1">
      <c r="A2248" t="inlineStr">
        <is>
          <t>trans_splice_site</t>
        </is>
      </c>
      <c r="B2248" t="inlineStr">
        <is>
          <t>http://identifiers.org/so/SO:0001420</t>
        </is>
      </c>
      <c r="C2248" t="inlineStr">
        <is>
          <t>['T cell receptor V pseudogene', 'T_cell_receptor_V_pseudogene', 'TR V pseudogene', 'T_cell_receptor_Variable_pseudogene', 'T cell receptor Variable pseudogene']</t>
        </is>
      </c>
    </row>
    <row r="2249" ht="15" customHeight="1">
      <c r="A2249" t="inlineStr">
        <is>
          <t>trans_spliced</t>
        </is>
      </c>
      <c r="B2249" t="inlineStr">
        <is>
          <t>http://identifiers.org/so/SO:0000870</t>
        </is>
      </c>
      <c r="C2249" t="inlineStr">
        <is>
          <t>["3' trans splice site", 'trans splice acceptor site']</t>
        </is>
      </c>
    </row>
    <row r="2250" ht="15" customHeight="1">
      <c r="A2250" t="inlineStr">
        <is>
          <t>trans_spliced_mRNA</t>
        </is>
      </c>
      <c r="B2250" t="inlineStr">
        <is>
          <t>http://identifiers.org/so/SO:0000872</t>
        </is>
      </c>
      <c r="C2250" t="inlineStr">
        <is>
          <t>['trans-splice donor site', 'trans splice donor site', '5 prime trans splice site']</t>
        </is>
      </c>
    </row>
    <row r="2251" ht="15" customHeight="1">
      <c r="A2251" t="inlineStr">
        <is>
          <t>trans_spliced_transcript</t>
        </is>
      </c>
      <c r="B2251" t="inlineStr">
        <is>
          <t>http://identifiers.org/so/SO:0000479</t>
        </is>
      </c>
      <c r="C2251" t="inlineStr">
        <is>
          <t>['trans-splice junction']</t>
        </is>
      </c>
    </row>
    <row r="2252" ht="15" customHeight="1">
      <c r="A2252" t="inlineStr">
        <is>
          <t>transcribed_cluster</t>
        </is>
      </c>
      <c r="B2252" t="inlineStr">
        <is>
          <t>http://identifiers.org/so/SO:0001457</t>
        </is>
      </c>
      <c r="C2252" t="inlineStr">
        <is>
          <t>['trans splice site']</t>
        </is>
      </c>
    </row>
    <row r="2253" ht="15" customHeight="1">
      <c r="A2253" t="inlineStr">
        <is>
          <t>transcribed_fragment</t>
        </is>
      </c>
      <c r="B2253" t="inlineStr">
        <is>
          <t>http://identifiers.org/so/SO:0001418</t>
        </is>
      </c>
      <c r="C2253" t="inlineStr">
        <is>
          <t>['trans-spliced']</t>
        </is>
      </c>
    </row>
    <row r="2254" ht="15" customHeight="1">
      <c r="A2254" t="inlineStr">
        <is>
          <t>transcribed_processed_pseudogene</t>
        </is>
      </c>
      <c r="B2254" t="inlineStr">
        <is>
          <t>http://identifiers.org/so/SO:0002109</t>
        </is>
      </c>
      <c r="C2254" t="inlineStr">
        <is>
          <t>['trans-spliced mRNA']</t>
        </is>
      </c>
    </row>
    <row r="2255" ht="15" customHeight="1">
      <c r="A2255" t="inlineStr">
        <is>
          <t>transcribed_region</t>
        </is>
      </c>
      <c r="B2255" t="inlineStr">
        <is>
          <t>http://identifiers.org/so/SO:0000502</t>
        </is>
      </c>
      <c r="C2255" t="inlineStr">
        <is>
          <t>['INSDC_qualifier:trans_splicing', 'trans spliced transcript', 'INSDC_feature:tRNA', 'trans-spliced transcript']</t>
        </is>
      </c>
    </row>
    <row r="2256" ht="15" customHeight="1">
      <c r="A2256" t="inlineStr">
        <is>
          <t>transcribed_spacer_region</t>
        </is>
      </c>
      <c r="B2256" t="inlineStr">
        <is>
          <t>http://identifiers.org/so/SO:0000638</t>
        </is>
      </c>
      <c r="C2256" t="inlineStr">
        <is>
          <t>['transcribed cluster', 'unigene cluster']</t>
        </is>
      </c>
    </row>
    <row r="2257" ht="15" customHeight="1">
      <c r="A2257" t="inlineStr">
        <is>
          <t>transcribed_unitary_pseudogene</t>
        </is>
      </c>
      <c r="B2257" t="inlineStr">
        <is>
          <t>http://identifiers.org/so/SO:0002108</t>
        </is>
      </c>
      <c r="C2257" t="inlineStr">
        <is>
          <t>['transcribed fragment', 'transfrag']</t>
        </is>
      </c>
    </row>
    <row r="2258" ht="15" customHeight="1">
      <c r="A2258" t="inlineStr">
        <is>
          <t>transcribed_unprocessed_pseudogene</t>
        </is>
      </c>
      <c r="B2258" t="inlineStr">
        <is>
          <t>http://identifiers.org/so/SO:0002107</t>
        </is>
      </c>
      <c r="C2258" t="inlineStr">
        <is>
          <t>['transcribed processed pseudogene']</t>
        </is>
      </c>
    </row>
    <row r="2259" ht="15" customHeight="1">
      <c r="A2259" t="inlineStr">
        <is>
          <t>transcript</t>
        </is>
      </c>
      <c r="B2259" t="inlineStr">
        <is>
          <t>http://identifiers.org/so/SO:0000673</t>
        </is>
      </c>
    </row>
    <row r="2260" ht="15" customHeight="1">
      <c r="A2260" t="inlineStr">
        <is>
          <t>transcript_ablation</t>
        </is>
      </c>
      <c r="B2260" t="inlineStr">
        <is>
          <t>http://identifiers.org/so/SO:0001893</t>
        </is>
      </c>
      <c r="C2260" t="inlineStr">
        <is>
          <t>['transcribed spacer region']</t>
        </is>
      </c>
    </row>
    <row r="2261" ht="15" customHeight="1">
      <c r="A2261" t="inlineStr">
        <is>
          <t>transcript_amplification</t>
        </is>
      </c>
      <c r="B2261" t="inlineStr">
        <is>
          <t>http://identifiers.org/so/SO:0001889</t>
        </is>
      </c>
      <c r="C2261" t="inlineStr">
        <is>
          <t>['transcribed unitary pseudogene']</t>
        </is>
      </c>
    </row>
    <row r="2262" ht="15" customHeight="1">
      <c r="A2262" t="inlineStr">
        <is>
          <t>transcript_attribute</t>
        </is>
      </c>
      <c r="B2262" t="inlineStr">
        <is>
          <t>http://identifiers.org/so/SO:0000237</t>
        </is>
      </c>
      <c r="C2262" t="inlineStr">
        <is>
          <t>['transcribed_non_processed_pseudogene', 'transcribed unprocessed pseudogene']</t>
        </is>
      </c>
    </row>
    <row r="2263" ht="15" customHeight="1">
      <c r="A2263" t="inlineStr">
        <is>
          <t>transcript_bound_by_nucleic_acid</t>
        </is>
      </c>
      <c r="B2263" t="inlineStr">
        <is>
          <t>http://identifiers.org/so/SO:0000278</t>
        </is>
      </c>
      <c r="C2263" t="inlineStr">
        <is>
          <t>['INSDC_feature:misc_RNA']</t>
        </is>
      </c>
    </row>
    <row r="2264" ht="15" customHeight="1">
      <c r="A2264" t="inlineStr">
        <is>
          <t>transcript_bound_by_protein</t>
        </is>
      </c>
      <c r="B2264" t="inlineStr">
        <is>
          <t>http://identifiers.org/so/SO:0000279</t>
        </is>
      </c>
      <c r="C2264" t="inlineStr">
        <is>
          <t>['VEP:transcript_ablation', 'Jannovar:transcript_ablation', 'transcript ablation']</t>
        </is>
      </c>
    </row>
    <row r="2265" ht="15" customHeight="1">
      <c r="A2265" t="inlineStr">
        <is>
          <t>transcript_edited_by_U_insertion/deletion</t>
        </is>
      </c>
      <c r="B2265" t="inlineStr">
        <is>
          <t>http://identifiers.org/so/SO:0000597</t>
        </is>
      </c>
      <c r="C2265" t="inlineStr">
        <is>
          <t>['VEP:transcript_amplification', 'transcript amplification']</t>
        </is>
      </c>
    </row>
    <row r="2266" ht="15" customHeight="1">
      <c r="A2266" t="inlineStr">
        <is>
          <t>transcript_feature</t>
        </is>
      </c>
      <c r="B2266" t="inlineStr">
        <is>
          <t>http://identifiers.org/so/SO:0000115</t>
        </is>
      </c>
      <c r="C2266" t="inlineStr">
        <is>
          <t>['transcript attribute']</t>
        </is>
      </c>
    </row>
    <row r="2267" ht="15" customHeight="1">
      <c r="A2267" t="inlineStr">
        <is>
          <t>transcript_function_variant</t>
        </is>
      </c>
      <c r="B2267" t="inlineStr">
        <is>
          <t>http://identifiers.org/so/SO:0001538</t>
        </is>
      </c>
      <c r="C2267" t="inlineStr">
        <is>
          <t>['transcript bound by nucleic acid']</t>
        </is>
      </c>
    </row>
    <row r="2268" ht="15" customHeight="1">
      <c r="A2268" t="inlineStr">
        <is>
          <t>transcript_fusion</t>
        </is>
      </c>
      <c r="B2268" t="inlineStr">
        <is>
          <t>http://identifiers.org/so/SO:0001886</t>
        </is>
      </c>
      <c r="C2268" t="inlineStr">
        <is>
          <t>['transcript bound by protein']</t>
        </is>
      </c>
    </row>
    <row r="2269" ht="15" customHeight="1">
      <c r="A2269" t="inlineStr">
        <is>
          <t>transcript_processing_variant</t>
        </is>
      </c>
      <c r="B2269" t="inlineStr">
        <is>
          <t>http://identifiers.org/so/SO:0001543</t>
        </is>
      </c>
    </row>
    <row r="2270" ht="15" customHeight="1">
      <c r="A2270" t="inlineStr">
        <is>
          <t>transcript_region</t>
        </is>
      </c>
      <c r="B2270" t="inlineStr">
        <is>
          <t>http://identifiers.org/so/SO:0000833</t>
        </is>
      </c>
    </row>
    <row r="2271" ht="15" customHeight="1">
      <c r="A2271" t="inlineStr">
        <is>
          <t>transcript_regulatory_region_fusion</t>
        </is>
      </c>
      <c r="B2271" t="inlineStr">
        <is>
          <t>http://identifiers.org/so/SO:0001890</t>
        </is>
      </c>
      <c r="C2271" t="inlineStr">
        <is>
          <t>['transcript function variant']</t>
        </is>
      </c>
    </row>
    <row r="2272" ht="15" customHeight="1">
      <c r="A2272" t="inlineStr">
        <is>
          <t>transcript_secondary_structure_variant</t>
        </is>
      </c>
      <c r="B2272" t="inlineStr">
        <is>
          <t>http://identifiers.org/so/SO:0001596</t>
        </is>
      </c>
      <c r="C2272" t="inlineStr">
        <is>
          <t>['transcript fusion']</t>
        </is>
      </c>
    </row>
    <row r="2273" ht="15" customHeight="1">
      <c r="A2273" t="inlineStr">
        <is>
          <t>transcript_sequence_variant</t>
        </is>
      </c>
      <c r="B2273" t="inlineStr">
        <is>
          <t>http://identifiers.org/so/SO:0001579</t>
        </is>
      </c>
      <c r="C2273" t="inlineStr">
        <is>
          <t>['transcript processing variant']</t>
        </is>
      </c>
    </row>
    <row r="2274" ht="15" customHeight="1">
      <c r="A2274" t="inlineStr">
        <is>
          <t>transcript_stability_variant</t>
        </is>
      </c>
      <c r="B2274" t="inlineStr">
        <is>
          <t>http://identifiers.org/so/SO:0001546</t>
        </is>
      </c>
      <c r="C2274" t="inlineStr">
        <is>
          <t>['transcript region']</t>
        </is>
      </c>
    </row>
    <row r="2275" ht="15" customHeight="1">
      <c r="A2275" t="inlineStr">
        <is>
          <t>transcript_translocation</t>
        </is>
      </c>
      <c r="B2275" t="inlineStr">
        <is>
          <t>http://identifiers.org/so/SO:0001883</t>
        </is>
      </c>
      <c r="C2275" t="inlineStr">
        <is>
          <t>['transcript regulatory region fusion']</t>
        </is>
      </c>
    </row>
    <row r="2276" ht="15" customHeight="1">
      <c r="A2276" t="inlineStr">
        <is>
          <t>transcript_variant</t>
        </is>
      </c>
      <c r="B2276" t="inlineStr">
        <is>
          <t>http://identifiers.org/so/SO:0001576</t>
        </is>
      </c>
      <c r="C2276" t="inlineStr">
        <is>
          <t>['transcript secondary structure variant']</t>
        </is>
      </c>
    </row>
    <row r="2277" ht="15" customHeight="1">
      <c r="A2277" t="inlineStr">
        <is>
          <t>transcript_with_readthrough_stop_codon</t>
        </is>
      </c>
      <c r="B2277" t="inlineStr">
        <is>
          <t>http://identifiers.org/so/SO:0000117</t>
        </is>
      </c>
      <c r="C2277" t="inlineStr">
        <is>
          <t>['transcript sequence variant']</t>
        </is>
      </c>
    </row>
    <row r="2278" ht="15" customHeight="1">
      <c r="A2278" t="inlineStr">
        <is>
          <t>transcript_with_translational_frameshift</t>
        </is>
      </c>
      <c r="B2278" t="inlineStr">
        <is>
          <t>http://identifiers.org/so/SO:0000118</t>
        </is>
      </c>
      <c r="C2278" t="inlineStr">
        <is>
          <t>['transcript stability variant']</t>
        </is>
      </c>
    </row>
    <row r="2279" ht="15" customHeight="1">
      <c r="A2279" t="inlineStr">
        <is>
          <t>transcription_end_site</t>
        </is>
      </c>
      <c r="B2279" t="inlineStr">
        <is>
          <t>http://identifiers.org/so/SO:0000616</t>
        </is>
      </c>
      <c r="C2279" t="inlineStr">
        <is>
          <t>['transcript translocation']</t>
        </is>
      </c>
    </row>
    <row r="2280" ht="15" customHeight="1">
      <c r="A2280" t="inlineStr">
        <is>
          <t>transcription_factor_regulatory_site</t>
        </is>
      </c>
      <c r="B2280" t="inlineStr">
        <is>
          <t>http://identifiers.org/so/SO:0002295</t>
        </is>
      </c>
      <c r="C2280" t="inlineStr">
        <is>
          <t>['Jannovar:transcript_variant', 'VAAST:transcript_variant', 'snpEff:TRANSCRIPT', 'transcript variant']</t>
        </is>
      </c>
    </row>
    <row r="2281" ht="15" customHeight="1">
      <c r="A2281" t="inlineStr">
        <is>
          <t>transcription_pause_site</t>
        </is>
      </c>
      <c r="B2281" t="inlineStr">
        <is>
          <t>http://identifiers.org/so/SO:0002047</t>
        </is>
      </c>
    </row>
    <row r="2282" ht="15" customHeight="1">
      <c r="A2282" t="inlineStr">
        <is>
          <t>transcription_regulatory_region</t>
        </is>
      </c>
      <c r="B2282" t="inlineStr">
        <is>
          <t>http://identifiers.org/so/SO:0001679</t>
        </is>
      </c>
      <c r="C2282" t="inlineStr">
        <is>
          <t>['transcript with translational frameshift']</t>
        </is>
      </c>
    </row>
    <row r="2283" ht="15" customHeight="1">
      <c r="A2283" t="inlineStr">
        <is>
          <t>transcription_start_cluster</t>
        </is>
      </c>
      <c r="B2283" t="inlineStr">
        <is>
          <t>http://identifiers.org/so/SO:0001915</t>
        </is>
      </c>
      <c r="C2283" t="inlineStr">
        <is>
          <t>['transcription end site']</t>
        </is>
      </c>
    </row>
    <row r="2284" ht="15" customHeight="1">
      <c r="A2284" t="inlineStr">
        <is>
          <t>transcription_termination_signal</t>
        </is>
      </c>
      <c r="B2284" t="inlineStr">
        <is>
          <t>http://identifiers.org/so/SO:0002213</t>
        </is>
      </c>
      <c r="C2284" t="inlineStr">
        <is>
          <t>['transcription factor regulatory site', 'TFRS']</t>
        </is>
      </c>
    </row>
    <row r="2285" ht="15" customHeight="1">
      <c r="A2285" t="inlineStr">
        <is>
          <t>transcription_unit</t>
        </is>
      </c>
      <c r="B2285" t="inlineStr">
        <is>
          <t>http://identifiers.org/so/SO:0002301</t>
        </is>
      </c>
      <c r="C2285" t="inlineStr">
        <is>
          <t>['transcription pause site']</t>
        </is>
      </c>
    </row>
    <row r="2286" ht="15" customHeight="1">
      <c r="A2286" t="inlineStr">
        <is>
          <t>transcription_variant</t>
        </is>
      </c>
      <c r="B2286" t="inlineStr">
        <is>
          <t>http://identifiers.org/so/SO:0001549</t>
        </is>
      </c>
      <c r="C2286" t="inlineStr">
        <is>
          <t>['transcription regulatory region']</t>
        </is>
      </c>
    </row>
    <row r="2287" ht="15" customHeight="1">
      <c r="A2287" t="inlineStr">
        <is>
          <t>transcriptional_cis_regulatory_region</t>
        </is>
      </c>
      <c r="B2287" t="inlineStr">
        <is>
          <t>http://identifiers.org/so/SO:0001055</t>
        </is>
      </c>
      <c r="C2287" t="inlineStr">
        <is>
          <t>['transcriptional initiation cluster', 'transcriptional start site cluster', 'TSS cluster', 'TSC']</t>
        </is>
      </c>
    </row>
    <row r="2288" ht="15" customHeight="1">
      <c r="A2288" t="inlineStr">
        <is>
          <t>transcriptionally_constitutive</t>
        </is>
      </c>
      <c r="B2288" t="inlineStr">
        <is>
          <t>http://identifiers.org/so/SO:0000124</t>
        </is>
      </c>
      <c r="C2288" t="inlineStr">
        <is>
          <t>['Nrd1-dependent terminator', '(A(U)GUA) motif', 'Nrd1 binding motif', 'transcription termination signal', 'polyA site associated transcription termination signal', 'polyA site downstream element', 'UCUUG motif', 'UGUAA/G motif']</t>
        </is>
      </c>
    </row>
    <row r="2289" ht="15" customHeight="1">
      <c r="A2289" t="inlineStr">
        <is>
          <t>transcriptionally_induced</t>
        </is>
      </c>
      <c r="B2289" t="inlineStr">
        <is>
          <t>http://identifiers.org/so/SO:0000125</t>
        </is>
      </c>
      <c r="C2289" t="inlineStr">
        <is>
          <t>['transcription unit']</t>
        </is>
      </c>
    </row>
    <row r="2290" ht="15" customHeight="1">
      <c r="A2290" t="inlineStr">
        <is>
          <t>transcriptionally_regulated</t>
        </is>
      </c>
      <c r="B2290" t="inlineStr">
        <is>
          <t>http://identifiers.org/so/SO:0000123</t>
        </is>
      </c>
      <c r="C2290" t="inlineStr">
        <is>
          <t>['transcription variant']</t>
        </is>
      </c>
    </row>
    <row r="2291" ht="15" customHeight="1">
      <c r="A2291" t="inlineStr">
        <is>
          <t>transcriptionally_repressed</t>
        </is>
      </c>
      <c r="B2291" t="inlineStr">
        <is>
          <t>http://identifiers.org/so/SO:0000126</t>
        </is>
      </c>
      <c r="C2291" t="inlineStr">
        <is>
          <t>['INSDC_feature:regulatory', 'INSDC_qualifier:transcriptional_cis_regulatory_region', 'transcriptional cis regulatory region', 'transcription-control region']</t>
        </is>
      </c>
    </row>
    <row r="2292" ht="15" customHeight="1">
      <c r="A2292" t="inlineStr">
        <is>
          <t>transgene</t>
        </is>
      </c>
      <c r="B2292" t="inlineStr">
        <is>
          <t>http://identifiers.org/so/SO:0000902</t>
        </is>
      </c>
      <c r="C2292" t="inlineStr">
        <is>
          <t>['transcriptionally constitutive']</t>
        </is>
      </c>
    </row>
    <row r="2293" ht="15" customHeight="1">
      <c r="A2293" t="inlineStr">
        <is>
          <t>transgene_attribute</t>
        </is>
      </c>
      <c r="B2293" t="inlineStr">
        <is>
          <t>http://identifiers.org/so/SO:0000452</t>
        </is>
      </c>
      <c r="C2293" t="inlineStr">
        <is>
          <t>['transcriptionally induced']</t>
        </is>
      </c>
    </row>
    <row r="2294" ht="15" customHeight="1">
      <c r="A2294" t="inlineStr">
        <is>
          <t>transgenic</t>
        </is>
      </c>
      <c r="B2294" t="inlineStr">
        <is>
          <t>http://identifiers.org/so/SO:0000781</t>
        </is>
      </c>
      <c r="C2294" t="inlineStr">
        <is>
          <t>['transcriptionally regulated']</t>
        </is>
      </c>
    </row>
    <row r="2295" ht="15" customHeight="1">
      <c r="A2295" t="inlineStr">
        <is>
          <t>transgenic_insertion</t>
        </is>
      </c>
      <c r="B2295" t="inlineStr">
        <is>
          <t>http://identifiers.org/so/SO:0001218</t>
        </is>
      </c>
      <c r="C2295" t="inlineStr">
        <is>
          <t>['transcriptionally repressed']</t>
        </is>
      </c>
    </row>
    <row r="2296" ht="15" customHeight="1">
      <c r="A2296" t="inlineStr">
        <is>
          <t>transgenic_transposable_element</t>
        </is>
      </c>
      <c r="B2296" t="inlineStr">
        <is>
          <t>http://identifiers.org/so/SO:0000796</t>
        </is>
      </c>
    </row>
    <row r="2297" ht="15" customHeight="1">
      <c r="A2297" t="inlineStr">
        <is>
          <t>Transib_TIR_transposon</t>
        </is>
      </c>
      <c r="B2297" t="inlineStr">
        <is>
          <t>http://identifiers.org/so/SO:0002282</t>
        </is>
      </c>
    </row>
    <row r="2298" ht="15" customHeight="1">
      <c r="A2298" t="inlineStr">
        <is>
          <t>transit_peptide</t>
        </is>
      </c>
      <c r="B2298" t="inlineStr">
        <is>
          <t>http://identifiers.org/so/SO:0000725</t>
        </is>
      </c>
    </row>
    <row r="2299" ht="15" customHeight="1">
      <c r="A2299" t="inlineStr">
        <is>
          <t>transit_peptide_region_of_CDS</t>
        </is>
      </c>
      <c r="B2299" t="inlineStr">
        <is>
          <t>http://identifiers.org/so/SO:0002252</t>
        </is>
      </c>
      <c r="C2299" t="inlineStr">
        <is>
          <t>['transgenic insertion']</t>
        </is>
      </c>
    </row>
    <row r="2300" ht="15" customHeight="1">
      <c r="A2300" t="inlineStr">
        <is>
          <t>transition</t>
        </is>
      </c>
      <c r="B2300" t="inlineStr">
        <is>
          <t>http://identifiers.org/so/SO:1000009</t>
        </is>
      </c>
      <c r="C2300" t="inlineStr">
        <is>
          <t>['transgenic transposable element']</t>
        </is>
      </c>
    </row>
    <row r="2301" ht="15" customHeight="1">
      <c r="A2301" t="inlineStr">
        <is>
          <t>translated_nucleotide_match</t>
        </is>
      </c>
      <c r="B2301" t="inlineStr">
        <is>
          <t>http://identifiers.org/so/SO:0000181</t>
        </is>
      </c>
      <c r="C2301" t="inlineStr">
        <is>
          <t>['Transib TIR transposon', 'transib transposon', 'DTR transposon']</t>
        </is>
      </c>
    </row>
    <row r="2302" ht="15" customHeight="1">
      <c r="A2302" t="inlineStr">
        <is>
          <t>translated_processed_pseudogene</t>
        </is>
      </c>
      <c r="B2302" t="inlineStr">
        <is>
          <t>http://identifiers.org/so/SO:0002105</t>
        </is>
      </c>
      <c r="C2302" t="inlineStr">
        <is>
          <t>['signal', 'transit', 'transit peptide', 'INSDC_feature:transit_peptide']</t>
        </is>
      </c>
    </row>
    <row r="2303" ht="15" customHeight="1">
      <c r="A2303" t="inlineStr">
        <is>
          <t>translated_unprocessed_pseudogene</t>
        </is>
      </c>
      <c r="B2303" t="inlineStr">
        <is>
          <t>http://identifiers.org/so/SO:0002106</t>
        </is>
      </c>
      <c r="C2303" t="inlineStr">
        <is>
          <t>['transit peptide region of CDS', 'INSDC_feature:transit_peptide']</t>
        </is>
      </c>
    </row>
    <row r="2304" ht="15" customHeight="1">
      <c r="A2304" t="inlineStr">
        <is>
          <t>translation_regulatory_region</t>
        </is>
      </c>
      <c r="B2304" t="inlineStr">
        <is>
          <t>http://identifiers.org/so/SO:0001680</t>
        </is>
      </c>
    </row>
    <row r="2305" ht="15" customHeight="1">
      <c r="A2305" t="inlineStr">
        <is>
          <t>translational_frameshift</t>
        </is>
      </c>
      <c r="B2305" t="inlineStr">
        <is>
          <t>http://identifiers.org/so/SO:0001210</t>
        </is>
      </c>
      <c r="C2305" t="inlineStr">
        <is>
          <t>['translated nucleotide match']</t>
        </is>
      </c>
    </row>
    <row r="2306" ht="15" customHeight="1">
      <c r="A2306" t="inlineStr">
        <is>
          <t>translational_product_function_variant</t>
        </is>
      </c>
      <c r="B2306" t="inlineStr">
        <is>
          <t>http://identifiers.org/so/SO:0001539</t>
        </is>
      </c>
      <c r="C2306" t="inlineStr">
        <is>
          <t>['translated processed pseudogene']</t>
        </is>
      </c>
    </row>
    <row r="2307" ht="15" customHeight="1">
      <c r="A2307" t="inlineStr">
        <is>
          <t>translational_product_level_variant</t>
        </is>
      </c>
      <c r="B2307" t="inlineStr">
        <is>
          <t>http://identifiers.org/so/SO:0001553</t>
        </is>
      </c>
      <c r="C2307" t="inlineStr">
        <is>
          <t>['translated_nonprocessed_pseudogene', 'translated unprocessed pseudogene']</t>
        </is>
      </c>
    </row>
    <row r="2308" ht="15" customHeight="1">
      <c r="A2308" t="inlineStr">
        <is>
          <t>translational_product_structure_variant</t>
        </is>
      </c>
      <c r="B2308" t="inlineStr">
        <is>
          <t>http://identifiers.org/so/SO:0001598</t>
        </is>
      </c>
      <c r="C2308" t="inlineStr">
        <is>
          <t>['translation regulatory region']</t>
        </is>
      </c>
    </row>
    <row r="2309" ht="15" customHeight="1">
      <c r="A2309" t="inlineStr">
        <is>
          <t>translationally_frameshifted</t>
        </is>
      </c>
      <c r="B2309" t="inlineStr">
        <is>
          <t>http://identifiers.org/so/SO:0000887</t>
        </is>
      </c>
      <c r="C2309" t="inlineStr">
        <is>
          <t>['translational frameshift', 'ribosomal frameshift']</t>
        </is>
      </c>
    </row>
    <row r="2310" ht="15" customHeight="1">
      <c r="A2310" t="inlineStr">
        <is>
          <t>translationally_regulated</t>
        </is>
      </c>
      <c r="B2310" t="inlineStr">
        <is>
          <t>http://identifiers.org/so/SO:0000131</t>
        </is>
      </c>
      <c r="C2310" t="inlineStr">
        <is>
          <t>['translational product variant']</t>
        </is>
      </c>
    </row>
    <row r="2311" ht="15" customHeight="1">
      <c r="A2311" t="inlineStr">
        <is>
          <t>translationally_regulated_gene</t>
        </is>
      </c>
      <c r="B2311" t="inlineStr">
        <is>
          <t>http://identifiers.org/so/SO:0000896</t>
        </is>
      </c>
      <c r="C2311" t="inlineStr">
        <is>
          <t>['translational product level variant']</t>
        </is>
      </c>
    </row>
    <row r="2312" ht="15" customHeight="1">
      <c r="A2312" t="inlineStr">
        <is>
          <t>translocate</t>
        </is>
      </c>
      <c r="B2312" t="inlineStr">
        <is>
          <t>http://identifiers.org/so/SO:0000049</t>
        </is>
      </c>
      <c r="C2312" t="inlineStr">
        <is>
          <t>['translational product structure variant']</t>
        </is>
      </c>
    </row>
    <row r="2313" ht="15" customHeight="1">
      <c r="A2313" t="inlineStr">
        <is>
          <t>translocation</t>
        </is>
      </c>
      <c r="B2313" t="inlineStr">
        <is>
          <t>http://identifiers.org/so/SO:0000199</t>
        </is>
      </c>
      <c r="C2313" t="inlineStr">
        <is>
          <t>['translationally frameshifted']</t>
        </is>
      </c>
    </row>
    <row r="2314" ht="15" customHeight="1">
      <c r="A2314" t="inlineStr">
        <is>
          <t>translocation_breakpoint</t>
        </is>
      </c>
      <c r="B2314" t="inlineStr">
        <is>
          <t>http://identifiers.org/so/SO:0001413</t>
        </is>
      </c>
      <c r="C2314" t="inlineStr">
        <is>
          <t>['translationally regulated']</t>
        </is>
      </c>
    </row>
    <row r="2315" ht="15" customHeight="1">
      <c r="A2315" t="inlineStr">
        <is>
          <t>translocation_element</t>
        </is>
      </c>
      <c r="B2315" t="inlineStr">
        <is>
          <t>http://identifiers.org/so/SO:0000686</t>
        </is>
      </c>
      <c r="C2315" t="inlineStr">
        <is>
          <t>['translationally regulated gene']</t>
        </is>
      </c>
    </row>
    <row r="2316" ht="15" customHeight="1">
      <c r="A2316" t="inlineStr">
        <is>
          <t>translocaton_attribute</t>
        </is>
      </c>
      <c r="B2316" t="inlineStr">
        <is>
          <t>http://identifiers.org/so/SO:0001520</t>
        </is>
      </c>
    </row>
    <row r="2317" ht="15" customHeight="1">
      <c r="A2317" t="inlineStr">
        <is>
          <t>transmembrane_helix</t>
        </is>
      </c>
      <c r="B2317" t="inlineStr">
        <is>
          <t>http://identifiers.org/so/SO:0001812</t>
        </is>
      </c>
      <c r="C2317" t="inlineStr">
        <is>
          <t>['translocated sequence', 'transchr']</t>
        </is>
      </c>
    </row>
    <row r="2318" ht="15" customHeight="1">
      <c r="A2318" t="inlineStr">
        <is>
          <t>transmembrane_polypeptide_region</t>
        </is>
      </c>
      <c r="B2318" t="inlineStr">
        <is>
          <t>http://identifiers.org/so/SO:0001077</t>
        </is>
      </c>
      <c r="C2318" t="inlineStr">
        <is>
          <t>['translocation breakpoint']</t>
        </is>
      </c>
    </row>
    <row r="2319" ht="15" customHeight="1">
      <c r="A2319" t="inlineStr">
        <is>
          <t>transposable_element</t>
        </is>
      </c>
      <c r="B2319" t="inlineStr">
        <is>
          <t>http://identifiers.org/so/SO:0000101</t>
        </is>
      </c>
      <c r="C2319" t="inlineStr">
        <is>
          <t>['translocation element']</t>
        </is>
      </c>
    </row>
    <row r="2320" ht="15" customHeight="1">
      <c r="A2320" t="inlineStr">
        <is>
          <t>transposable_element_attribute</t>
        </is>
      </c>
      <c r="B2320" t="inlineStr">
        <is>
          <t>http://identifiers.org/so/SO:0000780</t>
        </is>
      </c>
      <c r="C2320" t="inlineStr">
        <is>
          <t>['translocation attribute']</t>
        </is>
      </c>
    </row>
    <row r="2321" ht="15" customHeight="1">
      <c r="A2321" t="inlineStr">
        <is>
          <t>transposable_element_CDS</t>
        </is>
      </c>
      <c r="B2321" t="inlineStr">
        <is>
          <t>http://identifiers.org/so/SO:0001896</t>
        </is>
      </c>
      <c r="C2321" t="inlineStr">
        <is>
          <t>['transmembrane helix']</t>
        </is>
      </c>
    </row>
    <row r="2322" ht="15" customHeight="1">
      <c r="A2322" t="inlineStr">
        <is>
          <t>transposable_element_flanking_region</t>
        </is>
      </c>
      <c r="B2322" t="inlineStr">
        <is>
          <t>http://identifiers.org/so/SO:0000364</t>
        </is>
      </c>
      <c r="C2322" t="inlineStr">
        <is>
          <t>['transmem', 'transmembrane polypeptide region', 'transmembrane']</t>
        </is>
      </c>
    </row>
    <row r="2323" ht="15" customHeight="1">
      <c r="A2323" t="inlineStr">
        <is>
          <t>transposable_element_gene</t>
        </is>
      </c>
      <c r="B2323" t="inlineStr">
        <is>
          <t>http://identifiers.org/so/SO:0000111</t>
        </is>
      </c>
      <c r="C2323" t="inlineStr">
        <is>
          <t>['transposon', 'transposable element']</t>
        </is>
      </c>
    </row>
    <row r="2324" ht="15" customHeight="1">
      <c r="A2324" t="inlineStr">
        <is>
          <t>transposable_element_insertion_site</t>
        </is>
      </c>
      <c r="B2324" t="inlineStr">
        <is>
          <t>http://identifiers.org/so/SO:0000368</t>
        </is>
      </c>
    </row>
    <row r="2325" ht="15" customHeight="1">
      <c r="A2325" t="inlineStr">
        <is>
          <t>transposable_element_pseudogene</t>
        </is>
      </c>
      <c r="B2325" t="inlineStr">
        <is>
          <t>http://identifiers.org/so/SO:0001897</t>
        </is>
      </c>
      <c r="C2325" t="inlineStr">
        <is>
          <t>['transposable element CDS']</t>
        </is>
      </c>
    </row>
    <row r="2326" ht="15" customHeight="1">
      <c r="A2326" t="inlineStr">
        <is>
          <t>transposon_fragment</t>
        </is>
      </c>
      <c r="B2326" t="inlineStr">
        <is>
          <t>http://identifiers.org/so/SO:0001054</t>
        </is>
      </c>
      <c r="C2326" t="inlineStr">
        <is>
          <t>['transposable element flanking region']</t>
        </is>
      </c>
    </row>
    <row r="2327" ht="15" customHeight="1">
      <c r="A2327" t="inlineStr">
        <is>
          <t>transversion</t>
        </is>
      </c>
      <c r="B2327" t="inlineStr">
        <is>
          <t>http://identifiers.org/so/SO:1000017</t>
        </is>
      </c>
      <c r="C2327" t="inlineStr">
        <is>
          <t>['transposable element gene']</t>
        </is>
      </c>
    </row>
    <row r="2328" ht="15" customHeight="1">
      <c r="A2328" t="inlineStr">
        <is>
          <t>TRIM</t>
        </is>
      </c>
      <c r="B2328" t="inlineStr">
        <is>
          <t>http://identifiers.org/so/SO:0002261</t>
        </is>
      </c>
      <c r="C2328" t="inlineStr">
        <is>
          <t>['transposable element insertion site']</t>
        </is>
      </c>
    </row>
    <row r="2329" ht="15" customHeight="1">
      <c r="A2329" t="inlineStr">
        <is>
          <t>trinucleotide_repeat_expansion</t>
        </is>
      </c>
      <c r="B2329" t="inlineStr">
        <is>
          <t>http://identifiers.org/so/SO:0002165</t>
        </is>
      </c>
      <c r="C2329" t="inlineStr">
        <is>
          <t>['transposable element pseudogene']</t>
        </is>
      </c>
    </row>
    <row r="2330" ht="15" customHeight="1">
      <c r="A2330" t="inlineStr">
        <is>
          <t>trinucleotide_repeat_microsatellite_feature</t>
        </is>
      </c>
      <c r="B2330" t="inlineStr">
        <is>
          <t>http://identifiers.org/so/SO:0000291</t>
        </is>
      </c>
      <c r="C2330" t="inlineStr">
        <is>
          <t>['transposon fragment']</t>
        </is>
      </c>
    </row>
    <row r="2331" ht="15" customHeight="1">
      <c r="A2331" t="inlineStr">
        <is>
          <t>tRNA</t>
        </is>
      </c>
      <c r="B2331" t="inlineStr">
        <is>
          <t>http://identifiers.org/so/SO:0000253</t>
        </is>
      </c>
    </row>
    <row r="2332" ht="15" customHeight="1">
      <c r="A2332" t="inlineStr">
        <is>
          <t>tRNA_encoding</t>
        </is>
      </c>
      <c r="B2332" t="inlineStr">
        <is>
          <t>http://identifiers.org/so/SO:0000663</t>
        </is>
      </c>
      <c r="C2332" t="inlineStr">
        <is>
          <t>['terminal-repeat retrotransposons in miniature', 'terminal-repeat_retrotransposons_in_miniature']</t>
        </is>
      </c>
    </row>
    <row r="2333" ht="15" customHeight="1">
      <c r="A2333" t="inlineStr">
        <is>
          <t>tRNA_gene</t>
        </is>
      </c>
      <c r="B2333" t="inlineStr">
        <is>
          <t>http://identifiers.org/so/SO:0001272</t>
        </is>
      </c>
      <c r="C2333" t="inlineStr">
        <is>
          <t>['trinucleotide repeat expansion']</t>
        </is>
      </c>
    </row>
    <row r="2334" ht="15" customHeight="1">
      <c r="A2334" t="inlineStr">
        <is>
          <t>tRNA_intron</t>
        </is>
      </c>
      <c r="B2334" t="inlineStr">
        <is>
          <t>http://identifiers.org/so/SO:1001272</t>
        </is>
      </c>
      <c r="C2334" t="inlineStr">
        <is>
          <t>['trinucleotide repeat microsatellite feature', 'trinucleotide repeat microsatellite locus', 'dinucleotide repeat microsatellite marker', 'rinucleotide repeat microsatellite']</t>
        </is>
      </c>
    </row>
    <row r="2335" ht="15" customHeight="1">
      <c r="A2335" t="inlineStr">
        <is>
          <t>tRNA_primary_transcript</t>
        </is>
      </c>
      <c r="B2335" t="inlineStr">
        <is>
          <t>http://identifiers.org/so/SO:0000210</t>
        </is>
      </c>
      <c r="C2335" t="inlineStr">
        <is>
          <t>['transfer RNA', 'INSDC_feature:tRNA', 'INSDC_qualifier:unknown', 'transfer ribonucleic acid']</t>
        </is>
      </c>
    </row>
    <row r="2336" ht="15" customHeight="1">
      <c r="A2336" t="inlineStr">
        <is>
          <t>tRNA_region</t>
        </is>
      </c>
      <c r="B2336" t="inlineStr">
        <is>
          <t>http://identifiers.org/so/SO:0001172</t>
        </is>
      </c>
      <c r="C2336" t="inlineStr">
        <is>
          <t>['tRNA encoding']</t>
        </is>
      </c>
    </row>
    <row r="2337" ht="15" customHeight="1">
      <c r="A2337" t="inlineStr">
        <is>
          <t>tRNA_SINE_retrotransposon</t>
        </is>
      </c>
      <c r="B2337" t="inlineStr">
        <is>
          <t>http://identifiers.org/so/SO:0002274</t>
        </is>
      </c>
      <c r="C2337" t="inlineStr">
        <is>
          <t>['tRNA gene']</t>
        </is>
      </c>
    </row>
    <row r="2338" ht="15" customHeight="1">
      <c r="A2338" t="inlineStr">
        <is>
          <t>tryptophan</t>
        </is>
      </c>
      <c r="B2338" t="inlineStr">
        <is>
          <t>http://identifiers.org/so/SO:0001440</t>
        </is>
      </c>
      <c r="C2338" t="inlineStr">
        <is>
          <t>['pre-tRNA intron', 'tRNA intron']</t>
        </is>
      </c>
    </row>
    <row r="2339" ht="15" customHeight="1">
      <c r="A2339" t="inlineStr">
        <is>
          <t>tryptophan_tRNA_primary_transcript</t>
        </is>
      </c>
      <c r="B2339" t="inlineStr">
        <is>
          <t>http://identifiers.org/so/SO:0000228</t>
        </is>
      </c>
      <c r="C2339" t="inlineStr">
        <is>
          <t>['tRNA primary transcript']</t>
        </is>
      </c>
    </row>
    <row r="2340" ht="15" customHeight="1">
      <c r="A2340" t="inlineStr">
        <is>
          <t>tryptophanyl_tRNA</t>
        </is>
      </c>
      <c r="B2340" t="inlineStr">
        <is>
          <t>http://identifiers.org/so/SO:0000271</t>
        </is>
      </c>
      <c r="C2340" t="inlineStr">
        <is>
          <t>['tRNA region']</t>
        </is>
      </c>
    </row>
    <row r="2341" ht="15" customHeight="1">
      <c r="A2341" t="inlineStr">
        <is>
          <t>TSS</t>
        </is>
      </c>
      <c r="B2341" t="inlineStr">
        <is>
          <t>http://identifiers.org/so/SO:0000315</t>
        </is>
      </c>
      <c r="C2341" t="inlineStr">
        <is>
          <t>['tRNA SINE element', 'RST retrotransposon', 'tRNA SINE retrotransposon']</t>
        </is>
      </c>
    </row>
    <row r="2342" ht="15" customHeight="1">
      <c r="A2342" t="inlineStr">
        <is>
          <t>TSS_region</t>
        </is>
      </c>
      <c r="B2342" t="inlineStr">
        <is>
          <t>http://identifiers.org/so/SO:0001240</t>
        </is>
      </c>
      <c r="C2342" t="inlineStr">
        <is>
          <t>['Trp', 'W']</t>
        </is>
      </c>
    </row>
    <row r="2343" ht="15" customHeight="1">
      <c r="A2343" t="inlineStr">
        <is>
          <t>twintron</t>
        </is>
      </c>
      <c r="B2343" t="inlineStr">
        <is>
          <t>http://identifiers.org/so/SO:0000406</t>
        </is>
      </c>
      <c r="C2343" t="inlineStr">
        <is>
          <t>['tryptophan tRNA primary transcript']</t>
        </is>
      </c>
    </row>
    <row r="2344" ht="15" customHeight="1">
      <c r="A2344" t="inlineStr">
        <is>
          <t>two_methyladenosine</t>
        </is>
      </c>
      <c r="B2344" t="inlineStr">
        <is>
          <t>http://identifiers.org/so/SO:0001296</t>
        </is>
      </c>
      <c r="C2344" t="inlineStr">
        <is>
          <t>['tryptophanyl-transfer RNA', 'tryptophanyl-transfer ribonucleic acid', 'tryptophanyl tRNA']</t>
        </is>
      </c>
    </row>
    <row r="2345" ht="15" customHeight="1">
      <c r="A2345" t="inlineStr">
        <is>
          <t>two_methylthio_N6_cis_hydroxyisopentenyl_adenosine</t>
        </is>
      </c>
      <c r="B2345" t="inlineStr">
        <is>
          <t>http://identifiers.org/so/SO:0001303</t>
        </is>
      </c>
      <c r="C2345" t="inlineStr">
        <is>
          <t>['INSDC_feature:misc_feature', 'INSDC_note:transcription_start_site', 'transcription_start_site', 'transcription start site']</t>
        </is>
      </c>
    </row>
    <row r="2346" ht="15" customHeight="1">
      <c r="A2346" t="inlineStr">
        <is>
          <t>two_methylthio_N6_hydroxynorvalyl_carbamoyladenosine</t>
        </is>
      </c>
      <c r="B2346" t="inlineStr">
        <is>
          <t>http://identifiers.org/so/SO:0001309</t>
        </is>
      </c>
      <c r="C2346" t="inlineStr">
        <is>
          <t>['TSS region']</t>
        </is>
      </c>
    </row>
    <row r="2347" ht="15" customHeight="1">
      <c r="A2347" t="inlineStr">
        <is>
          <t>two_methylthio_N6_isopentenyladenosine</t>
        </is>
      </c>
      <c r="B2347" t="inlineStr">
        <is>
          <t>http://identifiers.org/so/SO:0001301</t>
        </is>
      </c>
    </row>
    <row r="2348" ht="15" customHeight="1">
      <c r="A2348" t="inlineStr">
        <is>
          <t>two_methylthio_N6_methyladenosine</t>
        </is>
      </c>
      <c r="B2348" t="inlineStr">
        <is>
          <t>http://identifiers.org/so/SO:0001299</t>
        </is>
      </c>
      <c r="C2348" t="inlineStr">
        <is>
          <t>['two methyladenosine', '2-methyladenosine', 'm2A']</t>
        </is>
      </c>
    </row>
    <row r="2349" ht="15" customHeight="1">
      <c r="A2349" t="inlineStr">
        <is>
          <t>two_methylthio_N6_threonyl_carbamoyladenosine</t>
        </is>
      </c>
      <c r="B2349" t="inlineStr">
        <is>
          <t>http://identifiers.org/so/SO:0001306</t>
        </is>
      </c>
      <c r="C2349" t="inlineStr">
        <is>
          <t>['two methylthio N6 cis hydroxyisopentenyl adenosine', 'ms2io6A', '2-methylthio-N6-(cis-hydroxyisopentenyl) adenosine']</t>
        </is>
      </c>
    </row>
    <row r="2350" ht="15" customHeight="1">
      <c r="A2350" t="inlineStr">
        <is>
          <t>two_prime_O_methyladenosine</t>
        </is>
      </c>
      <c r="B2350" t="inlineStr">
        <is>
          <t>http://identifiers.org/so/SO:0001298</t>
        </is>
      </c>
      <c r="C2350" t="inlineStr">
        <is>
          <t>['ms2hn6A', '2-methylthio-N6-hydroxynorvalyl carbamoyladenosine', 'two methylthio N6 hydroxynorvalyl carbamoyladenosine']</t>
        </is>
      </c>
    </row>
    <row r="2351" ht="15" customHeight="1">
      <c r="A2351" t="inlineStr">
        <is>
          <t>two_prime_O_methylcytidine</t>
        </is>
      </c>
      <c r="B2351" t="inlineStr">
        <is>
          <t>http://identifiers.org/so/SO:0001283</t>
        </is>
      </c>
      <c r="C2351" t="inlineStr">
        <is>
          <t>['ms2i6A', 'two methylthio N6 isopentenyladenosine', '2-methylthio-N6-isopentenyladenosine']</t>
        </is>
      </c>
    </row>
    <row r="2352" ht="15" customHeight="1">
      <c r="A2352" t="inlineStr">
        <is>
          <t>two_prime_O_methylguanosine</t>
        </is>
      </c>
      <c r="B2352" t="inlineStr">
        <is>
          <t>http://identifiers.org/so/SO:0001327</t>
        </is>
      </c>
      <c r="C2352" t="inlineStr">
        <is>
          <t>['two methylthio N6 methyladenosine', 'ms2m6A', '2-methylthio-N6-methyladenosine']</t>
        </is>
      </c>
    </row>
    <row r="2353" ht="15" customHeight="1">
      <c r="A2353" t="inlineStr">
        <is>
          <t>two_prime_O_methylinosine</t>
        </is>
      </c>
      <c r="B2353" t="inlineStr">
        <is>
          <t>http://identifiers.org/so/SO:0001280</t>
        </is>
      </c>
      <c r="C2353" t="inlineStr">
        <is>
          <t>['two methylthio N6 threonyl carbamoyladenosine', 'ms2t6A', '2-methylthio-N6-threonyl carbamoyladenosine']</t>
        </is>
      </c>
    </row>
    <row r="2354" ht="15" customHeight="1">
      <c r="A2354" t="inlineStr">
        <is>
          <t>two_prime_O_methylpseudouridine</t>
        </is>
      </c>
      <c r="B2354" t="inlineStr">
        <is>
          <t>http://identifiers.org/so/SO:0001348</t>
        </is>
      </c>
      <c r="C2354" t="inlineStr">
        <is>
          <t>['Am', "2'-O-methyladenosine", 'two prime O methyladenosine']</t>
        </is>
      </c>
    </row>
    <row r="2355" ht="15" customHeight="1">
      <c r="A2355" t="inlineStr">
        <is>
          <t>two_prime_O_methyluridine</t>
        </is>
      </c>
      <c r="B2355" t="inlineStr">
        <is>
          <t>http://identifiers.org/so/SO:0001345</t>
        </is>
      </c>
      <c r="C2355" t="inlineStr">
        <is>
          <t>['two prime O methylcytidine', 'Cm', "2'-O-methylcytidine"]</t>
        </is>
      </c>
    </row>
    <row r="2356" ht="15" customHeight="1">
      <c r="A2356" t="inlineStr">
        <is>
          <t>two_prime_O_ribosyladenosine_phosphate</t>
        </is>
      </c>
      <c r="B2356" t="inlineStr">
        <is>
          <t>http://identifiers.org/so/SO:0001310</t>
        </is>
      </c>
      <c r="C2356" t="inlineStr">
        <is>
          <t>["2'-O-methylguanosine", 'two prime O methylguanosine', 'Gm']</t>
        </is>
      </c>
    </row>
    <row r="2357" ht="15" customHeight="1">
      <c r="A2357" t="inlineStr">
        <is>
          <t>two_prime_O_ribosylguanosine_phosphate</t>
        </is>
      </c>
      <c r="B2357" t="inlineStr">
        <is>
          <t>http://identifiers.org/so/SO:0001331</t>
        </is>
      </c>
      <c r="C2357" t="inlineStr">
        <is>
          <t>["2'-O-methylinosine", 'two prime O methylinosine', 'Im']</t>
        </is>
      </c>
    </row>
    <row r="2358" ht="15" customHeight="1">
      <c r="A2358" t="inlineStr">
        <is>
          <t>two_thio_two_prime_O_methyluridine</t>
        </is>
      </c>
      <c r="B2358" t="inlineStr">
        <is>
          <t>http://identifiers.org/so/SO:0001352</t>
        </is>
      </c>
      <c r="C2358" t="inlineStr">
        <is>
          <t>["2'-O-methylpseudouridine", 'Ym', 'two prime O methylpseudouridine']</t>
        </is>
      </c>
    </row>
    <row r="2359" ht="15" customHeight="1">
      <c r="A2359" t="inlineStr">
        <is>
          <t>two_thiocytidine</t>
        </is>
      </c>
      <c r="B2359" t="inlineStr">
        <is>
          <t>http://identifiers.org/so/SO:0001284</t>
        </is>
      </c>
      <c r="C2359" t="inlineStr">
        <is>
          <t>['two prime O methyluridine', "2'-O-methyluridine", 'Um']</t>
        </is>
      </c>
    </row>
    <row r="2360" ht="15" customHeight="1">
      <c r="A2360" t="inlineStr">
        <is>
          <t>two_thiouridine</t>
        </is>
      </c>
      <c r="B2360" t="inlineStr">
        <is>
          <t>http://identifiers.org/so/SO:0001349</t>
        </is>
      </c>
      <c r="C2360" t="inlineStr">
        <is>
          <t>["2'-O-ribosyladenosine (phosphate)", 'two prime O ribosyladenosine phosphate', 'Ar(p)']</t>
        </is>
      </c>
    </row>
    <row r="2361" ht="15" customHeight="1">
      <c r="A2361" t="inlineStr">
        <is>
          <t>type_I_enzyme_restriction_site</t>
        </is>
      </c>
      <c r="B2361" t="inlineStr">
        <is>
          <t>http://identifiers.org/so/SO:0000284</t>
        </is>
      </c>
      <c r="C2361" t="inlineStr">
        <is>
          <t>["2'-O-ribosylguanosine (phosphate)", 'two prime O ribosylguanosine phosphate', 'Gr(p)']</t>
        </is>
      </c>
    </row>
    <row r="2362" ht="15" customHeight="1">
      <c r="A2362" t="inlineStr">
        <is>
          <t>type_II_enzyme_restriction_site</t>
        </is>
      </c>
      <c r="B2362" t="inlineStr">
        <is>
          <t>http://identifiers.org/so/SO:0000304</t>
        </is>
      </c>
      <c r="C2362" t="inlineStr">
        <is>
          <t>["2-thio-2'-O-methyluridine", 's2Um', 'two thio two prime O methyluridine']</t>
        </is>
      </c>
    </row>
    <row r="2363" ht="15" customHeight="1">
      <c r="A2363" t="inlineStr">
        <is>
          <t>tyrosine</t>
        </is>
      </c>
      <c r="B2363" t="inlineStr">
        <is>
          <t>http://identifiers.org/so/SO:0001446</t>
        </is>
      </c>
      <c r="C2363" t="inlineStr">
        <is>
          <t>['2-thiocytidine', 's2C', 'two thiocytidine']</t>
        </is>
      </c>
    </row>
    <row r="2364" ht="15" customHeight="1">
      <c r="A2364" t="inlineStr">
        <is>
          <t>tyrosine_tRNA_primary_transcript</t>
        </is>
      </c>
      <c r="B2364" t="inlineStr">
        <is>
          <t>http://identifiers.org/so/SO:0000229</t>
        </is>
      </c>
      <c r="C2364" t="inlineStr">
        <is>
          <t>['2-thiouridine', 'two thiouridine', 's2U']</t>
        </is>
      </c>
    </row>
    <row r="2365" ht="15" customHeight="1">
      <c r="A2365" t="inlineStr">
        <is>
          <t>tyrosyl_tRNA</t>
        </is>
      </c>
      <c r="B2365" t="inlineStr">
        <is>
          <t>http://identifiers.org/so/SO:0000272</t>
        </is>
      </c>
    </row>
    <row r="2366" ht="15" customHeight="1">
      <c r="A2366" t="inlineStr">
        <is>
          <t>U_box</t>
        </is>
      </c>
      <c r="B2366" t="inlineStr">
        <is>
          <t>http://identifiers.org/so/SO:0001788</t>
        </is>
      </c>
    </row>
    <row r="2367" ht="15" customHeight="1">
      <c r="A2367" t="inlineStr">
        <is>
          <t>U1_snRNA</t>
        </is>
      </c>
      <c r="B2367" t="inlineStr">
        <is>
          <t>http://identifiers.org/so/SO:0000391</t>
        </is>
      </c>
      <c r="C2367" t="inlineStr">
        <is>
          <t>['Tyr', 'Y']</t>
        </is>
      </c>
    </row>
    <row r="2368" ht="15" customHeight="1">
      <c r="A2368" t="inlineStr">
        <is>
          <t>U11_snRNA</t>
        </is>
      </c>
      <c r="B2368" t="inlineStr">
        <is>
          <t>http://identifiers.org/so/SO:0000398</t>
        </is>
      </c>
      <c r="C2368" t="inlineStr">
        <is>
          <t>['tyrosine tRNA primary transcript']</t>
        </is>
      </c>
    </row>
    <row r="2369" ht="15" customHeight="1">
      <c r="A2369" t="inlineStr">
        <is>
          <t>U12_intron</t>
        </is>
      </c>
      <c r="B2369" t="inlineStr">
        <is>
          <t>http://identifiers.org/so/SO:0000295</t>
        </is>
      </c>
      <c r="C2369" t="inlineStr">
        <is>
          <t>['tyrosyl-transfer RNA', 'tyrosyl-transfer ribonucleic acid', 'tyrosyl tRNA']</t>
        </is>
      </c>
    </row>
    <row r="2370" ht="15" customHeight="1">
      <c r="A2370" t="inlineStr">
        <is>
          <t>U12_snRNA</t>
        </is>
      </c>
      <c r="B2370" t="inlineStr">
        <is>
          <t>http://identifiers.org/so/SO:0000399</t>
        </is>
      </c>
      <c r="C2370" t="inlineStr">
        <is>
          <t>['U-box']</t>
        </is>
      </c>
    </row>
    <row r="2371" ht="15" customHeight="1">
      <c r="A2371" t="inlineStr">
        <is>
          <t>U14_snoRNA</t>
        </is>
      </c>
      <c r="B2371" t="inlineStr">
        <is>
          <t>http://identifiers.org/so/SO:0000403</t>
        </is>
      </c>
      <c r="C2371" t="inlineStr">
        <is>
          <t>['snRNA U1', 'U1 small nuclear RNA', 'U1 snRNA', 'small nuclear RNA U1']</t>
        </is>
      </c>
    </row>
    <row r="2372" ht="15" customHeight="1">
      <c r="A2372" t="inlineStr">
        <is>
          <t>U14_snoRNA_primary_transcript</t>
        </is>
      </c>
      <c r="B2372" t="inlineStr">
        <is>
          <t>http://identifiers.org/so/SO:0005837</t>
        </is>
      </c>
      <c r="C2372" t="inlineStr">
        <is>
          <t>['small nuclear RNA U11', 'U11 small nuclear RNA', 'snRNA U11', 'U11 snRNA']</t>
        </is>
      </c>
    </row>
    <row r="2373" ht="15" customHeight="1">
      <c r="A2373" t="inlineStr">
        <is>
          <t>U2_intron</t>
        </is>
      </c>
      <c r="B2373" t="inlineStr">
        <is>
          <t>http://identifiers.org/so/SO:0000184</t>
        </is>
      </c>
      <c r="C2373" t="inlineStr">
        <is>
          <t>['U12-dependent intron', 'U12 intron']</t>
        </is>
      </c>
    </row>
    <row r="2374" ht="15" customHeight="1">
      <c r="A2374" t="inlineStr">
        <is>
          <t>U2_snRNA</t>
        </is>
      </c>
      <c r="B2374" t="inlineStr">
        <is>
          <t>http://identifiers.org/so/SO:0000392</t>
        </is>
      </c>
      <c r="C2374" t="inlineStr">
        <is>
          <t>['small nuclear RNA U12', 'U12 small nuclear RNA', 'snRNA U12', 'U12 snRNA']</t>
        </is>
      </c>
    </row>
    <row r="2375" ht="15" customHeight="1">
      <c r="A2375" t="inlineStr">
        <is>
          <t>U3_five_prime_LTR_region</t>
        </is>
      </c>
      <c r="B2375" t="inlineStr">
        <is>
          <t>http://identifiers.org/so/SO:0000429</t>
        </is>
      </c>
      <c r="C2375" t="inlineStr">
        <is>
          <t>['snoRNA U14', 'small nucleolar RNA U14', 'U14 small nucleolar RNA', 'U14 snoRNA']</t>
        </is>
      </c>
    </row>
    <row r="2376" ht="15" customHeight="1">
      <c r="A2376" t="inlineStr">
        <is>
          <t>U3_LTR_region</t>
        </is>
      </c>
      <c r="B2376" t="inlineStr">
        <is>
          <t>http://identifiers.org/so/SO:0000424</t>
        </is>
      </c>
      <c r="C2376" t="inlineStr">
        <is>
          <t>['4.5S snRNA primary transcript', 'U14 snoRNA primary transcript']</t>
        </is>
      </c>
    </row>
    <row r="2377" ht="15" customHeight="1">
      <c r="A2377" t="inlineStr">
        <is>
          <t>U3_snoRNA</t>
        </is>
      </c>
      <c r="B2377" t="inlineStr">
        <is>
          <t>http://identifiers.org/so/SO:0001179</t>
        </is>
      </c>
      <c r="C2377" t="inlineStr">
        <is>
          <t>['U2 intron']</t>
        </is>
      </c>
    </row>
    <row r="2378" ht="15" customHeight="1">
      <c r="A2378" t="inlineStr">
        <is>
          <t>U3_three_prime_LTR_region</t>
        </is>
      </c>
      <c r="B2378" t="inlineStr">
        <is>
          <t>http://identifiers.org/so/SO:0000431</t>
        </is>
      </c>
      <c r="C2378" t="inlineStr">
        <is>
          <t>['U2 small nuclear RNA', 'small nuclear RNA U2', 'U2 snRNA', 'snRNA U2']</t>
        </is>
      </c>
    </row>
    <row r="2379" ht="15" customHeight="1">
      <c r="A2379" t="inlineStr">
        <is>
          <t>U4_snRNA</t>
        </is>
      </c>
      <c r="B2379" t="inlineStr">
        <is>
          <t>http://identifiers.org/so/SO:0000393</t>
        </is>
      </c>
      <c r="C2379" t="inlineStr">
        <is>
          <t>["U3 5' long term repeat region", 'U3 five prime LTR region']</t>
        </is>
      </c>
    </row>
    <row r="2380" ht="15" customHeight="1">
      <c r="A2380" t="inlineStr">
        <is>
          <t>U4atac_snRNA</t>
        </is>
      </c>
      <c r="B2380" t="inlineStr">
        <is>
          <t>http://identifiers.org/so/SO:0000394</t>
        </is>
      </c>
      <c r="C2380" t="inlineStr">
        <is>
          <t>['U3 LTR region', 'U3 long terminal repeat region']</t>
        </is>
      </c>
    </row>
    <row r="2381" ht="15" customHeight="1">
      <c r="A2381" t="inlineStr">
        <is>
          <t>U5_five_prime_LTR_region</t>
        </is>
      </c>
      <c r="B2381" t="inlineStr">
        <is>
          <t>http://identifiers.org/so/SO:0000428</t>
        </is>
      </c>
      <c r="C2381" t="inlineStr">
        <is>
          <t>['U3 small nucleolar RNA', 'small nucleolar RNA U3', 'U3 snoRNA', 'snoRNA U3']</t>
        </is>
      </c>
    </row>
    <row r="2382" ht="15" customHeight="1">
      <c r="A2382" t="inlineStr">
        <is>
          <t>U5_LTR_region</t>
        </is>
      </c>
      <c r="B2382" t="inlineStr">
        <is>
          <t>http://identifiers.org/so/SO:0000422</t>
        </is>
      </c>
      <c r="C2382" t="inlineStr">
        <is>
          <t>['U3 three prime LTR region', "U3 3' long terminal repeat region"]</t>
        </is>
      </c>
    </row>
    <row r="2383" ht="15" customHeight="1">
      <c r="A2383" t="inlineStr">
        <is>
          <t>U5_snRNA</t>
        </is>
      </c>
      <c r="B2383" t="inlineStr">
        <is>
          <t>http://identifiers.org/so/SO:0000395</t>
        </is>
      </c>
      <c r="C2383" t="inlineStr">
        <is>
          <t>['small nuclear RNA U4', 'U4 snRNA', 'U4 small nuclear RNA', 'snRNA U4']</t>
        </is>
      </c>
    </row>
    <row r="2384" ht="15" customHeight="1">
      <c r="A2384" t="inlineStr">
        <is>
          <t>U5_three_prime_LTR_region</t>
        </is>
      </c>
      <c r="B2384" t="inlineStr">
        <is>
          <t>http://identifiers.org/so/SO:0000432</t>
        </is>
      </c>
      <c r="C2384" t="inlineStr">
        <is>
          <t>['U4atac snRNA', 'small nuclear RNA U4atac', 'snRNA U4atac', 'U4atac small nuclear RNA']</t>
        </is>
      </c>
    </row>
    <row r="2385" ht="15" customHeight="1">
      <c r="A2385" t="inlineStr">
        <is>
          <t>U6_snRNA</t>
        </is>
      </c>
      <c r="B2385" t="inlineStr">
        <is>
          <t>http://identifiers.org/so/SO:0000396</t>
        </is>
      </c>
      <c r="C2385" t="inlineStr">
        <is>
          <t>["U5 5' long terminal repeat region", 'U5 five prime LTR region']</t>
        </is>
      </c>
    </row>
    <row r="2386" ht="15" customHeight="1">
      <c r="A2386" t="inlineStr">
        <is>
          <t>U6atac_snRNA</t>
        </is>
      </c>
      <c r="B2386" t="inlineStr">
        <is>
          <t>http://identifiers.org/so/SO:0000397</t>
        </is>
      </c>
      <c r="C2386" t="inlineStr">
        <is>
          <t>['U5 LTR region', 'U5 long terminal repeat region']</t>
        </is>
      </c>
    </row>
    <row r="2387" ht="15" customHeight="1">
      <c r="A2387" t="inlineStr">
        <is>
          <t>UAA_stop_codon_signal</t>
        </is>
      </c>
      <c r="B2387" t="inlineStr">
        <is>
          <t>http://identifiers.org/so/SO:1001283</t>
        </is>
      </c>
      <c r="C2387" t="inlineStr">
        <is>
          <t>['U5 snRNA', 'small nuclear RNA U5', 'snRNA U5', 'U5 small nuclear RNA']</t>
        </is>
      </c>
    </row>
    <row r="2388" ht="15" customHeight="1">
      <c r="A2388" t="inlineStr">
        <is>
          <t>UAG_stop_codon_signal</t>
        </is>
      </c>
      <c r="B2388" t="inlineStr">
        <is>
          <t>http://identifiers.org/so/SO:1001282</t>
        </is>
      </c>
      <c r="C2388" t="inlineStr">
        <is>
          <t>['U5 three prime LTR region', "U5 3' long terminal repeat region"]</t>
        </is>
      </c>
    </row>
    <row r="2389" ht="15" customHeight="1">
      <c r="A2389" t="inlineStr">
        <is>
          <t>UGA_stop_codon_signal</t>
        </is>
      </c>
      <c r="B2389" t="inlineStr">
        <is>
          <t>http://identifiers.org/so/SO:1001285</t>
        </is>
      </c>
      <c r="C2389" t="inlineStr">
        <is>
          <t>['U6 small nuclear RNA', 'small nuclear RNA U6', 'U6 snRNA', 'snRNA U6']</t>
        </is>
      </c>
    </row>
    <row r="2390" ht="15" customHeight="1">
      <c r="A2390" t="inlineStr">
        <is>
          <t>ultracontig</t>
        </is>
      </c>
      <c r="B2390" t="inlineStr">
        <is>
          <t>http://identifiers.org/so/SO:0000719</t>
        </is>
      </c>
      <c r="C2390" t="inlineStr">
        <is>
          <t>['snRNA U6atac', 'U6atac snRNA', 'U6atac small nuclear RNA']</t>
        </is>
      </c>
    </row>
    <row r="2391" ht="15" customHeight="1">
      <c r="A2391" t="inlineStr">
        <is>
          <t>UNAAAC_motif</t>
        </is>
      </c>
      <c r="B2391" t="inlineStr">
        <is>
          <t>http://identifiers.org/so/SO:0002207</t>
        </is>
      </c>
      <c r="C2391" t="inlineStr">
        <is>
          <t>['UAA stop codon signal']</t>
        </is>
      </c>
    </row>
    <row r="2392" ht="15" customHeight="1">
      <c r="A2392" t="inlineStr">
        <is>
          <t>unassigned_supercontig</t>
        </is>
      </c>
      <c r="B2392" t="inlineStr">
        <is>
          <t>http://identifiers.org/so/SO:0001875</t>
        </is>
      </c>
      <c r="C2392" t="inlineStr">
        <is>
          <t>['UAG stop codon signal']</t>
        </is>
      </c>
    </row>
    <row r="2393" ht="15" customHeight="1">
      <c r="A2393" t="inlineStr">
        <is>
          <t>uncharacterized_chromosomal_mutation</t>
        </is>
      </c>
      <c r="B2393" t="inlineStr">
        <is>
          <t>http://identifiers.org/so/SO:1000170</t>
        </is>
      </c>
      <c r="C2393" t="inlineStr">
        <is>
          <t>['UGA stop codon signal']</t>
        </is>
      </c>
    </row>
    <row r="2394" ht="15" customHeight="1">
      <c r="A2394" t="inlineStr">
        <is>
          <t>unconfirmed_transcript</t>
        </is>
      </c>
      <c r="B2394" t="inlineStr">
        <is>
          <t>http://identifiers.org/so/SO:0002139</t>
        </is>
      </c>
      <c r="C2394" t="inlineStr">
        <is>
          <t>['pseudochromosome', 'superscaffold']</t>
        </is>
      </c>
    </row>
    <row r="2395" ht="15" customHeight="1">
      <c r="A2395" t="inlineStr">
        <is>
          <t>undermodified_hydroxywybutosine</t>
        </is>
      </c>
      <c r="B2395" t="inlineStr">
        <is>
          <t>http://identifiers.org/so/SO:0001335</t>
        </is>
      </c>
      <c r="C2395" t="inlineStr">
        <is>
          <t>['UNAAAC motif']</t>
        </is>
      </c>
    </row>
    <row r="2396" ht="15" customHeight="1">
      <c r="A2396" t="inlineStr">
        <is>
          <t>unedited_region</t>
        </is>
      </c>
      <c r="B2396" t="inlineStr">
        <is>
          <t>http://identifiers.org/so/SO:0000607</t>
        </is>
      </c>
      <c r="C2396" t="inlineStr">
        <is>
          <t>['unassigned supercontig', 'unassigned scaffold']</t>
        </is>
      </c>
    </row>
    <row r="2397" ht="15" customHeight="1">
      <c r="A2397" t="inlineStr">
        <is>
          <t>unequally_crossed_over</t>
        </is>
      </c>
      <c r="B2397" t="inlineStr">
        <is>
          <t>http://identifiers.org/so/SO:0000901</t>
        </is>
      </c>
      <c r="C2397" t="inlineStr">
        <is>
          <t>['uncharacterized chromosomal mutation']</t>
        </is>
      </c>
    </row>
    <row r="2398" ht="15" customHeight="1">
      <c r="A2398" t="inlineStr">
        <is>
          <t>unidirectional_gene_fusion</t>
        </is>
      </c>
      <c r="B2398" t="inlineStr">
        <is>
          <t>http://identifiers.org/so/SO:0002085</t>
        </is>
      </c>
      <c r="C2398" t="inlineStr">
        <is>
          <t>['TEC', 'to_be_experimentally_confirmed_transcript']</t>
        </is>
      </c>
    </row>
    <row r="2399" ht="15" customHeight="1">
      <c r="A2399" t="inlineStr">
        <is>
          <t>unigene_cluster</t>
        </is>
      </c>
      <c r="B2399" t="inlineStr">
        <is>
          <t>http://identifiers.org/so/SO:0001458</t>
        </is>
      </c>
      <c r="C2399" t="inlineStr">
        <is>
          <t>['OHyW*', 'undermodified hydroxywybutosine']</t>
        </is>
      </c>
    </row>
    <row r="2400" ht="15" customHeight="1">
      <c r="A2400" t="inlineStr">
        <is>
          <t>uninverted_insertional_duplication</t>
        </is>
      </c>
      <c r="B2400" t="inlineStr">
        <is>
          <t>http://identifiers.org/so/SO:1000152</t>
        </is>
      </c>
      <c r="C2400" t="inlineStr">
        <is>
          <t>['unedited region']</t>
        </is>
      </c>
    </row>
    <row r="2401" ht="15" customHeight="1">
      <c r="A2401" t="inlineStr">
        <is>
          <t>uninverted_interchromosomal_transposition</t>
        </is>
      </c>
      <c r="B2401" t="inlineStr">
        <is>
          <t>http://identifiers.org/so/SO:1000157</t>
        </is>
      </c>
      <c r="C2401" t="inlineStr">
        <is>
          <t>['unequally crossed over']</t>
        </is>
      </c>
    </row>
    <row r="2402" ht="15" customHeight="1">
      <c r="A2402" t="inlineStr">
        <is>
          <t>uninverted_intrachromosomal_transposition</t>
        </is>
      </c>
      <c r="B2402" t="inlineStr">
        <is>
          <t>http://identifiers.org/so/SO:1000159</t>
        </is>
      </c>
      <c r="C2402" t="inlineStr">
        <is>
          <t>['unidirectional gene fusion']</t>
        </is>
      </c>
    </row>
    <row r="2403" ht="15" customHeight="1">
      <c r="A2403" t="inlineStr">
        <is>
          <t>unique_variant</t>
        </is>
      </c>
      <c r="B2403" t="inlineStr">
        <is>
          <t>http://identifiers.org/so/SO:0001764</t>
        </is>
      </c>
      <c r="C2403" t="inlineStr">
        <is>
          <t>['unigene cluster']</t>
        </is>
      </c>
    </row>
    <row r="2404" ht="15" customHeight="1">
      <c r="A2404" t="inlineStr">
        <is>
          <t>unit_of_gene_expression</t>
        </is>
      </c>
      <c r="B2404" t="inlineStr">
        <is>
          <t>http://identifiers.org/so/SO:0002300</t>
        </is>
      </c>
      <c r="C2404" t="inlineStr">
        <is>
          <t>['(Drosophila)eDp', 'uninverted insertional duplication']</t>
        </is>
      </c>
    </row>
    <row r="2405" ht="15" customHeight="1">
      <c r="A2405" t="inlineStr">
        <is>
          <t>unitary_pseudogene</t>
        </is>
      </c>
      <c r="B2405" t="inlineStr">
        <is>
          <t>http://identifiers.org/so/SO:0001759</t>
        </is>
      </c>
      <c r="C2405" t="inlineStr">
        <is>
          <t>['(Drosophila)eTp', 'uninverted interchromosomal transposition']</t>
        </is>
      </c>
    </row>
    <row r="2406" ht="15" customHeight="1">
      <c r="A2406" t="inlineStr">
        <is>
          <t>unitary_pseudogenic_rRNA</t>
        </is>
      </c>
      <c r="B2406" t="inlineStr">
        <is>
          <t>http://identifiers.org/so/SO:0002195</t>
        </is>
      </c>
      <c r="C2406" t="inlineStr">
        <is>
          <t>['uninverted intrachromosomal transposition', '(Drosophila)eTp']</t>
        </is>
      </c>
    </row>
    <row r="2407" ht="15" customHeight="1">
      <c r="A2407" t="inlineStr">
        <is>
          <t>unitary_pseudogenic_tRNA</t>
        </is>
      </c>
      <c r="B2407" t="inlineStr">
        <is>
          <t>http://identifiers.org/so/SO:0002199</t>
        </is>
      </c>
      <c r="C2407" t="inlineStr">
        <is>
          <t>['unique variant']</t>
        </is>
      </c>
    </row>
    <row r="2408" ht="15" customHeight="1">
      <c r="A2408" t="inlineStr">
        <is>
          <t>unoriented_insertional_duplication</t>
        </is>
      </c>
      <c r="B2408" t="inlineStr">
        <is>
          <t>http://identifiers.org/so/SO:1000160</t>
        </is>
      </c>
      <c r="C2408" t="inlineStr">
        <is>
          <t>['unit of gene expression']</t>
        </is>
      </c>
    </row>
    <row r="2409" ht="15" customHeight="1">
      <c r="A2409" t="inlineStr">
        <is>
          <t>unoriented_interchromosomal_transposition</t>
        </is>
      </c>
      <c r="B2409" t="inlineStr">
        <is>
          <t>http://identifiers.org/so/SO:1000161</t>
        </is>
      </c>
      <c r="C2409" t="inlineStr">
        <is>
          <t>['INSDC_qualifier:unitary', 'INSDC_feature:gene', 'disabled gene', 'unitary pseudogene']</t>
        </is>
      </c>
    </row>
    <row r="2410" ht="15" customHeight="1">
      <c r="A2410" t="inlineStr">
        <is>
          <t>unoriented_intrachromosomal_transposition</t>
        </is>
      </c>
      <c r="B2410" t="inlineStr">
        <is>
          <t>http://identifiers.org/so/SO:1000162</t>
        </is>
      </c>
      <c r="C2410" t="inlineStr">
        <is>
          <t>['INSDC_qualifier:unitary', 'unitary pseudogenic rRNA', 'INSDC_feature:rRNA']</t>
        </is>
      </c>
    </row>
    <row r="2411" ht="15" customHeight="1">
      <c r="A2411" t="inlineStr">
        <is>
          <t>unprocessed_pseudogenic_rRNA</t>
        </is>
      </c>
      <c r="B2411" t="inlineStr">
        <is>
          <t>http://identifiers.org/so/SO:0002194</t>
        </is>
      </c>
      <c r="C2411" t="inlineStr">
        <is>
          <t>['INSDC_qualifier:unitary', 'INSDC_feature:tRNA', 'unitary pseudogenic tRNA']</t>
        </is>
      </c>
    </row>
    <row r="2412" ht="15" customHeight="1">
      <c r="A2412" t="inlineStr">
        <is>
          <t>unprocessed_pseudogenic_tRNA</t>
        </is>
      </c>
      <c r="B2412" t="inlineStr">
        <is>
          <t>http://identifiers.org/so/SO:0002198</t>
        </is>
      </c>
      <c r="C2412" t="inlineStr">
        <is>
          <t>['unoriented insertional duplication', '(Drosophila)uDp']</t>
        </is>
      </c>
    </row>
    <row r="2413" ht="15" customHeight="1">
      <c r="A2413" t="inlineStr">
        <is>
          <t>unspecified_indel</t>
        </is>
      </c>
      <c r="B2413" t="inlineStr">
        <is>
          <t>http://identifiers.org/so/SO:0002217</t>
        </is>
      </c>
      <c r="C2413" t="inlineStr">
        <is>
          <t>['unorientated interchromosomal transposition', '(Drosophila)uTp']</t>
        </is>
      </c>
    </row>
    <row r="2414" ht="15" customHeight="1">
      <c r="A2414" t="inlineStr">
        <is>
          <t>untranslated_region_polycistronic_mRNA</t>
        </is>
      </c>
      <c r="B2414" t="inlineStr">
        <is>
          <t>http://identifiers.org/so/SO:0000242</t>
        </is>
      </c>
      <c r="C2414" t="inlineStr">
        <is>
          <t>['(Drosophila)uTp', 'unorientated intrachromosomal transposition']</t>
        </is>
      </c>
    </row>
    <row r="2415" ht="15" customHeight="1">
      <c r="A2415" t="inlineStr">
        <is>
          <t>uORF</t>
        </is>
      </c>
      <c r="B2415" t="inlineStr">
        <is>
          <t>http://identifiers.org/so/SO:0002027</t>
        </is>
      </c>
      <c r="C2415" t="inlineStr">
        <is>
          <t>['unprocessed pseudogenic rRNA', 'INSDC_feature:rRNA', 'INSDC_qualifier:unprocessed']</t>
        </is>
      </c>
    </row>
    <row r="2416" ht="15" customHeight="1">
      <c r="A2416" t="inlineStr">
        <is>
          <t>UPD</t>
        </is>
      </c>
      <c r="B2416" t="inlineStr">
        <is>
          <t>http://identifiers.org/so/SO:0001744</t>
        </is>
      </c>
      <c r="C2416" t="inlineStr">
        <is>
          <t>['INSDC_feature:tRNA', 'INSDC_qualifier:unprocessed', 'unprocessed pseudogenic tRNA']</t>
        </is>
      </c>
    </row>
    <row r="2417" ht="15" customHeight="1">
      <c r="A2417" t="inlineStr">
        <is>
          <t>upstream_AUG_codon</t>
        </is>
      </c>
      <c r="B2417" t="inlineStr">
        <is>
          <t>http://identifiers.org/so/SO:0000630</t>
        </is>
      </c>
      <c r="C2417" t="inlineStr">
        <is>
          <t>['insertion or deletion', 'unspecified indel']</t>
        </is>
      </c>
    </row>
    <row r="2418" ht="15" customHeight="1">
      <c r="A2418" t="inlineStr">
        <is>
          <t>upstream_gene_variant</t>
        </is>
      </c>
      <c r="B2418" t="inlineStr">
        <is>
          <t>http://identifiers.org/so/SO:0001631</t>
        </is>
      </c>
      <c r="C2418" t="inlineStr">
        <is>
          <t>['untranslated region polycistronic mRNA']</t>
        </is>
      </c>
    </row>
    <row r="2419" ht="15" customHeight="1">
      <c r="A2419" t="inlineStr">
        <is>
          <t>upstream_transcript_variant</t>
        </is>
      </c>
      <c r="B2419" t="inlineStr">
        <is>
          <t>http://identifiers.org/so/SO:0001986</t>
        </is>
      </c>
      <c r="C2419" t="inlineStr">
        <is>
          <t>['regulatory uORF', 'upstream ORF']</t>
        </is>
      </c>
    </row>
    <row r="2420" ht="15" customHeight="1">
      <c r="A2420" t="inlineStr">
        <is>
          <t>uridine_five_oxyacetic_acid</t>
        </is>
      </c>
      <c r="B2420" t="inlineStr">
        <is>
          <t>http://identifiers.org/so/SO:0001356</t>
        </is>
      </c>
      <c r="C2420" t="inlineStr">
        <is>
          <t>['uniparental disomy', 'UPD']</t>
        </is>
      </c>
    </row>
    <row r="2421" ht="15" customHeight="1">
      <c r="A2421" t="inlineStr">
        <is>
          <t>uridine_five_oxyacetic_acid_methyl_ester</t>
        </is>
      </c>
      <c r="B2421" t="inlineStr">
        <is>
          <t>http://identifiers.org/so/SO:0001357</t>
        </is>
      </c>
      <c r="C2421" t="inlineStr">
        <is>
          <t>['upstream AUG codon']</t>
        </is>
      </c>
    </row>
    <row r="2422" ht="15" customHeight="1">
      <c r="A2422" t="inlineStr">
        <is>
          <t>UST</t>
        </is>
      </c>
      <c r="B2422" t="inlineStr">
        <is>
          <t>http://identifiers.org/so/SO:0001464</t>
        </is>
      </c>
      <c r="C2422" t="inlineStr">
        <is>
          <t>['Jannovar:upstream_gene_variant', 'snpEff:UPSTREAM', 'upstream gene variant', 'ANNOVAR:upstream', 'VEP:upstream_gene_variant']</t>
        </is>
      </c>
    </row>
    <row r="2423" ht="15" customHeight="1">
      <c r="A2423" t="inlineStr">
        <is>
          <t>UST_match</t>
        </is>
      </c>
      <c r="B2423" t="inlineStr">
        <is>
          <t>http://identifiers.org/so/SO:0001470</t>
        </is>
      </c>
      <c r="C2423" t="inlineStr">
        <is>
          <t>['upstream transcript variant']</t>
        </is>
      </c>
    </row>
    <row r="2424" ht="15" customHeight="1">
      <c r="A2424" t="inlineStr">
        <is>
          <t>UTR</t>
        </is>
      </c>
      <c r="B2424" t="inlineStr">
        <is>
          <t>http://identifiers.org/so/SO:0000203</t>
        </is>
      </c>
      <c r="C2424" t="inlineStr">
        <is>
          <t>['uridine 5-oxyacetic acid', 'cmo5U', 'uridine five oxyacetic acid']</t>
        </is>
      </c>
    </row>
    <row r="2425" ht="15" customHeight="1">
      <c r="A2425" t="inlineStr">
        <is>
          <t>UTR_intron</t>
        </is>
      </c>
      <c r="B2425" t="inlineStr">
        <is>
          <t>http://identifiers.org/so/SO:0000446</t>
        </is>
      </c>
      <c r="C2425" t="inlineStr">
        <is>
          <t>['uridine 5-oxyacetic acid methyl ester', 'mcmo5U', 'uridine five oxyacetic acid methyl ester']</t>
        </is>
      </c>
    </row>
    <row r="2426" ht="15" customHeight="1">
      <c r="A2426" t="inlineStr">
        <is>
          <t>UTR_region</t>
        </is>
      </c>
      <c r="B2426" t="inlineStr">
        <is>
          <t>http://identifiers.org/so/SO:0000837</t>
        </is>
      </c>
      <c r="C2426" t="inlineStr">
        <is>
          <t>['UTR sequence tag']</t>
        </is>
      </c>
    </row>
    <row r="2427" ht="15" customHeight="1">
      <c r="A2427" t="inlineStr">
        <is>
          <t>UTR_variant</t>
        </is>
      </c>
      <c r="B2427" t="inlineStr">
        <is>
          <t>http://identifiers.org/so/SO:0001622</t>
        </is>
      </c>
      <c r="C2427" t="inlineStr">
        <is>
          <t>['UST match']</t>
        </is>
      </c>
    </row>
    <row r="2428" ht="15" customHeight="1">
      <c r="A2428" t="inlineStr">
        <is>
          <t>V_cluster</t>
        </is>
      </c>
      <c r="B2428" t="inlineStr">
        <is>
          <t>http://identifiers.org/so/SO:0000526</t>
        </is>
      </c>
      <c r="C2428" t="inlineStr">
        <is>
          <t>['untranslated region']</t>
        </is>
      </c>
    </row>
    <row r="2429" ht="15" customHeight="1">
      <c r="A2429" t="inlineStr">
        <is>
          <t>V_D_DJ_C_cluster</t>
        </is>
      </c>
      <c r="B2429" t="inlineStr">
        <is>
          <t>http://identifiers.org/so/SO:0000527</t>
        </is>
      </c>
      <c r="C2429" t="inlineStr">
        <is>
          <t>['UTR intron']</t>
        </is>
      </c>
    </row>
    <row r="2430" ht="15" customHeight="1">
      <c r="A2430" t="inlineStr">
        <is>
          <t>V_D_DJ_cluster</t>
        </is>
      </c>
      <c r="B2430" t="inlineStr">
        <is>
          <t>http://identifiers.org/so/SO:0000528</t>
        </is>
      </c>
      <c r="C2430" t="inlineStr">
        <is>
          <t>['UTR region']</t>
        </is>
      </c>
    </row>
    <row r="2431" ht="15" customHeight="1">
      <c r="A2431" t="inlineStr">
        <is>
          <t>V_D_DJ_J_C_cluster</t>
        </is>
      </c>
      <c r="B2431" t="inlineStr">
        <is>
          <t>http://identifiers.org/so/SO:0000529</t>
        </is>
      </c>
      <c r="C2431" t="inlineStr">
        <is>
          <t>['UTR_', 'UTR variant']</t>
        </is>
      </c>
    </row>
    <row r="2432" ht="15" customHeight="1">
      <c r="A2432" t="inlineStr">
        <is>
          <t>V_D_DJ_J_cluster</t>
        </is>
      </c>
      <c r="B2432" t="inlineStr">
        <is>
          <t>http://identifiers.org/so/SO:0000530</t>
        </is>
      </c>
      <c r="C2432" t="inlineStr">
        <is>
          <t>['V cluster', 'V-CLUSTER']</t>
        </is>
      </c>
    </row>
    <row r="2433" ht="15" customHeight="1">
      <c r="A2433" t="inlineStr">
        <is>
          <t>V_D_J_C_cluster</t>
        </is>
      </c>
      <c r="B2433" t="inlineStr">
        <is>
          <t>http://identifiers.org/so/SO:0000531</t>
        </is>
      </c>
      <c r="C2433" t="inlineStr">
        <is>
          <t>['V D DJ C cluster', 'V-D-(DJ)-C-CLUSTER']</t>
        </is>
      </c>
    </row>
    <row r="2434" ht="15" customHeight="1">
      <c r="A2434" t="inlineStr">
        <is>
          <t>V_D_J_cluster</t>
        </is>
      </c>
      <c r="B2434" t="inlineStr">
        <is>
          <t>http://identifiers.org/so/SO:0000532</t>
        </is>
      </c>
      <c r="C2434" t="inlineStr">
        <is>
          <t>['V-D-(DJ)-CLUSTER', 'V D DJ cluster']</t>
        </is>
      </c>
    </row>
    <row r="2435" ht="15" customHeight="1">
      <c r="A2435" t="inlineStr">
        <is>
          <t>V_DJ_C_cluster</t>
        </is>
      </c>
      <c r="B2435" t="inlineStr">
        <is>
          <t>http://identifiers.org/so/SO:0000542</t>
        </is>
      </c>
      <c r="C2435" t="inlineStr">
        <is>
          <t>['V D DJ J C cluster', 'V-D-(DJ)-J-C-CLUSTER']</t>
        </is>
      </c>
    </row>
    <row r="2436" ht="15" customHeight="1">
      <c r="A2436" t="inlineStr">
        <is>
          <t>V_DJ_cluster</t>
        </is>
      </c>
      <c r="B2436" t="inlineStr">
        <is>
          <t>http://identifiers.org/so/SO:0000518</t>
        </is>
      </c>
      <c r="C2436" t="inlineStr">
        <is>
          <t>['V D DJ J cluster', 'V-D-(DJ)-J-CLUSTER']</t>
        </is>
      </c>
    </row>
    <row r="2437" ht="15" customHeight="1">
      <c r="A2437" t="inlineStr">
        <is>
          <t>V_DJ_J_C_cluster</t>
        </is>
      </c>
      <c r="B2437" t="inlineStr">
        <is>
          <t>http://identifiers.org/so/SO:0000564</t>
        </is>
      </c>
      <c r="C2437" t="inlineStr">
        <is>
          <t>['V D J C cluster', 'V-D-J-C-CLUSTER']</t>
        </is>
      </c>
    </row>
    <row r="2438" ht="15" customHeight="1">
      <c r="A2438" t="inlineStr">
        <is>
          <t>V_DJ_J_cluster</t>
        </is>
      </c>
      <c r="B2438" t="inlineStr">
        <is>
          <t>http://identifiers.org/so/SO:0000519</t>
        </is>
      </c>
      <c r="C2438" t="inlineStr">
        <is>
          <t>['V-D-J-CLUSTER', 'V D J cluster']</t>
        </is>
      </c>
    </row>
    <row r="2439" ht="15" customHeight="1">
      <c r="A2439" t="inlineStr">
        <is>
          <t>V_gene_recombination_feature</t>
        </is>
      </c>
      <c r="B2439" t="inlineStr">
        <is>
          <t>http://identifiers.org/so/SO:0000538</t>
        </is>
      </c>
      <c r="C2439" t="inlineStr">
        <is>
          <t>['V DJ C cluster', 'V-(DJ)-C-CLUSTER']</t>
        </is>
      </c>
    </row>
    <row r="2440" ht="15" customHeight="1">
      <c r="A2440" t="inlineStr">
        <is>
          <t>V_gene_segment</t>
        </is>
      </c>
      <c r="B2440" t="inlineStr">
        <is>
          <t>http://identifiers.org/so/SO:0000466</t>
        </is>
      </c>
      <c r="C2440" t="inlineStr">
        <is>
          <t>['V DJ cluster', 'V-(DJ)-CLUSTER']</t>
        </is>
      </c>
    </row>
    <row r="2441" ht="15" customHeight="1">
      <c r="A2441" t="inlineStr">
        <is>
          <t>V_heptamer</t>
        </is>
      </c>
      <c r="B2441" t="inlineStr">
        <is>
          <t>http://identifiers.org/so/SO:0000533</t>
        </is>
      </c>
      <c r="C2441" t="inlineStr">
        <is>
          <t>['V DJ J C cluster', 'V-(DJ)-J-C-CLUSTER']</t>
        </is>
      </c>
    </row>
    <row r="2442" ht="15" customHeight="1">
      <c r="A2442" t="inlineStr">
        <is>
          <t>V_J_C_cluster</t>
        </is>
      </c>
      <c r="B2442" t="inlineStr">
        <is>
          <t>http://identifiers.org/so/SO:0000535</t>
        </is>
      </c>
      <c r="C2442" t="inlineStr">
        <is>
          <t>['V-(DJ)-J-CLUSTER', 'V DJ J cluster']</t>
        </is>
      </c>
    </row>
    <row r="2443" ht="15" customHeight="1">
      <c r="A2443" t="inlineStr">
        <is>
          <t>V_J_cluster</t>
        </is>
      </c>
      <c r="B2443" t="inlineStr">
        <is>
          <t>http://identifiers.org/so/SO:0000534</t>
        </is>
      </c>
      <c r="C2443" t="inlineStr">
        <is>
          <t>['V gene recombination feature', 'V-RS']</t>
        </is>
      </c>
    </row>
    <row r="2444" ht="15" customHeight="1">
      <c r="A2444" t="inlineStr">
        <is>
          <t>V_nonamer</t>
        </is>
      </c>
      <c r="B2444" t="inlineStr">
        <is>
          <t>http://identifiers.org/so/SO:0000536</t>
        </is>
      </c>
      <c r="C2444" t="inlineStr">
        <is>
          <t>['V gene', 'variable_gene', 'V gene segment', 'INSDC_feature:V_segment', 'V-GENE']</t>
        </is>
      </c>
    </row>
    <row r="2445" ht="15" customHeight="1">
      <c r="A2445" t="inlineStr">
        <is>
          <t>V_region</t>
        </is>
      </c>
      <c r="B2445" t="inlineStr">
        <is>
          <t>http://identifiers.org/so/SO:0001833</t>
        </is>
      </c>
      <c r="C2445" t="inlineStr">
        <is>
          <t>['V heptamer', 'V-HEPTAMER']</t>
        </is>
      </c>
    </row>
    <row r="2446" ht="15" customHeight="1">
      <c r="A2446" t="inlineStr">
        <is>
          <t>V_spacer</t>
        </is>
      </c>
      <c r="B2446" t="inlineStr">
        <is>
          <t>http://identifiers.org/so/SO:0000537</t>
        </is>
      </c>
      <c r="C2446" t="inlineStr">
        <is>
          <t>['V J C cluster', 'V-J-C-CLUSTER']</t>
        </is>
      </c>
    </row>
    <row r="2447" ht="15" customHeight="1">
      <c r="A2447" t="inlineStr">
        <is>
          <t>V_VDJ_C_cluster</t>
        </is>
      </c>
      <c r="B2447" t="inlineStr">
        <is>
          <t>http://identifiers.org/so/SO:0000520</t>
        </is>
      </c>
      <c r="C2447" t="inlineStr">
        <is>
          <t>['V J cluster', 'V-J-CLUSTER']</t>
        </is>
      </c>
    </row>
    <row r="2448" ht="15" customHeight="1">
      <c r="A2448" t="inlineStr">
        <is>
          <t>V_VDJ_cluster</t>
        </is>
      </c>
      <c r="B2448" t="inlineStr">
        <is>
          <t>http://identifiers.org/so/SO:0000521</t>
        </is>
      </c>
      <c r="C2448" t="inlineStr">
        <is>
          <t>['V nonamer', 'V-NONAMER']</t>
        </is>
      </c>
    </row>
    <row r="2449" ht="15" customHeight="1">
      <c r="A2449" t="inlineStr">
        <is>
          <t>V_VDJ_J_C_cluster</t>
        </is>
      </c>
      <c r="B2449" t="inlineStr">
        <is>
          <t>http://identifiers.org/so/SO:0000565</t>
        </is>
      </c>
      <c r="C2449" t="inlineStr">
        <is>
          <t>['INSDC_feature:V_region', 'V region']</t>
        </is>
      </c>
    </row>
    <row r="2450" ht="15" customHeight="1">
      <c r="A2450" t="inlineStr">
        <is>
          <t>V_VDJ_J_cluster</t>
        </is>
      </c>
      <c r="B2450" t="inlineStr">
        <is>
          <t>http://identifiers.org/so/SO:0000522</t>
        </is>
      </c>
      <c r="C2450" t="inlineStr">
        <is>
          <t>['V spacer', 'V-SPACER']</t>
        </is>
      </c>
    </row>
    <row r="2451" ht="15" customHeight="1">
      <c r="A2451" t="inlineStr">
        <is>
          <t>V_VJ_C_cluster</t>
        </is>
      </c>
      <c r="B2451" t="inlineStr">
        <is>
          <t>http://identifiers.org/so/SO:0000523</t>
        </is>
      </c>
      <c r="C2451" t="inlineStr">
        <is>
          <t>['V VDJ C cluster', 'V-(VDJ)-C-CLUSTER']</t>
        </is>
      </c>
    </row>
    <row r="2452" ht="15" customHeight="1">
      <c r="A2452" t="inlineStr">
        <is>
          <t>V_VJ_cluster</t>
        </is>
      </c>
      <c r="B2452" t="inlineStr">
        <is>
          <t>http://identifiers.org/so/SO:0000524</t>
        </is>
      </c>
      <c r="C2452" t="inlineStr">
        <is>
          <t>['V-(VDJ)-CLUSTER', 'V VDJ cluster']</t>
        </is>
      </c>
    </row>
    <row r="2453" ht="15" customHeight="1">
      <c r="A2453" t="inlineStr">
        <is>
          <t>V_VJ_J_C_cluster</t>
        </is>
      </c>
      <c r="B2453" t="inlineStr">
        <is>
          <t>http://identifiers.org/so/SO:0000566</t>
        </is>
      </c>
      <c r="C2453" t="inlineStr">
        <is>
          <t>['V VDJ J C cluster', 'V-(VDJ)-J-C-CLUSTER']</t>
        </is>
      </c>
    </row>
    <row r="2454" ht="15" customHeight="1">
      <c r="A2454" t="inlineStr">
        <is>
          <t>V_VJ_J_cluster</t>
        </is>
      </c>
      <c r="B2454" t="inlineStr">
        <is>
          <t>http://identifiers.org/so/SO:0000525</t>
        </is>
      </c>
      <c r="C2454" t="inlineStr">
        <is>
          <t>['V-(VDJ)-J-CLUSTER', 'V VDJ J cluster']</t>
        </is>
      </c>
    </row>
    <row r="2455" ht="15" customHeight="1">
      <c r="A2455" t="inlineStr">
        <is>
          <t>vacuolar_sorting_signal</t>
        </is>
      </c>
      <c r="B2455" t="inlineStr">
        <is>
          <t>http://identifiers.org/so/SO:0001813</t>
        </is>
      </c>
      <c r="C2455" t="inlineStr">
        <is>
          <t>['V VJ C cluster', 'V-(VJ)-C-CLUSTER']</t>
        </is>
      </c>
    </row>
    <row r="2456" ht="15" customHeight="1">
      <c r="A2456" t="inlineStr">
        <is>
          <t>validated</t>
        </is>
      </c>
      <c r="B2456" t="inlineStr">
        <is>
          <t>http://identifiers.org/so/SO:0000789</t>
        </is>
      </c>
      <c r="C2456" t="inlineStr">
        <is>
          <t>['V-(VJ)-CLUSTER', 'V VJ cluster']</t>
        </is>
      </c>
    </row>
    <row r="2457" ht="15" customHeight="1">
      <c r="A2457" t="inlineStr">
        <is>
          <t>validated_cDNA_clone</t>
        </is>
      </c>
      <c r="B2457" t="inlineStr">
        <is>
          <t>http://identifiers.org/so/SO:0000808</t>
        </is>
      </c>
      <c r="C2457" t="inlineStr">
        <is>
          <t>['V VJ J C cluster', 'V-(VJ)-J-C-CLUSTER']</t>
        </is>
      </c>
    </row>
    <row r="2458" ht="15" customHeight="1">
      <c r="A2458" t="inlineStr">
        <is>
          <t>valine</t>
        </is>
      </c>
      <c r="B2458" t="inlineStr">
        <is>
          <t>http://identifiers.org/so/SO:0001436</t>
        </is>
      </c>
      <c r="C2458" t="inlineStr">
        <is>
          <t>['V VJ J cluster', 'V-(VJ)-J-CLUSTER']</t>
        </is>
      </c>
    </row>
    <row r="2459" ht="15" customHeight="1">
      <c r="A2459" t="inlineStr">
        <is>
          <t>valine_tRNA_primary_transcript</t>
        </is>
      </c>
      <c r="B2459" t="inlineStr">
        <is>
          <t>http://identifiers.org/so/SO:0000230</t>
        </is>
      </c>
      <c r="C2459" t="inlineStr">
        <is>
          <t>['vacuolar sorting signal']</t>
        </is>
      </c>
    </row>
    <row r="2460" ht="15" customHeight="1">
      <c r="A2460" t="inlineStr">
        <is>
          <t>valyl_tRNA</t>
        </is>
      </c>
      <c r="B2460" t="inlineStr">
        <is>
          <t>http://identifiers.org/so/SO:0000273</t>
        </is>
      </c>
    </row>
    <row r="2461" ht="15" customHeight="1">
      <c r="A2461" t="inlineStr">
        <is>
          <t>variant_collection</t>
        </is>
      </c>
      <c r="B2461" t="inlineStr">
        <is>
          <t>http://identifiers.org/so/SO:0001507</t>
        </is>
      </c>
      <c r="C2461" t="inlineStr">
        <is>
          <t>['validated cDNA clone']</t>
        </is>
      </c>
    </row>
    <row r="2462" ht="15" customHeight="1">
      <c r="A2462" t="inlineStr">
        <is>
          <t>variant_frequency</t>
        </is>
      </c>
      <c r="B2462" t="inlineStr">
        <is>
          <t>http://identifiers.org/so/SO:0001763</t>
        </is>
      </c>
      <c r="C2462" t="inlineStr">
        <is>
          <t>['V', 'Val']</t>
        </is>
      </c>
    </row>
    <row r="2463" ht="15" customHeight="1">
      <c r="A2463" t="inlineStr">
        <is>
          <t>variant_genome</t>
        </is>
      </c>
      <c r="B2463" t="inlineStr">
        <is>
          <t>http://identifiers.org/so/SO:0001506</t>
        </is>
      </c>
      <c r="C2463" t="inlineStr">
        <is>
          <t>['valine tRNA primary transcript']</t>
        </is>
      </c>
    </row>
    <row r="2464" ht="15" customHeight="1">
      <c r="A2464" t="inlineStr">
        <is>
          <t>variant_origin</t>
        </is>
      </c>
      <c r="B2464" t="inlineStr">
        <is>
          <t>http://identifiers.org/so/SO:0001762</t>
        </is>
      </c>
      <c r="C2464" t="inlineStr">
        <is>
          <t>['valyl tRNA', 'valyl-transfer RNA', 'valyl-transfer ribonucleic acid']</t>
        </is>
      </c>
    </row>
    <row r="2465" ht="15" customHeight="1">
      <c r="A2465" t="inlineStr">
        <is>
          <t>variant_phenotype</t>
        </is>
      </c>
      <c r="B2465" t="inlineStr">
        <is>
          <t>http://identifiers.org/so/SO:0001769</t>
        </is>
      </c>
      <c r="C2465" t="inlineStr">
        <is>
          <t>['variant collection']</t>
        </is>
      </c>
    </row>
    <row r="2466" ht="15" customHeight="1">
      <c r="A2466" t="inlineStr">
        <is>
          <t>variant_quality</t>
        </is>
      </c>
      <c r="B2466" t="inlineStr">
        <is>
          <t>http://identifiers.org/so/SO:0001761</t>
        </is>
      </c>
      <c r="C2466" t="inlineStr">
        <is>
          <t>['variant frequency']</t>
        </is>
      </c>
    </row>
    <row r="2467" ht="15" customHeight="1">
      <c r="A2467" t="inlineStr">
        <is>
          <t>vault_RNA</t>
        </is>
      </c>
      <c r="B2467" t="inlineStr">
        <is>
          <t>http://identifiers.org/so/SO:0000404</t>
        </is>
      </c>
      <c r="C2467" t="inlineStr">
        <is>
          <t>['variant genome']</t>
        </is>
      </c>
    </row>
    <row r="2468" ht="15" customHeight="1">
      <c r="A2468" t="inlineStr">
        <is>
          <t>vaultRNA_primary_transcript</t>
        </is>
      </c>
      <c r="B2468" t="inlineStr">
        <is>
          <t>http://identifiers.org/so/SO:0002040</t>
        </is>
      </c>
      <c r="C2468" t="inlineStr">
        <is>
          <t>['variant origin']</t>
        </is>
      </c>
    </row>
    <row r="2469" ht="15" customHeight="1">
      <c r="A2469" t="inlineStr">
        <is>
          <t>VD_gene_segment</t>
        </is>
      </c>
      <c r="B2469" t="inlineStr">
        <is>
          <t>http://identifiers.org/so/SO:0000510</t>
        </is>
      </c>
      <c r="C2469" t="inlineStr">
        <is>
          <t>['variant phenotype']</t>
        </is>
      </c>
    </row>
    <row r="2470" ht="15" customHeight="1">
      <c r="A2470" t="inlineStr">
        <is>
          <t>VDJ_C_cluster</t>
        </is>
      </c>
      <c r="B2470" t="inlineStr">
        <is>
          <t>http://identifiers.org/so/SO:0000541</t>
        </is>
      </c>
      <c r="C2470" t="inlineStr">
        <is>
          <t>['variant quality']</t>
        </is>
      </c>
    </row>
    <row r="2471" ht="15" customHeight="1">
      <c r="A2471" t="inlineStr">
        <is>
          <t>VDJ_gene_segment</t>
        </is>
      </c>
      <c r="B2471" t="inlineStr">
        <is>
          <t>http://identifiers.org/so/SO:0000574</t>
        </is>
      </c>
      <c r="C2471" t="inlineStr">
        <is>
          <t>['vault RNA', 'INSDC_feature:ncRNA', 'INSDC_qualifier:vault_RNA']</t>
        </is>
      </c>
    </row>
    <row r="2472" ht="15" customHeight="1">
      <c r="A2472" t="inlineStr">
        <is>
          <t>VDJ_J_C_cluster</t>
        </is>
      </c>
      <c r="B2472" t="inlineStr">
        <is>
          <t>http://identifiers.org/so/SO:0000487</t>
        </is>
      </c>
      <c r="C2472" t="inlineStr">
        <is>
          <t>['vaultRNA primary transcript']</t>
        </is>
      </c>
    </row>
    <row r="2473" ht="15" customHeight="1">
      <c r="A2473" t="inlineStr">
        <is>
          <t>VDJ_J_cluster</t>
        </is>
      </c>
      <c r="B2473" t="inlineStr">
        <is>
          <t>http://identifiers.org/so/SO:0000488</t>
        </is>
      </c>
      <c r="C2473" t="inlineStr">
        <is>
          <t>['V_D_GENE', 'VD gene']</t>
        </is>
      </c>
    </row>
    <row r="2474" ht="15" customHeight="1">
      <c r="A2474" t="inlineStr">
        <is>
          <t>vector_replicon</t>
        </is>
      </c>
      <c r="B2474" t="inlineStr">
        <is>
          <t>http://identifiers.org/so/SO:0000440</t>
        </is>
      </c>
      <c r="C2474" t="inlineStr">
        <is>
          <t>['VDJ C cluster', '(VDJ)-C-CLUSTER']</t>
        </is>
      </c>
    </row>
    <row r="2475" ht="15" customHeight="1">
      <c r="A2475" t="inlineStr">
        <is>
          <t>vertebrate_immune_system_feature</t>
        </is>
      </c>
      <c r="B2475" t="inlineStr">
        <is>
          <t>http://identifiers.org/so/SO:0000937</t>
        </is>
      </c>
      <c r="C2475" t="inlineStr">
        <is>
          <t>['VDJ gene', 'V-D-J-GENE']</t>
        </is>
      </c>
    </row>
    <row r="2476" ht="15" customHeight="1">
      <c r="A2476" t="inlineStr">
        <is>
          <t>vertebrate_immune_system_gene</t>
        </is>
      </c>
      <c r="B2476" t="inlineStr">
        <is>
          <t>http://identifiers.org/so/SO:0002121</t>
        </is>
      </c>
      <c r="C2476" t="inlineStr">
        <is>
          <t>['VDJ J C cluster', '(VDJ)-J-C-CLUSTER']</t>
        </is>
      </c>
    </row>
    <row r="2477" ht="15" customHeight="1">
      <c r="A2477" t="inlineStr">
        <is>
          <t>vertebrate_immune_system_gene_recombination_feature</t>
        </is>
      </c>
      <c r="B2477" t="inlineStr">
        <is>
          <t>http://identifiers.org/so/SO:0000301</t>
        </is>
      </c>
      <c r="C2477" t="inlineStr">
        <is>
          <t>['(VDJ)-J-CLUSTER', 'VDJ J cluster']</t>
        </is>
      </c>
    </row>
    <row r="2478" ht="15" customHeight="1">
      <c r="A2478" t="inlineStr">
        <is>
          <t>vertebrate_immune_system_gene_recombination_signal_feature</t>
        </is>
      </c>
      <c r="B2478" t="inlineStr">
        <is>
          <t>http://identifiers.org/so/SO:0000939</t>
        </is>
      </c>
      <c r="C2478" t="inlineStr">
        <is>
          <t>['vector', 'vector replicon']</t>
        </is>
      </c>
    </row>
    <row r="2479" ht="15" customHeight="1">
      <c r="A2479" t="inlineStr">
        <is>
          <t>vertebrate_immune_system_gene_recombination_spacer</t>
        </is>
      </c>
      <c r="B2479" t="inlineStr">
        <is>
          <t>http://identifiers.org/so/SO:0000563</t>
        </is>
      </c>
    </row>
    <row r="2480" ht="15" customHeight="1">
      <c r="A2480" t="inlineStr">
        <is>
          <t>vertebrate_immune_system_pseudogene</t>
        </is>
      </c>
      <c r="B2480" t="inlineStr">
        <is>
          <t>http://identifiers.org/so/SO:0002097</t>
        </is>
      </c>
      <c r="C2480" t="inlineStr">
        <is>
          <t>['immune_gene']</t>
        </is>
      </c>
    </row>
    <row r="2481" ht="15" customHeight="1">
      <c r="A2481" t="inlineStr">
        <is>
          <t>vertebrate_immunoglobulin_T_cell_receptor_gene_cluster</t>
        </is>
      </c>
      <c r="B2481" t="inlineStr">
        <is>
          <t>http://identifiers.org/so/SO:0000482</t>
        </is>
      </c>
      <c r="C2481" t="inlineStr">
        <is>
          <t>['vertebrate immune system gene recombination feature']</t>
        </is>
      </c>
    </row>
    <row r="2482" ht="15" customHeight="1">
      <c r="A2482" t="inlineStr">
        <is>
          <t>vertebrate_immunoglobulin_T_cell_receptor_rearranged_gene_cluster</t>
        </is>
      </c>
      <c r="B2482" t="inlineStr">
        <is>
          <t>http://identifiers.org/so/SO:0000938</t>
        </is>
      </c>
      <c r="C2482" t="inlineStr">
        <is>
          <t>['vertebrate immune system gene recombination signal feature']</t>
        </is>
      </c>
    </row>
    <row r="2483" ht="15" customHeight="1">
      <c r="A2483" t="inlineStr">
        <is>
          <t>vertebrate_immunoglobulin_T_cell_receptor_rearranged_segment</t>
        </is>
      </c>
      <c r="B2483" t="inlineStr">
        <is>
          <t>http://identifiers.org/so/SO:0000936</t>
        </is>
      </c>
      <c r="C2483" t="inlineStr">
        <is>
          <t>['vertebrate immune system gene recombination spacer']</t>
        </is>
      </c>
    </row>
    <row r="2484" ht="15" customHeight="1">
      <c r="A2484" t="inlineStr">
        <is>
          <t>vertebrate_immunoglobulin_T_cell_receptor_segment</t>
        </is>
      </c>
      <c r="B2484" t="inlineStr">
        <is>
          <t>http://identifiers.org/so/SO:0000460</t>
        </is>
      </c>
      <c r="C2484" t="inlineStr">
        <is>
          <t>['vertebrate immune system pseudogene']</t>
        </is>
      </c>
    </row>
    <row r="2485" ht="15" customHeight="1">
      <c r="A2485" t="inlineStr">
        <is>
          <t>Viper_YR_retrotransposon</t>
        </is>
      </c>
      <c r="B2485" t="inlineStr">
        <is>
          <t>http://identifiers.org/so/SO:0002289</t>
        </is>
      </c>
      <c r="C2485" t="inlineStr">
        <is>
          <t>['vertebrate_immunoglobulin/T-cell receptor gene cluster', 'vertebrate immunoglobulin T cell receptor gene cluster']</t>
        </is>
      </c>
    </row>
    <row r="2486" ht="15" customHeight="1">
      <c r="A2486" t="inlineStr">
        <is>
          <t>viral_promoter</t>
        </is>
      </c>
      <c r="B2486" t="inlineStr">
        <is>
          <t>http://identifiers.org/so/SO:0002311</t>
        </is>
      </c>
      <c r="C2486" t="inlineStr">
        <is>
          <t>['vertebrate immunoglobulin T cell receptor rearranged gene cluster']</t>
        </is>
      </c>
    </row>
    <row r="2487" ht="15" customHeight="1">
      <c r="A2487" t="inlineStr">
        <is>
          <t>viral_sequence</t>
        </is>
      </c>
      <c r="B2487" t="inlineStr">
        <is>
          <t>http://identifiers.org/so/SO:0001041</t>
        </is>
      </c>
      <c r="C2487" t="inlineStr">
        <is>
          <t>['vertebrate immunoglobulin T cell receptor rearranged segment']</t>
        </is>
      </c>
    </row>
    <row r="2488" ht="15" customHeight="1">
      <c r="A2488" t="inlineStr">
        <is>
          <t>virtual_sequence</t>
        </is>
      </c>
      <c r="B2488" t="inlineStr">
        <is>
          <t>http://identifiers.org/so/SO:0000499</t>
        </is>
      </c>
      <c r="C2488" t="inlineStr">
        <is>
          <t>['vertebrate_immunoglobulin/T-cell receptor gene', 'vertebrate immunoglobulin T cell receptor segment']</t>
        </is>
      </c>
    </row>
    <row r="2489" ht="15" customHeight="1">
      <c r="A2489" t="inlineStr">
        <is>
          <t>VJ_C_cluster</t>
        </is>
      </c>
      <c r="B2489" t="inlineStr">
        <is>
          <t>http://identifiers.org/so/SO:0000489</t>
        </is>
      </c>
      <c r="C2489" t="inlineStr">
        <is>
          <t>['Viper retrotransposon', 'RYV retrotransposon', 'Viper YR retrotransposon']</t>
        </is>
      </c>
    </row>
    <row r="2490" ht="15" customHeight="1">
      <c r="A2490" t="inlineStr">
        <is>
          <t>VJ_gene_segment</t>
        </is>
      </c>
      <c r="B2490" t="inlineStr">
        <is>
          <t>http://identifiers.org/so/SO:0000576</t>
        </is>
      </c>
      <c r="C2490" t="inlineStr">
        <is>
          <t>['viral promoter']</t>
        </is>
      </c>
    </row>
    <row r="2491" ht="15" customHeight="1">
      <c r="A2491" t="inlineStr">
        <is>
          <t>VJ_J_C_cluster</t>
        </is>
      </c>
      <c r="B2491" t="inlineStr">
        <is>
          <t>http://identifiers.org/so/SO:0000490</t>
        </is>
      </c>
      <c r="C2491" t="inlineStr">
        <is>
          <t>['viral sequence', 'virus sequence']</t>
        </is>
      </c>
    </row>
    <row r="2492" ht="15" customHeight="1">
      <c r="A2492" t="inlineStr">
        <is>
          <t>VJ_J_cluster</t>
        </is>
      </c>
      <c r="B2492" t="inlineStr">
        <is>
          <t>http://identifiers.org/so/SO:0000491</t>
        </is>
      </c>
      <c r="C2492" t="inlineStr">
        <is>
          <t>['virtual sequence']</t>
        </is>
      </c>
    </row>
    <row r="2493" ht="15" customHeight="1">
      <c r="A2493" t="inlineStr">
        <is>
          <t>W_region</t>
        </is>
      </c>
      <c r="B2493" t="inlineStr">
        <is>
          <t>http://identifiers.org/so/SO:0002024</t>
        </is>
      </c>
      <c r="C2493" t="inlineStr">
        <is>
          <t>['VJ C cluster', '(VJ)-C-CLUSTER']</t>
        </is>
      </c>
    </row>
    <row r="2494" ht="15" customHeight="1">
      <c r="A2494" t="inlineStr">
        <is>
          <t>Watson_strand</t>
        </is>
      </c>
      <c r="B2494" t="inlineStr">
        <is>
          <t>http://identifiers.org/so/SO:0002262</t>
        </is>
      </c>
      <c r="C2494" t="inlineStr">
        <is>
          <t>['V-J-GENE', 'VJ gene']</t>
        </is>
      </c>
    </row>
    <row r="2495" ht="15" customHeight="1">
      <c r="A2495" t="inlineStr">
        <is>
          <t>WC_base_pair</t>
        </is>
      </c>
      <c r="B2495" t="inlineStr">
        <is>
          <t>http://identifiers.org/so/SO:0000029</t>
        </is>
      </c>
      <c r="C2495" t="inlineStr">
        <is>
          <t>['(VJ)-J-C-CLUSTER', 'VJ J C cluster']</t>
        </is>
      </c>
    </row>
    <row r="2496" ht="15" customHeight="1">
      <c r="A2496" t="inlineStr">
        <is>
          <t>whole_genome_sequence_status</t>
        </is>
      </c>
      <c r="B2496" t="inlineStr">
        <is>
          <t>http://identifiers.org/so/SO:0001499</t>
        </is>
      </c>
      <c r="C2496" t="inlineStr">
        <is>
          <t>['(VJ)-J-CLUSTER', 'VJ J cluster']</t>
        </is>
      </c>
    </row>
    <row r="2497" ht="15" customHeight="1">
      <c r="A2497" t="inlineStr">
        <is>
          <t>wild_type</t>
        </is>
      </c>
      <c r="B2497" t="inlineStr">
        <is>
          <t>http://identifiers.org/so/SO:0000817</t>
        </is>
      </c>
      <c r="C2497" t="inlineStr">
        <is>
          <t>['W-region']</t>
        </is>
      </c>
    </row>
    <row r="2498" ht="15" customHeight="1">
      <c r="A2498" t="inlineStr">
        <is>
          <t>wild_type_rescue_gene</t>
        </is>
      </c>
      <c r="B2498" t="inlineStr">
        <is>
          <t>http://identifiers.org/so/SO:0000818</t>
        </is>
      </c>
      <c r="C2498" t="inlineStr">
        <is>
          <t>['Plus strand', 'Watson strand', 'Forward strand', 'Top strand']</t>
        </is>
      </c>
    </row>
    <row r="2499" ht="15" customHeight="1">
      <c r="A2499" t="inlineStr">
        <is>
          <t>wobble_base_pair</t>
        </is>
      </c>
      <c r="B2499" t="inlineStr">
        <is>
          <t>http://identifiers.org/so/SO:0001015</t>
        </is>
      </c>
      <c r="C2499" t="inlineStr">
        <is>
          <t>['Watson Crick base pair', 'canonical base pair', 'WC base pair', 'Watson-Crick base pair', 'Watson-Crick pair']</t>
        </is>
      </c>
    </row>
    <row r="2500" ht="15" customHeight="1">
      <c r="A2500" t="inlineStr">
        <is>
          <t>wybutosine</t>
        </is>
      </c>
      <c r="B2500" t="inlineStr">
        <is>
          <t>http://identifiers.org/so/SO:0001332</t>
        </is>
      </c>
      <c r="C2500" t="inlineStr">
        <is>
          <t>['whole genome sequence status']</t>
        </is>
      </c>
    </row>
    <row r="2501" ht="15" customHeight="1">
      <c r="A2501" t="inlineStr">
        <is>
          <t>wyosine</t>
        </is>
      </c>
      <c r="B2501" t="inlineStr">
        <is>
          <t>http://identifiers.org/so/SO:0001336</t>
        </is>
      </c>
      <c r="C2501" t="inlineStr">
        <is>
          <t>['wild type']</t>
        </is>
      </c>
    </row>
    <row r="2502" ht="15" customHeight="1">
      <c r="A2502" t="inlineStr">
        <is>
          <t>X_element</t>
        </is>
      </c>
      <c r="B2502" t="inlineStr">
        <is>
          <t>http://identifiers.org/so/SO:0001497</t>
        </is>
      </c>
      <c r="C2502" t="inlineStr">
        <is>
          <t>['wild type rescue gene']</t>
        </is>
      </c>
    </row>
    <row r="2503" ht="15" customHeight="1">
      <c r="A2503" t="inlineStr">
        <is>
          <t>X_element_combinatorial_repeat</t>
        </is>
      </c>
      <c r="B2503" t="inlineStr">
        <is>
          <t>http://identifiers.org/so/SO:0001484</t>
        </is>
      </c>
      <c r="C2503" t="inlineStr">
        <is>
          <t>['wobble base pair', 'wobble pair']</t>
        </is>
      </c>
    </row>
    <row r="2504" ht="15" customHeight="1">
      <c r="A2504" t="inlineStr">
        <is>
          <t>X_region</t>
        </is>
      </c>
      <c r="B2504" t="inlineStr">
        <is>
          <t>http://identifiers.org/so/SO:0002030</t>
        </is>
      </c>
      <c r="C2504" t="inlineStr">
        <is>
          <t>['yW']</t>
        </is>
      </c>
    </row>
    <row r="2505" ht="15" customHeight="1">
      <c r="A2505" t="inlineStr">
        <is>
          <t>Y_prime_element</t>
        </is>
      </c>
      <c r="B2505" t="inlineStr">
        <is>
          <t>http://identifiers.org/so/SO:0001485</t>
        </is>
      </c>
      <c r="C2505" t="inlineStr">
        <is>
          <t>['IMG']</t>
        </is>
      </c>
    </row>
    <row r="2506" ht="15" customHeight="1">
      <c r="A2506" t="inlineStr">
        <is>
          <t>Y_region</t>
        </is>
      </c>
      <c r="B2506" t="inlineStr">
        <is>
          <t>http://identifiers.org/so/SO:0002001</t>
        </is>
      </c>
      <c r="C2506" t="inlineStr">
        <is>
          <t>['X element core sequence', 'X element']</t>
        </is>
      </c>
    </row>
    <row r="2507" ht="15" customHeight="1">
      <c r="A2507" t="inlineStr">
        <is>
          <t>Y_RNA</t>
        </is>
      </c>
      <c r="B2507" t="inlineStr">
        <is>
          <t>http://identifiers.org/so/SO:0000405</t>
        </is>
      </c>
      <c r="C2507" t="inlineStr">
        <is>
          <t>['X element combinatorial repeat', 'INSDC_feature:repeat_region', 'INSDC_qualifier:x_element_combinatorial_repeat']</t>
        </is>
      </c>
    </row>
    <row r="2508" ht="15" customHeight="1">
      <c r="A2508" t="inlineStr">
        <is>
          <t>Y_RNA_primary_transcript</t>
        </is>
      </c>
      <c r="B2508" t="inlineStr">
        <is>
          <t>http://identifiers.org/so/SO:0002042</t>
        </is>
      </c>
      <c r="C2508" t="inlineStr">
        <is>
          <t>['x-region']</t>
        </is>
      </c>
    </row>
    <row r="2509" ht="15" customHeight="1">
      <c r="A2509" t="inlineStr">
        <is>
          <t>YAC</t>
        </is>
      </c>
      <c r="B2509" t="inlineStr">
        <is>
          <t>http://identifiers.org/so/SO:0000152</t>
        </is>
      </c>
      <c r="C2509" t="inlineStr">
        <is>
          <t>['Y prime element', "Y' element", 'INSDC_feature:repeat_region', 'INSDC_qualifier:Y_prime_element']</t>
        </is>
      </c>
    </row>
    <row r="2510" ht="15" customHeight="1">
      <c r="A2510" t="inlineStr">
        <is>
          <t>YAC_clone</t>
        </is>
      </c>
      <c r="B2510" t="inlineStr">
        <is>
          <t>http://identifiers.org/so/SO:0000760</t>
        </is>
      </c>
      <c r="C2510" t="inlineStr">
        <is>
          <t>['Y-region']</t>
        </is>
      </c>
    </row>
    <row r="2511" ht="15" customHeight="1">
      <c r="A2511" t="inlineStr">
        <is>
          <t>YAC_end</t>
        </is>
      </c>
      <c r="B2511" t="inlineStr">
        <is>
          <t>http://identifiers.org/so/SO:0001498</t>
        </is>
      </c>
      <c r="C2511" t="inlineStr">
        <is>
          <t>['INSDC_feature:ncRNA', 'INSDC_qualifier:Y_RNA', 'Y RNA']</t>
        </is>
      </c>
    </row>
    <row r="2512" ht="15" customHeight="1">
      <c r="A2512" t="inlineStr">
        <is>
          <t>YR_retrotransposon</t>
        </is>
      </c>
      <c r="B2512" t="inlineStr">
        <is>
          <t>http://identifiers.org/so/SO:0002286</t>
        </is>
      </c>
      <c r="C2512" t="inlineStr">
        <is>
          <t>['Y-RNA primary transcript']</t>
        </is>
      </c>
    </row>
    <row r="2513" ht="15" customHeight="1">
      <c r="A2513" t="inlineStr">
        <is>
          <t>Z1_region</t>
        </is>
      </c>
      <c r="B2513" t="inlineStr">
        <is>
          <t>http://identifiers.org/so/SO:0002002</t>
        </is>
      </c>
      <c r="C2513" t="inlineStr">
        <is>
          <t>['yeast artificial chromosome']</t>
        </is>
      </c>
    </row>
    <row r="2514" ht="15" customHeight="1">
      <c r="A2514" t="inlineStr">
        <is>
          <t>Z2_region</t>
        </is>
      </c>
      <c r="B2514" t="inlineStr">
        <is>
          <t>http://identifiers.org/so/SO:0002003</t>
        </is>
      </c>
    </row>
    <row r="2515" ht="15" customHeight="1">
      <c r="A2515" t="inlineStr">
        <is>
          <t>Zas1_recognition_motif</t>
        </is>
      </c>
      <c r="B2515" t="inlineStr">
        <is>
          <t>http://identifiers.org/so/SO:0002215</t>
        </is>
      </c>
      <c r="C2515" t="inlineStr">
        <is>
          <t>['YAC end']</t>
        </is>
      </c>
    </row>
    <row r="2516" ht="15" customHeight="1">
      <c r="A2516" t="inlineStr">
        <is>
          <t>zinc_finger_binding_site</t>
        </is>
      </c>
      <c r="B2516" t="inlineStr">
        <is>
          <t>http://identifiers.org/so/SO:0001971</t>
        </is>
      </c>
      <c r="C2516" t="inlineStr">
        <is>
          <t>['YR retrotransposon', 'tyrosine kinase retrotransposon']</t>
        </is>
      </c>
    </row>
    <row r="2517" ht="15" customHeight="1">
      <c r="A2517" t="inlineStr">
        <is>
          <t>zinc_repressed_element</t>
        </is>
      </c>
      <c r="B2517" t="inlineStr">
        <is>
          <t>http://identifiers.org/so/SO:0002006</t>
        </is>
      </c>
      <c r="C2517" t="inlineStr">
        <is>
          <t>['Z1-region']</t>
        </is>
      </c>
    </row>
    <row r="2518" ht="15" customHeight="1">
      <c r="A2518" t="inlineStr">
        <is>
          <t>&lt;new term&gt;</t>
        </is>
      </c>
      <c r="B2518" t="inlineStr">
        <is>
          <t>http://identifiers.org/so/SO:0002117</t>
        </is>
      </c>
      <c r="C2518" t="inlineStr">
        <is>
          <t>['Z2-segment']</t>
        </is>
      </c>
    </row>
    <row r="2519" ht="15" customHeight="1">
      <c r="A2519" s="33" t="inlineStr">
        <is>
          <t>medium</t>
        </is>
      </c>
      <c r="B2519" s="33" t="inlineStr">
        <is>
          <t>http://identifiers.org/ncit/NCIT:C48164</t>
        </is>
      </c>
      <c r="C2519" s="33" t="inlineStr">
        <is>
          <t>[' media', 'growth media']</t>
        </is>
      </c>
    </row>
    <row r="2520" ht="15" customHeight="1">
      <c r="A2520" t="inlineStr">
        <is>
          <t>organism_strain</t>
        </is>
      </c>
      <c r="B2520" t="inlineStr">
        <is>
          <t>http://identifiers.org/ncit/NCIT:C14419</t>
        </is>
      </c>
      <c r="C2520" t="inlineStr">
        <is>
          <t>['strain', 'chassis']</t>
        </is>
      </c>
    </row>
    <row r="2521" ht="15" customHeight="1">
      <c r="A2521" t="inlineStr">
        <is>
          <t>signal</t>
        </is>
      </c>
      <c r="B2521" s="11" t="inlineStr">
        <is>
          <t>http://identifiers.org/ncit/NCIT:C43382</t>
        </is>
      </c>
    </row>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sheetData>
  <hyperlinks>
    <hyperlink xmlns:r="http://schemas.openxmlformats.org/officeDocument/2006/relationships" ref="B2" r:id="rId1"/>
    <hyperlink xmlns:r="http://schemas.openxmlformats.org/officeDocument/2006/relationships" ref="B2521" r:id="rId2"/>
  </hyperlinks>
  <pageMargins left="0.7" right="0.7" top="0.75" bottom="0.75" header="0.3" footer="0.3"/>
</worksheet>
</file>

<file path=xl/worksheets/sheet17.xml><?xml version="1.0" encoding="utf-8"?>
<worksheet xmlns="http://schemas.openxmlformats.org/spreadsheetml/2006/main">
  <sheetPr codeName="Sheet14">
    <outlinePr summaryBelow="1" summaryRight="1"/>
    <pageSetUpPr/>
  </sheetPr>
  <dimension ref="A1:B8"/>
  <sheetViews>
    <sheetView workbookViewId="0">
      <selection activeCell="A1" sqref="A1"/>
    </sheetView>
  </sheetViews>
  <sheetFormatPr baseColWidth="10" defaultColWidth="10" defaultRowHeight="15"/>
  <cols>
    <col width="70.5" customWidth="1" min="1" max="1"/>
    <col width="61" customWidth="1" min="2" max="2"/>
  </cols>
  <sheetData>
    <row r="1" customFormat="1" s="2">
      <c r="A1" s="2" t="inlineStr">
        <is>
          <t>Name</t>
        </is>
      </c>
      <c r="B1" s="2" t="inlineStr">
        <is>
          <t>Identifiers URI</t>
        </is>
      </c>
    </row>
    <row r="2">
      <c r="A2" t="inlineStr">
        <is>
          <t>DNA</t>
        </is>
      </c>
      <c r="B2" t="inlineStr">
        <is>
          <t>http://www.biopax.org/release/biopax-level3.owl#Dna</t>
        </is>
      </c>
    </row>
    <row r="3">
      <c r="A3" t="inlineStr">
        <is>
          <t>DNARegion</t>
        </is>
      </c>
      <c r="B3" t="inlineStr">
        <is>
          <t>http://www.biopax.org/release/biopax-level3.owl#DnaRegion</t>
        </is>
      </c>
    </row>
    <row r="4">
      <c r="A4" t="inlineStr">
        <is>
          <t>RNA</t>
        </is>
      </c>
      <c r="B4" t="inlineStr">
        <is>
          <t>http://www.biopax.org/release/biopax-level3.owl#Rna</t>
        </is>
      </c>
    </row>
    <row r="5">
      <c r="A5" t="inlineStr">
        <is>
          <t>RNARegion</t>
        </is>
      </c>
      <c r="B5" t="inlineStr">
        <is>
          <t>http://www.biopax.org/release/biopax-level3.owl#RnaRegion</t>
        </is>
      </c>
    </row>
    <row r="6">
      <c r="A6" t="inlineStr">
        <is>
          <t>Protein</t>
        </is>
      </c>
      <c r="B6" t="inlineStr">
        <is>
          <t>http://www.biopax.org/release/biopax-level3.owl#Protein</t>
        </is>
      </c>
    </row>
    <row r="7">
      <c r="A7" t="inlineStr">
        <is>
          <t>SmallMolecule</t>
        </is>
      </c>
      <c r="B7" t="inlineStr">
        <is>
          <t>http://www.biopax.org/release/biopax-level3.owl#SmallMolecule</t>
        </is>
      </c>
    </row>
    <row r="8">
      <c r="A8" t="inlineStr">
        <is>
          <t>Complex</t>
        </is>
      </c>
      <c r="B8" t="inlineStr">
        <is>
          <t>http://www.biopax.org/release/biopax-level3.owl#Complex</t>
        </is>
      </c>
    </row>
  </sheetData>
  <pageMargins left="0.7" right="0.7" top="0.75" bottom="0.75" header="0.3" footer="0.3"/>
  <pageSetup orientation="portrait"/>
</worksheet>
</file>

<file path=xl/worksheets/sheet18.xml><?xml version="1.0" encoding="utf-8"?>
<worksheet xmlns="http://schemas.openxmlformats.org/spreadsheetml/2006/main">
  <sheetPr codeName="Sheet13">
    <outlinePr summaryBelow="0"/>
    <pageSetUpPr/>
  </sheetPr>
  <dimension ref="A1:B47"/>
  <sheetViews>
    <sheetView zoomScale="130" zoomScaleNormal="130" workbookViewId="0">
      <pane ySplit="1" topLeftCell="A13" activePane="bottomLeft" state="frozen"/>
      <selection pane="bottomLeft" activeCell="B47" sqref="B47"/>
    </sheetView>
  </sheetViews>
  <sheetFormatPr baseColWidth="10" defaultColWidth="8.6640625" defaultRowHeight="15"/>
  <cols>
    <col width="20.1640625" customWidth="1" min="1" max="1"/>
    <col width="12.5" customWidth="1" min="2" max="2"/>
    <col width="13.5" bestFit="1" customWidth="1" min="3" max="3"/>
    <col width="12.5" bestFit="1" customWidth="1" min="4" max="20"/>
  </cols>
  <sheetData>
    <row r="1" ht="15.75" customFormat="1" customHeight="1" s="2">
      <c r="A1" s="2" t="inlineStr">
        <is>
          <t>Organism</t>
        </is>
      </c>
      <c r="B1" s="2" t="inlineStr">
        <is>
          <t>txid</t>
        </is>
      </c>
    </row>
    <row r="2" ht="15.75" customHeight="1">
      <c r="A2" t="inlineStr">
        <is>
          <t>Synthetic</t>
        </is>
      </c>
      <c r="B2" t="inlineStr">
        <is>
          <t>http://purl.obolibrary.org/obo/NCBITaxon_32630</t>
        </is>
      </c>
    </row>
    <row r="3" ht="15.75" customHeight="1">
      <c r="A3" t="inlineStr">
        <is>
          <t>Saccharomyces cerevisiae</t>
        </is>
      </c>
      <c r="B3" t="inlineStr">
        <is>
          <t>http://purl.obolibrary.org/obo/NCBITaxon_4932</t>
        </is>
      </c>
    </row>
    <row r="4" ht="15.75" customHeight="1">
      <c r="A4" t="inlineStr">
        <is>
          <t>Escherichia coli</t>
        </is>
      </c>
      <c r="B4" t="inlineStr">
        <is>
          <t>http://purl.obolibrary.org/obo/NCBITaxon_562</t>
        </is>
      </c>
    </row>
    <row r="5" ht="15.75" customHeight="1">
      <c r="A5" t="inlineStr">
        <is>
          <t>Bacteria</t>
        </is>
      </c>
      <c r="B5" t="inlineStr">
        <is>
          <t>http://purl.obolibrary.org/obo/NCBITaxon_2</t>
        </is>
      </c>
    </row>
    <row r="6" ht="15.75" customHeight="1">
      <c r="A6" t="inlineStr">
        <is>
          <t>Azorhizobium</t>
        </is>
      </c>
      <c r="B6" t="inlineStr">
        <is>
          <t>http://purl.obolibrary.org/obo/NCBITaxon_6</t>
        </is>
      </c>
    </row>
    <row r="7" ht="15.75" customHeight="1">
      <c r="A7" t="inlineStr">
        <is>
          <t>Azorhizobium caulinodans</t>
        </is>
      </c>
      <c r="B7" t="inlineStr">
        <is>
          <t>http://purl.obolibrary.org/obo/NCBITaxon_7</t>
        </is>
      </c>
    </row>
    <row r="8" ht="15.75" customHeight="1">
      <c r="A8" t="inlineStr">
        <is>
          <t>Buchnera aphidicola</t>
        </is>
      </c>
      <c r="B8" t="inlineStr">
        <is>
          <t>http://purl.obolibrary.org/obo/NCBITaxon_9</t>
        </is>
      </c>
    </row>
    <row r="9" ht="15.75" customHeight="1">
      <c r="A9" t="inlineStr">
        <is>
          <t>Cellvibrio</t>
        </is>
      </c>
      <c r="B9" t="inlineStr">
        <is>
          <t>http://purl.obolibrary.org/obo/NCBITaxon_10</t>
        </is>
      </c>
    </row>
    <row r="10" ht="15.75" customHeight="1">
      <c r="A10" t="inlineStr">
        <is>
          <t>Cellulomonas gilvus</t>
        </is>
      </c>
      <c r="B10" t="inlineStr">
        <is>
          <t>http://purl.obolibrary.org/obo/NCBITaxon_11</t>
        </is>
      </c>
    </row>
    <row r="11" ht="15.75" customHeight="1">
      <c r="A11" t="inlineStr">
        <is>
          <t>Photobacterium profundum</t>
        </is>
      </c>
      <c r="B11" t="inlineStr">
        <is>
          <t>http://purl.obolibrary.org/obo/NCBITaxon_12</t>
        </is>
      </c>
    </row>
    <row r="12" ht="15.75" customHeight="1">
      <c r="A12" t="inlineStr">
        <is>
          <t>Dictyoglomus</t>
        </is>
      </c>
      <c r="B12" t="inlineStr">
        <is>
          <t>http://purl.obolibrary.org/obo/NCBITaxon_13</t>
        </is>
      </c>
    </row>
    <row r="13" ht="15.75" customHeight="1">
      <c r="A13" t="inlineStr">
        <is>
          <t>Dictyoglomus thermophilum</t>
        </is>
      </c>
      <c r="B13" t="inlineStr">
        <is>
          <t>http://purl.obolibrary.org/obo/NCBITaxon_14</t>
        </is>
      </c>
    </row>
    <row r="14" ht="15.75" customHeight="1">
      <c r="A14" t="inlineStr">
        <is>
          <t>Methylophilus</t>
        </is>
      </c>
      <c r="B14" t="inlineStr">
        <is>
          <t>http://purl.obolibrary.org/obo/NCBITaxon_16</t>
        </is>
      </c>
    </row>
    <row r="15" ht="15.75" customHeight="1">
      <c r="A15" t="inlineStr">
        <is>
          <t>Methylophilus methylotrophus</t>
        </is>
      </c>
      <c r="B15" t="inlineStr">
        <is>
          <t>http://purl.obolibrary.org/obo/NCBITaxon_17</t>
        </is>
      </c>
    </row>
    <row r="16" ht="15.75" customHeight="1">
      <c r="A16" t="inlineStr">
        <is>
          <t>Pelobacter</t>
        </is>
      </c>
      <c r="B16" t="inlineStr">
        <is>
          <t>http://purl.obolibrary.org/obo/NCBITaxon_18</t>
        </is>
      </c>
    </row>
    <row r="17" ht="15.75" customHeight="1">
      <c r="A17" t="inlineStr">
        <is>
          <t>Pelobacter carbinolicus</t>
        </is>
      </c>
      <c r="B17" t="inlineStr">
        <is>
          <t>http://purl.obolibrary.org/obo/NCBITaxon_19</t>
        </is>
      </c>
    </row>
    <row r="18" ht="15.75" customHeight="1">
      <c r="A18" t="inlineStr">
        <is>
          <t>Phenylobacterium</t>
        </is>
      </c>
      <c r="B18" t="inlineStr">
        <is>
          <t>http://purl.obolibrary.org/obo/NCBITaxon_20</t>
        </is>
      </c>
    </row>
    <row r="19" ht="15.75" customHeight="1">
      <c r="A19" t="inlineStr">
        <is>
          <t>Phenylobacterium immobile</t>
        </is>
      </c>
      <c r="B19" t="inlineStr">
        <is>
          <t>http://purl.obolibrary.org/obo/NCBITaxon_21</t>
        </is>
      </c>
    </row>
    <row r="20" ht="15.75" customHeight="1">
      <c r="A20" t="inlineStr">
        <is>
          <t>Shewanella</t>
        </is>
      </c>
      <c r="B20" t="inlineStr">
        <is>
          <t>http://purl.obolibrary.org/obo/NCBITaxon_22</t>
        </is>
      </c>
    </row>
    <row r="21" ht="15.75" customHeight="1">
      <c r="A21" t="inlineStr">
        <is>
          <t>Shewanella colwelliana</t>
        </is>
      </c>
      <c r="B21" t="inlineStr">
        <is>
          <t>http://purl.obolibrary.org/obo/NCBITaxon_23</t>
        </is>
      </c>
    </row>
    <row r="22" ht="15.75" customHeight="1">
      <c r="A22" t="inlineStr">
        <is>
          <t>Shewanella putrefaciens</t>
        </is>
      </c>
      <c r="B22" t="inlineStr">
        <is>
          <t>http://purl.obolibrary.org/obo/NCBITaxon_24</t>
        </is>
      </c>
    </row>
    <row r="23" ht="15.75" customHeight="1">
      <c r="A23" t="inlineStr">
        <is>
          <t>Shewanella hanedai</t>
        </is>
      </c>
      <c r="B23" t="inlineStr">
        <is>
          <t>http://purl.obolibrary.org/obo/NCBITaxon_25</t>
        </is>
      </c>
    </row>
    <row r="24" ht="15.75" customHeight="1">
      <c r="A24" t="inlineStr">
        <is>
          <t>halophilic eubacterium NRCC 41227</t>
        </is>
      </c>
      <c r="B24" t="inlineStr">
        <is>
          <t>http://purl.obolibrary.org/obo/NCBITaxon_27</t>
        </is>
      </c>
    </row>
    <row r="25" ht="15.75" customHeight="1">
      <c r="A25" t="inlineStr">
        <is>
          <t>halophilic eubacterium</t>
        </is>
      </c>
      <c r="B25" t="inlineStr">
        <is>
          <t>http://purl.obolibrary.org/obo/NCBITaxon_28</t>
        </is>
      </c>
    </row>
    <row r="26" ht="15.75" customHeight="1">
      <c r="A26" t="inlineStr">
        <is>
          <t>Myxococcales</t>
        </is>
      </c>
      <c r="B26" t="inlineStr">
        <is>
          <t>http://purl.obolibrary.org/obo/NCBITaxon_29</t>
        </is>
      </c>
    </row>
    <row r="27" ht="15.75" customHeight="1">
      <c r="A27" t="inlineStr">
        <is>
          <t>Ashbya gossypii</t>
        </is>
      </c>
      <c r="B27" t="inlineStr">
        <is>
          <t>http://purl.obolibrary.org/obo/NCBITaxon_1034331</t>
        </is>
      </c>
    </row>
    <row r="28" ht="15.75" customHeight="1">
      <c r="A28" t="inlineStr">
        <is>
          <t>Corynebacterium glutamicum</t>
        </is>
      </c>
      <c r="B28" t="inlineStr">
        <is>
          <t>http://purl.obolibrary.org/obo/NCBITaxon_1718</t>
        </is>
      </c>
    </row>
    <row r="29" ht="15.75" customHeight="1">
      <c r="A29" t="inlineStr">
        <is>
          <t>Aequorea victoria</t>
        </is>
      </c>
      <c r="B29" t="inlineStr">
        <is>
          <t>http://purl.obolibrary.org/obo/NCBITaxon_6100</t>
        </is>
      </c>
    </row>
    <row r="30" ht="15.75" customHeight="1">
      <c r="A30" t="inlineStr">
        <is>
          <t>Pseudomonas putida</t>
        </is>
      </c>
      <c r="B30" t="inlineStr">
        <is>
          <t>http://purl.obolibrary.org/obo/NCBITaxon_2962857</t>
        </is>
      </c>
    </row>
    <row r="31" ht="15.75" customHeight="1">
      <c r="A31" t="inlineStr">
        <is>
          <t>Synechocystis sp. PCC 6803</t>
        </is>
      </c>
      <c r="B31" t="inlineStr">
        <is>
          <t>http://purl.obolibrary.org/obo/NCBITaxon_1148</t>
        </is>
      </c>
    </row>
    <row r="32" ht="15" customHeight="1">
      <c r="A32" t="inlineStr">
        <is>
          <t>Staphylococcus aureus subsp. aureus TW20</t>
        </is>
      </c>
      <c r="B32" t="inlineStr">
        <is>
          <t>http://purl.obolibrary.org/obo/NCBITaxon_663951</t>
        </is>
      </c>
    </row>
    <row r="33" ht="15.75" customHeight="1">
      <c r="A33" t="inlineStr">
        <is>
          <t>Bacillus subtilis</t>
        </is>
      </c>
      <c r="B33" t="inlineStr">
        <is>
          <t>http://purl.obolibrary.org/obo/NCBITaxon_1423</t>
        </is>
      </c>
    </row>
    <row r="34" ht="15.75" customHeight="1">
      <c r="A34" t="inlineStr">
        <is>
          <t>Pseudoalteromonas luteoviolacea</t>
        </is>
      </c>
      <c r="B34" t="inlineStr">
        <is>
          <t>http://purl.obolibrary.org/obo/NCBITaxon_43657</t>
        </is>
      </c>
    </row>
    <row r="35" ht="15.75" customHeight="1">
      <c r="A35" s="12" t="inlineStr">
        <is>
          <t>Sinorhizobium meliloti</t>
        </is>
      </c>
      <c r="B35" s="1" t="inlineStr">
        <is>
          <t>http://purl.obolibrary.org/obo/NCBITaxon_383</t>
        </is>
      </c>
    </row>
    <row r="36" ht="15.75" customHeight="1">
      <c r="A36" t="inlineStr">
        <is>
          <t>Kluyvermomyces marxianus</t>
        </is>
      </c>
      <c r="B36" s="1" t="inlineStr">
        <is>
          <t>http://purl.obolibrary.org/obo/NCBITaxon_4911</t>
        </is>
      </c>
    </row>
    <row r="37" ht="15.75" customHeight="1">
      <c r="A37" t="inlineStr">
        <is>
          <t>Tobacco etch virus</t>
        </is>
      </c>
      <c r="B37" s="1" t="inlineStr">
        <is>
          <t>http://purl.obolibrary.org/obo/NCBITaxon_12227</t>
        </is>
      </c>
    </row>
    <row r="38" ht="15.75" customHeight="1">
      <c r="A38" t="inlineStr">
        <is>
          <t>Erysipelotrichaceae bacterium 3_1_53</t>
        </is>
      </c>
      <c r="B38" s="1" t="inlineStr">
        <is>
          <t>http://purl.obolibrary.org/obo/NCBITaxon_658659</t>
        </is>
      </c>
    </row>
    <row r="39" ht="15.75" customHeight="1">
      <c r="A39" t="inlineStr">
        <is>
          <t>Clostridium hathewayi DSM 13479</t>
        </is>
      </c>
      <c r="B39" s="1" t="inlineStr">
        <is>
          <t>http://purl.obolibrary.org/obo/NCBITaxon_566550</t>
        </is>
      </c>
    </row>
    <row r="40" ht="15.75" customHeight="1">
      <c r="A40" t="inlineStr">
        <is>
          <t>Acetivibrio cellulolyticus CD2</t>
        </is>
      </c>
      <c r="B40" s="1" t="inlineStr">
        <is>
          <t>http://purl.obolibrary.org/obo/NCBITaxon_509191</t>
        </is>
      </c>
    </row>
    <row r="41" ht="15.75" customHeight="1">
      <c r="A41" t="inlineStr">
        <is>
          <t>Clostridium botulinum B1 str. Okra</t>
        </is>
      </c>
      <c r="B41" s="1" t="inlineStr">
        <is>
          <t>http://purl.obolibrary.org/obo/NCBITaxon_498213</t>
        </is>
      </c>
    </row>
    <row r="42" ht="15.75" customHeight="1">
      <c r="A42" t="inlineStr">
        <is>
          <t>Vibrio fischeri</t>
        </is>
      </c>
      <c r="B42" s="1" t="inlineStr">
        <is>
          <t>http://purl.obolibrary.org/obo/NCBITaxon_668</t>
        </is>
      </c>
    </row>
    <row r="43" ht="15.75" customHeight="1">
      <c r="A43" t="inlineStr">
        <is>
          <t>Haloferax volcanii</t>
        </is>
      </c>
      <c r="B43" s="1" t="inlineStr">
        <is>
          <t>http://purl.obolibrary.org/obo/NCBITaxon_2246</t>
        </is>
      </c>
    </row>
    <row r="44" ht="15.75" customHeight="1">
      <c r="A44" t="inlineStr">
        <is>
          <t>Pseudomonas putida KT2440</t>
        </is>
      </c>
      <c r="B44" s="1" t="inlineStr">
        <is>
          <t xml:space="preserve">http://purl.obolibrary.org/obo/NCBITaxon_160488 </t>
        </is>
      </c>
    </row>
    <row r="45" ht="15.75" customHeight="1">
      <c r="A45" t="inlineStr">
        <is>
          <t>Salmonella enterica</t>
        </is>
      </c>
      <c r="B45" s="1" t="inlineStr">
        <is>
          <t>http://purl.obolibrary.org/obo/NCBITaxon_99287</t>
        </is>
      </c>
    </row>
    <row r="46" ht="15.75" customHeight="1">
      <c r="A46" t="inlineStr">
        <is>
          <t>Rhodobacter sphaeroides 2.4.1</t>
        </is>
      </c>
      <c r="B46" s="11" t="inlineStr">
        <is>
          <t>http://purl.obolibrary.org/obo/NCBITaxon_272943</t>
        </is>
      </c>
    </row>
    <row r="47" ht="15.75" customHeight="1">
      <c r="A47" t="inlineStr">
        <is>
          <t>Acropora digitifera</t>
        </is>
      </c>
      <c r="B47" s="19" t="inlineStr">
        <is>
          <t>http://purl.obolibrary.org/obo/NCBITaxon_70779</t>
        </is>
      </c>
    </row>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dataValidations count="1">
    <dataValidation sqref="B1 B47:B1048576" showErrorMessage="1" showInputMessage="1" allowBlank="0" errorTitle="Invalid txid" error="Please verify that the txid has not been entered before." type="custom">
      <formula1>COUNTIF(B:B,B1)=1</formula1>
    </dataValidation>
  </dataValidations>
  <hyperlinks>
    <hyperlink xmlns:r="http://schemas.openxmlformats.org/officeDocument/2006/relationships" ref="B46" r:id="rId1"/>
    <hyperlink xmlns:r="http://schemas.openxmlformats.org/officeDocument/2006/relationships" ref="B47" r:id="rId2"/>
  </hyperlinks>
  <pageMargins left="0.7" right="0.7" top="0.75" bottom="0.75" header="0.3" footer="0.3"/>
</worksheet>
</file>

<file path=xl/worksheets/sheet19.xml><?xml version="1.0" encoding="utf-8"?>
<worksheet xmlns="http://schemas.openxmlformats.org/spreadsheetml/2006/main">
  <sheetPr codeName="Sheet17">
    <outlinePr summaryBelow="1" summaryRight="1"/>
    <pageSetUpPr/>
  </sheetPr>
  <dimension ref="A1:A600"/>
  <sheetViews>
    <sheetView workbookViewId="0">
      <selection activeCell="S36" sqref="S36"/>
    </sheetView>
  </sheetViews>
  <sheetFormatPr baseColWidth="10" defaultColWidth="11" defaultRowHeight="15"/>
  <sheetData>
    <row r="1">
      <c r="A1">
        <f>IF(complex!A5=0,"",complex!A5)</f>
        <v/>
      </c>
    </row>
    <row r="2">
      <c r="A2">
        <f>IF(complex!A6=0,"",complex!A6)</f>
        <v/>
      </c>
    </row>
    <row r="3">
      <c r="A3">
        <f>IF(complex!A7=0,"",complex!A7)</f>
        <v/>
      </c>
    </row>
    <row r="4">
      <c r="A4">
        <f>IF(complex!A8=0,"",complex!A8)</f>
        <v/>
      </c>
    </row>
    <row r="5">
      <c r="A5">
        <f>IF(complex!A9=0,"",complex!A9)</f>
        <v/>
      </c>
    </row>
    <row r="6">
      <c r="A6">
        <f>IF(complex!A10=0,"",complex!A10)</f>
        <v/>
      </c>
    </row>
    <row r="7">
      <c r="A7">
        <f>IF(complex!A11=0,"",complex!A11)</f>
        <v/>
      </c>
    </row>
    <row r="8">
      <c r="A8">
        <f>IF(complex!A12=0,"",complex!A12)</f>
        <v/>
      </c>
    </row>
    <row r="9">
      <c r="A9">
        <f>IF(complex!A13=0,"",complex!A13)</f>
        <v/>
      </c>
    </row>
    <row r="10">
      <c r="A10">
        <f>IF(complex!A14=0,"",complex!A14)</f>
        <v/>
      </c>
    </row>
    <row r="11">
      <c r="A11">
        <f>IF(complex!A15=0,"",complex!A15)</f>
        <v/>
      </c>
    </row>
    <row r="12">
      <c r="A12">
        <f>IF(complex!A16=0,"",complex!A16)</f>
        <v/>
      </c>
    </row>
    <row r="13">
      <c r="A13">
        <f>IF(complex!A17=0,"",complex!A17)</f>
        <v/>
      </c>
    </row>
    <row r="14">
      <c r="A14">
        <f>IF(complex!A18=0,"",complex!A18)</f>
        <v/>
      </c>
    </row>
    <row r="15">
      <c r="A15">
        <f>IF(complex!A19=0,"",complex!A19)</f>
        <v/>
      </c>
    </row>
    <row r="16">
      <c r="A16">
        <f>IF(complex!A20=0,"",complex!A20)</f>
        <v/>
      </c>
    </row>
    <row r="17">
      <c r="A17">
        <f>IF(complex!A21=0,"",complex!A21)</f>
        <v/>
      </c>
    </row>
    <row r="18">
      <c r="A18">
        <f>IF(complex!A22=0,"",complex!A22)</f>
        <v/>
      </c>
    </row>
    <row r="19">
      <c r="A19">
        <f>IF(complex!A23=0,"",complex!A23)</f>
        <v/>
      </c>
    </row>
    <row r="20">
      <c r="A20">
        <f>IF(complex!A24=0,"",complex!A24)</f>
        <v/>
      </c>
    </row>
    <row r="21">
      <c r="A21">
        <f>IF(complex!A25=0,"",complex!A25)</f>
        <v/>
      </c>
    </row>
    <row r="22">
      <c r="A22">
        <f>IF(complex!A26=0,"",complex!A26)</f>
        <v/>
      </c>
    </row>
    <row r="23">
      <c r="A23">
        <f>IF(complex!A27=0,"",complex!A27)</f>
        <v/>
      </c>
    </row>
    <row r="24">
      <c r="A24">
        <f>IF(complex!A28=0,"",complex!A28)</f>
        <v/>
      </c>
    </row>
    <row r="25">
      <c r="A25">
        <f>IF(complex!A29=0,"",complex!A29)</f>
        <v/>
      </c>
    </row>
    <row r="26">
      <c r="A26">
        <f>IF(complex!A30=0,"",complex!A30)</f>
        <v/>
      </c>
    </row>
    <row r="27">
      <c r="A27">
        <f>IF(complex!A31=0,"",complex!A31)</f>
        <v/>
      </c>
    </row>
    <row r="28">
      <c r="A28">
        <f>IF(complex!A32=0,"",complex!A32)</f>
        <v/>
      </c>
    </row>
    <row r="29">
      <c r="A29">
        <f>IF(complex!A33=0,"",complex!A33)</f>
        <v/>
      </c>
    </row>
    <row r="30">
      <c r="A30">
        <f>IF(complex!A34=0,"",complex!A34)</f>
        <v/>
      </c>
    </row>
    <row r="31">
      <c r="A31">
        <f>IF(complex!A35=0,"",complex!A35)</f>
        <v/>
      </c>
    </row>
    <row r="32">
      <c r="A32">
        <f>IF(complex!A36=0,"",complex!A36)</f>
        <v/>
      </c>
    </row>
    <row r="33">
      <c r="A33">
        <f>IF(complex!A37=0,"",complex!A37)</f>
        <v/>
      </c>
    </row>
    <row r="34">
      <c r="A34">
        <f>IF(complex!A38=0,"",complex!A38)</f>
        <v/>
      </c>
    </row>
    <row r="35">
      <c r="A35">
        <f>IF(complex!A39=0,"",complex!A39)</f>
        <v/>
      </c>
    </row>
    <row r="36">
      <c r="A36">
        <f>IF(complex!A40=0,"",complex!A40)</f>
        <v/>
      </c>
    </row>
    <row r="37">
      <c r="A37">
        <f>IF(complex!A41=0,"",complex!A41)</f>
        <v/>
      </c>
    </row>
    <row r="38">
      <c r="A38">
        <f>IF(complex!A42=0,"",complex!A42)</f>
        <v/>
      </c>
    </row>
    <row r="39">
      <c r="A39">
        <f>IF(complex!A43=0,"",complex!A43)</f>
        <v/>
      </c>
    </row>
    <row r="40">
      <c r="A40">
        <f>IF(complex!A44=0,"",complex!A44)</f>
        <v/>
      </c>
    </row>
    <row r="41">
      <c r="A41">
        <f>IF(complex!A45=0,"",complex!A45)</f>
        <v/>
      </c>
    </row>
    <row r="42">
      <c r="A42">
        <f>IF(complex!A46=0,"",complex!A46)</f>
        <v/>
      </c>
    </row>
    <row r="43">
      <c r="A43">
        <f>IF(complex!A47=0,"",complex!A47)</f>
        <v/>
      </c>
    </row>
    <row r="44">
      <c r="A44">
        <f>IF(complex!A48=0,"",complex!A48)</f>
        <v/>
      </c>
    </row>
    <row r="45">
      <c r="A45">
        <f>IF(complex!A49=0,"",complex!A49)</f>
        <v/>
      </c>
    </row>
    <row r="46">
      <c r="A46">
        <f>IF(complex!A50=0,"",complex!A50)</f>
        <v/>
      </c>
    </row>
    <row r="47">
      <c r="A47">
        <f>IF(complex!A51=0,"",complex!A51)</f>
        <v/>
      </c>
    </row>
    <row r="48">
      <c r="A48">
        <f>IF(complex!A52=0,"",complex!A52)</f>
        <v/>
      </c>
    </row>
    <row r="49">
      <c r="A49">
        <f>IF(complex!A53=0,"",complex!A53)</f>
        <v/>
      </c>
    </row>
    <row r="50">
      <c r="A50">
        <f>IF(complex!A54=0,"",complex!A54)</f>
        <v/>
      </c>
    </row>
    <row r="51">
      <c r="A51">
        <f>IF(complex!A55=0,"",complex!A55)</f>
        <v/>
      </c>
    </row>
    <row r="52">
      <c r="A52">
        <f>IF(complex!A56=0,"",complex!A56)</f>
        <v/>
      </c>
    </row>
    <row r="53">
      <c r="A53">
        <f>IF(complex!A57=0,"",complex!A57)</f>
        <v/>
      </c>
    </row>
    <row r="54">
      <c r="A54">
        <f>IF(complex!A58=0,"",complex!A58)</f>
        <v/>
      </c>
    </row>
    <row r="55">
      <c r="A55">
        <f>IF(complex!A59=0,"",complex!A59)</f>
        <v/>
      </c>
    </row>
    <row r="56">
      <c r="A56">
        <f>IF(complex!A60=0,"",complex!A60)</f>
        <v/>
      </c>
    </row>
    <row r="57">
      <c r="A57">
        <f>IF(complex!A61=0,"",complex!A61)</f>
        <v/>
      </c>
    </row>
    <row r="58">
      <c r="A58">
        <f>IF(complex!A62=0,"",complex!A62)</f>
        <v/>
      </c>
    </row>
    <row r="59">
      <c r="A59">
        <f>IF(complex!A63=0,"",complex!A63)</f>
        <v/>
      </c>
    </row>
    <row r="60">
      <c r="A60">
        <f>IF(complex!A64=0,"",complex!A64)</f>
        <v/>
      </c>
    </row>
    <row r="61">
      <c r="A61">
        <f>IF(complex!A65=0,"",complex!A65)</f>
        <v/>
      </c>
    </row>
    <row r="62">
      <c r="A62">
        <f>IF(complex!A66=0,"",complex!A66)</f>
        <v/>
      </c>
    </row>
    <row r="63">
      <c r="A63">
        <f>IF(complex!A67=0,"",complex!A67)</f>
        <v/>
      </c>
    </row>
    <row r="64">
      <c r="A64">
        <f>IF(complex!A68=0,"",complex!A68)</f>
        <v/>
      </c>
    </row>
    <row r="65">
      <c r="A65">
        <f>IF(complex!A69=0,"",complex!A69)</f>
        <v/>
      </c>
    </row>
    <row r="66">
      <c r="A66">
        <f>IF(complex!A70=0,"",complex!A70)</f>
        <v/>
      </c>
    </row>
    <row r="67">
      <c r="A67">
        <f>IF(complex!A71=0,"",complex!A71)</f>
        <v/>
      </c>
    </row>
    <row r="68">
      <c r="A68">
        <f>IF(complex!A72=0,"",complex!A72)</f>
        <v/>
      </c>
    </row>
    <row r="69">
      <c r="A69">
        <f>IF(complex!A73=0,"",complex!A73)</f>
        <v/>
      </c>
    </row>
    <row r="70">
      <c r="A70">
        <f>IF(complex!A74=0,"",complex!A74)</f>
        <v/>
      </c>
    </row>
    <row r="71">
      <c r="A71">
        <f>IF(complex!A75=0,"",complex!A75)</f>
        <v/>
      </c>
    </row>
    <row r="72">
      <c r="A72">
        <f>IF(complex!A76=0,"",complex!A76)</f>
        <v/>
      </c>
    </row>
    <row r="73">
      <c r="A73">
        <f>IF(complex!A77=0,"",complex!A77)</f>
        <v/>
      </c>
    </row>
    <row r="74">
      <c r="A74">
        <f>IF(complex!A78=0,"",complex!A78)</f>
        <v/>
      </c>
    </row>
    <row r="75">
      <c r="A75">
        <f>IF(complex!A79=0,"",complex!A79)</f>
        <v/>
      </c>
    </row>
    <row r="76">
      <c r="A76">
        <f>IF(complex!A80=0,"",complex!A80)</f>
        <v/>
      </c>
    </row>
    <row r="77">
      <c r="A77">
        <f>IF(complex!A81=0,"",complex!A81)</f>
        <v/>
      </c>
    </row>
    <row r="78">
      <c r="A78">
        <f>IF(complex!A82=0,"",complex!A82)</f>
        <v/>
      </c>
    </row>
    <row r="79">
      <c r="A79">
        <f>IF(complex!A83=0,"",complex!A83)</f>
        <v/>
      </c>
    </row>
    <row r="80">
      <c r="A80">
        <f>IF(complex!A84=0,"",complex!A84)</f>
        <v/>
      </c>
    </row>
    <row r="81">
      <c r="A81">
        <f>IF(complex!A85=0,"",complex!A85)</f>
        <v/>
      </c>
    </row>
    <row r="82">
      <c r="A82">
        <f>IF(complex!A86=0,"",complex!A86)</f>
        <v/>
      </c>
    </row>
    <row r="83">
      <c r="A83">
        <f>IF(complex!A87=0,"",complex!A87)</f>
        <v/>
      </c>
    </row>
    <row r="84">
      <c r="A84">
        <f>IF(complex!A88=0,"",complex!A88)</f>
        <v/>
      </c>
    </row>
    <row r="85">
      <c r="A85">
        <f>IF(complex!A89=0,"",complex!A89)</f>
        <v/>
      </c>
    </row>
    <row r="86">
      <c r="A86">
        <f>IF(complex!A90=0,"",complex!A90)</f>
        <v/>
      </c>
    </row>
    <row r="87">
      <c r="A87">
        <f>IF(complex!A91=0,"",complex!A91)</f>
        <v/>
      </c>
    </row>
    <row r="88">
      <c r="A88">
        <f>IF(complex!A92=0,"",complex!A92)</f>
        <v/>
      </c>
    </row>
    <row r="89">
      <c r="A89">
        <f>IF(complex!A93=0,"",complex!A93)</f>
        <v/>
      </c>
    </row>
    <row r="90">
      <c r="A90">
        <f>IF(complex!A94=0,"",complex!A94)</f>
        <v/>
      </c>
    </row>
    <row r="91">
      <c r="A91">
        <f>IF(complex!A95=0,"",complex!A95)</f>
        <v/>
      </c>
    </row>
    <row r="92">
      <c r="A92">
        <f>IF(complex!A96=0,"",complex!A96)</f>
        <v/>
      </c>
    </row>
    <row r="93">
      <c r="A93">
        <f>IF(complex!A97=0,"",complex!A97)</f>
        <v/>
      </c>
    </row>
    <row r="94">
      <c r="A94">
        <f>IF(complex!A98=0,"",complex!A98)</f>
        <v/>
      </c>
    </row>
    <row r="95">
      <c r="A95">
        <f>IF(complex!A99=0,"",complex!A99)</f>
        <v/>
      </c>
    </row>
    <row r="96">
      <c r="A96">
        <f>IF(complex!A100=0,"",complex!A100)</f>
        <v/>
      </c>
    </row>
    <row r="97">
      <c r="A97">
        <f>IF(complex!A101=0,"",complex!A101)</f>
        <v/>
      </c>
    </row>
    <row r="98">
      <c r="A98">
        <f>IF(complex!A102=0,"",complex!A102)</f>
        <v/>
      </c>
    </row>
    <row r="99">
      <c r="A99">
        <f>IF(complex!A103=0,"",complex!A103)</f>
        <v/>
      </c>
    </row>
    <row r="100">
      <c r="A100">
        <f>IF(complex!A104=0,"",complex!A104)</f>
        <v/>
      </c>
    </row>
    <row r="101">
      <c r="A101">
        <f>IF(complex!A105=0,"",complex!A105)</f>
        <v/>
      </c>
    </row>
    <row r="102">
      <c r="A102">
        <f>IF(complex!A106=0,"",complex!A106)</f>
        <v/>
      </c>
    </row>
    <row r="103">
      <c r="A103">
        <f>IF(complex!A107=0,"",complex!A107)</f>
        <v/>
      </c>
    </row>
    <row r="104">
      <c r="A104">
        <f>IF(complex!A108=0,"",complex!A108)</f>
        <v/>
      </c>
    </row>
    <row r="105">
      <c r="A105">
        <f>IF(complex!A109=0,"",complex!A109)</f>
        <v/>
      </c>
    </row>
    <row r="106">
      <c r="A106">
        <f>IF(complex!A110=0,"",complex!A110)</f>
        <v/>
      </c>
    </row>
    <row r="107">
      <c r="A107">
        <f>IF(complex!A111=0,"",complex!A111)</f>
        <v/>
      </c>
    </row>
    <row r="108">
      <c r="A108">
        <f>IF(complex!A112=0,"",complex!A112)</f>
        <v/>
      </c>
    </row>
    <row r="109">
      <c r="A109">
        <f>IF(complex!A113=0,"",complex!A113)</f>
        <v/>
      </c>
    </row>
    <row r="110">
      <c r="A110">
        <f>IF(complex!A114=0,"",complex!A114)</f>
        <v/>
      </c>
    </row>
    <row r="111">
      <c r="A111">
        <f>IF(complex!A115=0,"",complex!A115)</f>
        <v/>
      </c>
    </row>
    <row r="112">
      <c r="A112">
        <f>IF(complex!A116=0,"",complex!A116)</f>
        <v/>
      </c>
    </row>
    <row r="113">
      <c r="A113">
        <f>IF(complex!A117=0,"",complex!A117)</f>
        <v/>
      </c>
    </row>
    <row r="114">
      <c r="A114">
        <f>IF(complex!A118=0,"",complex!A118)</f>
        <v/>
      </c>
    </row>
    <row r="115">
      <c r="A115">
        <f>IF(complex!A119=0,"",complex!A119)</f>
        <v/>
      </c>
    </row>
    <row r="116">
      <c r="A116">
        <f>IF(complex!A120=0,"",complex!A120)</f>
        <v/>
      </c>
    </row>
    <row r="117">
      <c r="A117">
        <f>IF(complex!A121=0,"",complex!A121)</f>
        <v/>
      </c>
    </row>
    <row r="118">
      <c r="A118">
        <f>IF(complex!A122=0,"",complex!A122)</f>
        <v/>
      </c>
    </row>
    <row r="119">
      <c r="A119">
        <f>IF(complex!A123=0,"",complex!A123)</f>
        <v/>
      </c>
    </row>
    <row r="120">
      <c r="A120">
        <f>IF(complex!A124=0,"",complex!A124)</f>
        <v/>
      </c>
    </row>
    <row r="121">
      <c r="A121">
        <f>IF(complex!A125=0,"",complex!A125)</f>
        <v/>
      </c>
    </row>
    <row r="122">
      <c r="A122">
        <f>IF(complex!A126=0,"",complex!A126)</f>
        <v/>
      </c>
    </row>
    <row r="123">
      <c r="A123">
        <f>IF(complex!A127=0,"",complex!A127)</f>
        <v/>
      </c>
    </row>
    <row r="124">
      <c r="A124">
        <f>IF(complex!A128=0,"",complex!A128)</f>
        <v/>
      </c>
    </row>
    <row r="125">
      <c r="A125">
        <f>IF(complex!A129=0,"",complex!A129)</f>
        <v/>
      </c>
    </row>
    <row r="126">
      <c r="A126">
        <f>IF(complex!A130=0,"",complex!A130)</f>
        <v/>
      </c>
    </row>
    <row r="127">
      <c r="A127">
        <f>IF(complex!A131=0,"",complex!A131)</f>
        <v/>
      </c>
    </row>
    <row r="128">
      <c r="A128">
        <f>IF(complex!A132=0,"",complex!A132)</f>
        <v/>
      </c>
    </row>
    <row r="129">
      <c r="A129">
        <f>IF(complex!A133=0,"",complex!A133)</f>
        <v/>
      </c>
    </row>
    <row r="130">
      <c r="A130">
        <f>IF(complex!A134=0,"",complex!A134)</f>
        <v/>
      </c>
    </row>
    <row r="131">
      <c r="A131">
        <f>IF(complex!A135=0,"",complex!A135)</f>
        <v/>
      </c>
    </row>
    <row r="132">
      <c r="A132">
        <f>IF(complex!A136=0,"",complex!A136)</f>
        <v/>
      </c>
    </row>
    <row r="133">
      <c r="A133">
        <f>IF(complex!A137=0,"",complex!A137)</f>
        <v/>
      </c>
    </row>
    <row r="134">
      <c r="A134">
        <f>IF(complex!A138=0,"",complex!A138)</f>
        <v/>
      </c>
    </row>
    <row r="135">
      <c r="A135">
        <f>IF(complex!A139=0,"",complex!A139)</f>
        <v/>
      </c>
    </row>
    <row r="136">
      <c r="A136">
        <f>IF(complex!A140=0,"",complex!A140)</f>
        <v/>
      </c>
    </row>
    <row r="137">
      <c r="A137">
        <f>IF(complex!A141=0,"",complex!A141)</f>
        <v/>
      </c>
    </row>
    <row r="138">
      <c r="A138">
        <f>IF(complex!A142=0,"",complex!A142)</f>
        <v/>
      </c>
    </row>
    <row r="139">
      <c r="A139">
        <f>IF(complex!A143=0,"",complex!A143)</f>
        <v/>
      </c>
    </row>
    <row r="140">
      <c r="A140">
        <f>IF(complex!A144=0,"",complex!A144)</f>
        <v/>
      </c>
    </row>
    <row r="141">
      <c r="A141">
        <f>IF(complex!A145=0,"",complex!A145)</f>
        <v/>
      </c>
    </row>
    <row r="142">
      <c r="A142">
        <f>IF(complex!A146=0,"",complex!A146)</f>
        <v/>
      </c>
    </row>
    <row r="143">
      <c r="A143">
        <f>IF(complex!A147=0,"",complex!A147)</f>
        <v/>
      </c>
    </row>
    <row r="144">
      <c r="A144">
        <f>IF(complex!A148=0,"",complex!A148)</f>
        <v/>
      </c>
    </row>
    <row r="145">
      <c r="A145">
        <f>IF(complex!A149=0,"",complex!A149)</f>
        <v/>
      </c>
    </row>
    <row r="146">
      <c r="A146">
        <f>IF(complex!A150=0,"",complex!A150)</f>
        <v/>
      </c>
    </row>
    <row r="147">
      <c r="A147">
        <f>IF(complex!A151=0,"",complex!A151)</f>
        <v/>
      </c>
    </row>
    <row r="148">
      <c r="A148">
        <f>IF(complex!A152=0,"",complex!A152)</f>
        <v/>
      </c>
    </row>
    <row r="149">
      <c r="A149">
        <f>IF(complex!A153=0,"",complex!A153)</f>
        <v/>
      </c>
    </row>
    <row r="150">
      <c r="A150">
        <f>IF(complex!A154=0,"",complex!A154)</f>
        <v/>
      </c>
    </row>
    <row r="151">
      <c r="A151">
        <f>IF(complex!A155=0,"",complex!A155)</f>
        <v/>
      </c>
    </row>
    <row r="152">
      <c r="A152">
        <f>IF(complex!A156=0,"",complex!A156)</f>
        <v/>
      </c>
    </row>
    <row r="153">
      <c r="A153">
        <f>IF(complex!A157=0,"",complex!A157)</f>
        <v/>
      </c>
    </row>
    <row r="154">
      <c r="A154">
        <f>IF(complex!A158=0,"",complex!A158)</f>
        <v/>
      </c>
    </row>
    <row r="155">
      <c r="A155">
        <f>IF(complex!A159=0,"",complex!A159)</f>
        <v/>
      </c>
    </row>
    <row r="156">
      <c r="A156">
        <f>IF(complex!A160=0,"",complex!A160)</f>
        <v/>
      </c>
    </row>
    <row r="157">
      <c r="A157">
        <f>IF(complex!A161=0,"",complex!A161)</f>
        <v/>
      </c>
    </row>
    <row r="158">
      <c r="A158">
        <f>IF(complex!A162=0,"",complex!A162)</f>
        <v/>
      </c>
    </row>
    <row r="159">
      <c r="A159">
        <f>IF(complex!A163=0,"",complex!A163)</f>
        <v/>
      </c>
    </row>
    <row r="160">
      <c r="A160">
        <f>IF(complex!A164=0,"",complex!A164)</f>
        <v/>
      </c>
    </row>
    <row r="161">
      <c r="A161">
        <f>IF(complex!A165=0,"",complex!A165)</f>
        <v/>
      </c>
    </row>
    <row r="162">
      <c r="A162">
        <f>IF(complex!A166=0,"",complex!A166)</f>
        <v/>
      </c>
    </row>
    <row r="163">
      <c r="A163">
        <f>IF(complex!A167=0,"",complex!A167)</f>
        <v/>
      </c>
    </row>
    <row r="164">
      <c r="A164">
        <f>IF(complex!A168=0,"",complex!A168)</f>
        <v/>
      </c>
    </row>
    <row r="165">
      <c r="A165">
        <f>IF(complex!A169=0,"",complex!A169)</f>
        <v/>
      </c>
    </row>
    <row r="166">
      <c r="A166">
        <f>IF(complex!A170=0,"",complex!A170)</f>
        <v/>
      </c>
    </row>
    <row r="167">
      <c r="A167">
        <f>IF(complex!A171=0,"",complex!A171)</f>
        <v/>
      </c>
    </row>
    <row r="168">
      <c r="A168">
        <f>IF(complex!A172=0,"",complex!A172)</f>
        <v/>
      </c>
    </row>
    <row r="169">
      <c r="A169">
        <f>IF(complex!A173=0,"",complex!A173)</f>
        <v/>
      </c>
    </row>
    <row r="170">
      <c r="A170">
        <f>IF(complex!A174=0,"",complex!A174)</f>
        <v/>
      </c>
    </row>
    <row r="171">
      <c r="A171">
        <f>IF(complex!A175=0,"",complex!A175)</f>
        <v/>
      </c>
    </row>
    <row r="172">
      <c r="A172">
        <f>IF(complex!A176=0,"",complex!A176)</f>
        <v/>
      </c>
    </row>
    <row r="173">
      <c r="A173">
        <f>IF(complex!A177=0,"",complex!A177)</f>
        <v/>
      </c>
    </row>
    <row r="174">
      <c r="A174">
        <f>IF(complex!A178=0,"",complex!A178)</f>
        <v/>
      </c>
    </row>
    <row r="175">
      <c r="A175">
        <f>IF(complex!A179=0,"",complex!A179)</f>
        <v/>
      </c>
    </row>
    <row r="176">
      <c r="A176">
        <f>IF(complex!A180=0,"",complex!A180)</f>
        <v/>
      </c>
    </row>
    <row r="177">
      <c r="A177">
        <f>IF(complex!A181=0,"",complex!A181)</f>
        <v/>
      </c>
    </row>
    <row r="178">
      <c r="A178">
        <f>IF(complex!A182=0,"",complex!A182)</f>
        <v/>
      </c>
    </row>
    <row r="179">
      <c r="A179">
        <f>IF(complex!A183=0,"",complex!A183)</f>
        <v/>
      </c>
    </row>
    <row r="180">
      <c r="A180">
        <f>IF(complex!A184=0,"",complex!A184)</f>
        <v/>
      </c>
    </row>
    <row r="181">
      <c r="A181">
        <f>IF(complex!A185=0,"",complex!A185)</f>
        <v/>
      </c>
    </row>
    <row r="182">
      <c r="A182">
        <f>IF(complex!A186=0,"",complex!A186)</f>
        <v/>
      </c>
    </row>
    <row r="183">
      <c r="A183">
        <f>IF(complex!A187=0,"",complex!A187)</f>
        <v/>
      </c>
    </row>
    <row r="184">
      <c r="A184">
        <f>IF(complex!A188=0,"",complex!A188)</f>
        <v/>
      </c>
    </row>
    <row r="185">
      <c r="A185">
        <f>IF(complex!A189=0,"",complex!A189)</f>
        <v/>
      </c>
    </row>
    <row r="186">
      <c r="A186">
        <f>IF(complex!A190=0,"",complex!A190)</f>
        <v/>
      </c>
    </row>
    <row r="187">
      <c r="A187">
        <f>IF(complex!A191=0,"",complex!A191)</f>
        <v/>
      </c>
    </row>
    <row r="188">
      <c r="A188">
        <f>IF(complex!A192=0,"",complex!A192)</f>
        <v/>
      </c>
    </row>
    <row r="189">
      <c r="A189">
        <f>IF(complex!A193=0,"",complex!A193)</f>
        <v/>
      </c>
    </row>
    <row r="190">
      <c r="A190">
        <f>IF(complex!A194=0,"",complex!A194)</f>
        <v/>
      </c>
    </row>
    <row r="191">
      <c r="A191">
        <f>IF(complex!A195=0,"",complex!A195)</f>
        <v/>
      </c>
    </row>
    <row r="192">
      <c r="A192">
        <f>IF(complex!A196=0,"",complex!A196)</f>
        <v/>
      </c>
    </row>
    <row r="193">
      <c r="A193">
        <f>IF(complex!A197=0,"",complex!A197)</f>
        <v/>
      </c>
    </row>
    <row r="194">
      <c r="A194">
        <f>IF(complex!A198=0,"",complex!A198)</f>
        <v/>
      </c>
    </row>
    <row r="195">
      <c r="A195">
        <f>IF(complex!A199=0,"",complex!A199)</f>
        <v/>
      </c>
    </row>
    <row r="196">
      <c r="A196">
        <f>IF(complex!A200=0,"",complex!A200)</f>
        <v/>
      </c>
    </row>
    <row r="197">
      <c r="A197">
        <f>IF(complex!A201=0,"",complex!A201)</f>
        <v/>
      </c>
    </row>
    <row r="198">
      <c r="A198">
        <f>IF(complex!A202=0,"",complex!A202)</f>
        <v/>
      </c>
    </row>
    <row r="199">
      <c r="A199">
        <f>IF(complex!A203=0,"",complex!A203)</f>
        <v/>
      </c>
    </row>
    <row r="200">
      <c r="A200">
        <f>IF(complex!A204=0,"",complex!A204)</f>
        <v/>
      </c>
    </row>
    <row r="201">
      <c r="A201">
        <f>IF(protein!A5=0,"",protein!A5)</f>
        <v/>
      </c>
    </row>
    <row r="202">
      <c r="A202">
        <f>IF(protein!A6=0,"",protein!A6)</f>
        <v/>
      </c>
    </row>
    <row r="203">
      <c r="A203">
        <f>IF(protein!A7=0,"",protein!A7)</f>
        <v/>
      </c>
    </row>
    <row r="204">
      <c r="A204">
        <f>IF(protein!A8=0,"",protein!A8)</f>
        <v/>
      </c>
    </row>
    <row r="205">
      <c r="A205">
        <f>IF(protein!A9=0,"",protein!A9)</f>
        <v/>
      </c>
    </row>
    <row r="206">
      <c r="A206">
        <f>IF(protein!A10=0,"",protein!A10)</f>
        <v/>
      </c>
    </row>
    <row r="207">
      <c r="A207">
        <f>IF(protein!A11=0,"",protein!A11)</f>
        <v/>
      </c>
    </row>
    <row r="208">
      <c r="A208">
        <f>IF(protein!A12=0,"",protein!A12)</f>
        <v/>
      </c>
    </row>
    <row r="209">
      <c r="A209">
        <f>IF(protein!A13=0,"",protein!A13)</f>
        <v/>
      </c>
    </row>
    <row r="210">
      <c r="A210">
        <f>IF(protein!A14=0,"",protein!A14)</f>
        <v/>
      </c>
    </row>
    <row r="211">
      <c r="A211">
        <f>IF(protein!A15=0,"",protein!A15)</f>
        <v/>
      </c>
    </row>
    <row r="212">
      <c r="A212">
        <f>IF(protein!A16=0,"",protein!A16)</f>
        <v/>
      </c>
    </row>
    <row r="213">
      <c r="A213">
        <f>IF(protein!A17=0,"",protein!A17)</f>
        <v/>
      </c>
    </row>
    <row r="214">
      <c r="A214">
        <f>IF(protein!A18=0,"",protein!A18)</f>
        <v/>
      </c>
    </row>
    <row r="215">
      <c r="A215">
        <f>IF(protein!A19=0,"",protein!A19)</f>
        <v/>
      </c>
    </row>
    <row r="216">
      <c r="A216">
        <f>IF(protein!A20=0,"",protein!A20)</f>
        <v/>
      </c>
    </row>
    <row r="217">
      <c r="A217">
        <f>IF(protein!A21=0,"",protein!A21)</f>
        <v/>
      </c>
    </row>
    <row r="218">
      <c r="A218">
        <f>IF(protein!A22=0,"",protein!A22)</f>
        <v/>
      </c>
    </row>
    <row r="219">
      <c r="A219">
        <f>IF(protein!A23=0,"",protein!A23)</f>
        <v/>
      </c>
    </row>
    <row r="220">
      <c r="A220">
        <f>IF(protein!A24=0,"",protein!A24)</f>
        <v/>
      </c>
    </row>
    <row r="221">
      <c r="A221">
        <f>IF(protein!A25=0,"",protein!A25)</f>
        <v/>
      </c>
    </row>
    <row r="222">
      <c r="A222">
        <f>IF(protein!A26=0,"",protein!A26)</f>
        <v/>
      </c>
    </row>
    <row r="223">
      <c r="A223">
        <f>IF(protein!A27=0,"",protein!A27)</f>
        <v/>
      </c>
    </row>
    <row r="224">
      <c r="A224">
        <f>IF(protein!A28=0,"",protein!A28)</f>
        <v/>
      </c>
    </row>
    <row r="225">
      <c r="A225">
        <f>IF(protein!A29=0,"",protein!A29)</f>
        <v/>
      </c>
    </row>
    <row r="226">
      <c r="A226">
        <f>IF(protein!A30=0,"",protein!A30)</f>
        <v/>
      </c>
    </row>
    <row r="227">
      <c r="A227">
        <f>IF(protein!A31=0,"",protein!A31)</f>
        <v/>
      </c>
    </row>
    <row r="228">
      <c r="A228">
        <f>IF(protein!A32=0,"",protein!A32)</f>
        <v/>
      </c>
    </row>
    <row r="229">
      <c r="A229">
        <f>IF(protein!A33=0,"",protein!A33)</f>
        <v/>
      </c>
    </row>
    <row r="230">
      <c r="A230">
        <f>IF(protein!A34=0,"",protein!A34)</f>
        <v/>
      </c>
    </row>
    <row r="231">
      <c r="A231">
        <f>IF(protein!A35=0,"",protein!A35)</f>
        <v/>
      </c>
    </row>
    <row r="232">
      <c r="A232">
        <f>IF(protein!A36=0,"",protein!A36)</f>
        <v/>
      </c>
    </row>
    <row r="233">
      <c r="A233">
        <f>IF(protein!A37=0,"",protein!A37)</f>
        <v/>
      </c>
    </row>
    <row r="234">
      <c r="A234">
        <f>IF(protein!A38=0,"",protein!A38)</f>
        <v/>
      </c>
    </row>
    <row r="235">
      <c r="A235">
        <f>IF(protein!A39=0,"",protein!A39)</f>
        <v/>
      </c>
    </row>
    <row r="236">
      <c r="A236">
        <f>IF(protein!A40=0,"",protein!A40)</f>
        <v/>
      </c>
    </row>
    <row r="237">
      <c r="A237">
        <f>IF(protein!A41=0,"",protein!A41)</f>
        <v/>
      </c>
    </row>
    <row r="238">
      <c r="A238">
        <f>IF(protein!A42=0,"",protein!A42)</f>
        <v/>
      </c>
    </row>
    <row r="239">
      <c r="A239">
        <f>IF(protein!A43=0,"",protein!A43)</f>
        <v/>
      </c>
    </row>
    <row r="240">
      <c r="A240">
        <f>IF(protein!A44=0,"",protein!A44)</f>
        <v/>
      </c>
    </row>
    <row r="241">
      <c r="A241">
        <f>IF(protein!A45=0,"",protein!A45)</f>
        <v/>
      </c>
    </row>
    <row r="242">
      <c r="A242">
        <f>IF(protein!A46=0,"",protein!A46)</f>
        <v/>
      </c>
    </row>
    <row r="243">
      <c r="A243">
        <f>IF(protein!A47=0,"",protein!A47)</f>
        <v/>
      </c>
    </row>
    <row r="244">
      <c r="A244">
        <f>IF(protein!A48=0,"",protein!A48)</f>
        <v/>
      </c>
    </row>
    <row r="245">
      <c r="A245">
        <f>IF(protein!A49=0,"",protein!A49)</f>
        <v/>
      </c>
    </row>
    <row r="246">
      <c r="A246">
        <f>IF(protein!A50=0,"",protein!A50)</f>
        <v/>
      </c>
    </row>
    <row r="247">
      <c r="A247">
        <f>IF(protein!A51=0,"",protein!A51)</f>
        <v/>
      </c>
    </row>
    <row r="248">
      <c r="A248">
        <f>IF(protein!A52=0,"",protein!A52)</f>
        <v/>
      </c>
    </row>
    <row r="249">
      <c r="A249">
        <f>IF(protein!A53=0,"",protein!A53)</f>
        <v/>
      </c>
    </row>
    <row r="250">
      <c r="A250">
        <f>IF(protein!A54=0,"",protein!A54)</f>
        <v/>
      </c>
    </row>
    <row r="251">
      <c r="A251">
        <f>IF(protein!A55=0,"",protein!A55)</f>
        <v/>
      </c>
    </row>
    <row r="252">
      <c r="A252">
        <f>IF(protein!A56=0,"",protein!A56)</f>
        <v/>
      </c>
    </row>
    <row r="253">
      <c r="A253">
        <f>IF(protein!A57=0,"",protein!A57)</f>
        <v/>
      </c>
    </row>
    <row r="254">
      <c r="A254">
        <f>IF(protein!A58=0,"",protein!A58)</f>
        <v/>
      </c>
    </row>
    <row r="255">
      <c r="A255">
        <f>IF(protein!A59=0,"",protein!A59)</f>
        <v/>
      </c>
    </row>
    <row r="256">
      <c r="A256">
        <f>IF(protein!A60=0,"",protein!A60)</f>
        <v/>
      </c>
    </row>
    <row r="257">
      <c r="A257">
        <f>IF(protein!A61=0,"",protein!A61)</f>
        <v/>
      </c>
    </row>
    <row r="258">
      <c r="A258">
        <f>IF(protein!A62=0,"",protein!A62)</f>
        <v/>
      </c>
    </row>
    <row r="259">
      <c r="A259">
        <f>IF(protein!A63=0,"",protein!A63)</f>
        <v/>
      </c>
    </row>
    <row r="260">
      <c r="A260">
        <f>IF(protein!A64=0,"",protein!A64)</f>
        <v/>
      </c>
    </row>
    <row r="261">
      <c r="A261">
        <f>IF(protein!A65=0,"",protein!A65)</f>
        <v/>
      </c>
    </row>
    <row r="262">
      <c r="A262">
        <f>IF(protein!A66=0,"",protein!A66)</f>
        <v/>
      </c>
    </row>
    <row r="263">
      <c r="A263">
        <f>IF(protein!A67=0,"",protein!A67)</f>
        <v/>
      </c>
    </row>
    <row r="264">
      <c r="A264">
        <f>IF(protein!A68=0,"",protein!A68)</f>
        <v/>
      </c>
    </row>
    <row r="265">
      <c r="A265">
        <f>IF(protein!A69=0,"",protein!A69)</f>
        <v/>
      </c>
    </row>
    <row r="266">
      <c r="A266">
        <f>IF(protein!A70=0,"",protein!A70)</f>
        <v/>
      </c>
    </row>
    <row r="267">
      <c r="A267">
        <f>IF(protein!A71=0,"",protein!A71)</f>
        <v/>
      </c>
    </row>
    <row r="268">
      <c r="A268">
        <f>IF(protein!A72=0,"",protein!A72)</f>
        <v/>
      </c>
    </row>
    <row r="269">
      <c r="A269">
        <f>IF(protein!A73=0,"",protein!A73)</f>
        <v/>
      </c>
    </row>
    <row r="270">
      <c r="A270">
        <f>IF(protein!A74=0,"",protein!A74)</f>
        <v/>
      </c>
    </row>
    <row r="271">
      <c r="A271">
        <f>IF(protein!A75=0,"",protein!A75)</f>
        <v/>
      </c>
    </row>
    <row r="272">
      <c r="A272">
        <f>IF(protein!A76=0,"",protein!A76)</f>
        <v/>
      </c>
    </row>
    <row r="273">
      <c r="A273">
        <f>IF(protein!A77=0,"",protein!A77)</f>
        <v/>
      </c>
    </row>
    <row r="274">
      <c r="A274">
        <f>IF(protein!A78=0,"",protein!A78)</f>
        <v/>
      </c>
    </row>
    <row r="275">
      <c r="A275">
        <f>IF(protein!A79=0,"",protein!A79)</f>
        <v/>
      </c>
    </row>
    <row r="276">
      <c r="A276">
        <f>IF(protein!A80=0,"",protein!A80)</f>
        <v/>
      </c>
    </row>
    <row r="277">
      <c r="A277">
        <f>IF(protein!A81=0,"",protein!A81)</f>
        <v/>
      </c>
    </row>
    <row r="278">
      <c r="A278">
        <f>IF(protein!A82=0,"",protein!A82)</f>
        <v/>
      </c>
    </row>
    <row r="279">
      <c r="A279">
        <f>IF(protein!A83=0,"",protein!A83)</f>
        <v/>
      </c>
    </row>
    <row r="280">
      <c r="A280">
        <f>IF(protein!A84=0,"",protein!A84)</f>
        <v/>
      </c>
    </row>
    <row r="281">
      <c r="A281">
        <f>IF(protein!A85=0,"",protein!A85)</f>
        <v/>
      </c>
    </row>
    <row r="282">
      <c r="A282">
        <f>IF(protein!A86=0,"",protein!A86)</f>
        <v/>
      </c>
    </row>
    <row r="283">
      <c r="A283">
        <f>IF(protein!A87=0,"",protein!A87)</f>
        <v/>
      </c>
    </row>
    <row r="284">
      <c r="A284">
        <f>IF(protein!A88=0,"",protein!A88)</f>
        <v/>
      </c>
    </row>
    <row r="285">
      <c r="A285">
        <f>IF(protein!A89=0,"",protein!A89)</f>
        <v/>
      </c>
    </row>
    <row r="286">
      <c r="A286">
        <f>IF(protein!A90=0,"",protein!A90)</f>
        <v/>
      </c>
    </row>
    <row r="287">
      <c r="A287">
        <f>IF(protein!A91=0,"",protein!A91)</f>
        <v/>
      </c>
    </row>
    <row r="288">
      <c r="A288">
        <f>IF(protein!A92=0,"",protein!A92)</f>
        <v/>
      </c>
    </row>
    <row r="289">
      <c r="A289">
        <f>IF(protein!A93=0,"",protein!A93)</f>
        <v/>
      </c>
    </row>
    <row r="290">
      <c r="A290">
        <f>IF(protein!A94=0,"",protein!A94)</f>
        <v/>
      </c>
    </row>
    <row r="291">
      <c r="A291">
        <f>IF(protein!A95=0,"",protein!A95)</f>
        <v/>
      </c>
    </row>
    <row r="292">
      <c r="A292">
        <f>IF(protein!A96=0,"",protein!A96)</f>
        <v/>
      </c>
    </row>
    <row r="293">
      <c r="A293">
        <f>IF(protein!A97=0,"",protein!A97)</f>
        <v/>
      </c>
    </row>
    <row r="294">
      <c r="A294">
        <f>IF(protein!A98=0,"",protein!A98)</f>
        <v/>
      </c>
    </row>
    <row r="295">
      <c r="A295">
        <f>IF(protein!A99=0,"",protein!A99)</f>
        <v/>
      </c>
    </row>
    <row r="296">
      <c r="A296">
        <f>IF(protein!A100=0,"",protein!A100)</f>
        <v/>
      </c>
    </row>
    <row r="297">
      <c r="A297">
        <f>IF(protein!A101=0,"",protein!A101)</f>
        <v/>
      </c>
    </row>
    <row r="298">
      <c r="A298">
        <f>IF(protein!A102=0,"",protein!A102)</f>
        <v/>
      </c>
    </row>
    <row r="299">
      <c r="A299">
        <f>IF(protein!A103=0,"",protein!A103)</f>
        <v/>
      </c>
    </row>
    <row r="300">
      <c r="A300">
        <f>IF(protein!A104=0,"",protein!A104)</f>
        <v/>
      </c>
    </row>
    <row r="301">
      <c r="A301">
        <f>IF(protein!A105=0,"",protein!A105)</f>
        <v/>
      </c>
    </row>
    <row r="302">
      <c r="A302">
        <f>IF(protein!A106=0,"",protein!A106)</f>
        <v/>
      </c>
    </row>
    <row r="303">
      <c r="A303">
        <f>IF(protein!A107=0,"",protein!A107)</f>
        <v/>
      </c>
    </row>
    <row r="304">
      <c r="A304">
        <f>IF(protein!A108=0,"",protein!A108)</f>
        <v/>
      </c>
    </row>
    <row r="305">
      <c r="A305">
        <f>IF(protein!A109=0,"",protein!A109)</f>
        <v/>
      </c>
    </row>
    <row r="306">
      <c r="A306">
        <f>IF(protein!A110=0,"",protein!A110)</f>
        <v/>
      </c>
    </row>
    <row r="307">
      <c r="A307">
        <f>IF(protein!A111=0,"",protein!A111)</f>
        <v/>
      </c>
    </row>
    <row r="308">
      <c r="A308">
        <f>IF(protein!A112=0,"",protein!A112)</f>
        <v/>
      </c>
    </row>
    <row r="309">
      <c r="A309">
        <f>IF(protein!A113=0,"",protein!A113)</f>
        <v/>
      </c>
    </row>
    <row r="310">
      <c r="A310">
        <f>IF(protein!A114=0,"",protein!A114)</f>
        <v/>
      </c>
    </row>
    <row r="311">
      <c r="A311">
        <f>IF(protein!A115=0,"",protein!A115)</f>
        <v/>
      </c>
    </row>
    <row r="312">
      <c r="A312">
        <f>IF(protein!A116=0,"",protein!A116)</f>
        <v/>
      </c>
    </row>
    <row r="313">
      <c r="A313">
        <f>IF(protein!A117=0,"",protein!A117)</f>
        <v/>
      </c>
    </row>
    <row r="314">
      <c r="A314">
        <f>IF(protein!A118=0,"",protein!A118)</f>
        <v/>
      </c>
    </row>
    <row r="315">
      <c r="A315">
        <f>IF(protein!A119=0,"",protein!A119)</f>
        <v/>
      </c>
    </row>
    <row r="316">
      <c r="A316">
        <f>IF(protein!A120=0,"",protein!A120)</f>
        <v/>
      </c>
    </row>
    <row r="317">
      <c r="A317">
        <f>IF(protein!A121=0,"",protein!A121)</f>
        <v/>
      </c>
    </row>
    <row r="318">
      <c r="A318">
        <f>IF(protein!A122=0,"",protein!A122)</f>
        <v/>
      </c>
    </row>
    <row r="319">
      <c r="A319">
        <f>IF(protein!A123=0,"",protein!A123)</f>
        <v/>
      </c>
    </row>
    <row r="320">
      <c r="A320">
        <f>IF(protein!A124=0,"",protein!A124)</f>
        <v/>
      </c>
    </row>
    <row r="321">
      <c r="A321">
        <f>IF(protein!A125=0,"",protein!A125)</f>
        <v/>
      </c>
    </row>
    <row r="322">
      <c r="A322">
        <f>IF(protein!A126=0,"",protein!A126)</f>
        <v/>
      </c>
    </row>
    <row r="323">
      <c r="A323">
        <f>IF(protein!A127=0,"",protein!A127)</f>
        <v/>
      </c>
    </row>
    <row r="324">
      <c r="A324">
        <f>IF(protein!A128=0,"",protein!A128)</f>
        <v/>
      </c>
    </row>
    <row r="325">
      <c r="A325">
        <f>IF(protein!A129=0,"",protein!A129)</f>
        <v/>
      </c>
    </row>
    <row r="326">
      <c r="A326">
        <f>IF(protein!A130=0,"",protein!A130)</f>
        <v/>
      </c>
    </row>
    <row r="327">
      <c r="A327">
        <f>IF(protein!A131=0,"",protein!A131)</f>
        <v/>
      </c>
    </row>
    <row r="328">
      <c r="A328">
        <f>IF(protein!A132=0,"",protein!A132)</f>
        <v/>
      </c>
    </row>
    <row r="329">
      <c r="A329">
        <f>IF(protein!A133=0,"",protein!A133)</f>
        <v/>
      </c>
    </row>
    <row r="330">
      <c r="A330">
        <f>IF(protein!A134=0,"",protein!A134)</f>
        <v/>
      </c>
    </row>
    <row r="331">
      <c r="A331">
        <f>IF(protein!A135=0,"",protein!A135)</f>
        <v/>
      </c>
    </row>
    <row r="332">
      <c r="A332">
        <f>IF(protein!A136=0,"",protein!A136)</f>
        <v/>
      </c>
    </row>
    <row r="333">
      <c r="A333">
        <f>IF(protein!A137=0,"",protein!A137)</f>
        <v/>
      </c>
    </row>
    <row r="334">
      <c r="A334">
        <f>IF(protein!A138=0,"",protein!A138)</f>
        <v/>
      </c>
    </row>
    <row r="335">
      <c r="A335">
        <f>IF(protein!A139=0,"",protein!A139)</f>
        <v/>
      </c>
    </row>
    <row r="336">
      <c r="A336">
        <f>IF(protein!A140=0,"",protein!A140)</f>
        <v/>
      </c>
    </row>
    <row r="337">
      <c r="A337">
        <f>IF(protein!A141=0,"",protein!A141)</f>
        <v/>
      </c>
    </row>
    <row r="338">
      <c r="A338">
        <f>IF(protein!A142=0,"",protein!A142)</f>
        <v/>
      </c>
    </row>
    <row r="339">
      <c r="A339">
        <f>IF(protein!A143=0,"",protein!A143)</f>
        <v/>
      </c>
    </row>
    <row r="340">
      <c r="A340">
        <f>IF(protein!A144=0,"",protein!A144)</f>
        <v/>
      </c>
    </row>
    <row r="341">
      <c r="A341">
        <f>IF(protein!A145=0,"",protein!A145)</f>
        <v/>
      </c>
    </row>
    <row r="342">
      <c r="A342">
        <f>IF(protein!A146=0,"",protein!A146)</f>
        <v/>
      </c>
    </row>
    <row r="343">
      <c r="A343">
        <f>IF(protein!A147=0,"",protein!A147)</f>
        <v/>
      </c>
    </row>
    <row r="344">
      <c r="A344">
        <f>IF(protein!A148=0,"",protein!A148)</f>
        <v/>
      </c>
    </row>
    <row r="345">
      <c r="A345">
        <f>IF(protein!A149=0,"",protein!A149)</f>
        <v/>
      </c>
    </row>
    <row r="346">
      <c r="A346">
        <f>IF(protein!A150=0,"",protein!A150)</f>
        <v/>
      </c>
    </row>
    <row r="347">
      <c r="A347">
        <f>IF(protein!A151=0,"",protein!A151)</f>
        <v/>
      </c>
    </row>
    <row r="348">
      <c r="A348">
        <f>IF(protein!A152=0,"",protein!A152)</f>
        <v/>
      </c>
    </row>
    <row r="349">
      <c r="A349">
        <f>IF(protein!A153=0,"",protein!A153)</f>
        <v/>
      </c>
    </row>
    <row r="350">
      <c r="A350">
        <f>IF(protein!A154=0,"",protein!A154)</f>
        <v/>
      </c>
    </row>
    <row r="351">
      <c r="A351">
        <f>IF(protein!A155=0,"",protein!A155)</f>
        <v/>
      </c>
    </row>
    <row r="352">
      <c r="A352">
        <f>IF(protein!A156=0,"",protein!A156)</f>
        <v/>
      </c>
    </row>
    <row r="353">
      <c r="A353">
        <f>IF(protein!A157=0,"",protein!A157)</f>
        <v/>
      </c>
    </row>
    <row r="354">
      <c r="A354">
        <f>IF(protein!A158=0,"",protein!A158)</f>
        <v/>
      </c>
    </row>
    <row r="355">
      <c r="A355">
        <f>IF(protein!A159=0,"",protein!A159)</f>
        <v/>
      </c>
    </row>
    <row r="356">
      <c r="A356">
        <f>IF(protein!A160=0,"",protein!A160)</f>
        <v/>
      </c>
    </row>
    <row r="357">
      <c r="A357">
        <f>IF(protein!A161=0,"",protein!A161)</f>
        <v/>
      </c>
    </row>
    <row r="358">
      <c r="A358">
        <f>IF(protein!A162=0,"",protein!A162)</f>
        <v/>
      </c>
    </row>
    <row r="359">
      <c r="A359">
        <f>IF(protein!A163=0,"",protein!A163)</f>
        <v/>
      </c>
    </row>
    <row r="360">
      <c r="A360">
        <f>IF(protein!A164=0,"",protein!A164)</f>
        <v/>
      </c>
    </row>
    <row r="361">
      <c r="A361">
        <f>IF(protein!A165=0,"",protein!A165)</f>
        <v/>
      </c>
    </row>
    <row r="362">
      <c r="A362">
        <f>IF(protein!A166=0,"",protein!A166)</f>
        <v/>
      </c>
    </row>
    <row r="363">
      <c r="A363">
        <f>IF(protein!A167=0,"",protein!A167)</f>
        <v/>
      </c>
    </row>
    <row r="364">
      <c r="A364">
        <f>IF(protein!A168=0,"",protein!A168)</f>
        <v/>
      </c>
    </row>
    <row r="365">
      <c r="A365">
        <f>IF(protein!A169=0,"",protein!A169)</f>
        <v/>
      </c>
    </row>
    <row r="366">
      <c r="A366">
        <f>IF(protein!A170=0,"",protein!A170)</f>
        <v/>
      </c>
    </row>
    <row r="367">
      <c r="A367">
        <f>IF(protein!A171=0,"",protein!A171)</f>
        <v/>
      </c>
    </row>
    <row r="368">
      <c r="A368">
        <f>IF(protein!A172=0,"",protein!A172)</f>
        <v/>
      </c>
    </row>
    <row r="369">
      <c r="A369">
        <f>IF(protein!A173=0,"",protein!A173)</f>
        <v/>
      </c>
    </row>
    <row r="370">
      <c r="A370">
        <f>IF(protein!A174=0,"",protein!A174)</f>
        <v/>
      </c>
    </row>
    <row r="371">
      <c r="A371">
        <f>IF(protein!A175=0,"",protein!A175)</f>
        <v/>
      </c>
    </row>
    <row r="372">
      <c r="A372">
        <f>IF(protein!A176=0,"",protein!A176)</f>
        <v/>
      </c>
    </row>
    <row r="373">
      <c r="A373">
        <f>IF(protein!A177=0,"",protein!A177)</f>
        <v/>
      </c>
    </row>
    <row r="374">
      <c r="A374">
        <f>IF(protein!A178=0,"",protein!A178)</f>
        <v/>
      </c>
    </row>
    <row r="375">
      <c r="A375">
        <f>IF(protein!A179=0,"",protein!A179)</f>
        <v/>
      </c>
    </row>
    <row r="376">
      <c r="A376">
        <f>IF(protein!A180=0,"",protein!A180)</f>
        <v/>
      </c>
    </row>
    <row r="377">
      <c r="A377">
        <f>IF(protein!A181=0,"",protein!A181)</f>
        <v/>
      </c>
    </row>
    <row r="378">
      <c r="A378">
        <f>IF(protein!A182=0,"",protein!A182)</f>
        <v/>
      </c>
    </row>
    <row r="379">
      <c r="A379">
        <f>IF(protein!A183=0,"",protein!A183)</f>
        <v/>
      </c>
    </row>
    <row r="380">
      <c r="A380">
        <f>IF(protein!A184=0,"",protein!A184)</f>
        <v/>
      </c>
    </row>
    <row r="381">
      <c r="A381">
        <f>IF(protein!A185=0,"",protein!A185)</f>
        <v/>
      </c>
    </row>
    <row r="382">
      <c r="A382">
        <f>IF(protein!A186=0,"",protein!A186)</f>
        <v/>
      </c>
    </row>
    <row r="383">
      <c r="A383">
        <f>IF(protein!A187=0,"",protein!A187)</f>
        <v/>
      </c>
    </row>
    <row r="384">
      <c r="A384">
        <f>IF(protein!A188=0,"",protein!A188)</f>
        <v/>
      </c>
    </row>
    <row r="385">
      <c r="A385">
        <f>IF(protein!A189=0,"",protein!A189)</f>
        <v/>
      </c>
    </row>
    <row r="386">
      <c r="A386">
        <f>IF(protein!A190=0,"",protein!A190)</f>
        <v/>
      </c>
    </row>
    <row r="387">
      <c r="A387">
        <f>IF(protein!A191=0,"",protein!A191)</f>
        <v/>
      </c>
    </row>
    <row r="388">
      <c r="A388">
        <f>IF(protein!A192=0,"",protein!A192)</f>
        <v/>
      </c>
    </row>
    <row r="389">
      <c r="A389">
        <f>IF(protein!A193=0,"",protein!A193)</f>
        <v/>
      </c>
    </row>
    <row r="390">
      <c r="A390">
        <f>IF(protein!A194=0,"",protein!A194)</f>
        <v/>
      </c>
    </row>
    <row r="391">
      <c r="A391">
        <f>IF(protein!A195=0,"",protein!A195)</f>
        <v/>
      </c>
    </row>
    <row r="392">
      <c r="A392">
        <f>IF(protein!A196=0,"",protein!A196)</f>
        <v/>
      </c>
    </row>
    <row r="393">
      <c r="A393">
        <f>IF(protein!A197=0,"",protein!A197)</f>
        <v/>
      </c>
    </row>
    <row r="394">
      <c r="A394">
        <f>IF(protein!A198=0,"",protein!A198)</f>
        <v/>
      </c>
    </row>
    <row r="395">
      <c r="A395">
        <f>IF(protein!A199=0,"",protein!A199)</f>
        <v/>
      </c>
    </row>
    <row r="396">
      <c r="A396">
        <f>IF(protein!A200=0,"",protein!A200)</f>
        <v/>
      </c>
    </row>
    <row r="397">
      <c r="A397">
        <f>IF(protein!A201=0,"",protein!A201)</f>
        <v/>
      </c>
    </row>
    <row r="398">
      <c r="A398">
        <f>IF(protein!A202=0,"",protein!A202)</f>
        <v/>
      </c>
    </row>
    <row r="399">
      <c r="A399">
        <f>IF(protein!A203=0,"",protein!A203)</f>
        <v/>
      </c>
    </row>
    <row r="400">
      <c r="A400">
        <f>IF(protein!A204=0,"",protein!A204)</f>
        <v/>
      </c>
    </row>
    <row r="401">
      <c r="A401">
        <f>IF(#REF!=0,"",#REF!)</f>
        <v/>
      </c>
    </row>
    <row r="402">
      <c r="A402">
        <f>IF(#REF!=0,"",#REF!)</f>
        <v/>
      </c>
    </row>
    <row r="403">
      <c r="A403">
        <f>IF(#REF!=0,"",#REF!)</f>
        <v/>
      </c>
    </row>
    <row r="404">
      <c r="A404">
        <f>IF(#REF!=0,"",#REF!)</f>
        <v/>
      </c>
    </row>
    <row r="405">
      <c r="A405">
        <f>IF(#REF!=0,"",#REF!)</f>
        <v/>
      </c>
    </row>
    <row r="406">
      <c r="A406">
        <f>IF(#REF!=0,"",#REF!)</f>
        <v/>
      </c>
    </row>
    <row r="407">
      <c r="A407">
        <f>IF(#REF!=0,"",#REF!)</f>
        <v/>
      </c>
    </row>
    <row r="408">
      <c r="A408">
        <f>IF(#REF!=0,"",#REF!)</f>
        <v/>
      </c>
    </row>
    <row r="409">
      <c r="A409">
        <f>IF(#REF!=0,"",#REF!)</f>
        <v/>
      </c>
    </row>
    <row r="410">
      <c r="A410">
        <f>IF(#REF!=0,"",#REF!)</f>
        <v/>
      </c>
    </row>
    <row r="411">
      <c r="A411">
        <f>IF(#REF!=0,"",#REF!)</f>
        <v/>
      </c>
    </row>
    <row r="412">
      <c r="A412">
        <f>IF(#REF!=0,"",#REF!)</f>
        <v/>
      </c>
    </row>
    <row r="413">
      <c r="A413">
        <f>IF(#REF!=0,"",#REF!)</f>
        <v/>
      </c>
    </row>
    <row r="414">
      <c r="A414">
        <f>IF(#REF!=0,"",#REF!)</f>
        <v/>
      </c>
    </row>
    <row r="415">
      <c r="A415">
        <f>IF(#REF!=0,"",#REF!)</f>
        <v/>
      </c>
    </row>
    <row r="416">
      <c r="A416">
        <f>IF(#REF!=0,"",#REF!)</f>
        <v/>
      </c>
    </row>
    <row r="417">
      <c r="A417">
        <f>IF(#REF!=0,"",#REF!)</f>
        <v/>
      </c>
    </row>
    <row r="418">
      <c r="A418">
        <f>IF(#REF!=0,"",#REF!)</f>
        <v/>
      </c>
    </row>
    <row r="419">
      <c r="A419">
        <f>IF(#REF!=0,"",#REF!)</f>
        <v/>
      </c>
    </row>
    <row r="420">
      <c r="A420">
        <f>IF(#REF!=0,"",#REF!)</f>
        <v/>
      </c>
    </row>
    <row r="421">
      <c r="A421">
        <f>IF(#REF!=0,"",#REF!)</f>
        <v/>
      </c>
    </row>
    <row r="422">
      <c r="A422">
        <f>IF(#REF!=0,"",#REF!)</f>
        <v/>
      </c>
    </row>
    <row r="423">
      <c r="A423">
        <f>IF(#REF!=0,"",#REF!)</f>
        <v/>
      </c>
    </row>
    <row r="424">
      <c r="A424">
        <f>IF(#REF!=0,"",#REF!)</f>
        <v/>
      </c>
    </row>
    <row r="425">
      <c r="A425">
        <f>IF(#REF!=0,"",#REF!)</f>
        <v/>
      </c>
    </row>
    <row r="426">
      <c r="A426">
        <f>IF(#REF!=0,"",#REF!)</f>
        <v/>
      </c>
    </row>
    <row r="427">
      <c r="A427">
        <f>IF(#REF!=0,"",#REF!)</f>
        <v/>
      </c>
    </row>
    <row r="428">
      <c r="A428">
        <f>IF(#REF!=0,"",#REF!)</f>
        <v/>
      </c>
    </row>
    <row r="429">
      <c r="A429">
        <f>IF(#REF!=0,"",#REF!)</f>
        <v/>
      </c>
    </row>
    <row r="430">
      <c r="A430">
        <f>IF(#REF!=0,"",#REF!)</f>
        <v/>
      </c>
    </row>
    <row r="431">
      <c r="A431">
        <f>IF(#REF!=0,"",#REF!)</f>
        <v/>
      </c>
    </row>
    <row r="432">
      <c r="A432">
        <f>IF(#REF!=0,"",#REF!)</f>
        <v/>
      </c>
    </row>
    <row r="433">
      <c r="A433">
        <f>IF(#REF!=0,"",#REF!)</f>
        <v/>
      </c>
    </row>
    <row r="434">
      <c r="A434">
        <f>IF(#REF!=0,"",#REF!)</f>
        <v/>
      </c>
    </row>
    <row r="435">
      <c r="A435">
        <f>IF(#REF!=0,"",#REF!)</f>
        <v/>
      </c>
    </row>
    <row r="436">
      <c r="A436">
        <f>IF(#REF!=0,"",#REF!)</f>
        <v/>
      </c>
    </row>
    <row r="437">
      <c r="A437">
        <f>IF(#REF!=0,"",#REF!)</f>
        <v/>
      </c>
    </row>
    <row r="438">
      <c r="A438">
        <f>IF(#REF!=0,"",#REF!)</f>
        <v/>
      </c>
    </row>
    <row r="439">
      <c r="A439">
        <f>IF(#REF!=0,"",#REF!)</f>
        <v/>
      </c>
    </row>
    <row r="440">
      <c r="A440">
        <f>IF(#REF!=0,"",#REF!)</f>
        <v/>
      </c>
    </row>
    <row r="441">
      <c r="A441">
        <f>IF(#REF!=0,"",#REF!)</f>
        <v/>
      </c>
    </row>
    <row r="442">
      <c r="A442">
        <f>IF(#REF!=0,"",#REF!)</f>
        <v/>
      </c>
    </row>
    <row r="443">
      <c r="A443">
        <f>IF(#REF!=0,"",#REF!)</f>
        <v/>
      </c>
    </row>
    <row r="444">
      <c r="A444">
        <f>IF(#REF!=0,"",#REF!)</f>
        <v/>
      </c>
    </row>
    <row r="445">
      <c r="A445">
        <f>IF(#REF!=0,"",#REF!)</f>
        <v/>
      </c>
    </row>
    <row r="446">
      <c r="A446">
        <f>IF(#REF!=0,"",#REF!)</f>
        <v/>
      </c>
    </row>
    <row r="447">
      <c r="A447">
        <f>IF(#REF!=0,"",#REF!)</f>
        <v/>
      </c>
    </row>
    <row r="448">
      <c r="A448">
        <f>IF(#REF!=0,"",#REF!)</f>
        <v/>
      </c>
    </row>
    <row r="449">
      <c r="A449">
        <f>IF(#REF!=0,"",#REF!)</f>
        <v/>
      </c>
    </row>
    <row r="450">
      <c r="A450">
        <f>IF(#REF!=0,"",#REF!)</f>
        <v/>
      </c>
    </row>
    <row r="451">
      <c r="A451">
        <f>IF(#REF!=0,"",#REF!)</f>
        <v/>
      </c>
    </row>
    <row r="452">
      <c r="A452">
        <f>IF(#REF!=0,"",#REF!)</f>
        <v/>
      </c>
    </row>
    <row r="453">
      <c r="A453">
        <f>IF(#REF!=0,"",#REF!)</f>
        <v/>
      </c>
    </row>
    <row r="454">
      <c r="A454">
        <f>IF(#REF!=0,"",#REF!)</f>
        <v/>
      </c>
    </row>
    <row r="455">
      <c r="A455">
        <f>IF(#REF!=0,"",#REF!)</f>
        <v/>
      </c>
    </row>
    <row r="456">
      <c r="A456">
        <f>IF(#REF!=0,"",#REF!)</f>
        <v/>
      </c>
    </row>
    <row r="457">
      <c r="A457">
        <f>IF(#REF!=0,"",#REF!)</f>
        <v/>
      </c>
    </row>
    <row r="458">
      <c r="A458">
        <f>IF(#REF!=0,"",#REF!)</f>
        <v/>
      </c>
    </row>
    <row r="459">
      <c r="A459">
        <f>IF(#REF!=0,"",#REF!)</f>
        <v/>
      </c>
    </row>
    <row r="460">
      <c r="A460">
        <f>IF(#REF!=0,"",#REF!)</f>
        <v/>
      </c>
    </row>
    <row r="461">
      <c r="A461">
        <f>IF(#REF!=0,"",#REF!)</f>
        <v/>
      </c>
    </row>
    <row r="462">
      <c r="A462">
        <f>IF(#REF!=0,"",#REF!)</f>
        <v/>
      </c>
    </row>
    <row r="463">
      <c r="A463">
        <f>IF(#REF!=0,"",#REF!)</f>
        <v/>
      </c>
    </row>
    <row r="464">
      <c r="A464">
        <f>IF(#REF!=0,"",#REF!)</f>
        <v/>
      </c>
    </row>
    <row r="465">
      <c r="A465">
        <f>IF(#REF!=0,"",#REF!)</f>
        <v/>
      </c>
    </row>
    <row r="466">
      <c r="A466">
        <f>IF(#REF!=0,"",#REF!)</f>
        <v/>
      </c>
    </row>
    <row r="467">
      <c r="A467">
        <f>IF(#REF!=0,"",#REF!)</f>
        <v/>
      </c>
    </row>
    <row r="468">
      <c r="A468">
        <f>IF(#REF!=0,"",#REF!)</f>
        <v/>
      </c>
    </row>
    <row r="469">
      <c r="A469">
        <f>IF(#REF!=0,"",#REF!)</f>
        <v/>
      </c>
    </row>
    <row r="470">
      <c r="A470">
        <f>IF(#REF!=0,"",#REF!)</f>
        <v/>
      </c>
    </row>
    <row r="471">
      <c r="A471">
        <f>IF(#REF!=0,"",#REF!)</f>
        <v/>
      </c>
    </row>
    <row r="472">
      <c r="A472">
        <f>IF(#REF!=0,"",#REF!)</f>
        <v/>
      </c>
    </row>
    <row r="473">
      <c r="A473">
        <f>IF(#REF!=0,"",#REF!)</f>
        <v/>
      </c>
    </row>
    <row r="474">
      <c r="A474">
        <f>IF(#REF!=0,"",#REF!)</f>
        <v/>
      </c>
    </row>
    <row r="475">
      <c r="A475">
        <f>IF(#REF!=0,"",#REF!)</f>
        <v/>
      </c>
    </row>
    <row r="476">
      <c r="A476">
        <f>IF(#REF!=0,"",#REF!)</f>
        <v/>
      </c>
    </row>
    <row r="477">
      <c r="A477">
        <f>IF(#REF!=0,"",#REF!)</f>
        <v/>
      </c>
    </row>
    <row r="478">
      <c r="A478">
        <f>IF(#REF!=0,"",#REF!)</f>
        <v/>
      </c>
    </row>
    <row r="479">
      <c r="A479">
        <f>IF(#REF!=0,"",#REF!)</f>
        <v/>
      </c>
    </row>
    <row r="480">
      <c r="A480">
        <f>IF(#REF!=0,"",#REF!)</f>
        <v/>
      </c>
    </row>
    <row r="481">
      <c r="A481">
        <f>IF(#REF!=0,"",#REF!)</f>
        <v/>
      </c>
    </row>
    <row r="482">
      <c r="A482">
        <f>IF(#REF!=0,"",#REF!)</f>
        <v/>
      </c>
    </row>
    <row r="483">
      <c r="A483">
        <f>IF(#REF!=0,"",#REF!)</f>
        <v/>
      </c>
    </row>
    <row r="484">
      <c r="A484">
        <f>IF(#REF!=0,"",#REF!)</f>
        <v/>
      </c>
    </row>
    <row r="485">
      <c r="A485">
        <f>IF(#REF!=0,"",#REF!)</f>
        <v/>
      </c>
    </row>
    <row r="486">
      <c r="A486">
        <f>IF(#REF!=0,"",#REF!)</f>
        <v/>
      </c>
    </row>
    <row r="487">
      <c r="A487">
        <f>IF(#REF!=0,"",#REF!)</f>
        <v/>
      </c>
    </row>
    <row r="488">
      <c r="A488">
        <f>IF(#REF!=0,"",#REF!)</f>
        <v/>
      </c>
    </row>
    <row r="489">
      <c r="A489">
        <f>IF(#REF!=0,"",#REF!)</f>
        <v/>
      </c>
    </row>
    <row r="490">
      <c r="A490">
        <f>IF(#REF!=0,"",#REF!)</f>
        <v/>
      </c>
    </row>
    <row r="491">
      <c r="A491">
        <f>IF(#REF!=0,"",#REF!)</f>
        <v/>
      </c>
    </row>
    <row r="492">
      <c r="A492">
        <f>IF(#REF!=0,"",#REF!)</f>
        <v/>
      </c>
    </row>
    <row r="493">
      <c r="A493">
        <f>IF(#REF!=0,"",#REF!)</f>
        <v/>
      </c>
    </row>
    <row r="494">
      <c r="A494">
        <f>IF(#REF!=0,"",#REF!)</f>
        <v/>
      </c>
    </row>
    <row r="495">
      <c r="A495">
        <f>IF(#REF!=0,"",#REF!)</f>
        <v/>
      </c>
    </row>
    <row r="496">
      <c r="A496">
        <f>IF(#REF!=0,"",#REF!)</f>
        <v/>
      </c>
    </row>
    <row r="497">
      <c r="A497">
        <f>IF(#REF!=0,"",#REF!)</f>
        <v/>
      </c>
    </row>
    <row r="498">
      <c r="A498">
        <f>IF(#REF!=0,"",#REF!)</f>
        <v/>
      </c>
    </row>
    <row r="499">
      <c r="A499">
        <f>IF(#REF!=0,"",#REF!)</f>
        <v/>
      </c>
    </row>
    <row r="500">
      <c r="A500">
        <f>IF(#REF!=0,"",#REF!)</f>
        <v/>
      </c>
    </row>
    <row r="501">
      <c r="A501">
        <f>IF(#REF!=0,"",#REF!)</f>
        <v/>
      </c>
    </row>
    <row r="502">
      <c r="A502">
        <f>IF(#REF!=0,"",#REF!)</f>
        <v/>
      </c>
    </row>
    <row r="503">
      <c r="A503">
        <f>IF(#REF!=0,"",#REF!)</f>
        <v/>
      </c>
    </row>
    <row r="504">
      <c r="A504">
        <f>IF(#REF!=0,"",#REF!)</f>
        <v/>
      </c>
    </row>
    <row r="505">
      <c r="A505">
        <f>IF(#REF!=0,"",#REF!)</f>
        <v/>
      </c>
    </row>
    <row r="506">
      <c r="A506">
        <f>IF(#REF!=0,"",#REF!)</f>
        <v/>
      </c>
    </row>
    <row r="507">
      <c r="A507">
        <f>IF(#REF!=0,"",#REF!)</f>
        <v/>
      </c>
    </row>
    <row r="508">
      <c r="A508">
        <f>IF(#REF!=0,"",#REF!)</f>
        <v/>
      </c>
    </row>
    <row r="509">
      <c r="A509">
        <f>IF(#REF!=0,"",#REF!)</f>
        <v/>
      </c>
    </row>
    <row r="510">
      <c r="A510">
        <f>IF(#REF!=0,"",#REF!)</f>
        <v/>
      </c>
    </row>
    <row r="511">
      <c r="A511">
        <f>IF(#REF!=0,"",#REF!)</f>
        <v/>
      </c>
    </row>
    <row r="512">
      <c r="A512">
        <f>IF(#REF!=0,"",#REF!)</f>
        <v/>
      </c>
    </row>
    <row r="513">
      <c r="A513">
        <f>IF(#REF!=0,"",#REF!)</f>
        <v/>
      </c>
    </row>
    <row r="514">
      <c r="A514">
        <f>IF(#REF!=0,"",#REF!)</f>
        <v/>
      </c>
    </row>
    <row r="515">
      <c r="A515">
        <f>IF(#REF!=0,"",#REF!)</f>
        <v/>
      </c>
    </row>
    <row r="516">
      <c r="A516">
        <f>IF(#REF!=0,"",#REF!)</f>
        <v/>
      </c>
    </row>
    <row r="517">
      <c r="A517">
        <f>IF(#REF!=0,"",#REF!)</f>
        <v/>
      </c>
    </row>
    <row r="518">
      <c r="A518">
        <f>IF(#REF!=0,"",#REF!)</f>
        <v/>
      </c>
    </row>
    <row r="519">
      <c r="A519">
        <f>IF(#REF!=0,"",#REF!)</f>
        <v/>
      </c>
    </row>
    <row r="520">
      <c r="A520">
        <f>IF(#REF!=0,"",#REF!)</f>
        <v/>
      </c>
    </row>
    <row r="521">
      <c r="A521">
        <f>IF(#REF!=0,"",#REF!)</f>
        <v/>
      </c>
    </row>
    <row r="522">
      <c r="A522">
        <f>IF(#REF!=0,"",#REF!)</f>
        <v/>
      </c>
    </row>
    <row r="523">
      <c r="A523">
        <f>IF(#REF!=0,"",#REF!)</f>
        <v/>
      </c>
    </row>
    <row r="524">
      <c r="A524">
        <f>IF(#REF!=0,"",#REF!)</f>
        <v/>
      </c>
    </row>
    <row r="525">
      <c r="A525">
        <f>IF(#REF!=0,"",#REF!)</f>
        <v/>
      </c>
    </row>
    <row r="526">
      <c r="A526">
        <f>IF(#REF!=0,"",#REF!)</f>
        <v/>
      </c>
    </row>
    <row r="527">
      <c r="A527">
        <f>IF(#REF!=0,"",#REF!)</f>
        <v/>
      </c>
    </row>
    <row r="528">
      <c r="A528">
        <f>IF(#REF!=0,"",#REF!)</f>
        <v/>
      </c>
    </row>
    <row r="529">
      <c r="A529">
        <f>IF(#REF!=0,"",#REF!)</f>
        <v/>
      </c>
    </row>
    <row r="530">
      <c r="A530">
        <f>IF(#REF!=0,"",#REF!)</f>
        <v/>
      </c>
    </row>
    <row r="531">
      <c r="A531">
        <f>IF(#REF!=0,"",#REF!)</f>
        <v/>
      </c>
    </row>
    <row r="532">
      <c r="A532">
        <f>IF(#REF!=0,"",#REF!)</f>
        <v/>
      </c>
    </row>
    <row r="533">
      <c r="A533">
        <f>IF(#REF!=0,"",#REF!)</f>
        <v/>
      </c>
    </row>
    <row r="534">
      <c r="A534">
        <f>IF(#REF!=0,"",#REF!)</f>
        <v/>
      </c>
    </row>
    <row r="535">
      <c r="A535">
        <f>IF(#REF!=0,"",#REF!)</f>
        <v/>
      </c>
    </row>
    <row r="536">
      <c r="A536">
        <f>IF(#REF!=0,"",#REF!)</f>
        <v/>
      </c>
    </row>
    <row r="537">
      <c r="A537">
        <f>IF(#REF!=0,"",#REF!)</f>
        <v/>
      </c>
    </row>
    <row r="538">
      <c r="A538">
        <f>IF(#REF!=0,"",#REF!)</f>
        <v/>
      </c>
    </row>
    <row r="539">
      <c r="A539">
        <f>IF(#REF!=0,"",#REF!)</f>
        <v/>
      </c>
    </row>
    <row r="540">
      <c r="A540">
        <f>IF(#REF!=0,"",#REF!)</f>
        <v/>
      </c>
    </row>
    <row r="541">
      <c r="A541">
        <f>IF(#REF!=0,"",#REF!)</f>
        <v/>
      </c>
    </row>
    <row r="542">
      <c r="A542">
        <f>IF(#REF!=0,"",#REF!)</f>
        <v/>
      </c>
    </row>
    <row r="543">
      <c r="A543">
        <f>IF(#REF!=0,"",#REF!)</f>
        <v/>
      </c>
    </row>
    <row r="544">
      <c r="A544">
        <f>IF(#REF!=0,"",#REF!)</f>
        <v/>
      </c>
    </row>
    <row r="545">
      <c r="A545">
        <f>IF(#REF!=0,"",#REF!)</f>
        <v/>
      </c>
    </row>
    <row r="546">
      <c r="A546">
        <f>IF(#REF!=0,"",#REF!)</f>
        <v/>
      </c>
    </row>
    <row r="547">
      <c r="A547">
        <f>IF(#REF!=0,"",#REF!)</f>
        <v/>
      </c>
    </row>
    <row r="548">
      <c r="A548">
        <f>IF(#REF!=0,"",#REF!)</f>
        <v/>
      </c>
    </row>
    <row r="549">
      <c r="A549">
        <f>IF(#REF!=0,"",#REF!)</f>
        <v/>
      </c>
    </row>
    <row r="550">
      <c r="A550">
        <f>IF(#REF!=0,"",#REF!)</f>
        <v/>
      </c>
    </row>
    <row r="551">
      <c r="A551">
        <f>IF(#REF!=0,"",#REF!)</f>
        <v/>
      </c>
    </row>
    <row r="552">
      <c r="A552">
        <f>IF(#REF!=0,"",#REF!)</f>
        <v/>
      </c>
    </row>
    <row r="553">
      <c r="A553">
        <f>IF(#REF!=0,"",#REF!)</f>
        <v/>
      </c>
    </row>
    <row r="554">
      <c r="A554">
        <f>IF(#REF!=0,"",#REF!)</f>
        <v/>
      </c>
    </row>
    <row r="555">
      <c r="A555">
        <f>IF(#REF!=0,"",#REF!)</f>
        <v/>
      </c>
    </row>
    <row r="556">
      <c r="A556">
        <f>IF(#REF!=0,"",#REF!)</f>
        <v/>
      </c>
    </row>
    <row r="557">
      <c r="A557">
        <f>IF(#REF!=0,"",#REF!)</f>
        <v/>
      </c>
    </row>
    <row r="558">
      <c r="A558">
        <f>IF(#REF!=0,"",#REF!)</f>
        <v/>
      </c>
    </row>
    <row r="559">
      <c r="A559">
        <f>IF(#REF!=0,"",#REF!)</f>
        <v/>
      </c>
    </row>
    <row r="560">
      <c r="A560">
        <f>IF(#REF!=0,"",#REF!)</f>
        <v/>
      </c>
    </row>
    <row r="561">
      <c r="A561">
        <f>IF(#REF!=0,"",#REF!)</f>
        <v/>
      </c>
    </row>
    <row r="562">
      <c r="A562">
        <f>IF(#REF!=0,"",#REF!)</f>
        <v/>
      </c>
    </row>
    <row r="563">
      <c r="A563">
        <f>IF(#REF!=0,"",#REF!)</f>
        <v/>
      </c>
    </row>
    <row r="564">
      <c r="A564">
        <f>IF(#REF!=0,"",#REF!)</f>
        <v/>
      </c>
    </row>
    <row r="565">
      <c r="A565">
        <f>IF(#REF!=0,"",#REF!)</f>
        <v/>
      </c>
    </row>
    <row r="566">
      <c r="A566">
        <f>IF(#REF!=0,"",#REF!)</f>
        <v/>
      </c>
    </row>
    <row r="567">
      <c r="A567">
        <f>IF(#REF!=0,"",#REF!)</f>
        <v/>
      </c>
    </row>
    <row r="568">
      <c r="A568">
        <f>IF(#REF!=0,"",#REF!)</f>
        <v/>
      </c>
    </row>
    <row r="569">
      <c r="A569">
        <f>IF(#REF!=0,"",#REF!)</f>
        <v/>
      </c>
    </row>
    <row r="570">
      <c r="A570">
        <f>IF(#REF!=0,"",#REF!)</f>
        <v/>
      </c>
    </row>
    <row r="571">
      <c r="A571">
        <f>IF(#REF!=0,"",#REF!)</f>
        <v/>
      </c>
    </row>
    <row r="572">
      <c r="A572">
        <f>IF(#REF!=0,"",#REF!)</f>
        <v/>
      </c>
    </row>
    <row r="573">
      <c r="A573">
        <f>IF(#REF!=0,"",#REF!)</f>
        <v/>
      </c>
    </row>
    <row r="574">
      <c r="A574">
        <f>IF(#REF!=0,"",#REF!)</f>
        <v/>
      </c>
    </row>
    <row r="575">
      <c r="A575">
        <f>IF(#REF!=0,"",#REF!)</f>
        <v/>
      </c>
    </row>
    <row r="576">
      <c r="A576">
        <f>IF(#REF!=0,"",#REF!)</f>
        <v/>
      </c>
    </row>
    <row r="577">
      <c r="A577">
        <f>IF(#REF!=0,"",#REF!)</f>
        <v/>
      </c>
    </row>
    <row r="578">
      <c r="A578">
        <f>IF(#REF!=0,"",#REF!)</f>
        <v/>
      </c>
    </row>
    <row r="579">
      <c r="A579">
        <f>IF(#REF!=0,"",#REF!)</f>
        <v/>
      </c>
    </row>
    <row r="580">
      <c r="A580">
        <f>IF(#REF!=0,"",#REF!)</f>
        <v/>
      </c>
    </row>
    <row r="581">
      <c r="A581">
        <f>IF(#REF!=0,"",#REF!)</f>
        <v/>
      </c>
    </row>
    <row r="582">
      <c r="A582">
        <f>IF(#REF!=0,"",#REF!)</f>
        <v/>
      </c>
    </row>
    <row r="583">
      <c r="A583">
        <f>IF(#REF!=0,"",#REF!)</f>
        <v/>
      </c>
    </row>
    <row r="584">
      <c r="A584">
        <f>IF(#REF!=0,"",#REF!)</f>
        <v/>
      </c>
    </row>
    <row r="585">
      <c r="A585">
        <f>IF(#REF!=0,"",#REF!)</f>
        <v/>
      </c>
    </row>
    <row r="586">
      <c r="A586">
        <f>IF(#REF!=0,"",#REF!)</f>
        <v/>
      </c>
    </row>
    <row r="587">
      <c r="A587">
        <f>IF(#REF!=0,"",#REF!)</f>
        <v/>
      </c>
    </row>
    <row r="588">
      <c r="A588">
        <f>IF(#REF!=0,"",#REF!)</f>
        <v/>
      </c>
    </row>
    <row r="589">
      <c r="A589">
        <f>IF(#REF!=0,"",#REF!)</f>
        <v/>
      </c>
    </row>
    <row r="590">
      <c r="A590">
        <f>IF(#REF!=0,"",#REF!)</f>
        <v/>
      </c>
    </row>
    <row r="591">
      <c r="A591">
        <f>IF(#REF!=0,"",#REF!)</f>
        <v/>
      </c>
    </row>
    <row r="592">
      <c r="A592">
        <f>IF(#REF!=0,"",#REF!)</f>
        <v/>
      </c>
    </row>
    <row r="593">
      <c r="A593">
        <f>IF(#REF!=0,"",#REF!)</f>
        <v/>
      </c>
    </row>
    <row r="594">
      <c r="A594">
        <f>IF(#REF!=0,"",#REF!)</f>
        <v/>
      </c>
    </row>
    <row r="595">
      <c r="A595">
        <f>IF(#REF!=0,"",#REF!)</f>
        <v/>
      </c>
    </row>
    <row r="596">
      <c r="A596">
        <f>IF(#REF!=0,"",#REF!)</f>
        <v/>
      </c>
    </row>
    <row r="597">
      <c r="A597">
        <f>IF(#REF!=0,"",#REF!)</f>
        <v/>
      </c>
    </row>
    <row r="598">
      <c r="A598">
        <f>IF(#REF!=0,"",#REF!)</f>
        <v/>
      </c>
    </row>
    <row r="599">
      <c r="A599">
        <f>IF(#REF!=0,"",#REF!)</f>
        <v/>
      </c>
    </row>
    <row r="600">
      <c r="A600">
        <f>IF(#REF!=0,"",#REF!)</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JVM</dc:creator>
  <dcterms:created xmlns:dcterms="http://purl.org/dc/terms/" xmlns:xsi="http://www.w3.org/2001/XMLSchema-instance" xsi:type="dcterms:W3CDTF">2022-06-30T21:03:14Z</dcterms:created>
  <dcterms:modified xmlns:dcterms="http://purl.org/dc/terms/" xmlns:xsi="http://www.w3.org/2001/XMLSchema-instance" xsi:type="dcterms:W3CDTF">2026-02-26T22:14:09Z</dcterms:modified>
  <cp:lastModifiedBy>Carolus Vitalis</cp:lastModifiedBy>
</cp:coreProperties>
</file>