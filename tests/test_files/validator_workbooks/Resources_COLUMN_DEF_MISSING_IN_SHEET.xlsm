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AA58761B-555A-5D4D-8BA8-6F12F0346543}" xr6:coauthVersionLast="47" xr6:coauthVersionMax="47" xr10:uidLastSave="{00000000-0000-0000-0000-000000000000}"/>
  <bookViews>
    <workbookView xWindow="0" yWindow="500" windowWidth="28800" windowHeight="15920" tabRatio="745" activeTab="13"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r:id="rId13"/>
    <sheet name="column_definitions" sheetId="14" r:id="rId14"/>
    <sheet name="unique_values" sheetId="15" r:id="rId15"/>
    <sheet name="Ontology Terms" sheetId="16" state="hidden" r:id="rId16"/>
    <sheet name="molecule_types" sheetId="17" state="hidden" r:id="rId17"/>
    <sheet name="Organism Terms" sheetId="18" r:id="rId18"/>
    <sheet name="protein_and_complex_Ids" sheetId="19" state="hidden" r:id="rId19"/>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4" i="14"/>
  <c r="E163" i="14"/>
  <c r="E162" i="14"/>
  <c r="E155" i="14"/>
  <c r="E153" i="14"/>
  <c r="E150" i="14"/>
  <c r="E149" i="14"/>
  <c r="E148" i="14"/>
  <c r="E141" i="14"/>
  <c r="E139" i="14"/>
  <c r="E137" i="14"/>
  <c r="E136" i="14"/>
  <c r="E135" i="14"/>
  <c r="E129" i="14"/>
  <c r="E127" i="14"/>
  <c r="E125" i="14"/>
  <c r="E124" i="14"/>
  <c r="E123" i="14"/>
  <c r="E116" i="14"/>
  <c r="E114" i="14"/>
  <c r="E112" i="14"/>
  <c r="E111" i="14"/>
  <c r="E110" i="14"/>
  <c r="E104" i="14"/>
  <c r="E103" i="14"/>
  <c r="E101" i="14"/>
  <c r="E99" i="14"/>
  <c r="E98" i="14"/>
  <c r="E97" i="14"/>
  <c r="E91" i="14"/>
  <c r="E89" i="14"/>
  <c r="E87" i="14"/>
  <c r="E85" i="14"/>
  <c r="E84" i="14"/>
  <c r="E83" i="14"/>
  <c r="E77" i="14"/>
  <c r="E74" i="14"/>
  <c r="E72" i="14"/>
  <c r="E71" i="14"/>
  <c r="E69" i="14"/>
  <c r="E68" i="14"/>
  <c r="E67" i="14"/>
  <c r="E61" i="14"/>
  <c r="E58" i="14"/>
  <c r="E56" i="14"/>
  <c r="E54" i="14"/>
  <c r="E53" i="14"/>
  <c r="E52" i="14"/>
  <c r="E45" i="14"/>
  <c r="E41" i="14"/>
  <c r="E39" i="14"/>
  <c r="E37" i="14"/>
  <c r="E36" i="14"/>
  <c r="E35" i="14"/>
  <c r="E29" i="14"/>
  <c r="E26"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L300" i="2" a="1"/>
  <c r="L292" i="2" a="1"/>
  <c r="L284" i="2" a="1"/>
  <c r="L276" i="2" a="1"/>
  <c r="L268" i="2" a="1"/>
  <c r="M250" i="2" a="1"/>
  <c r="L234" i="2" a="1"/>
  <c r="K217" i="2" a="1"/>
  <c r="J201" i="2" a="1"/>
  <c r="M186" i="2" a="1"/>
  <c r="L170" i="2" a="1"/>
  <c r="K153" i="2" a="1"/>
  <c r="L299" i="2" a="1"/>
  <c r="L291" i="2" a="1"/>
  <c r="L283" i="2" a="1"/>
  <c r="L275" i="2" a="1"/>
  <c r="L267" i="2" a="1"/>
  <c r="L249" i="2" a="1"/>
  <c r="M293" i="2" a="1"/>
  <c r="M285" i="2" a="1"/>
  <c r="M277" i="2" a="1"/>
  <c r="M269" i="2" a="1"/>
  <c r="K251" i="2" a="1"/>
  <c r="M237" i="2" a="1"/>
  <c r="J283" i="2" a="1"/>
  <c r="L253" i="2" a="1"/>
  <c r="J221" i="2" a="1"/>
  <c r="J194" i="2" a="1"/>
  <c r="K183" i="2" a="1"/>
  <c r="J167" i="2" a="1"/>
  <c r="K148" i="2" a="1"/>
  <c r="L133" i="2" a="1"/>
  <c r="K117" i="2" a="1"/>
  <c r="J101" i="2" a="1"/>
  <c r="J84" i="2" a="1"/>
  <c r="L69" i="2" a="1"/>
  <c r="K53" i="2" a="1"/>
  <c r="J37" i="2" a="1"/>
  <c r="J20" i="2" a="1"/>
  <c r="L5" i="2" a="1"/>
  <c r="M256" i="2" a="1"/>
  <c r="L232" i="2" a="1"/>
  <c r="M221" i="2" a="1"/>
  <c r="M211" i="2" a="1"/>
  <c r="M198" i="2" a="1"/>
  <c r="M170" i="2" a="1"/>
  <c r="M153" i="2" a="1"/>
  <c r="L140" i="2" a="1"/>
  <c r="K124" i="2" a="1"/>
  <c r="J107" i="2" a="1"/>
  <c r="M92" i="2" a="1"/>
  <c r="L76" i="2" a="1"/>
  <c r="K60" i="2" a="1"/>
  <c r="J43" i="2" a="1"/>
  <c r="M28" i="2" a="1"/>
  <c r="L12" i="2" a="1"/>
  <c r="K290" i="2" a="1"/>
  <c r="M276" i="2" a="1"/>
  <c r="K248" i="2" a="1"/>
  <c r="J224" i="2" a="1"/>
  <c r="L208" i="2" a="1"/>
  <c r="L179" i="2" a="1"/>
  <c r="K157" i="2" a="1"/>
  <c r="J127" i="2" a="1"/>
  <c r="J109" i="2" a="1"/>
  <c r="M84" i="2" a="1"/>
  <c r="M66" i="2" a="1"/>
  <c r="L55" i="2" a="1"/>
  <c r="M39" i="2" a="1"/>
  <c r="K15" i="2" a="1"/>
  <c r="K260" i="2" a="1"/>
  <c r="J237" i="2" a="1"/>
  <c r="K216" i="2" a="1"/>
  <c r="J198" i="2" a="1"/>
  <c r="J169" i="2" a="1"/>
  <c r="L151" i="2" a="1"/>
  <c r="M125" i="2" a="1"/>
  <c r="K106" i="2" a="1"/>
  <c r="M88" i="2" a="1"/>
  <c r="M69" i="2" a="1"/>
  <c r="K40" i="2" a="1"/>
  <c r="J27" i="2" a="1"/>
  <c r="J260" i="2" a="1"/>
  <c r="L229" i="2" a="1"/>
  <c r="L196" i="2" a="1"/>
  <c r="K176" i="2" a="1"/>
  <c r="L146" i="2" a="1"/>
  <c r="M126" i="2" a="1"/>
  <c r="M99" i="2" a="1"/>
  <c r="K78" i="2" a="1"/>
  <c r="M60" i="2" a="1"/>
  <c r="K41" i="2" a="1"/>
  <c r="L22" i="2" a="1"/>
  <c r="J258" i="2" a="1"/>
  <c r="K218" i="2" a="1"/>
  <c r="K195" i="2" a="1"/>
  <c r="J176" i="2" a="1"/>
  <c r="M157" i="2" a="1"/>
  <c r="L136" i="2" a="1"/>
  <c r="J96" i="2" a="1"/>
  <c r="M71" i="2" a="1"/>
  <c r="J50" i="2" a="1"/>
  <c r="J31" i="2" a="1"/>
  <c r="K12" i="2" a="1"/>
  <c r="M210" i="2" a="1"/>
  <c r="K150" i="2" a="1"/>
  <c r="J116" i="2" a="1"/>
  <c r="K81" i="2" a="1"/>
  <c r="M44" i="2" a="1"/>
  <c r="L10" i="2" a="1"/>
  <c r="J261" i="2" a="1"/>
  <c r="L212" i="2" a="1"/>
  <c r="M182" i="2" a="1"/>
  <c r="J124" i="2" a="1"/>
  <c r="K90" i="2" a="1"/>
  <c r="J34" i="2" a="1"/>
  <c r="M145" i="2" a="1"/>
  <c r="L92" i="2" a="1"/>
  <c r="M41" i="2" a="1"/>
  <c r="M188" i="2" a="1"/>
  <c r="K111" i="2" a="1"/>
  <c r="J295" i="2" a="1"/>
  <c r="L174" i="2" a="1"/>
  <c r="M130" i="2" a="1"/>
  <c r="J72" i="2" a="1"/>
  <c r="M26" i="2" a="1"/>
  <c r="M207" i="2" a="1"/>
  <c r="M299" i="2" a="1"/>
  <c r="M291" i="2" a="1"/>
  <c r="M283" i="2" a="1"/>
  <c r="M275" i="2" a="1"/>
  <c r="M267" i="2" a="1"/>
  <c r="J248" i="2" a="1"/>
  <c r="L233" i="2" a="1"/>
  <c r="L216" i="2" a="1"/>
  <c r="K200" i="2" a="1"/>
  <c r="J184" i="2" a="1"/>
  <c r="L169" i="2" a="1"/>
  <c r="L152" i="2" a="1"/>
  <c r="M298" i="2" a="1"/>
  <c r="M290" i="2" a="1"/>
  <c r="M282" i="2" a="1"/>
  <c r="M274" i="2" a="1"/>
  <c r="M265" i="2" a="1"/>
  <c r="M248" i="2" a="1"/>
  <c r="J300" i="2" a="1"/>
  <c r="J292" i="2" a="1"/>
  <c r="J284" i="2" a="1"/>
  <c r="J276" i="2" a="1"/>
  <c r="J268" i="2" a="1"/>
  <c r="K249" i="2" a="1"/>
  <c r="L277" i="2" a="1"/>
  <c r="J252" i="2" a="1"/>
  <c r="J220" i="2" a="1"/>
  <c r="K192" i="2" a="1"/>
  <c r="J182" i="2" a="1"/>
  <c r="J163" i="2" a="1"/>
  <c r="K147" i="2" a="1"/>
  <c r="M132" i="2" a="1"/>
  <c r="L116" i="2" a="1"/>
  <c r="K100" i="2" a="1"/>
  <c r="J83" i="2" a="1"/>
  <c r="M68" i="2" a="1"/>
  <c r="L52" i="2" a="1"/>
  <c r="K36" i="2" a="1"/>
  <c r="J19" i="2" a="1"/>
  <c r="L255" i="2" a="1"/>
  <c r="M230" i="2" a="1"/>
  <c r="M220" i="2" a="1"/>
  <c r="L209" i="2" a="1"/>
  <c r="M197" i="2" a="1"/>
  <c r="M169" i="2" a="1"/>
  <c r="M152" i="2" a="1"/>
  <c r="M137" i="2" a="1"/>
  <c r="K122" i="2" a="1"/>
  <c r="J106" i="2" a="1"/>
  <c r="K87" i="2" a="1"/>
  <c r="M73" i="2" a="1"/>
  <c r="K58" i="2" a="1"/>
  <c r="J42" i="2" a="1"/>
  <c r="K23" i="2" a="1"/>
  <c r="M9" i="2" a="1"/>
  <c r="M284" i="2" a="1"/>
  <c r="M272" i="2" a="1"/>
  <c r="M243" i="2" a="1"/>
  <c r="L220" i="2" a="1"/>
  <c r="K207" i="2" a="1"/>
  <c r="J178" i="2" a="1"/>
  <c r="J156" i="2" a="1"/>
  <c r="J126" i="2" a="1"/>
  <c r="M105" i="2" a="1"/>
  <c r="L83" i="2" a="1"/>
  <c r="M65" i="2" a="1"/>
  <c r="L54" i="2" a="1"/>
  <c r="M38" i="2" a="1"/>
  <c r="L9" i="2" a="1"/>
  <c r="M258" i="2" a="1"/>
  <c r="K234" i="2" a="1"/>
  <c r="J215" i="2" a="1"/>
  <c r="L195" i="2" a="1"/>
  <c r="M166" i="2" a="1"/>
  <c r="L145" i="2" a="1"/>
  <c r="L124" i="2" a="1"/>
  <c r="J105" i="2" a="1"/>
  <c r="L87" i="2" a="1"/>
  <c r="L68" i="2" a="1"/>
  <c r="K39" i="2" a="1"/>
  <c r="L21" i="2" a="1"/>
  <c r="L258" i="2" a="1"/>
  <c r="M224" i="2" a="1"/>
  <c r="M190" i="2" a="1"/>
  <c r="J175" i="2" a="1"/>
  <c r="L144" i="2" a="1"/>
  <c r="L125" i="2" a="1"/>
  <c r="K97" i="2" a="1"/>
  <c r="J77" i="2" a="1"/>
  <c r="L59" i="2" a="1"/>
  <c r="J39" i="2" a="1"/>
  <c r="K21" i="2" a="1"/>
  <c r="K252" i="2" a="1"/>
  <c r="J217" i="2" a="1"/>
  <c r="M191" i="2" a="1"/>
  <c r="M172" i="2" a="1"/>
  <c r="L155" i="2" a="1"/>
  <c r="L135" i="2" a="1"/>
  <c r="M91" i="2" a="1"/>
  <c r="K69" i="2" a="1"/>
  <c r="J48" i="2" a="1"/>
  <c r="J30" i="2" a="1"/>
  <c r="K11" i="2" a="1"/>
  <c r="M208" i="2" a="1"/>
  <c r="M148" i="2" a="1"/>
  <c r="J111" i="2" a="1"/>
  <c r="K79" i="2" a="1"/>
  <c r="L34" i="2" a="1"/>
  <c r="L8" i="2" a="1"/>
  <c r="L256" i="2" a="1"/>
  <c r="L210" i="2" a="1"/>
  <c r="M174" i="2" a="1"/>
  <c r="L119" i="2" a="1"/>
  <c r="K88" i="2" a="1"/>
  <c r="J32" i="2" a="1"/>
  <c r="L128" i="2" a="1"/>
  <c r="K85" i="2" a="1"/>
  <c r="L37" i="2" a="1"/>
  <c r="K179" i="2" a="1"/>
  <c r="L99" i="2" a="1"/>
  <c r="L254" i="2" a="1"/>
  <c r="K171" i="2" a="1"/>
  <c r="J122" i="2" a="1"/>
  <c r="K70" i="2" a="1"/>
  <c r="J13" i="2" a="1"/>
  <c r="K274" i="2" a="1"/>
  <c r="K185" i="2" a="1"/>
  <c r="J298" i="2" a="1"/>
  <c r="J290" i="2" a="1"/>
  <c r="J282" i="2" a="1"/>
  <c r="J274" i="2" a="1"/>
  <c r="K263" i="2" a="1"/>
  <c r="J247" i="2" a="1"/>
  <c r="M232" i="2" a="1"/>
  <c r="M214" i="2" a="1"/>
  <c r="L198" i="2" a="1"/>
  <c r="J183" i="2" a="1"/>
  <c r="M168" i="2" a="1"/>
  <c r="M150" i="2" a="1"/>
  <c r="J297" i="2" a="1"/>
  <c r="J289" i="2" a="1"/>
  <c r="J281" i="2" a="1"/>
  <c r="J273" i="2" a="1"/>
  <c r="J262" i="2" a="1"/>
  <c r="J245" i="2" a="1"/>
  <c r="K299" i="2" a="1"/>
  <c r="K291" i="2" a="1"/>
  <c r="K283" i="2" a="1"/>
  <c r="K275" i="2" a="1"/>
  <c r="K267" i="2" a="1"/>
  <c r="L248" i="2" a="1"/>
  <c r="J275" i="2" a="1"/>
  <c r="M245" i="2" a="1"/>
  <c r="J204" i="2" a="1"/>
  <c r="J191" i="2" a="1"/>
  <c r="J181" i="2" a="1"/>
  <c r="J160" i="2" a="1"/>
  <c r="J146" i="2" a="1"/>
  <c r="K127" i="2" a="1"/>
  <c r="M113" i="2" a="1"/>
  <c r="K98" i="2" a="1"/>
  <c r="J82" i="2" a="1"/>
  <c r="K63" i="2" a="1"/>
  <c r="M49" i="2" a="1"/>
  <c r="K34" i="2" a="1"/>
  <c r="J18" i="2" a="1"/>
  <c r="M247" i="2" a="1"/>
  <c r="M229" i="2" a="1"/>
  <c r="M219" i="2" a="1"/>
  <c r="L206" i="2" a="1"/>
  <c r="M195" i="2" a="1"/>
  <c r="M167" i="2" a="1"/>
  <c r="M151" i="2" a="1"/>
  <c r="J134" i="2" a="1"/>
  <c r="M119" i="2" a="1"/>
  <c r="L103" i="2" a="1"/>
  <c r="K86" i="2" a="1"/>
  <c r="J70" i="2" a="1"/>
  <c r="M55" i="2" a="1"/>
  <c r="L39" i="2" a="1"/>
  <c r="K22" i="2" a="1"/>
  <c r="J6" i="2" a="1"/>
  <c r="K282" i="2" a="1"/>
  <c r="J271" i="2" a="1"/>
  <c r="K240" i="2" a="1"/>
  <c r="J219" i="2" a="1"/>
  <c r="J206" i="2" a="1"/>
  <c r="M175" i="2" a="1"/>
  <c r="L148" i="2" a="1"/>
  <c r="L122" i="2" a="1"/>
  <c r="L104" i="2" a="1"/>
  <c r="J81" i="2" a="1"/>
  <c r="L64" i="2" a="1"/>
  <c r="K52" i="2" a="1"/>
  <c r="L36" i="2" a="1"/>
  <c r="K6" i="2" a="1"/>
  <c r="M252" i="2" a="1"/>
  <c r="J231" i="2" a="1"/>
  <c r="K210" i="2" a="1"/>
  <c r="J193" i="2" a="1"/>
  <c r="L165" i="2" a="1"/>
  <c r="J142" i="2" a="1"/>
  <c r="K123" i="2" a="1"/>
  <c r="J104" i="2" a="1"/>
  <c r="K84" i="2" a="1"/>
  <c r="J64" i="2" a="1"/>
  <c r="J36" i="2" a="1"/>
  <c r="L20" i="2" a="1"/>
  <c r="L252" i="2" a="1"/>
  <c r="K222" i="2" a="1"/>
  <c r="L189" i="2" a="1"/>
  <c r="M171" i="2" a="1"/>
  <c r="K143" i="2" a="1"/>
  <c r="J123" i="2" a="1"/>
  <c r="M90" i="2" a="1"/>
  <c r="J75" i="2" a="1"/>
  <c r="J58" i="2" a="1"/>
  <c r="J38" i="2" a="1"/>
  <c r="K19" i="2" a="1"/>
  <c r="J250" i="2" a="1"/>
  <c r="J216" i="2" a="1"/>
  <c r="K189" i="2" a="1"/>
  <c r="J170" i="2" a="1"/>
  <c r="K151" i="2" a="1"/>
  <c r="K125" i="2" a="1"/>
  <c r="L89" i="2" a="1"/>
  <c r="J67" i="2" a="1"/>
  <c r="M43" i="2" a="1"/>
  <c r="J29" i="2" a="1"/>
  <c r="J10" i="2" a="1"/>
  <c r="K197" i="2" a="1"/>
  <c r="L138" i="2" a="1"/>
  <c r="L102" i="2" a="1"/>
  <c r="L77" i="2" a="1"/>
  <c r="M30" i="2" a="1"/>
  <c r="K5" i="2" a="1"/>
  <c r="K297" i="2" a="1"/>
  <c r="K289" i="2" a="1"/>
  <c r="K281" i="2" a="1"/>
  <c r="K273" i="2" a="1"/>
  <c r="K262" i="2" a="1"/>
  <c r="K245" i="2" a="1"/>
  <c r="J229" i="2" a="1"/>
  <c r="J212" i="2" a="1"/>
  <c r="L197" i="2" a="1"/>
  <c r="K181" i="2" a="1"/>
  <c r="J165" i="2" a="1"/>
  <c r="J148" i="2" a="1"/>
  <c r="K296" i="2" a="1"/>
  <c r="K288" i="2" a="1"/>
  <c r="K280" i="2" a="1"/>
  <c r="K272" i="2" a="1"/>
  <c r="L259" i="2" a="1"/>
  <c r="K244" i="2" a="1"/>
  <c r="L298" i="2" a="1"/>
  <c r="L290" i="2" a="1"/>
  <c r="L282" i="2" a="1"/>
  <c r="L274" i="2" a="1"/>
  <c r="K266" i="2" a="1"/>
  <c r="M246" i="2" a="1"/>
  <c r="L269" i="2" a="1"/>
  <c r="L241" i="2" a="1"/>
  <c r="J203" i="2" a="1"/>
  <c r="J190" i="2" a="1"/>
  <c r="J179" i="2" a="1"/>
  <c r="J158" i="2" a="1"/>
  <c r="L143" i="2" a="1"/>
  <c r="K126" i="2" a="1"/>
  <c r="J110" i="2" a="1"/>
  <c r="M95" i="2" a="1"/>
  <c r="L79" i="2" a="1"/>
  <c r="K62" i="2" a="1"/>
  <c r="J46" i="2" a="1"/>
  <c r="M31" i="2" a="1"/>
  <c r="L15" i="2" a="1"/>
  <c r="L246" i="2" a="1"/>
  <c r="M228" i="2" a="1"/>
  <c r="L217" i="2" a="1"/>
  <c r="M203" i="2" a="1"/>
  <c r="M194" i="2" a="1"/>
  <c r="M162" i="2" a="1"/>
  <c r="M149" i="2" a="1"/>
  <c r="L131" i="2" a="1"/>
  <c r="K115" i="2" a="1"/>
  <c r="M101" i="2" a="1"/>
  <c r="M83" i="2" a="1"/>
  <c r="L67" i="2" a="1"/>
  <c r="K51" i="2" a="1"/>
  <c r="M37" i="2" a="1"/>
  <c r="M19" i="2" a="1"/>
  <c r="L262" i="2" a="1"/>
  <c r="L237" i="2" a="1"/>
  <c r="M215" i="2" a="1"/>
  <c r="K201" i="2" a="1"/>
  <c r="K172" i="2" a="1"/>
  <c r="M142" i="2" a="1"/>
  <c r="K121" i="2" a="1"/>
  <c r="K102" i="2" a="1"/>
  <c r="M76" i="2" a="1"/>
  <c r="L63" i="2" a="1"/>
  <c r="M48" i="2" a="1"/>
  <c r="L35" i="2" a="1"/>
  <c r="J5" i="2" a="1"/>
  <c r="L247" i="2" a="1"/>
  <c r="L228" i="2" a="1"/>
  <c r="J209" i="2" a="1"/>
  <c r="M189" i="2" a="1"/>
  <c r="L164" i="2" a="1"/>
  <c r="J140" i="2" a="1"/>
  <c r="M116" i="2" a="1"/>
  <c r="M98" i="2" a="1"/>
  <c r="M79" i="2" a="1"/>
  <c r="K56" i="2" a="1"/>
  <c r="M32" i="2" a="1"/>
  <c r="L13" i="2" a="1"/>
  <c r="K250" i="2" a="1"/>
  <c r="L218" i="2" a="1"/>
  <c r="K187" i="2" a="1"/>
  <c r="L161" i="2" a="1"/>
  <c r="L137" i="2" a="1"/>
  <c r="M118" i="2" a="1"/>
  <c r="M89" i="2" a="1"/>
  <c r="M70" i="2" a="1"/>
  <c r="J57" i="2" a="1"/>
  <c r="M33" i="2" a="1"/>
  <c r="M14" i="2" a="1"/>
  <c r="K247" i="2" a="1"/>
  <c r="M206" i="2" a="1"/>
  <c r="K188" i="2" a="1"/>
  <c r="L167" i="2" a="1"/>
  <c r="M147" i="2" a="1"/>
  <c r="L117" i="2" a="1"/>
  <c r="J87" i="2" a="1"/>
  <c r="M61" i="2" a="1"/>
  <c r="K42" i="2" a="1"/>
  <c r="M24" i="2" a="1"/>
  <c r="M5" i="2" a="1"/>
  <c r="L265" i="2" a="1"/>
  <c r="J188" i="2" a="1"/>
  <c r="M129" i="2" a="1"/>
  <c r="K99" i="2" a="1"/>
  <c r="L75" i="2" a="1"/>
  <c r="M25" i="2" a="1"/>
  <c r="L296" i="2" a="1"/>
  <c r="L288" i="2" a="1"/>
  <c r="L280" i="2" a="1"/>
  <c r="L272" i="2" a="1"/>
  <c r="M259" i="2" a="1"/>
  <c r="L244" i="2" a="1"/>
  <c r="K228" i="2" a="1"/>
  <c r="J211" i="2" a="1"/>
  <c r="M196" i="2" a="1"/>
  <c r="L180" i="2" a="1"/>
  <c r="K164" i="2" a="1"/>
  <c r="J147" i="2" a="1"/>
  <c r="L295" i="2" a="1"/>
  <c r="L287" i="2" a="1"/>
  <c r="L279" i="2" a="1"/>
  <c r="L271" i="2" a="1"/>
  <c r="M257" i="2" a="1"/>
  <c r="K242" i="2" a="1"/>
  <c r="M297" i="2" a="1"/>
  <c r="M289" i="2" a="1"/>
  <c r="M281" i="2" a="1"/>
  <c r="M273" i="2" a="1"/>
  <c r="M263" i="2" a="1"/>
  <c r="J244" i="2" a="1"/>
  <c r="J299" i="2" a="1"/>
  <c r="M264" i="2" a="1"/>
  <c r="L240" i="2" a="1"/>
  <c r="J202" i="2" a="1"/>
  <c r="J189" i="2" a="1"/>
  <c r="K175" i="2" a="1"/>
  <c r="K156" i="2" a="1"/>
  <c r="M141" i="2" a="1"/>
  <c r="M123" i="2" a="1"/>
  <c r="L107" i="2" a="1"/>
  <c r="K91" i="2" a="1"/>
  <c r="M77" i="2" a="1"/>
  <c r="M59" i="2" a="1"/>
  <c r="L43" i="2" a="1"/>
  <c r="K27" i="2" a="1"/>
  <c r="M13" i="2" a="1"/>
  <c r="M266" i="2" a="1"/>
  <c r="L242" i="2" a="1"/>
  <c r="M227" i="2" a="1"/>
  <c r="L215" i="2" a="1"/>
  <c r="M202" i="2" a="1"/>
  <c r="M185" i="2" a="1"/>
  <c r="M161" i="2" a="1"/>
  <c r="M146" i="2" a="1"/>
  <c r="L130" i="2" a="1"/>
  <c r="K113" i="2" a="1"/>
  <c r="J97" i="2" a="1"/>
  <c r="M82" i="2" a="1"/>
  <c r="L66" i="2" a="1"/>
  <c r="K49" i="2" a="1"/>
  <c r="J33" i="2" a="1"/>
  <c r="M18" i="2" a="1"/>
  <c r="J259" i="2" a="1"/>
  <c r="K236" i="2" a="1"/>
  <c r="K214" i="2" a="1"/>
  <c r="L193" i="2" a="1"/>
  <c r="K168" i="2" a="1"/>
  <c r="J136" i="2" a="1"/>
  <c r="K119" i="2" a="1"/>
  <c r="J99" i="2" a="1"/>
  <c r="M75" i="2" a="1"/>
  <c r="L62" i="2" a="1"/>
  <c r="M47" i="2" a="1"/>
  <c r="L26" i="2" a="1"/>
  <c r="K294" i="2" a="1"/>
  <c r="J246" i="2" a="1"/>
  <c r="J227" i="2" a="1"/>
  <c r="J208" i="2" a="1"/>
  <c r="L188" i="2" a="1"/>
  <c r="K163" i="2" a="1"/>
  <c r="M136" i="2" a="1"/>
  <c r="L115" i="2" a="1"/>
  <c r="L97" i="2" a="1"/>
  <c r="L78" i="2" a="1"/>
  <c r="L50" i="2" a="1"/>
  <c r="L31" i="2" a="1"/>
  <c r="L11" i="2" a="1"/>
  <c r="K286" i="2" a="1"/>
  <c r="M239" i="2" a="1"/>
  <c r="L211" i="2" a="1"/>
  <c r="M184" i="2" a="1"/>
  <c r="K160" i="2" a="1"/>
  <c r="K134" i="2" a="1"/>
  <c r="M117" i="2" a="1"/>
  <c r="J86" i="2" a="1"/>
  <c r="K68" i="2" a="1"/>
  <c r="M51" i="2" a="1"/>
  <c r="L32" i="2" a="1"/>
  <c r="J8" i="2" a="1"/>
  <c r="M242" i="2" a="1"/>
  <c r="K205" i="2" a="1"/>
  <c r="L185" i="2" a="1"/>
  <c r="L166" i="2" a="1"/>
  <c r="K146" i="2" a="1"/>
  <c r="J115" i="2" a="1"/>
  <c r="L81" i="2" a="1"/>
  <c r="L60" i="2" a="1"/>
  <c r="J41" i="2" a="1"/>
  <c r="L23" i="2" a="1"/>
  <c r="K261" i="2" a="1"/>
  <c r="K173" i="2" a="1"/>
  <c r="J128" i="2" a="1"/>
  <c r="K95" i="2" a="1"/>
  <c r="L72" i="2" a="1"/>
  <c r="J24" i="2" a="1"/>
  <c r="L236" i="2" a="1"/>
  <c r="J197" i="2" a="1"/>
  <c r="J141" i="2" a="1"/>
  <c r="K107" i="2" a="1"/>
  <c r="J53" i="2" a="1"/>
  <c r="J213" i="2" a="1"/>
  <c r="L114" i="2" a="1"/>
  <c r="M67" i="2" a="1"/>
  <c r="K14" i="2" a="1"/>
  <c r="J145" i="2" a="1"/>
  <c r="L56" i="2" a="1"/>
  <c r="K18" i="2" a="1"/>
  <c r="L219" i="2" a="1"/>
  <c r="K159" i="2" a="1"/>
  <c r="L100" i="2" a="1"/>
  <c r="J51" i="2" a="1"/>
  <c r="K237" i="2" a="1"/>
  <c r="M164" i="2" a="1"/>
  <c r="M295" i="2" a="1"/>
  <c r="J294" i="2" a="1"/>
  <c r="J286" i="2" a="1"/>
  <c r="J278" i="2" a="1"/>
  <c r="J270" i="2" a="1"/>
  <c r="K254" i="2" a="1"/>
  <c r="J238" i="2" a="1"/>
  <c r="M223" i="2" a="1"/>
  <c r="L207" i="2" a="1"/>
  <c r="K190" i="2" a="1"/>
  <c r="J174" i="2" a="1"/>
  <c r="M159" i="2" a="1"/>
  <c r="J293" i="2" a="1"/>
  <c r="J285" i="2" a="1"/>
  <c r="J277" i="2" a="1"/>
  <c r="J269" i="2" a="1"/>
  <c r="L251" i="2" a="1"/>
  <c r="K295" i="2" a="1"/>
  <c r="K287" i="2" a="1"/>
  <c r="K279" i="2" a="1"/>
  <c r="K271" i="2" a="1"/>
  <c r="K258" i="2" a="1"/>
  <c r="J242" i="2" a="1"/>
  <c r="J291" i="2" a="1"/>
  <c r="J257" i="2" a="1"/>
  <c r="J230" i="2" a="1"/>
  <c r="J196" i="2" a="1"/>
  <c r="J185" i="2" a="1"/>
  <c r="J171" i="2" a="1"/>
  <c r="J152" i="2" a="1"/>
  <c r="K136" i="2" a="1"/>
  <c r="J120" i="2" a="1"/>
  <c r="L105" i="2" a="1"/>
  <c r="L88" i="2" a="1"/>
  <c r="K72" i="2" a="1"/>
  <c r="J56" i="2" a="1"/>
  <c r="L41" i="2" a="1"/>
  <c r="L24" i="2" a="1"/>
  <c r="K8" i="2" a="1"/>
  <c r="K264" i="2" a="1"/>
  <c r="M236" i="2" a="1"/>
  <c r="L224" i="2" a="1"/>
  <c r="L213" i="2" a="1"/>
  <c r="M200" i="2" a="1"/>
  <c r="L177" i="2" a="1"/>
  <c r="M158" i="2" a="1"/>
  <c r="J143" i="2" a="1"/>
  <c r="M128" i="2" a="1"/>
  <c r="M110" i="2" a="1"/>
  <c r="L94" i="2" a="1"/>
  <c r="J79" i="2" a="1"/>
  <c r="M64" i="2" a="1"/>
  <c r="M46" i="2" a="1"/>
  <c r="L30" i="2" a="1"/>
  <c r="J15" i="2" a="1"/>
  <c r="K298" i="2" a="1"/>
  <c r="J253" i="2" a="1"/>
  <c r="K230" i="2" a="1"/>
  <c r="K212" i="2" a="1"/>
  <c r="K186" i="2" a="1"/>
  <c r="L159" i="2" a="1"/>
  <c r="K129" i="2" a="1"/>
  <c r="J117" i="2" a="1"/>
  <c r="J89" i="2" a="1"/>
  <c r="K73" i="2" a="1"/>
  <c r="M57" i="2" a="1"/>
  <c r="L44" i="2" a="1"/>
  <c r="L18" i="2" a="1"/>
  <c r="J266" i="2" a="1"/>
  <c r="J241" i="2" a="1"/>
  <c r="K221" i="2" a="1"/>
  <c r="L203" i="2" a="1"/>
  <c r="K180" i="2" a="1"/>
  <c r="M155" i="2" a="1"/>
  <c r="K133" i="2" a="1"/>
  <c r="J112" i="2" a="1"/>
  <c r="J94" i="2" a="1"/>
  <c r="K75" i="2" a="1"/>
  <c r="K47" i="2" a="1"/>
  <c r="K29" i="2" a="1"/>
  <c r="J7" i="2" a="1"/>
  <c r="L264" i="2" a="1"/>
  <c r="J233" i="2" a="1"/>
  <c r="L204" i="2" a="1"/>
  <c r="J180" i="2" a="1"/>
  <c r="J154" i="2" a="1"/>
  <c r="J132" i="2" a="1"/>
  <c r="M108" i="2" a="1"/>
  <c r="M81" i="2" a="1"/>
  <c r="J66" i="2" a="1"/>
  <c r="J49" i="2" a="1"/>
  <c r="J28" i="2" a="1"/>
  <c r="K270" i="2" a="1"/>
  <c r="M225" i="2" a="1"/>
  <c r="L200" i="2" a="1"/>
  <c r="K182" i="2" a="1"/>
  <c r="J164" i="2" a="1"/>
  <c r="K144" i="2" a="1"/>
  <c r="L101" i="2" a="1"/>
  <c r="J76" i="2" a="1"/>
  <c r="M52" i="2" a="1"/>
  <c r="M34" i="2" a="1"/>
  <c r="M15" i="2" a="1"/>
  <c r="K225" i="2" a="1"/>
  <c r="L156" i="2" a="1"/>
  <c r="M124" i="2" a="1"/>
  <c r="J92" i="2" a="1"/>
  <c r="L58" i="2" a="1"/>
  <c r="J17" i="2" a="1"/>
  <c r="J267" i="2" a="1"/>
  <c r="J223" i="2" a="1"/>
  <c r="J186" i="2" a="1"/>
  <c r="M134" i="2" a="1"/>
  <c r="M103" i="2" a="1"/>
  <c r="L47" i="2" a="1"/>
  <c r="L162" i="2" a="1"/>
  <c r="K108" i="2" a="1"/>
  <c r="J52" i="2" a="1"/>
  <c r="K7" i="2" a="1"/>
  <c r="J207" i="2" a="1"/>
  <c r="K118" i="2" a="1"/>
  <c r="M10" i="2" a="1"/>
  <c r="K178" i="2" a="1"/>
  <c r="J138" i="2" a="1"/>
  <c r="L86" i="2" a="1"/>
  <c r="K44" i="2" a="1"/>
  <c r="K224" i="2" a="1"/>
  <c r="J139" i="2" a="1"/>
  <c r="K293" i="2" a="1"/>
  <c r="K285" i="2" a="1"/>
  <c r="K277" i="2" a="1"/>
  <c r="K269" i="2" a="1"/>
  <c r="M251" i="2" a="1"/>
  <c r="L235" i="2" a="1"/>
  <c r="K219" i="2" a="1"/>
  <c r="M205" i="2" a="1"/>
  <c r="M187" i="2" a="1"/>
  <c r="L171" i="2" a="1"/>
  <c r="K155" i="2" a="1"/>
  <c r="K300" i="2" a="1"/>
  <c r="K292" i="2" a="1"/>
  <c r="K284" i="2" a="1"/>
  <c r="K276" i="2" a="1"/>
  <c r="K268" i="2" a="1"/>
  <c r="L250" i="2" a="1"/>
  <c r="L294" i="2" a="1"/>
  <c r="L286" i="2" a="1"/>
  <c r="L278" i="2" a="1"/>
  <c r="L270" i="2" a="1"/>
  <c r="M255" i="2" a="1"/>
  <c r="L239" i="2" a="1"/>
  <c r="L285" i="2" a="1"/>
  <c r="M254" i="2" a="1"/>
  <c r="J228" i="2" a="1"/>
  <c r="J195" i="2" a="1"/>
  <c r="K184" i="2" a="1"/>
  <c r="J168" i="2" a="1"/>
  <c r="J149" i="2" a="1"/>
  <c r="L134" i="2" a="1"/>
  <c r="J119" i="2" a="1"/>
  <c r="M104" i="2" a="1"/>
  <c r="M86" i="2" a="1"/>
  <c r="L70" i="2" a="1"/>
  <c r="J55" i="2" a="1"/>
  <c r="M40" i="2" a="1"/>
  <c r="M22" i="2" a="1"/>
  <c r="L6" i="2" a="1"/>
  <c r="L260" i="2" a="1"/>
  <c r="M235" i="2" a="1"/>
  <c r="L223" i="2" a="1"/>
  <c r="M212" i="2" a="1"/>
  <c r="M199" i="2" a="1"/>
  <c r="M176" i="2" a="1"/>
  <c r="M154" i="2" a="1"/>
  <c r="K141" i="2" a="1"/>
  <c r="J125" i="2" a="1"/>
  <c r="J108" i="2" a="1"/>
  <c r="L93" i="2" a="1"/>
  <c r="K77" i="2" a="1"/>
  <c r="J61" i="2" a="1"/>
  <c r="J44" i="2" a="1"/>
  <c r="L29" i="2" a="1"/>
  <c r="K13" i="2" a="1"/>
  <c r="M292" i="2" a="1"/>
  <c r="M288" i="2" a="1"/>
  <c r="M249" i="2" a="1"/>
  <c r="J225" i="2" a="1"/>
  <c r="M209" i="2" a="1"/>
  <c r="M180" i="2" a="1"/>
  <c r="K158" i="2" a="1"/>
  <c r="K128" i="2" a="1"/>
  <c r="M114" i="2" a="1"/>
  <c r="M85" i="2" a="1"/>
  <c r="K71" i="2" a="1"/>
  <c r="M56" i="2" a="1"/>
  <c r="K43" i="2" a="1"/>
  <c r="L16" i="2" a="1"/>
  <c r="J263" i="2" a="1"/>
  <c r="L238" i="2" a="1"/>
  <c r="M218" i="2" a="1"/>
  <c r="L199" i="2" a="1"/>
  <c r="K170" i="2" a="1"/>
  <c r="K154" i="2" a="1"/>
  <c r="J131" i="2" a="1"/>
  <c r="M107" i="2" a="1"/>
  <c r="J93" i="2" a="1"/>
  <c r="J74" i="2" a="1"/>
  <c r="M42" i="2" a="1"/>
  <c r="K28" i="2" a="1"/>
  <c r="M261" i="2" a="1"/>
  <c r="J232" i="2" a="1"/>
  <c r="K199" i="2" a="1"/>
  <c r="K177" i="2" a="1"/>
  <c r="J150" i="2" a="1"/>
  <c r="M127" i="2" a="1"/>
  <c r="M100" i="2" a="1"/>
  <c r="M80" i="2" a="1"/>
  <c r="J65" i="2" a="1"/>
  <c r="J47" i="2" a="1"/>
  <c r="M23" i="2" a="1"/>
  <c r="L261" i="2" a="1"/>
  <c r="K223" i="2" a="1"/>
  <c r="J199" i="2" a="1"/>
  <c r="L178" i="2" a="1"/>
  <c r="K161" i="2" a="1"/>
  <c r="M138" i="2" a="1"/>
  <c r="L98" i="2" a="1"/>
  <c r="M72" i="2" a="1"/>
  <c r="L51" i="2" a="1"/>
  <c r="L33" i="2" a="1"/>
  <c r="L14" i="2" a="1"/>
  <c r="J214" i="2" a="1"/>
  <c r="L154" i="2" a="1"/>
  <c r="J121" i="2" a="1"/>
  <c r="L90" i="2" a="1"/>
  <c r="M54" i="2" a="1"/>
  <c r="J12" i="2" a="1"/>
  <c r="M287" i="2" a="1"/>
  <c r="M177" i="2" a="1"/>
  <c r="J254" i="2" a="1"/>
  <c r="J272" i="2" a="1"/>
  <c r="J236" i="2" a="1"/>
  <c r="K89" i="2" a="1"/>
  <c r="J144" i="2" a="1"/>
  <c r="J16" i="2" a="1"/>
  <c r="K256" i="2" a="1"/>
  <c r="L74" i="2" a="1"/>
  <c r="M183" i="2" a="1"/>
  <c r="K10" i="2" a="1"/>
  <c r="L205" i="2" a="1"/>
  <c r="K31" i="2" a="1"/>
  <c r="J78" i="2" a="1"/>
  <c r="M20" i="2" a="1"/>
  <c r="L221" i="2" a="1"/>
  <c r="L132" i="2" a="1"/>
  <c r="M35" i="2" a="1"/>
  <c r="K101" i="2" a="1"/>
  <c r="L173" i="2" a="1"/>
  <c r="M226" i="2" a="1"/>
  <c r="J102" i="2" a="1"/>
  <c r="M233" i="2" a="1"/>
  <c r="K120" i="2" a="1"/>
  <c r="M50" i="2" a="1"/>
  <c r="J239" i="2" a="1"/>
  <c r="J177" i="2" a="1"/>
  <c r="M262" i="2" a="1"/>
  <c r="L202" i="2" a="1"/>
  <c r="L149" i="2" a="1"/>
  <c r="L110" i="2" a="1"/>
  <c r="L57" i="2" a="1"/>
  <c r="M21" i="2" a="1"/>
  <c r="M222" i="2" a="1"/>
  <c r="L123" i="2" a="1"/>
  <c r="M268" i="2" a="1"/>
  <c r="K196" i="2" a="1"/>
  <c r="M140" i="2" a="1"/>
  <c r="J98" i="2" a="1"/>
  <c r="K61" i="2" a="1"/>
  <c r="J21" i="2" a="1"/>
  <c r="K278" i="2" a="1"/>
  <c r="L190" i="2" a="1"/>
  <c r="M102" i="2" a="1"/>
  <c r="J14" i="2" a="1"/>
  <c r="L91" i="2" a="1"/>
  <c r="L147" i="2" a="1"/>
  <c r="K93" i="2" a="1"/>
  <c r="M6" i="2" a="1"/>
  <c r="L163" i="2" a="1"/>
  <c r="K257" i="2" a="1"/>
  <c r="L226" i="2" a="1"/>
  <c r="K38" i="2" a="1"/>
  <c r="K246" i="2" a="1"/>
  <c r="J35" i="2" a="1"/>
  <c r="M139" i="2" a="1"/>
  <c r="K135" i="2" a="1"/>
  <c r="J218" i="2" a="1"/>
  <c r="L127" i="2" a="1"/>
  <c r="K239" i="2" a="1"/>
  <c r="M106" i="2" a="1"/>
  <c r="M63" i="2" a="1"/>
  <c r="M62" i="2" a="1"/>
  <c r="M213" i="2" a="1"/>
  <c r="M133" i="2" a="1"/>
  <c r="M74" i="2" a="1"/>
  <c r="L53" i="2" a="1"/>
  <c r="L263" i="2" a="1"/>
  <c r="K30" i="2" a="1"/>
  <c r="M234" i="2" a="1"/>
  <c r="M12" i="2" a="1"/>
  <c r="L113" i="2" a="1"/>
  <c r="K243" i="2" a="1"/>
  <c r="K206" i="2" a="1"/>
  <c r="J25" i="2" a="1"/>
  <c r="K142" i="2" a="1"/>
  <c r="J23" i="2" a="1"/>
  <c r="M193" i="2" a="1"/>
  <c r="M279" i="2" a="1"/>
  <c r="K162" i="2" a="1"/>
  <c r="K259" i="2" a="1"/>
  <c r="J200" i="2" a="1"/>
  <c r="J73" i="2" a="1"/>
  <c r="K265" i="2" a="1"/>
  <c r="L129" i="2" a="1"/>
  <c r="L231" i="2" a="1"/>
  <c r="J60" i="2" a="1"/>
  <c r="J159" i="2" a="1"/>
  <c r="L182" i="2" a="1"/>
  <c r="K59" i="2" a="1"/>
  <c r="K208" i="2" a="1"/>
  <c r="K112" i="2" a="1"/>
  <c r="L28" i="2" a="1"/>
  <c r="L71" i="2" a="1"/>
  <c r="L150" i="2" a="1"/>
  <c r="M217" i="2" a="1"/>
  <c r="J88" i="2" a="1"/>
  <c r="K211" i="2" a="1"/>
  <c r="K104" i="2" a="1"/>
  <c r="M29" i="2" a="1"/>
  <c r="J235" i="2" a="1"/>
  <c r="M173" i="2" a="1"/>
  <c r="J256" i="2" a="1"/>
  <c r="K198" i="2" a="1"/>
  <c r="M144" i="2" a="1"/>
  <c r="K103" i="2" a="1"/>
  <c r="J54" i="2" a="1"/>
  <c r="M16" i="2" a="1"/>
  <c r="K209" i="2" a="1"/>
  <c r="M111" i="2" a="1"/>
  <c r="L266" i="2" a="1"/>
  <c r="K194" i="2" a="1"/>
  <c r="K139" i="2" a="1"/>
  <c r="L96" i="2" a="1"/>
  <c r="J59" i="2" a="1"/>
  <c r="J11" i="2" a="1"/>
  <c r="L245" i="2" a="1"/>
  <c r="L186" i="2" a="1"/>
  <c r="M97" i="2" a="1"/>
  <c r="M8" i="2" a="1"/>
  <c r="K231" i="2" a="1"/>
  <c r="K92" i="2" a="1"/>
  <c r="M87" i="2" a="1"/>
  <c r="J113" i="2" a="1"/>
  <c r="K229" i="2" a="1"/>
  <c r="L184" i="2" a="1"/>
  <c r="M17" i="2" a="1"/>
  <c r="K174" i="2" a="1"/>
  <c r="J45" i="2" a="1"/>
  <c r="L168" i="2" a="1"/>
  <c r="M143" i="2" a="1"/>
  <c r="K74" i="2" a="1"/>
  <c r="K215" i="2" a="1"/>
  <c r="K137" i="2" a="1"/>
  <c r="M78" i="2" a="1"/>
  <c r="K253" i="2" a="1"/>
  <c r="L297" i="2" a="1"/>
  <c r="K66" i="2" a="1"/>
  <c r="K16" i="2" a="1"/>
  <c r="J103" i="2" a="1"/>
  <c r="K116" i="2" a="1"/>
  <c r="L106" i="2" a="1"/>
  <c r="M204" i="2" a="1"/>
  <c r="K50" i="2" a="1"/>
  <c r="L49" i="2" a="1"/>
  <c r="K232" i="2" a="1"/>
  <c r="K55" i="2" a="1"/>
  <c r="J279" i="2" a="1"/>
  <c r="L61" i="2" a="1"/>
  <c r="K202" i="2" a="1"/>
  <c r="M280" i="2" a="1"/>
  <c r="M271" i="2" a="1"/>
  <c r="J243" i="2" a="1"/>
  <c r="J187" i="2" a="1"/>
  <c r="M58" i="2" a="1"/>
  <c r="J240" i="2" a="1"/>
  <c r="L112" i="2" a="1"/>
  <c r="K213" i="2" a="1"/>
  <c r="L46" i="2" a="1"/>
  <c r="M135" i="2" a="1"/>
  <c r="M156" i="2" a="1"/>
  <c r="J234" i="2" a="1"/>
  <c r="J40" i="2" a="1"/>
  <c r="J205" i="2" a="1"/>
  <c r="K109" i="2" a="1"/>
  <c r="L25" i="2" a="1"/>
  <c r="J69" i="2" a="1"/>
  <c r="L141" i="2" a="1"/>
  <c r="L176" i="2" a="1"/>
  <c r="L82" i="2" a="1"/>
  <c r="M181" i="2" a="1"/>
  <c r="J91" i="2" a="1"/>
  <c r="M27" i="2" a="1"/>
  <c r="K233" i="2" a="1"/>
  <c r="J172" i="2" a="1"/>
  <c r="J251" i="2" a="1"/>
  <c r="L194" i="2" a="1"/>
  <c r="L142" i="2" a="1"/>
  <c r="M96" i="2" a="1"/>
  <c r="L45" i="2" a="1"/>
  <c r="M11" i="2" a="1"/>
  <c r="M179" i="2" a="1"/>
  <c r="L108" i="2" a="1"/>
  <c r="J264" i="2" a="1"/>
  <c r="M192" i="2" a="1"/>
  <c r="L120" i="2" a="1"/>
  <c r="K94" i="2" a="1"/>
  <c r="K57" i="2" a="1"/>
  <c r="K9" i="2" a="1"/>
  <c r="J162" i="2" a="1"/>
  <c r="K166" i="2" a="1"/>
  <c r="M260" i="2" a="1"/>
  <c r="M7" i="2" a="1"/>
  <c r="K83" i="2" a="1"/>
  <c r="L158" i="2" a="1"/>
  <c r="J287" i="2" a="1"/>
  <c r="J157" i="2" a="1"/>
  <c r="J222" i="2" a="1"/>
  <c r="J129" i="2" a="1"/>
  <c r="J153" i="2" a="1"/>
  <c r="K110" i="2" a="1"/>
  <c r="J71" i="2" a="1"/>
  <c r="J255" i="2" a="1"/>
  <c r="J161" i="2" a="1"/>
  <c r="J26" i="2" a="1"/>
  <c r="J151" i="2" a="1"/>
  <c r="K220" i="2" a="1"/>
  <c r="M253" i="2" a="1"/>
  <c r="M216" i="2" a="1"/>
  <c r="L157" i="2" a="1"/>
  <c r="K204" i="2" a="1"/>
  <c r="K26" i="2" a="1"/>
  <c r="K191" i="2" a="1"/>
  <c r="M270" i="2" a="1"/>
  <c r="J280" i="2" a="1"/>
  <c r="K32" i="2" a="1"/>
  <c r="J90" i="2" a="1"/>
  <c r="L109" i="2" a="1"/>
  <c r="J62" i="2" a="1"/>
  <c r="K138" i="2" a="1"/>
  <c r="M121" i="2" a="1"/>
  <c r="K17" i="2" a="1"/>
  <c r="M115" i="2" a="1"/>
  <c r="J100" i="2" a="1"/>
  <c r="M112" i="2" a="1"/>
  <c r="K255" i="2" a="1"/>
  <c r="J173" i="2" a="1"/>
  <c r="L42" i="2" a="1"/>
  <c r="L225" i="2" a="1"/>
  <c r="K96" i="2" a="1"/>
  <c r="M300" i="2" a="1"/>
  <c r="L192" i="2" a="1"/>
  <c r="K24" i="2" a="1"/>
  <c r="J114" i="2" a="1"/>
  <c r="J133" i="2" a="1"/>
  <c r="K203" i="2" a="1"/>
  <c r="K20" i="2" a="1"/>
  <c r="M240" i="2" a="1"/>
  <c r="L273" i="2" a="1"/>
  <c r="K193" i="2" a="1"/>
  <c r="K105" i="2" a="1"/>
  <c r="L175" i="2" a="1"/>
  <c r="M53" i="2" a="1"/>
  <c r="K114" i="2" a="1"/>
  <c r="K167" i="2" a="1"/>
  <c r="J63" i="2" a="1"/>
  <c r="L172" i="2" a="1"/>
  <c r="L85" i="2" a="1"/>
  <c r="L19" i="2" a="1"/>
  <c r="M296" i="2" a="1"/>
  <c r="L227" i="2" a="1"/>
  <c r="J166" i="2" a="1"/>
  <c r="L230" i="2" a="1"/>
  <c r="L191" i="2" a="1"/>
  <c r="L139" i="2" a="1"/>
  <c r="M94" i="2" a="1"/>
  <c r="L40" i="2" a="1"/>
  <c r="L257" i="2" a="1"/>
  <c r="L187" i="2" a="1"/>
  <c r="K45" i="2" a="1"/>
  <c r="L95" i="2" a="1"/>
  <c r="K54" i="2" a="1"/>
  <c r="K80" i="2" a="1"/>
  <c r="L160" i="2" a="1"/>
  <c r="K82" i="2" a="1"/>
  <c r="L243" i="2" a="1"/>
  <c r="L80" i="2" a="1"/>
  <c r="K227" i="2" a="1"/>
  <c r="M45" i="2" a="1"/>
  <c r="L7" i="2" a="1"/>
  <c r="K140" i="2" a="1"/>
  <c r="J68" i="2" a="1"/>
  <c r="J226" i="2" a="1"/>
  <c r="K33" i="2" a="1"/>
  <c r="K131" i="2" a="1"/>
  <c r="M131" i="2" a="1"/>
  <c r="J135" i="2" a="1"/>
  <c r="M120" i="2" a="1"/>
  <c r="K235" i="2" a="1"/>
  <c r="K149" i="2" a="1"/>
  <c r="L201" i="2" a="1"/>
  <c r="M160" i="2" a="1"/>
  <c r="K238" i="2" a="1"/>
  <c r="L111" i="2" a="1"/>
  <c r="J192" i="2" a="1"/>
  <c r="K241" i="2" a="1"/>
  <c r="L181" i="2" a="1"/>
  <c r="L153" i="2" a="1"/>
  <c r="J130" i="2" a="1"/>
  <c r="K64" i="2" a="1"/>
  <c r="K37" i="2" a="1"/>
  <c r="M241" i="2" a="1"/>
  <c r="M294" i="2" a="1"/>
  <c r="J155" i="2" a="1"/>
  <c r="K25" i="2" a="1"/>
  <c r="L214" i="2" a="1"/>
  <c r="J80" i="2" a="1"/>
  <c r="M163" i="2" a="1"/>
  <c r="L289" i="2" a="1"/>
  <c r="J95" i="2" a="1"/>
  <c r="M109" i="2" a="1"/>
  <c r="L183" i="2" a="1"/>
  <c r="K169" i="2" a="1"/>
  <c r="J265" i="2" a="1"/>
  <c r="K46" i="2" a="1"/>
  <c r="K226" i="2" a="1"/>
  <c r="M286" i="2" a="1"/>
  <c r="J296" i="2" a="1"/>
  <c r="J137" i="2" a="1"/>
  <c r="J9" i="2" a="1"/>
  <c r="M201" i="2" a="1"/>
  <c r="L65" i="2" a="1"/>
  <c r="K130" i="2" a="1"/>
  <c r="M244" i="2" a="1"/>
  <c r="K76" i="2" a="1"/>
  <c r="J85" i="2" a="1"/>
  <c r="K165" i="2" a="1"/>
  <c r="L126" i="2" a="1"/>
  <c r="J249" i="2" a="1"/>
  <c r="M165" i="2" a="1"/>
  <c r="L84" i="2" a="1"/>
  <c r="L121" i="2" a="1"/>
  <c r="L27" i="2" a="1"/>
  <c r="K65" i="2" a="1"/>
  <c r="M36" i="2" a="1"/>
  <c r="M231" i="2" a="1"/>
  <c r="J210" i="2" a="1"/>
  <c r="M278" i="2" a="1"/>
  <c r="J288" i="2" a="1"/>
  <c r="L293" i="2" a="1"/>
  <c r="M122" i="2" a="1"/>
  <c r="M178" i="2" a="1"/>
  <c r="L48" i="2" a="1"/>
  <c r="J118" i="2" a="1"/>
  <c r="L222" i="2" a="1"/>
  <c r="K48" i="2" a="1"/>
  <c r="L281" i="2" a="1"/>
  <c r="K67" i="2" a="1"/>
  <c r="K145" i="2" a="1"/>
  <c r="M93" i="2" a="1"/>
  <c r="M238" i="2" a="1"/>
  <c r="K152" i="2" a="1"/>
  <c r="L73" i="2" a="1"/>
  <c r="L118" i="2" a="1"/>
  <c r="L17" i="2" a="1"/>
  <c r="J22" i="2" a="1"/>
  <c r="K132" i="2" a="1"/>
  <c r="L38" i="2" a="1"/>
  <c r="K35" i="2"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M8" i="2"/>
  <c r="J14" i="2"/>
  <c r="K37" i="2"/>
  <c r="L53" i="2"/>
  <c r="M63" i="2"/>
  <c r="J71" i="2"/>
  <c r="K83" i="2"/>
  <c r="K92" i="2"/>
  <c r="M97" i="2"/>
  <c r="M102" i="2"/>
  <c r="M112" i="2"/>
  <c r="K116" i="2"/>
  <c r="K131" i="2"/>
  <c r="M143" i="2"/>
  <c r="L147" i="2"/>
  <c r="J162" i="2"/>
  <c r="L186" i="2"/>
  <c r="L190" i="2"/>
  <c r="M193" i="2"/>
  <c r="L201" i="2"/>
  <c r="K220" i="2"/>
  <c r="K227" i="2"/>
  <c r="K229" i="2"/>
  <c r="K231" i="2"/>
  <c r="L245" i="2"/>
  <c r="K278" i="2"/>
  <c r="M280" i="2"/>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M7" i="2"/>
  <c r="K9" i="2"/>
  <c r="J11" i="2"/>
  <c r="J21" i="2"/>
  <c r="J23" i="2"/>
  <c r="K26" i="2"/>
  <c r="K33" i="2"/>
  <c r="J35" i="2"/>
  <c r="K45" i="2"/>
  <c r="K57" i="2"/>
  <c r="J59" i="2"/>
  <c r="K61" i="2"/>
  <c r="K64" i="2"/>
  <c r="M74" i="2"/>
  <c r="M78" i="2"/>
  <c r="L80" i="2"/>
  <c r="L91" i="2"/>
  <c r="K94" i="2"/>
  <c r="L96" i="2"/>
  <c r="J98" i="2"/>
  <c r="J100" i="2"/>
  <c r="J103" i="2"/>
  <c r="M106" i="2"/>
  <c r="K110" i="2"/>
  <c r="J113" i="2"/>
  <c r="L120" i="2"/>
  <c r="K139" i="2"/>
  <c r="M140" i="2"/>
  <c r="K142" i="2"/>
  <c r="K149" i="2"/>
  <c r="J151" i="2"/>
  <c r="L168" i="2"/>
  <c r="L187" i="2"/>
  <c r="M192" i="2"/>
  <c r="K194" i="2"/>
  <c r="K196" i="2"/>
  <c r="K202" i="2"/>
  <c r="K204" i="2"/>
  <c r="J226" i="2"/>
  <c r="K246" i="2"/>
  <c r="M260" i="2"/>
  <c r="J264" i="2"/>
  <c r="L266" i="2"/>
  <c r="M268" i="2"/>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K16" i="2"/>
  <c r="J26" i="2"/>
  <c r="J45" i="2"/>
  <c r="M87" i="2"/>
  <c r="L108" i="2"/>
  <c r="M111" i="2"/>
  <c r="L123" i="2"/>
  <c r="J130" i="2"/>
  <c r="M133" i="2"/>
  <c r="K137" i="2"/>
  <c r="J153" i="2"/>
  <c r="K166" i="2"/>
  <c r="M179" i="2"/>
  <c r="K209" i="2"/>
  <c r="M222" i="2"/>
  <c r="M231" i="2"/>
  <c r="K235" i="2"/>
  <c r="K239" i="2"/>
  <c r="L243" i="2"/>
  <c r="L257" i="2"/>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M11" i="2"/>
  <c r="M16" i="2"/>
  <c r="M21" i="2"/>
  <c r="J25" i="2"/>
  <c r="K35" i="2"/>
  <c r="M36" i="2"/>
  <c r="K38" i="2"/>
  <c r="L40" i="2"/>
  <c r="L45" i="2"/>
  <c r="J54" i="2"/>
  <c r="L57" i="2"/>
  <c r="L61" i="2"/>
  <c r="K66" i="2"/>
  <c r="J68" i="2"/>
  <c r="K82" i="2"/>
  <c r="M94" i="2"/>
  <c r="M96" i="2"/>
  <c r="K103" i="2"/>
  <c r="L110" i="2"/>
  <c r="M115" i="2"/>
  <c r="M120" i="2"/>
  <c r="L127" i="2"/>
  <c r="J129" i="2"/>
  <c r="L139" i="2"/>
  <c r="L142" i="2"/>
  <c r="M144" i="2"/>
  <c r="L149" i="2"/>
  <c r="L153" i="2"/>
  <c r="L157" i="2"/>
  <c r="J161" i="2"/>
  <c r="K174" i="2"/>
  <c r="L191" i="2"/>
  <c r="L194" i="2"/>
  <c r="K198" i="2"/>
  <c r="L202" i="2"/>
  <c r="K206" i="2"/>
  <c r="M213" i="2"/>
  <c r="K215" i="2"/>
  <c r="L226" i="2"/>
  <c r="L230" i="2"/>
  <c r="J251" i="2"/>
  <c r="J256" i="2"/>
  <c r="M262" i="2"/>
  <c r="J279" i="2"/>
  <c r="L297" i="2"/>
  <c r="J36" i="3"/>
  <c r="K54" i="3"/>
  <c r="M56" i="3"/>
  <c r="J68" i="3"/>
  <c r="J87" i="3"/>
  <c r="J107" i="3"/>
  <c r="J109" i="3"/>
  <c r="J146" i="3"/>
  <c r="J151" i="3"/>
  <c r="M156" i="3"/>
  <c r="J166" i="3"/>
  <c r="L168" i="3"/>
  <c r="L182" i="3"/>
  <c r="M190" i="3"/>
  <c r="M199" i="3"/>
  <c r="M254" i="3"/>
  <c r="M265" i="3"/>
  <c r="J299" i="3"/>
  <c r="M22" i="4"/>
  <c r="K41" i="4"/>
  <c r="J85" i="4"/>
  <c r="J238" i="4"/>
  <c r="K17" i="2"/>
  <c r="J135" i="2"/>
  <c r="K140" i="2"/>
  <c r="L160" i="2"/>
  <c r="J166" i="2"/>
  <c r="J172" i="2"/>
  <c r="M173" i="2"/>
  <c r="J177" i="2"/>
  <c r="L181" i="2"/>
  <c r="M216" i="2"/>
  <c r="J218" i="2"/>
  <c r="J222" i="2"/>
  <c r="L227" i="2"/>
  <c r="K233" i="2"/>
  <c r="J235" i="2"/>
  <c r="J239" i="2"/>
  <c r="K243" i="2"/>
  <c r="K253" i="2"/>
  <c r="J255" i="2"/>
  <c r="K257" i="2"/>
  <c r="M296" i="2"/>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7" i="2"/>
  <c r="M17" i="2"/>
  <c r="L19" i="2"/>
  <c r="M27" i="2"/>
  <c r="M29" i="2"/>
  <c r="M50" i="2"/>
  <c r="K55" i="2"/>
  <c r="M62" i="2"/>
  <c r="K74" i="2"/>
  <c r="K80" i="2"/>
  <c r="L85" i="2"/>
  <c r="J91" i="2"/>
  <c r="K104" i="2"/>
  <c r="K120" i="2"/>
  <c r="M121" i="2"/>
  <c r="M131" i="2"/>
  <c r="K135" i="2"/>
  <c r="J139" i="2"/>
  <c r="J157" i="2"/>
  <c r="M164" i="2"/>
  <c r="L172" i="2"/>
  <c r="M181" i="2"/>
  <c r="K185" i="2"/>
  <c r="M207" i="2"/>
  <c r="K211" i="2"/>
  <c r="K224" i="2"/>
  <c r="M233" i="2"/>
  <c r="K237" i="2"/>
  <c r="K241" i="2"/>
  <c r="M253" i="2"/>
  <c r="K274" i="2"/>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J13" i="2"/>
  <c r="M26" i="2"/>
  <c r="L38" i="2"/>
  <c r="K44" i="2"/>
  <c r="M45" i="2"/>
  <c r="J51" i="2"/>
  <c r="K54" i="2"/>
  <c r="J63" i="2"/>
  <c r="K70" i="2"/>
  <c r="J72" i="2"/>
  <c r="L82" i="2"/>
  <c r="L86" i="2"/>
  <c r="J88" i="2"/>
  <c r="L100" i="2"/>
  <c r="J102" i="2"/>
  <c r="L113" i="2"/>
  <c r="J122" i="2"/>
  <c r="M130" i="2"/>
  <c r="K132" i="2"/>
  <c r="J138" i="2"/>
  <c r="M139" i="2"/>
  <c r="K159" i="2"/>
  <c r="L163" i="2"/>
  <c r="K167" i="2"/>
  <c r="K171" i="2"/>
  <c r="L174" i="2"/>
  <c r="L176" i="2"/>
  <c r="K178" i="2"/>
  <c r="M217" i="2"/>
  <c r="L219" i="2"/>
  <c r="M226" i="2"/>
  <c r="K232" i="2"/>
  <c r="L254" i="2"/>
  <c r="J295" i="2"/>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J287" i="2"/>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M6" i="2"/>
  <c r="K18" i="2"/>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M10" i="2"/>
  <c r="J22" i="2"/>
  <c r="L56" i="2"/>
  <c r="K65" i="2"/>
  <c r="L95" i="2"/>
  <c r="L99" i="2"/>
  <c r="K111" i="2"/>
  <c r="K114" i="2"/>
  <c r="K118" i="2"/>
  <c r="L141" i="2"/>
  <c r="J145" i="2"/>
  <c r="L150" i="2"/>
  <c r="L173" i="2"/>
  <c r="K179" i="2"/>
  <c r="M188" i="2"/>
  <c r="J192" i="2"/>
  <c r="J207" i="2"/>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7" i="2"/>
  <c r="M12" i="2"/>
  <c r="K14" i="2"/>
  <c r="L17" i="2"/>
  <c r="L27" i="2"/>
  <c r="L37" i="2"/>
  <c r="M41" i="2"/>
  <c r="K46" i="2"/>
  <c r="J52" i="2"/>
  <c r="M53" i="2"/>
  <c r="M67" i="2"/>
  <c r="J69" i="2"/>
  <c r="L71" i="2"/>
  <c r="K85" i="2"/>
  <c r="L92" i="2"/>
  <c r="K101" i="2"/>
  <c r="K108" i="2"/>
  <c r="L111" i="2"/>
  <c r="L114" i="2"/>
  <c r="L118" i="2"/>
  <c r="L121" i="2"/>
  <c r="L128" i="2"/>
  <c r="M145" i="2"/>
  <c r="L158" i="2"/>
  <c r="L162" i="2"/>
  <c r="L175" i="2"/>
  <c r="J213" i="2"/>
  <c r="L25" i="2"/>
  <c r="L28" i="2"/>
  <c r="J32" i="2"/>
  <c r="J34" i="2"/>
  <c r="M35" i="2"/>
  <c r="L47" i="2"/>
  <c r="L49" i="2"/>
  <c r="J53" i="2"/>
  <c r="L73" i="2"/>
  <c r="L84" i="2"/>
  <c r="K88" i="2"/>
  <c r="K90" i="2"/>
  <c r="K93" i="2"/>
  <c r="M103" i="2"/>
  <c r="K105" i="2"/>
  <c r="K107" i="2"/>
  <c r="K109" i="2"/>
  <c r="K112" i="2"/>
  <c r="L119" i="2"/>
  <c r="J124" i="2"/>
  <c r="L132" i="2"/>
  <c r="M134" i="2"/>
  <c r="K138" i="2"/>
  <c r="J141" i="2"/>
  <c r="K152" i="2"/>
  <c r="M165" i="2"/>
  <c r="M174" i="2"/>
  <c r="M182" i="2"/>
  <c r="L184" i="2"/>
  <c r="J186" i="2"/>
  <c r="K193" i="2"/>
  <c r="J197" i="2"/>
  <c r="J205" i="2"/>
  <c r="K208" i="2"/>
  <c r="L210" i="2"/>
  <c r="L212" i="2"/>
  <c r="L221" i="2"/>
  <c r="J223" i="2"/>
  <c r="M234" i="2"/>
  <c r="L236" i="2"/>
  <c r="M238" i="2"/>
  <c r="J249" i="2"/>
  <c r="L256" i="2"/>
  <c r="J261" i="2"/>
  <c r="J265" i="2"/>
  <c r="J267" i="2"/>
  <c r="L273" i="2"/>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5" i="2"/>
  <c r="L8" i="2"/>
  <c r="L10" i="2"/>
  <c r="J12" i="2"/>
  <c r="J17" i="2"/>
  <c r="M20" i="2"/>
  <c r="J24" i="2"/>
  <c r="M25" i="2"/>
  <c r="M30" i="2"/>
  <c r="L34" i="2"/>
  <c r="M44" i="2"/>
  <c r="M54" i="2"/>
  <c r="L58" i="2"/>
  <c r="J62" i="2"/>
  <c r="L72" i="2"/>
  <c r="L75" i="2"/>
  <c r="L77" i="2"/>
  <c r="K79" i="2"/>
  <c r="K81" i="2"/>
  <c r="L90" i="2"/>
  <c r="J92" i="2"/>
  <c r="M93" i="2"/>
  <c r="K95" i="2"/>
  <c r="K99" i="2"/>
  <c r="L102" i="2"/>
  <c r="J111" i="2"/>
  <c r="J116" i="2"/>
  <c r="J121" i="2"/>
  <c r="M124" i="2"/>
  <c r="L126" i="2"/>
  <c r="J128" i="2"/>
  <c r="M129" i="2"/>
  <c r="L138" i="2"/>
  <c r="M148" i="2"/>
  <c r="K150" i="2"/>
  <c r="L154" i="2"/>
  <c r="L156" i="2"/>
  <c r="K169" i="2"/>
  <c r="K173" i="2"/>
  <c r="J188" i="2"/>
  <c r="K197" i="2"/>
  <c r="M208" i="2"/>
  <c r="M210" i="2"/>
  <c r="J214" i="2"/>
  <c r="K225" i="2"/>
  <c r="M240" i="2"/>
  <c r="K261" i="2"/>
  <c r="L265" i="2"/>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M5" i="2"/>
  <c r="J10" i="2"/>
  <c r="K11" i="2"/>
  <c r="K12" i="2"/>
  <c r="L14" i="2"/>
  <c r="M15" i="2"/>
  <c r="K20" i="2"/>
  <c r="L23" i="2"/>
  <c r="M24" i="2"/>
  <c r="J29" i="2"/>
  <c r="J30" i="2"/>
  <c r="J31" i="2"/>
  <c r="L33" i="2"/>
  <c r="M34" i="2"/>
  <c r="J40" i="2"/>
  <c r="J41" i="2"/>
  <c r="K42" i="2"/>
  <c r="M43" i="2"/>
  <c r="J48" i="2"/>
  <c r="J50" i="2"/>
  <c r="L51" i="2"/>
  <c r="M52" i="2"/>
  <c r="K59" i="2"/>
  <c r="L60" i="2"/>
  <c r="M61" i="2"/>
  <c r="J67" i="2"/>
  <c r="K69" i="2"/>
  <c r="M71" i="2"/>
  <c r="M72" i="2"/>
  <c r="J76" i="2"/>
  <c r="J78" i="2"/>
  <c r="L81" i="2"/>
  <c r="J87" i="2"/>
  <c r="L89" i="2"/>
  <c r="M91" i="2"/>
  <c r="J96" i="2"/>
  <c r="L98" i="2"/>
  <c r="L101" i="2"/>
  <c r="L109" i="2"/>
  <c r="J115" i="2"/>
  <c r="L117" i="2"/>
  <c r="K125" i="2"/>
  <c r="L135" i="2"/>
  <c r="L136" i="2"/>
  <c r="M138" i="2"/>
  <c r="K144" i="2"/>
  <c r="K145" i="2"/>
  <c r="K146" i="2"/>
  <c r="M147" i="2"/>
  <c r="K151" i="2"/>
  <c r="L155" i="2"/>
  <c r="M157" i="2"/>
  <c r="K161" i="2"/>
  <c r="J164" i="2"/>
  <c r="K165" i="2"/>
  <c r="L166" i="2"/>
  <c r="L167" i="2"/>
  <c r="J170" i="2"/>
  <c r="M172" i="2"/>
  <c r="J176" i="2"/>
  <c r="L178" i="2"/>
  <c r="K182" i="2"/>
  <c r="L183" i="2"/>
  <c r="L185" i="2"/>
  <c r="K188" i="2"/>
  <c r="K189" i="2"/>
  <c r="M191" i="2"/>
  <c r="K195" i="2"/>
  <c r="J199" i="2"/>
  <c r="L200" i="2"/>
  <c r="K203" i="2"/>
  <c r="K205" i="2"/>
  <c r="M206" i="2"/>
  <c r="J216" i="2"/>
  <c r="J217" i="2"/>
  <c r="K218" i="2"/>
  <c r="K223" i="2"/>
  <c r="M225" i="2"/>
  <c r="J234" i="2"/>
  <c r="M242" i="2"/>
  <c r="K247" i="2"/>
  <c r="J250" i="2"/>
  <c r="K252" i="2"/>
  <c r="J258" i="2"/>
  <c r="L261" i="2"/>
  <c r="K270" i="2"/>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8" i="2"/>
  <c r="M14" i="2"/>
  <c r="K19" i="2"/>
  <c r="K21" i="2"/>
  <c r="L22" i="2"/>
  <c r="M23" i="2"/>
  <c r="J28" i="2"/>
  <c r="K31" i="2"/>
  <c r="L32" i="2"/>
  <c r="M33" i="2"/>
  <c r="J38" i="2"/>
  <c r="J39" i="2"/>
  <c r="K41" i="2"/>
  <c r="J47" i="2"/>
  <c r="J49" i="2"/>
  <c r="K50" i="2"/>
  <c r="M51" i="2"/>
  <c r="J57" i="2"/>
  <c r="J58" i="2"/>
  <c r="L59" i="2"/>
  <c r="M60" i="2"/>
  <c r="J65" i="2"/>
  <c r="J66" i="2"/>
  <c r="K67" i="2"/>
  <c r="K68" i="2"/>
  <c r="M70" i="2"/>
  <c r="J75" i="2"/>
  <c r="J77" i="2"/>
  <c r="K78" i="2"/>
  <c r="M80" i="2"/>
  <c r="M81" i="2"/>
  <c r="J85" i="2"/>
  <c r="J86" i="2"/>
  <c r="M89" i="2"/>
  <c r="M90" i="2"/>
  <c r="K97" i="2"/>
  <c r="M99" i="2"/>
  <c r="M100" i="2"/>
  <c r="M108" i="2"/>
  <c r="M109" i="2"/>
  <c r="M117" i="2"/>
  <c r="M118" i="2"/>
  <c r="J123" i="2"/>
  <c r="L125" i="2"/>
  <c r="M126" i="2"/>
  <c r="M127" i="2"/>
  <c r="J132" i="2"/>
  <c r="J133" i="2"/>
  <c r="K134" i="2"/>
  <c r="L137" i="2"/>
  <c r="K143" i="2"/>
  <c r="L144" i="2"/>
  <c r="L146" i="2"/>
  <c r="J150" i="2"/>
  <c r="J154" i="2"/>
  <c r="M156" i="2"/>
  <c r="K160" i="2"/>
  <c r="L161" i="2"/>
  <c r="M171" i="2"/>
  <c r="J175" i="2"/>
  <c r="K176" i="2"/>
  <c r="K177" i="2"/>
  <c r="J180" i="2"/>
  <c r="L182" i="2"/>
  <c r="M184" i="2"/>
  <c r="K187" i="2"/>
  <c r="L189" i="2"/>
  <c r="M190" i="2"/>
  <c r="L196" i="2"/>
  <c r="K199" i="2"/>
  <c r="L204" i="2"/>
  <c r="L205" i="2"/>
  <c r="L211" i="2"/>
  <c r="L218" i="2"/>
  <c r="K222" i="2"/>
  <c r="M224" i="2"/>
  <c r="L229" i="2"/>
  <c r="J232" i="2"/>
  <c r="J233" i="2"/>
  <c r="K238" i="2"/>
  <c r="M239" i="2"/>
  <c r="K250" i="2"/>
  <c r="L252" i="2"/>
  <c r="L258" i="2"/>
  <c r="J260" i="2"/>
  <c r="M261" i="2"/>
  <c r="L264" i="2"/>
  <c r="L281" i="2"/>
  <c r="K286" i="2"/>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7" i="2"/>
  <c r="K10" i="2"/>
  <c r="L11" i="2"/>
  <c r="L13" i="2"/>
  <c r="L20" i="2"/>
  <c r="L21" i="2"/>
  <c r="J27" i="2"/>
  <c r="K28" i="2"/>
  <c r="K29" i="2"/>
  <c r="K30" i="2"/>
  <c r="L31" i="2"/>
  <c r="M32" i="2"/>
  <c r="J36" i="2"/>
  <c r="K39" i="2"/>
  <c r="K40" i="2"/>
  <c r="M42" i="2"/>
  <c r="K47" i="2"/>
  <c r="K48" i="2"/>
  <c r="L50" i="2"/>
  <c r="K56" i="2"/>
  <c r="J64" i="2"/>
  <c r="L68" i="2"/>
  <c r="M69" i="2"/>
  <c r="J74" i="2"/>
  <c r="K75" i="2"/>
  <c r="K76" i="2"/>
  <c r="L78" i="2"/>
  <c r="M79" i="2"/>
  <c r="K84" i="2"/>
  <c r="L87" i="2"/>
  <c r="M88" i="2"/>
  <c r="J93" i="2"/>
  <c r="J94" i="2"/>
  <c r="J95" i="2"/>
  <c r="L97" i="2"/>
  <c r="M98" i="2"/>
  <c r="J104" i="2"/>
  <c r="J105" i="2"/>
  <c r="K106" i="2"/>
  <c r="M107" i="2"/>
  <c r="J112" i="2"/>
  <c r="J114" i="2"/>
  <c r="L115" i="2"/>
  <c r="M116" i="2"/>
  <c r="K123" i="2"/>
  <c r="L124" i="2"/>
  <c r="M125" i="2"/>
  <c r="J131" i="2"/>
  <c r="K133" i="2"/>
  <c r="M135" i="2"/>
  <c r="M136" i="2"/>
  <c r="J140" i="2"/>
  <c r="J142" i="2"/>
  <c r="L145" i="2"/>
  <c r="L151" i="2"/>
  <c r="K154" i="2"/>
  <c r="M155" i="2"/>
  <c r="J159" i="2"/>
  <c r="K163" i="2"/>
  <c r="L164" i="2"/>
  <c r="L165" i="2"/>
  <c r="M166" i="2"/>
  <c r="J169" i="2"/>
  <c r="K170" i="2"/>
  <c r="K180" i="2"/>
  <c r="M183" i="2"/>
  <c r="L188" i="2"/>
  <c r="M189" i="2"/>
  <c r="J193" i="2"/>
  <c r="L195" i="2"/>
  <c r="J198" i="2"/>
  <c r="L199" i="2"/>
  <c r="L203" i="2"/>
  <c r="M204" i="2"/>
  <c r="J208" i="2"/>
  <c r="J209" i="2"/>
  <c r="K210" i="2"/>
  <c r="J215" i="2"/>
  <c r="K216" i="2"/>
  <c r="M218" i="2"/>
  <c r="K221" i="2"/>
  <c r="L222" i="2"/>
  <c r="J227" i="2"/>
  <c r="L228" i="2"/>
  <c r="J231" i="2"/>
  <c r="K234" i="2"/>
  <c r="J237" i="2"/>
  <c r="L238" i="2"/>
  <c r="J241" i="2"/>
  <c r="M244" i="2"/>
  <c r="J246" i="2"/>
  <c r="L247" i="2"/>
  <c r="M252" i="2"/>
  <c r="M258" i="2"/>
  <c r="K260" i="2"/>
  <c r="J263" i="2"/>
  <c r="J266" i="2"/>
  <c r="L289" i="2"/>
  <c r="K294" i="2"/>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J5" i="2"/>
  <c r="K6" i="2"/>
  <c r="L9" i="2"/>
  <c r="K15" i="2"/>
  <c r="L16" i="2"/>
  <c r="L18" i="2"/>
  <c r="K24" i="2"/>
  <c r="L26" i="2"/>
  <c r="L35" i="2"/>
  <c r="L36" i="2"/>
  <c r="M38" i="2"/>
  <c r="M39" i="2"/>
  <c r="K43" i="2"/>
  <c r="L44" i="2"/>
  <c r="L46" i="2"/>
  <c r="M47" i="2"/>
  <c r="M48" i="2"/>
  <c r="K52" i="2"/>
  <c r="L54" i="2"/>
  <c r="L55" i="2"/>
  <c r="M56" i="2"/>
  <c r="M57" i="2"/>
  <c r="J60" i="2"/>
  <c r="L62" i="2"/>
  <c r="L63" i="2"/>
  <c r="L64" i="2"/>
  <c r="M65" i="2"/>
  <c r="M66" i="2"/>
  <c r="K71" i="2"/>
  <c r="K73" i="2"/>
  <c r="L74" i="2"/>
  <c r="M75" i="2"/>
  <c r="M76" i="2"/>
  <c r="J81" i="2"/>
  <c r="L83" i="2"/>
  <c r="M84" i="2"/>
  <c r="M85" i="2"/>
  <c r="J89" i="2"/>
  <c r="J90" i="2"/>
  <c r="J99" i="2"/>
  <c r="K102" i="2"/>
  <c r="L104" i="2"/>
  <c r="M105" i="2"/>
  <c r="J109" i="2"/>
  <c r="M114" i="2"/>
  <c r="J117" i="2"/>
  <c r="J118" i="2"/>
  <c r="K119" i="2"/>
  <c r="K121" i="2"/>
  <c r="L122" i="2"/>
  <c r="J126" i="2"/>
  <c r="J127" i="2"/>
  <c r="K128" i="2"/>
  <c r="K129" i="2"/>
  <c r="K130" i="2"/>
  <c r="J136" i="2"/>
  <c r="M142" i="2"/>
  <c r="L148" i="2"/>
  <c r="J156" i="2"/>
  <c r="K157" i="2"/>
  <c r="K158" i="2"/>
  <c r="L159" i="2"/>
  <c r="M163" i="2"/>
  <c r="K168" i="2"/>
  <c r="K172" i="2"/>
  <c r="M175" i="2"/>
  <c r="J178" i="2"/>
  <c r="L179" i="2"/>
  <c r="M180" i="2"/>
  <c r="K186" i="2"/>
  <c r="L192" i="2"/>
  <c r="L193" i="2"/>
  <c r="K201" i="2"/>
  <c r="J206" i="2"/>
  <c r="K207" i="2"/>
  <c r="L208" i="2"/>
  <c r="M209" i="2"/>
  <c r="K212" i="2"/>
  <c r="K213" i="2"/>
  <c r="K214" i="2"/>
  <c r="M215" i="2"/>
  <c r="J219" i="2"/>
  <c r="L220" i="2"/>
  <c r="J224" i="2"/>
  <c r="J225" i="2"/>
  <c r="K230" i="2"/>
  <c r="L231" i="2"/>
  <c r="K236" i="2"/>
  <c r="L237" i="2"/>
  <c r="K240" i="2"/>
  <c r="M243" i="2"/>
  <c r="K248" i="2"/>
  <c r="M249" i="2"/>
  <c r="J253" i="2"/>
  <c r="K256" i="2"/>
  <c r="J259" i="2"/>
  <c r="L262" i="2"/>
  <c r="J271" i="2"/>
  <c r="M272" i="2"/>
  <c r="M276" i="2"/>
  <c r="M288" i="2"/>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282" i="2"/>
  <c r="M284" i="2"/>
  <c r="K290" i="2"/>
  <c r="M292" i="2"/>
  <c r="K298" i="2"/>
  <c r="M300" i="2"/>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J6" i="2"/>
  <c r="M9" i="2"/>
  <c r="L12" i="2"/>
  <c r="K13" i="2"/>
  <c r="J15" i="2"/>
  <c r="J16" i="2"/>
  <c r="M18" i="2"/>
  <c r="M19" i="2"/>
  <c r="K22" i="2"/>
  <c r="K23" i="2"/>
  <c r="M28" i="2"/>
  <c r="L29" i="2"/>
  <c r="L30" i="2"/>
  <c r="K32" i="2"/>
  <c r="J33" i="2"/>
  <c r="M37" i="2"/>
  <c r="L39" i="2"/>
  <c r="J42" i="2"/>
  <c r="J43" i="2"/>
  <c r="J44" i="2"/>
  <c r="M46" i="2"/>
  <c r="L48" i="2"/>
  <c r="K49" i="2"/>
  <c r="K51" i="2"/>
  <c r="M55" i="2"/>
  <c r="K58" i="2"/>
  <c r="K60" i="2"/>
  <c r="J61" i="2"/>
  <c r="M64" i="2"/>
  <c r="L65" i="2"/>
  <c r="L66" i="2"/>
  <c r="L67" i="2"/>
  <c r="J70" i="2"/>
  <c r="M73" i="2"/>
  <c r="L76" i="2"/>
  <c r="K77" i="2"/>
  <c r="J79" i="2"/>
  <c r="J80" i="2"/>
  <c r="M82" i="2"/>
  <c r="M83" i="2"/>
  <c r="K86" i="2"/>
  <c r="K87" i="2"/>
  <c r="M92" i="2"/>
  <c r="L93" i="2"/>
  <c r="L94" i="2"/>
  <c r="K96" i="2"/>
  <c r="J97" i="2"/>
  <c r="M101" i="2"/>
  <c r="L103" i="2"/>
  <c r="J106" i="2"/>
  <c r="J107" i="2"/>
  <c r="J108" i="2"/>
  <c r="M110" i="2"/>
  <c r="L112" i="2"/>
  <c r="K113" i="2"/>
  <c r="K115" i="2"/>
  <c r="M119" i="2"/>
  <c r="K122" i="2"/>
  <c r="K124" i="2"/>
  <c r="J125" i="2"/>
  <c r="M128" i="2"/>
  <c r="L129" i="2"/>
  <c r="L130" i="2"/>
  <c r="L131" i="2"/>
  <c r="J134" i="2"/>
  <c r="M137" i="2"/>
  <c r="L140" i="2"/>
  <c r="K141" i="2"/>
  <c r="J143" i="2"/>
  <c r="J144" i="2"/>
  <c r="M146" i="2"/>
  <c r="M149" i="2"/>
  <c r="M151" i="2"/>
  <c r="M152" i="2"/>
  <c r="M153" i="2"/>
  <c r="M154" i="2"/>
  <c r="M158" i="2"/>
  <c r="M160" i="2"/>
  <c r="M161" i="2"/>
  <c r="M162" i="2"/>
  <c r="M167" i="2"/>
  <c r="M169" i="2"/>
  <c r="M170" i="2"/>
  <c r="M176" i="2"/>
  <c r="L177" i="2"/>
  <c r="M178" i="2"/>
  <c r="M185" i="2"/>
  <c r="M194" i="2"/>
  <c r="M195" i="2"/>
  <c r="M197" i="2"/>
  <c r="M198" i="2"/>
  <c r="M199" i="2"/>
  <c r="M200" i="2"/>
  <c r="M201" i="2"/>
  <c r="M202" i="2"/>
  <c r="M203" i="2"/>
  <c r="L206" i="2"/>
  <c r="L209" i="2"/>
  <c r="M211" i="2"/>
  <c r="M212" i="2"/>
  <c r="L213" i="2"/>
  <c r="L214" i="2"/>
  <c r="L215" i="2"/>
  <c r="L217" i="2"/>
  <c r="M219" i="2"/>
  <c r="M220" i="2"/>
  <c r="M221" i="2"/>
  <c r="L223" i="2"/>
  <c r="L224" i="2"/>
  <c r="L225" i="2"/>
  <c r="M227" i="2"/>
  <c r="M228" i="2"/>
  <c r="M229" i="2"/>
  <c r="M230" i="2"/>
  <c r="L232" i="2"/>
  <c r="M235" i="2"/>
  <c r="M236" i="2"/>
  <c r="J240" i="2"/>
  <c r="L242" i="2"/>
  <c r="L246" i="2"/>
  <c r="M247" i="2"/>
  <c r="L255" i="2"/>
  <c r="M256" i="2"/>
  <c r="L260" i="2"/>
  <c r="K264" i="2"/>
  <c r="K265" i="2"/>
  <c r="M266" i="2"/>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2"/>
  <c r="L6" i="2"/>
  <c r="K8" i="2"/>
  <c r="J9" i="2"/>
  <c r="M13" i="2"/>
  <c r="L15" i="2"/>
  <c r="J18" i="2"/>
  <c r="J19" i="2"/>
  <c r="J20" i="2"/>
  <c r="M22" i="2"/>
  <c r="L24" i="2"/>
  <c r="K25" i="2"/>
  <c r="K27" i="2"/>
  <c r="M31" i="2"/>
  <c r="K34" i="2"/>
  <c r="K36" i="2"/>
  <c r="J37" i="2"/>
  <c r="M40" i="2"/>
  <c r="L41" i="2"/>
  <c r="L42" i="2"/>
  <c r="L43" i="2"/>
  <c r="J46" i="2"/>
  <c r="M49" i="2"/>
  <c r="L52" i="2"/>
  <c r="K53" i="2"/>
  <c r="J55" i="2"/>
  <c r="J56" i="2"/>
  <c r="M58" i="2"/>
  <c r="M59" i="2"/>
  <c r="K62" i="2"/>
  <c r="K63" i="2"/>
  <c r="M68" i="2"/>
  <c r="L69" i="2"/>
  <c r="L70" i="2"/>
  <c r="K72" i="2"/>
  <c r="J73" i="2"/>
  <c r="M77" i="2"/>
  <c r="L79" i="2"/>
  <c r="J82" i="2"/>
  <c r="J83" i="2"/>
  <c r="J84" i="2"/>
  <c r="M86" i="2"/>
  <c r="L88" i="2"/>
  <c r="K89" i="2"/>
  <c r="K91" i="2"/>
  <c r="M95" i="2"/>
  <c r="K98" i="2"/>
  <c r="K100" i="2"/>
  <c r="J101" i="2"/>
  <c r="M104" i="2"/>
  <c r="L105" i="2"/>
  <c r="L106" i="2"/>
  <c r="L107" i="2"/>
  <c r="J110" i="2"/>
  <c r="M113" i="2"/>
  <c r="L116" i="2"/>
  <c r="K117" i="2"/>
  <c r="J119" i="2"/>
  <c r="J120" i="2"/>
  <c r="M122" i="2"/>
  <c r="M123" i="2"/>
  <c r="K126" i="2"/>
  <c r="K127" i="2"/>
  <c r="M132" i="2"/>
  <c r="L133" i="2"/>
  <c r="L134" i="2"/>
  <c r="K136" i="2"/>
  <c r="J137" i="2"/>
  <c r="M141" i="2"/>
  <c r="L143" i="2"/>
  <c r="J146" i="2"/>
  <c r="K147" i="2"/>
  <c r="K148" i="2"/>
  <c r="J149" i="2"/>
  <c r="J152" i="2"/>
  <c r="J155" i="2"/>
  <c r="K156" i="2"/>
  <c r="J158" i="2"/>
  <c r="J160" i="2"/>
  <c r="J163" i="2"/>
  <c r="J167" i="2"/>
  <c r="J168" i="2"/>
  <c r="J171" i="2"/>
  <c r="J173" i="2"/>
  <c r="K175" i="2"/>
  <c r="J179" i="2"/>
  <c r="J181" i="2"/>
  <c r="J182" i="2"/>
  <c r="K183" i="2"/>
  <c r="K184" i="2"/>
  <c r="J185" i="2"/>
  <c r="J187" i="2"/>
  <c r="J189" i="2"/>
  <c r="J190" i="2"/>
  <c r="J191" i="2"/>
  <c r="K192" i="2"/>
  <c r="J194" i="2"/>
  <c r="J195" i="2"/>
  <c r="J196" i="2"/>
  <c r="J200" i="2"/>
  <c r="J202" i="2"/>
  <c r="J203" i="2"/>
  <c r="J204" i="2"/>
  <c r="J220" i="2"/>
  <c r="J221" i="2"/>
  <c r="J228" i="2"/>
  <c r="J230" i="2"/>
  <c r="J236" i="2"/>
  <c r="L240" i="2"/>
  <c r="L241" i="2"/>
  <c r="M245" i="2"/>
  <c r="J252" i="2"/>
  <c r="L253" i="2"/>
  <c r="M254" i="2"/>
  <c r="J257" i="2"/>
  <c r="L263" i="2"/>
  <c r="M264" i="2"/>
  <c r="L269" i="2"/>
  <c r="J275" i="2"/>
  <c r="L277" i="2"/>
  <c r="J283" i="2"/>
  <c r="L285" i="2"/>
  <c r="J291" i="2"/>
  <c r="L293" i="2"/>
  <c r="J299" i="2"/>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237" i="2"/>
  <c r="L239" i="2"/>
  <c r="J242" i="2"/>
  <c r="J243" i="2"/>
  <c r="J244" i="2"/>
  <c r="M246" i="2"/>
  <c r="L248" i="2"/>
  <c r="K249" i="2"/>
  <c r="K251" i="2"/>
  <c r="M255" i="2"/>
  <c r="K258" i="2"/>
  <c r="K259" i="2"/>
  <c r="M263" i="2"/>
  <c r="K266" i="2"/>
  <c r="K267" i="2"/>
  <c r="J268" i="2"/>
  <c r="M269" i="2"/>
  <c r="L270" i="2"/>
  <c r="K271" i="2"/>
  <c r="J272" i="2"/>
  <c r="M273" i="2"/>
  <c r="L274" i="2"/>
  <c r="K275" i="2"/>
  <c r="J276" i="2"/>
  <c r="M277" i="2"/>
  <c r="L278" i="2"/>
  <c r="K279" i="2"/>
  <c r="J280" i="2"/>
  <c r="M281" i="2"/>
  <c r="L282" i="2"/>
  <c r="K283" i="2"/>
  <c r="J284" i="2"/>
  <c r="M285" i="2"/>
  <c r="L286" i="2"/>
  <c r="K287" i="2"/>
  <c r="J288" i="2"/>
  <c r="M289" i="2"/>
  <c r="L290" i="2"/>
  <c r="K291" i="2"/>
  <c r="J292" i="2"/>
  <c r="M293" i="2"/>
  <c r="L294" i="2"/>
  <c r="K295" i="2"/>
  <c r="J296" i="2"/>
  <c r="M297" i="2"/>
  <c r="L298" i="2"/>
  <c r="K299" i="2"/>
  <c r="J300" i="2"/>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K242" i="2"/>
  <c r="K244" i="2"/>
  <c r="J245" i="2"/>
  <c r="M248" i="2"/>
  <c r="L249" i="2"/>
  <c r="L250" i="2"/>
  <c r="L251" i="2"/>
  <c r="J254" i="2"/>
  <c r="M257" i="2"/>
  <c r="L259" i="2"/>
  <c r="J262" i="2"/>
  <c r="M265" i="2"/>
  <c r="L267" i="2"/>
  <c r="K268" i="2"/>
  <c r="J269" i="2"/>
  <c r="M270" i="2"/>
  <c r="L271" i="2"/>
  <c r="K272" i="2"/>
  <c r="J273" i="2"/>
  <c r="M274" i="2"/>
  <c r="L275" i="2"/>
  <c r="K276" i="2"/>
  <c r="J277" i="2"/>
  <c r="M278" i="2"/>
  <c r="L279" i="2"/>
  <c r="K280" i="2"/>
  <c r="J281" i="2"/>
  <c r="M282" i="2"/>
  <c r="L283" i="2"/>
  <c r="K284" i="2"/>
  <c r="J285" i="2"/>
  <c r="M286" i="2"/>
  <c r="L287" i="2"/>
  <c r="K288" i="2"/>
  <c r="J289" i="2"/>
  <c r="M290" i="2"/>
  <c r="L291" i="2"/>
  <c r="K292" i="2"/>
  <c r="J293" i="2"/>
  <c r="M294" i="2"/>
  <c r="L295" i="2"/>
  <c r="K296" i="2"/>
  <c r="J297" i="2"/>
  <c r="M298" i="2"/>
  <c r="L299" i="2"/>
  <c r="K300" i="2"/>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J147" i="2"/>
  <c r="J148" i="2"/>
  <c r="M150" i="2"/>
  <c r="L152" i="2"/>
  <c r="K153" i="2"/>
  <c r="K155" i="2"/>
  <c r="M159" i="2"/>
  <c r="K162" i="2"/>
  <c r="K164" i="2"/>
  <c r="J165" i="2"/>
  <c r="M168" i="2"/>
  <c r="L169" i="2"/>
  <c r="L170" i="2"/>
  <c r="L171" i="2"/>
  <c r="J174" i="2"/>
  <c r="M177" i="2"/>
  <c r="L180" i="2"/>
  <c r="K181" i="2"/>
  <c r="J183" i="2"/>
  <c r="J184" i="2"/>
  <c r="M186" i="2"/>
  <c r="M187" i="2"/>
  <c r="K190" i="2"/>
  <c r="K191" i="2"/>
  <c r="M196" i="2"/>
  <c r="L197" i="2"/>
  <c r="L198" i="2"/>
  <c r="K200" i="2"/>
  <c r="J201" i="2"/>
  <c r="M205" i="2"/>
  <c r="L207" i="2"/>
  <c r="J210" i="2"/>
  <c r="J211" i="2"/>
  <c r="J212" i="2"/>
  <c r="M214" i="2"/>
  <c r="L216" i="2"/>
  <c r="K217" i="2"/>
  <c r="K219" i="2"/>
  <c r="M223" i="2"/>
  <c r="K226" i="2"/>
  <c r="K228" i="2"/>
  <c r="J229" i="2"/>
  <c r="M232" i="2"/>
  <c r="L233" i="2"/>
  <c r="L234" i="2"/>
  <c r="L235" i="2"/>
  <c r="J238" i="2"/>
  <c r="M241" i="2"/>
  <c r="L244" i="2"/>
  <c r="K245" i="2"/>
  <c r="J247" i="2"/>
  <c r="J248" i="2"/>
  <c r="M250" i="2"/>
  <c r="M251" i="2"/>
  <c r="K254" i="2"/>
  <c r="K255" i="2"/>
  <c r="M259" i="2"/>
  <c r="K262" i="2"/>
  <c r="K263" i="2"/>
  <c r="M267" i="2"/>
  <c r="L268" i="2"/>
  <c r="K269" i="2"/>
  <c r="J270" i="2"/>
  <c r="M271" i="2"/>
  <c r="L272" i="2"/>
  <c r="K273" i="2"/>
  <c r="J274" i="2"/>
  <c r="M275" i="2"/>
  <c r="L276" i="2"/>
  <c r="K277" i="2"/>
  <c r="J278" i="2"/>
  <c r="M279" i="2"/>
  <c r="L280" i="2"/>
  <c r="K281" i="2"/>
  <c r="J282" i="2"/>
  <c r="M283" i="2"/>
  <c r="L284" i="2"/>
  <c r="K285" i="2"/>
  <c r="J286" i="2"/>
  <c r="M287" i="2"/>
  <c r="L288" i="2"/>
  <c r="K289" i="2"/>
  <c r="J290" i="2"/>
  <c r="M291" i="2"/>
  <c r="L292" i="2"/>
  <c r="K293" i="2"/>
  <c r="J294" i="2"/>
  <c r="M295" i="2"/>
  <c r="L296" i="2"/>
  <c r="K297" i="2"/>
  <c r="J298" i="2"/>
  <c r="M299" i="2"/>
  <c r="L300" i="2"/>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alcChain>
</file>

<file path=xl/sharedStrings.xml><?xml version="1.0" encoding="utf-8"?>
<sst xmlns="http://schemas.openxmlformats.org/spreadsheetml/2006/main" count="8806" uniqueCount="7645">
  <si>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</si>
  <si>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</si>
  <si>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</si>
  <si>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</si>
  <si>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</si>
  <si>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</si>
  <si>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</si>
  <si>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</si>
  <si>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</si>
  <si>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</si>
  <si>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</si>
  <si>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</si>
  <si>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</si>
  <si>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</si>
  <si>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</si>
  <si>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</si>
  <si>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</si>
  <si>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</si>
  <si>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</si>
  <si>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</si>
  <si>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</si>
  <si>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</si>
  <si>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</si>
  <si>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</si>
  <si>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</si>
  <si>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</si>
  <si>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</si>
  <si>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</si>
  <si>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</si>
  <si>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</si>
  <si>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</si>
  <si>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</si>
  <si>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</si>
  <si>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</si>
  <si>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</si>
  <si>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</si>
  <si>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</si>
  <si>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</si>
  <si>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</si>
  <si>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</si>
  <si>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</si>
  <si>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</si>
  <si>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</si>
  <si>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</si>
  <si>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</si>
  <si>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</si>
  <si>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</si>
  <si>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</si>
  <si>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</si>
  <si>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</si>
  <si>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</si>
  <si>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</si>
  <si>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</si>
  <si>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</si>
  <si>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</si>
  <si>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</si>
  <si>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</si>
  <si>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</si>
  <si>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</si>
  <si>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</si>
  <si>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</si>
  <si>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</si>
  <si>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</si>
  <si>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</si>
  <si>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</si>
  <si>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</si>
  <si>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</si>
  <si>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</si>
  <si>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</si>
  <si>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</si>
  <si>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</si>
  <si>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</si>
  <si>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</si>
  <si>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</si>
  <si>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</si>
  <si>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</si>
  <si>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</si>
  <si>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</si>
  <si>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</si>
  <si>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</si>
  <si>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</si>
  <si>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</si>
  <si>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</si>
  <si>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</si>
  <si>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</si>
  <si>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</si>
  <si>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</si>
  <si>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</si>
  <si>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</si>
  <si>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</si>
  <si>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</si>
  <si>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</si>
  <si>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</si>
  <si>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</si>
  <si>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</si>
  <si>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</si>
  <si>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</si>
  <si>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</si>
  <si>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</si>
  <si>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</si>
  <si>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</si>
  <si>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</si>
  <si>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</si>
  <si>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</si>
  <si>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</si>
  <si>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</si>
  <si>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</si>
  <si>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</si>
  <si>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</si>
  <si>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</si>
  <si>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</si>
  <si>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</si>
  <si>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</si>
  <si>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</si>
  <si>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</si>
  <si>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</si>
  <si>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</si>
  <si>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</si>
  <si>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</si>
  <si>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</si>
  <si>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</si>
  <si>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</si>
  <si>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</si>
  <si>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</si>
  <si>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</si>
  <si>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</si>
  <si>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</si>
  <si>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</si>
  <si>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</si>
  <si>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</si>
  <si>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</si>
  <si>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</si>
  <si>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</si>
  <si>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</si>
  <si>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</si>
  <si>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</si>
  <si>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</si>
  <si>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</si>
  <si>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</si>
  <si>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</si>
  <si>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</si>
  <si>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</si>
  <si>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</si>
  <si>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</si>
  <si>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</si>
  <si>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</si>
  <si>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</si>
  <si>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</si>
  <si>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</si>
  <si>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</si>
  <si>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</si>
  <si>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</si>
  <si>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</si>
  <si>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</si>
  <si>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</si>
  <si>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</si>
  <si>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</si>
  <si>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</si>
  <si>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</si>
  <si>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</si>
  <si>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</si>
  <si>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</si>
  <si>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</si>
  <si>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</si>
  <si>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</si>
  <si>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</si>
  <si>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</si>
  <si>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</si>
  <si>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</si>
  <si>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</si>
  <si>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</si>
  <si>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</si>
  <si>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</si>
  <si>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</si>
  <si>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</si>
  <si>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</si>
  <si>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</si>
  <si>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</si>
  <si>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</si>
  <si>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</si>
  <si>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</si>
  <si>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</si>
  <si>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</si>
  <si>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</si>
  <si>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</si>
  <si>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</si>
  <si>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</si>
  <si>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</si>
  <si>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</si>
  <si>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</si>
  <si>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</si>
  <si>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</si>
  <si>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</si>
  <si>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</si>
  <si>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</si>
  <si>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</si>
  <si>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</si>
  <si>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</si>
  <si>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</si>
  <si>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</si>
  <si>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</si>
  <si>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</si>
  <si>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</si>
  <si>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</si>
  <si>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</si>
  <si>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</si>
  <si>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</si>
  <si>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</si>
  <si>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</si>
  <si>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</si>
  <si>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</si>
  <si>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</si>
  <si>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</si>
  <si>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</si>
  <si>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</si>
  <si>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</si>
  <si>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</si>
  <si>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</si>
  <si>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</si>
  <si>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</si>
  <si>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</si>
  <si>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</si>
  <si>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</si>
  <si>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</si>
  <si>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</si>
  <si>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</si>
  <si>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</si>
  <si>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</si>
  <si>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</si>
  <si>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</si>
  <si>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</si>
  <si>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</si>
  <si>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</si>
  <si>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</si>
  <si>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</si>
  <si>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</si>
  <si>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</si>
  <si>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</si>
  <si>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</si>
  <si>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</si>
  <si>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</si>
  <si>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</si>
  <si>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</si>
  <si>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</si>
  <si>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</si>
  <si>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</si>
  <si>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</si>
  <si>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</si>
  <si>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</si>
  <si>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</si>
  <si>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</si>
  <si>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</si>
  <si>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</si>
  <si>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</si>
  <si>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</si>
  <si>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</si>
  <si>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</si>
  <si>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</si>
  <si>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</si>
  <si>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</si>
  <si>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</si>
  <si>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</si>
  <si>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</si>
  <si>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</si>
  <si>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</si>
  <si>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</si>
  <si>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</si>
  <si>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</si>
  <si>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</si>
  <si>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</si>
  <si>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</si>
  <si>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</si>
  <si>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</si>
  <si>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</si>
  <si>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</si>
  <si>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</si>
  <si>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</si>
  <si>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</si>
  <si>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</si>
  <si>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</si>
  <si>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</si>
  <si>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</si>
  <si>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</si>
  <si>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</si>
  <si>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</si>
  <si>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</si>
  <si>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</si>
  <si>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</si>
  <si>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</si>
  <si>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</si>
  <si>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</si>
  <si>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</si>
  <si>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</si>
  <si>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</si>
  <si>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</si>
  <si>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</si>
  <si>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</si>
  <si>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</si>
  <si>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</si>
  <si>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</si>
  <si>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</si>
  <si>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</si>
  <si>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</si>
  <si>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</si>
  <si>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</si>
  <si>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</si>
  <si>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</si>
  <si>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</si>
  <si>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</si>
  <si>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</si>
  <si>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</si>
  <si>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</si>
  <si>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</si>
  <si>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</si>
  <si>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</si>
  <si>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</si>
  <si>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</si>
  <si>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</si>
  <si>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</si>
  <si>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</si>
  <si>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</si>
  <si>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</si>
  <si>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</si>
  <si>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</si>
  <si>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</si>
  <si>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</si>
  <si>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</si>
  <si>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</si>
  <si>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</si>
  <si>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</si>
  <si>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</si>
  <si>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</si>
  <si>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</si>
  <si>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</si>
  <si>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</si>
  <si>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</si>
  <si>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</si>
  <si>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</si>
  <si>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</si>
  <si>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</si>
  <si>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</si>
  <si>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</si>
  <si>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</si>
  <si>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</si>
  <si>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</si>
  <si>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</si>
  <si>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</si>
  <si>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</si>
  <si>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</si>
  <si>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</si>
  <si>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</si>
  <si>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</si>
  <si>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</si>
  <si>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</si>
  <si>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</si>
  <si>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</si>
  <si>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</si>
  <si>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</si>
  <si>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</si>
  <si>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</si>
  <si>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</si>
  <si>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</si>
  <si>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</si>
  <si>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</si>
  <si>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</si>
  <si>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</si>
  <si>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</si>
  <si>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</si>
  <si>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</si>
  <si>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</si>
  <si>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</si>
  <si>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</si>
  <si>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</si>
  <si>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</si>
  <si>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</si>
  <si>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</si>
  <si>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</si>
  <si>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</si>
  <si>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</si>
  <si>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</si>
  <si>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</si>
  <si>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</si>
  <si>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</si>
  <si>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</si>
  <si>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</si>
  <si>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</si>
  <si>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</si>
  <si>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</si>
  <si>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</si>
  <si>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</si>
  <si>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</si>
  <si>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</si>
  <si>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</si>
  <si>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</si>
  <si>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</si>
  <si>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</si>
  <si>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</si>
  <si>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</si>
  <si>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</si>
  <si>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</si>
  <si>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</si>
  <si>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</si>
  <si>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</si>
  <si>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</si>
  <si>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</si>
  <si>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</si>
  <si>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</si>
  <si>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</si>
  <si>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</si>
  <si>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</si>
  <si>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</si>
  <si>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</si>
  <si>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</si>
  <si>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</si>
  <si>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</si>
  <si>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</si>
  <si>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</si>
  <si>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</si>
  <si>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</si>
  <si>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</si>
  <si>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</si>
  <si>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</si>
  <si>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</si>
  <si>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</si>
  <si>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</si>
  <si>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</si>
  <si>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</si>
  <si>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</si>
  <si>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</si>
  <si>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</si>
  <si>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</si>
  <si>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</si>
  <si>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</si>
  <si>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</si>
  <si>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</si>
  <si>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</si>
  <si>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</si>
  <si>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</si>
  <si>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</si>
  <si>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</si>
  <si>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</si>
  <si>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</si>
  <si>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</si>
  <si>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</si>
  <si>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</si>
  <si>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</si>
  <si>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</si>
  <si>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</si>
  <si>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</si>
  <si>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</si>
  <si>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</si>
  <si>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</si>
  <si>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</si>
  <si>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</si>
  <si>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</si>
  <si>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</si>
  <si>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</si>
  <si>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</si>
  <si>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</si>
  <si>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</si>
  <si>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</si>
  <si>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</si>
  <si>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</si>
  <si>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</si>
  <si>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</si>
  <si>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</si>
  <si>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</si>
  <si>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</si>
  <si>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</si>
  <si>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</si>
  <si>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</si>
  <si>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</si>
  <si>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</si>
  <si>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</si>
  <si>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</si>
  <si>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</si>
  <si>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</si>
  <si>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</si>
  <si>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</si>
  <si>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</si>
  <si>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</si>
  <si>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</si>
  <si>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</si>
  <si>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</si>
  <si>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</si>
  <si>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</si>
  <si>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</si>
  <si>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</si>
  <si>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</si>
  <si>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</si>
  <si>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</si>
  <si>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</si>
  <si>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</si>
  <si>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</si>
  <si>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</si>
  <si>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</si>
  <si>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</si>
  <si>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</si>
  <si>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</si>
  <si>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</si>
  <si>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</si>
  <si>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</si>
  <si>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</si>
  <si>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</si>
  <si>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</si>
  <si>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</si>
  <si>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</si>
  <si>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</si>
  <si>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</si>
  <si>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</si>
  <si>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</si>
  <si>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</si>
  <si>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</si>
  <si>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</si>
  <si>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</si>
  <si>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</si>
  <si>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</si>
  <si>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</si>
  <si>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</si>
  <si>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</si>
  <si>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</si>
  <si>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</si>
  <si>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</si>
  <si>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</si>
  <si>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</si>
  <si>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</si>
  <si>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</si>
  <si>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</si>
  <si>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</si>
  <si>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</si>
  <si>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</si>
  <si>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</si>
  <si>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</si>
  <si>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</si>
  <si>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</si>
  <si>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</si>
  <si>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</si>
  <si>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</si>
  <si>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</si>
  <si>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</si>
  <si>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</si>
  <si>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</si>
  <si>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</si>
  <si>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</si>
  <si>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</si>
  <si>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</si>
  <si>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</si>
  <si>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</si>
  <si>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</si>
  <si>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</si>
  <si>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</si>
  <si>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</si>
  <si>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</si>
  <si>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</si>
  <si>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</si>
  <si>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</si>
  <si>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</si>
  <si>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</si>
  <si>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</si>
  <si>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</si>
  <si>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</si>
  <si>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</si>
  <si>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</si>
  <si>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</si>
  <si>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</si>
  <si>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</si>
  <si>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</si>
  <si>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</si>
  <si>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</si>
  <si>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</si>
  <si>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</si>
  <si>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</si>
  <si>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</si>
  <si>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</si>
  <si>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</si>
  <si>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</si>
  <si>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</si>
  <si>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</si>
  <si>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</si>
  <si>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</si>
  <si>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</si>
  <si>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</si>
  <si>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</si>
  <si>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</si>
  <si>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</si>
  <si>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</si>
  <si>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</si>
  <si>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</si>
  <si>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</si>
  <si>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</si>
  <si>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</si>
  <si>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</si>
  <si>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</si>
  <si>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</si>
  <si>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</si>
  <si>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</si>
  <si>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</si>
  <si>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</si>
  <si>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</si>
  <si>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</si>
  <si>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</si>
  <si>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</si>
  <si>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</si>
  <si>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</si>
  <si>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</si>
  <si>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</si>
  <si>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</si>
  <si>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</si>
  <si>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</si>
  <si>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</si>
  <si>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</si>
  <si>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</si>
  <si>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</si>
  <si>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</si>
  <si>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</si>
  <si>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</si>
  <si>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</si>
  <si>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</si>
  <si>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</si>
  <si>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</si>
  <si>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</si>
  <si>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</si>
  <si>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</si>
  <si>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</si>
  <si>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</si>
  <si>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</si>
  <si>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</si>
  <si>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</si>
  <si>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</si>
  <si>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</si>
  <si>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</si>
  <si>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</si>
  <si>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</si>
  <si>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</si>
  <si>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</si>
  <si>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</si>
  <si>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</si>
  <si>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</si>
  <si>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</si>
  <si>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</si>
  <si>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</si>
  <si>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</si>
  <si>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</si>
  <si>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</si>
  <si>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</si>
  <si>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</si>
  <si>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</si>
  <si>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</si>
  <si>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</si>
  <si>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</si>
  <si>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</si>
  <si>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</si>
  <si>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</si>
  <si>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</si>
  <si>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</si>
  <si>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</si>
  <si>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</si>
  <si>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</si>
  <si>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</si>
  <si>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</si>
  <si>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</si>
  <si>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</si>
  <si>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</si>
  <si>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</si>
  <si>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</si>
  <si>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</si>
  <si>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</si>
  <si>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</si>
  <si>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</si>
  <si>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</si>
  <si>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</si>
  <si>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</si>
  <si>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</si>
  <si>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</si>
  <si>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</si>
  <si>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</si>
  <si>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</si>
  <si>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</si>
  <si>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</si>
  <si>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</si>
  <si>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</si>
  <si>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</si>
  <si>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</si>
  <si>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</si>
  <si>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</si>
  <si>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</si>
  <si>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</si>
  <si>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</si>
  <si>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</si>
  <si>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</si>
  <si>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</si>
  <si>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</si>
  <si>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</si>
  <si>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</si>
  <si>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</si>
  <si>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</si>
  <si>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</si>
  <si>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</si>
  <si>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</si>
  <si>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</si>
  <si>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</si>
  <si>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</si>
  <si>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</si>
  <si>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</si>
  <si>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</si>
  <si>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</si>
  <si>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</si>
  <si>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</si>
  <si>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</si>
  <si>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</si>
  <si>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</si>
  <si>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</si>
  <si>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</si>
  <si>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</si>
  <si>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</si>
  <si>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</si>
  <si>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</si>
  <si>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</si>
  <si>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</si>
  <si>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</si>
  <si>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</si>
  <si>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</si>
  <si>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</si>
  <si>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</si>
  <si>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</si>
  <si>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</si>
  <si>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</si>
  <si>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</si>
  <si>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</si>
  <si>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</si>
  <si>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</si>
  <si>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</si>
  <si>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</si>
  <si>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</si>
  <si>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</si>
  <si>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</si>
  <si>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</si>
  <si>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</si>
  <si>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</si>
  <si>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</si>
  <si>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</si>
  <si>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</si>
  <si>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</si>
  <si>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</si>
  <si>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</si>
  <si>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</si>
  <si>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</si>
  <si>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</si>
  <si>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</si>
  <si>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</si>
  <si>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</si>
  <si>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</si>
  <si>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</si>
  <si>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</si>
  <si>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</si>
  <si>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</si>
  <si>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</si>
  <si>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</si>
  <si>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</si>
  <si>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</si>
  <si>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</si>
  <si>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</si>
  <si>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</si>
  <si>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</si>
  <si>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</si>
  <si>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</si>
  <si>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</si>
  <si>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</si>
  <si>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</si>
  <si>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</si>
  <si>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</si>
  <si>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</si>
  <si>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</si>
  <si>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</si>
  <si>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</si>
  <si>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</si>
  <si>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</si>
  <si>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</si>
  <si>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</si>
  <si>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</si>
  <si>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</si>
  <si>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</si>
  <si>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</si>
  <si>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</si>
  <si>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</si>
  <si>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</si>
  <si>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</si>
  <si>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</si>
  <si>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</si>
  <si>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</si>
  <si>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</si>
  <si>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</si>
  <si>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</si>
  <si>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</si>
  <si>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</si>
  <si>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</si>
  <si>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</si>
  <si>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</si>
  <si>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</si>
  <si>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</si>
  <si>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</si>
  <si>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</si>
  <si>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</si>
  <si>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</si>
  <si>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</si>
  <si>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</si>
  <si>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</si>
  <si>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</si>
  <si>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</si>
  <si>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</si>
  <si>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</si>
  <si>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</si>
  <si>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</si>
  <si>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</si>
  <si>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</si>
  <si>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</si>
  <si>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</si>
  <si>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</si>
  <si>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</si>
  <si>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</si>
  <si>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</si>
  <si>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</si>
  <si>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</si>
  <si>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</si>
  <si>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</si>
  <si>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</si>
  <si>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</si>
  <si>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</si>
  <si>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</si>
  <si>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</si>
  <si>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</si>
  <si>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</si>
  <si>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</si>
  <si>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</si>
  <si>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</si>
  <si>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</si>
  <si>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</si>
  <si>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</si>
  <si>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</si>
  <si>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</si>
  <si>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</si>
  <si>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</si>
  <si>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</si>
  <si>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</si>
  <si>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</si>
  <si>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</si>
  <si>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</si>
  <si>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</si>
  <si>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</si>
  <si>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</si>
  <si>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</si>
  <si>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</si>
  <si>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</si>
  <si>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</si>
  <si>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</si>
  <si>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</si>
  <si>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</si>
  <si>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</si>
  <si>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</si>
  <si>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</si>
  <si>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</si>
  <si>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</si>
  <si>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</si>
  <si>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</si>
  <si>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</si>
  <si>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</si>
  <si>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</si>
  <si>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</si>
  <si>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</si>
  <si>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</si>
  <si>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</si>
  <si>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</si>
  <si>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</si>
  <si>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</si>
  <si>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</si>
  <si>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</si>
  <si>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</si>
  <si>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</si>
  <si>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</si>
  <si>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</si>
  <si>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</si>
  <si>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</si>
  <si>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</si>
  <si>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</si>
  <si>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</si>
  <si>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</si>
  <si>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</si>
  <si>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</si>
  <si>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</si>
  <si>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</si>
  <si>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</si>
  <si>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</si>
  <si>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</si>
  <si>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</si>
  <si>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</si>
  <si>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</si>
  <si>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</si>
  <si>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</si>
  <si>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</si>
  <si>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</si>
  <si>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</si>
  <si>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</si>
  <si>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</si>
  <si>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</si>
  <si>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</si>
  <si>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</si>
  <si>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</si>
  <si>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</si>
  <si>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</si>
  <si>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</si>
  <si>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</si>
  <si>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</si>
  <si>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</si>
  <si>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</si>
  <si>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</si>
  <si>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</si>
  <si>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</si>
  <si>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</si>
  <si>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</si>
  <si>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</si>
  <si>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</si>
  <si>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</si>
  <si>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</si>
  <si>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</si>
  <si>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</si>
  <si>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</si>
  <si>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</si>
  <si>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</si>
  <si>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</si>
  <si>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</si>
  <si>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</si>
  <si>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</si>
  <si>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</si>
  <si>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</si>
  <si>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</si>
  <si>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</si>
  <si>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</si>
  <si>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</si>
  <si>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</si>
  <si>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</si>
  <si>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</si>
  <si>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</si>
  <si>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</si>
  <si>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</si>
  <si>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</si>
  <si>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</si>
  <si>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</si>
  <si>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</si>
  <si>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</si>
  <si>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</si>
  <si>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</si>
  <si>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</si>
  <si>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</si>
  <si>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</si>
  <si>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</si>
  <si>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</si>
  <si>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</si>
  <si>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</si>
  <si>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</si>
  <si>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</si>
  <si>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</si>
  <si>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</si>
  <si>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</si>
  <si>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</si>
  <si>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</si>
  <si>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</si>
  <si>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</si>
  <si>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</si>
  <si>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</si>
  <si>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</si>
  <si>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</si>
  <si>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</si>
  <si>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</si>
  <si>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</si>
  <si>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</si>
  <si>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</si>
  <si>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</si>
  <si>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</si>
  <si>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</si>
  <si>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</si>
  <si>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</si>
  <si>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</si>
  <si>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</si>
  <si>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</si>
  <si>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</si>
  <si>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</si>
  <si>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</si>
  <si>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</si>
  <si>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</si>
  <si>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</si>
  <si>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</si>
  <si>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</si>
  <si>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</si>
  <si>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</si>
  <si>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</si>
  <si>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</si>
  <si>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</si>
  <si>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</si>
  <si>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</si>
  <si>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</si>
  <si>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</si>
  <si>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</si>
  <si>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</si>
  <si>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</si>
  <si>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</si>
  <si>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</si>
  <si>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</si>
  <si>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</si>
  <si>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</si>
  <si>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</si>
  <si>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</si>
  <si>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</si>
  <si>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</si>
  <si>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</si>
  <si>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</si>
  <si>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</si>
  <si>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</si>
  <si>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</si>
  <si>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</si>
  <si>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</si>
  <si>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</si>
  <si>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</si>
  <si>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</si>
  <si>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</si>
  <si>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</si>
  <si>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</si>
  <si>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</si>
  <si>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</si>
  <si>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</si>
  <si>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</si>
  <si>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</si>
  <si>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</si>
  <si>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</si>
  <si>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</si>
  <si>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</si>
  <si>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</si>
  <si>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</si>
  <si>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</si>
  <si>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</si>
  <si>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</si>
  <si>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</si>
  <si>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</si>
  <si>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</si>
  <si>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</si>
  <si>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</si>
  <si>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</si>
  <si>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</si>
  <si>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</si>
  <si>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</si>
  <si>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</si>
  <si>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</si>
  <si>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</si>
  <si>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</si>
  <si>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</si>
  <si>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</si>
  <si>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</si>
  <si>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</si>
  <si>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</si>
  <si>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</si>
  <si>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</si>
  <si>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</si>
  <si>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</si>
  <si>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</si>
  <si>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</si>
  <si>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</si>
  <si>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</si>
  <si>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</si>
  <si>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</si>
  <si>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</si>
  <si>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</si>
  <si>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</si>
  <si>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</si>
  <si>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</si>
  <si>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</si>
  <si>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</si>
  <si>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</si>
  <si>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</si>
  <si>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</si>
  <si>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</si>
  <si>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</si>
  <si>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</si>
  <si>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</si>
  <si>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</si>
  <si>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</si>
  <si>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</si>
  <si>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</si>
  <si>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</si>
  <si>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</si>
  <si>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</si>
  <si>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</si>
  <si>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</si>
  <si>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</si>
  <si>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</si>
  <si>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</si>
  <si>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</si>
  <si>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</si>
  <si>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</si>
  <si>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</si>
  <si>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</si>
  <si>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</si>
  <si>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</si>
  <si>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</si>
  <si>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</si>
  <si>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</si>
  <si>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</si>
  <si>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</si>
  <si>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</si>
  <si>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</si>
  <si>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</si>
  <si>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</si>
  <si>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</si>
  <si>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</si>
  <si>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</si>
  <si>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</si>
  <si>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</si>
  <si>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</si>
  <si>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</si>
  <si>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</si>
  <si>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</si>
  <si>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</si>
  <si>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</si>
  <si>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</si>
  <si>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</si>
  <si>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</si>
  <si>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</si>
  <si>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</si>
  <si>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</si>
  <si>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</si>
  <si>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</si>
  <si>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</si>
  <si>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</si>
  <si>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</si>
  <si>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</si>
  <si>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</si>
  <si>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</si>
  <si>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</si>
  <si>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</si>
  <si>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</si>
  <si>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</si>
  <si>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</si>
  <si>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</si>
  <si>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</si>
  <si>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</si>
  <si>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</si>
  <si>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</si>
  <si>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</si>
  <si>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</si>
  <si>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</si>
  <si>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</si>
  <si>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</si>
  <si>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</si>
  <si>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</si>
  <si>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</si>
  <si>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</si>
  <si>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</si>
  <si>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</si>
  <si>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</si>
  <si>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</si>
  <si>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</si>
  <si>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</si>
  <si>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</si>
  <si>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</si>
  <si>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</si>
  <si>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</si>
  <si>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</si>
  <si>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</si>
  <si>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</si>
  <si>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</si>
  <si>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</si>
  <si>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</si>
  <si>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</si>
  <si>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</si>
  <si>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</si>
  <si>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</si>
  <si>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</si>
  <si>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</si>
  <si>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</si>
  <si>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</si>
  <si>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</si>
  <si>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</si>
  <si>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</si>
  <si>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</si>
  <si>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</si>
  <si>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</si>
  <si>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</si>
  <si>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</si>
  <si>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</si>
  <si>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</si>
  <si>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</si>
  <si>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</si>
  <si>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</si>
  <si>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</si>
  <si>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</si>
  <si>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</si>
  <si>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</si>
  <si>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</si>
  <si>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</si>
  <si>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</si>
  <si>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</si>
  <si>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</si>
  <si>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</si>
  <si>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</si>
  <si>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</si>
  <si>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</si>
  <si>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</si>
  <si>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</si>
  <si>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</si>
  <si>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</si>
  <si>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</si>
  <si>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</si>
  <si>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</si>
  <si>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</si>
  <si>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</si>
  <si>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</si>
  <si>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</si>
  <si>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</si>
  <si>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</si>
  <si>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</si>
  <si>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</si>
  <si>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</si>
  <si>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</si>
  <si>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</si>
  <si>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</si>
  <si>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</si>
  <si>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</si>
  <si>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</si>
  <si>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</si>
  <si>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</si>
  <si>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</si>
  <si>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</si>
  <si>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</si>
  <si>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</si>
  <si>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</si>
  <si>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</si>
  <si>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</si>
  <si>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</si>
  <si>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</si>
  <si>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</si>
  <si>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</si>
  <si>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</si>
  <si>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</si>
  <si>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</si>
  <si>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</si>
  <si>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</si>
  <si>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</si>
  <si>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</si>
  <si>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</si>
  <si>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</si>
  <si>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</si>
  <si>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</si>
  <si>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</si>
  <si>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</si>
  <si>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</si>
  <si>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</si>
  <si>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</si>
  <si>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</si>
  <si>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</si>
  <si>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</si>
  <si>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</si>
  <si>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</si>
  <si>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</si>
  <si>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</si>
  <si>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</si>
  <si>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</si>
  <si>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</si>
  <si>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</si>
  <si>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</si>
  <si>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</si>
  <si>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</si>
  <si>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</si>
  <si>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</si>
  <si>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</si>
  <si>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</si>
  <si>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</si>
  <si>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</si>
  <si>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</si>
  <si>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</si>
  <si>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</si>
  <si>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</si>
  <si>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</si>
  <si>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</si>
  <si>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</si>
  <si>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</si>
  <si>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</si>
  <si>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</si>
  <si>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</si>
  <si>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</si>
  <si>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</si>
  <si>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</si>
  <si>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</si>
  <si>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</si>
  <si>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</si>
  <si>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</si>
  <si>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</si>
  <si>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</si>
  <si>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</si>
  <si>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</si>
  <si>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</si>
  <si>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</si>
  <si>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</si>
  <si>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</si>
  <si>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</si>
  <si>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</si>
  <si>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</si>
  <si>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</si>
  <si>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</si>
  <si>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</si>
  <si>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</si>
  <si>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</si>
  <si>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</si>
  <si>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</si>
  <si>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</si>
  <si>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</si>
  <si>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</si>
  <si>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</si>
  <si>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</si>
  <si>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</si>
  <si>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</si>
  <si>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</si>
  <si>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</si>
  <si>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</si>
  <si>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</si>
  <si>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</si>
  <si>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</si>
  <si>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</si>
  <si>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</si>
  <si>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</si>
  <si>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</si>
  <si>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</si>
  <si>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</si>
  <si>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</si>
  <si>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</si>
  <si>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</si>
  <si>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</si>
  <si>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</si>
  <si>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</si>
  <si>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</si>
  <si>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</si>
  <si>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</si>
  <si>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</si>
  <si>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</si>
  <si>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</si>
  <si>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</si>
  <si>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</si>
  <si>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</si>
  <si>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</si>
  <si>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</si>
  <si>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</si>
  <si>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</si>
  <si>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</si>
  <si>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</si>
  <si>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</si>
  <si>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</si>
  <si>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</si>
  <si>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</si>
  <si>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</si>
  <si>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</si>
  <si>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</si>
  <si>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</si>
  <si>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</si>
  <si>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</si>
  <si>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</si>
  <si>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</si>
  <si>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</si>
  <si>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</si>
  <si>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</si>
  <si>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</si>
  <si>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</si>
  <si>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</si>
  <si>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</si>
  <si>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</si>
  <si>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</si>
  <si>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</si>
  <si>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</si>
  <si>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</si>
  <si>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</si>
  <si>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</si>
  <si>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</si>
  <si>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</si>
  <si>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</si>
  <si>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</si>
  <si>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</si>
  <si>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</si>
  <si>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</si>
  <si>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</si>
  <si>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</si>
  <si>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</si>
  <si>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</si>
  <si>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</si>
  <si>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</si>
  <si>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</si>
  <si>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</si>
  <si>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</si>
  <si>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</si>
  <si>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</si>
  <si>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</si>
  <si>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</si>
  <si>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</si>
  <si>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</si>
  <si>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</si>
  <si>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</si>
  <si>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</si>
  <si>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</si>
  <si>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</si>
  <si>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</si>
  <si>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</si>
  <si>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</si>
  <si>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</si>
  <si>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</si>
  <si>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</si>
  <si>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</si>
  <si>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</si>
  <si>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</si>
  <si>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</si>
  <si>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</si>
  <si>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</si>
  <si>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</si>
  <si>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</si>
  <si>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</si>
  <si>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</si>
  <si>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</si>
  <si>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</si>
  <si>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</si>
  <si>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</si>
  <si>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</si>
  <si>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</si>
  <si>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</si>
  <si>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</si>
  <si>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</si>
  <si>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</si>
  <si>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</si>
  <si>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</si>
  <si>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</si>
  <si>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</si>
  <si>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</si>
  <si>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</si>
  <si>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</si>
  <si>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</si>
  <si>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</si>
  <si>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</si>
  <si>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</si>
  <si>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</si>
  <si>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</si>
  <si>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</si>
  <si>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</si>
  <si>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</si>
  <si>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</si>
  <si>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</si>
  <si>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</si>
  <si>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</si>
  <si>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</si>
  <si>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</si>
  <si>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</si>
  <si>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</si>
  <si>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</si>
  <si>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</si>
  <si>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</si>
  <si>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</si>
  <si>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</si>
  <si>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</si>
  <si>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</si>
  <si>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</si>
  <si>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</si>
  <si>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</si>
  <si>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</si>
  <si>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</si>
  <si>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</si>
  <si>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</si>
  <si>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</si>
  <si>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</si>
  <si>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</si>
  <si>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</si>
  <si>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</si>
  <si>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</si>
  <si>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</si>
  <si>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</si>
  <si>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</si>
  <si>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</si>
  <si>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</si>
  <si>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</si>
  <si>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</si>
  <si>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</si>
  <si>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</si>
  <si>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</si>
  <si>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</si>
  <si>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</si>
  <si>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</si>
  <si>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</si>
  <si>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</si>
  <si>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</si>
  <si>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</si>
  <si>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</si>
  <si>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</si>
  <si>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</si>
  <si>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</si>
  <si>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</si>
  <si>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</si>
  <si>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</si>
  <si>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</si>
  <si>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</si>
  <si>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</si>
  <si>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</si>
  <si>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</si>
  <si>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</si>
  <si>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</si>
  <si>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</si>
  <si>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</si>
  <si>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</si>
  <si>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</si>
  <si>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</si>
  <si>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</si>
  <si>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</si>
  <si>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</si>
  <si>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</si>
  <si>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</si>
  <si>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</si>
  <si>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</si>
  <si>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</si>
  <si>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</si>
  <si>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</si>
  <si>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</si>
  <si>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</si>
  <si>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</si>
  <si>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</si>
  <si>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</si>
  <si>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</si>
  <si>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</si>
  <si>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</si>
  <si>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</si>
  <si>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</si>
  <si>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</si>
  <si>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</si>
  <si>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</si>
  <si>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</si>
  <si>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</si>
  <si>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</si>
  <si>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</si>
  <si>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</si>
  <si>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</si>
  <si>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</si>
  <si>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</si>
  <si>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</si>
  <si>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</si>
  <si>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</si>
  <si>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</si>
  <si>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</si>
  <si>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</si>
  <si>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</si>
  <si>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</si>
  <si>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</si>
  <si>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</si>
  <si>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</si>
  <si>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</si>
  <si>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</si>
  <si>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</si>
  <si>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</si>
  <si>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</si>
  <si>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</si>
  <si>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</si>
  <si>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</si>
  <si>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</si>
  <si>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</si>
  <si>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</si>
  <si>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</si>
  <si>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</si>
  <si>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</si>
  <si>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</si>
  <si>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</si>
  <si>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</si>
  <si>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</si>
  <si>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</si>
  <si>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</si>
  <si>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</si>
  <si>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</si>
  <si>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</si>
  <si>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</si>
  <si>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</si>
  <si>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</si>
  <si>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</si>
  <si>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</si>
  <si>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</si>
  <si>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</si>
  <si>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</si>
  <si>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</si>
  <si>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</si>
  <si>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</si>
  <si>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</si>
  <si>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</si>
  <si>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</si>
  <si>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</si>
  <si>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</si>
  <si>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</si>
  <si>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</si>
  <si>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</si>
  <si>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</si>
  <si>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</si>
  <si>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</si>
  <si>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</si>
  <si>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</si>
  <si>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</si>
  <si>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</si>
  <si>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</si>
  <si>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</si>
  <si>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</si>
  <si>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</si>
  <si>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</si>
  <si>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</si>
  <si>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</si>
  <si>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</si>
  <si>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</si>
  <si>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</si>
  <si>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</si>
  <si>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</si>
  <si>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</si>
  <si>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</si>
  <si>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</si>
  <si>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</si>
  <si>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</si>
  <si>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</si>
  <si>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</si>
  <si>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</si>
  <si>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</si>
  <si>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</si>
  <si>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</si>
  <si>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</si>
  <si>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</si>
  <si>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</si>
  <si>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</si>
  <si>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</si>
  <si>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</si>
  <si>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</si>
  <si>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</si>
  <si>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</si>
  <si>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</si>
  <si>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</si>
  <si>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</si>
  <si>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</si>
  <si>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</si>
  <si>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</si>
  <si>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</si>
  <si>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</si>
  <si>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</si>
  <si>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</si>
  <si>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</si>
  <si>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</si>
  <si>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</si>
  <si>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</si>
  <si>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</si>
  <si>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</si>
  <si>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</si>
  <si>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</si>
  <si>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</si>
  <si>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</si>
  <si>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</si>
  <si>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</si>
  <si>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</si>
  <si>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</si>
  <si>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</si>
  <si>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</si>
  <si>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</si>
  <si>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</si>
  <si>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</si>
  <si>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</si>
  <si>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</si>
  <si>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</si>
  <si>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</si>
  <si>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</si>
  <si>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</si>
  <si>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</si>
  <si>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</si>
  <si>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</si>
  <si>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</si>
  <si>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</si>
  <si>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</si>
  <si>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</si>
  <si>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</si>
  <si>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</si>
  <si>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</si>
  <si>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</si>
  <si>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</si>
  <si>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</si>
  <si>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</si>
  <si>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</si>
  <si>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</si>
  <si>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</si>
  <si>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</si>
  <si>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</si>
  <si>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</si>
  <si>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</si>
  <si>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</si>
  <si>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</si>
  <si>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</si>
  <si>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</si>
  <si>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</si>
  <si>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</si>
  <si>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</si>
  <si>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</si>
  <si>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</si>
  <si>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</si>
  <si>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</si>
  <si>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</si>
  <si>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</si>
  <si>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</si>
  <si>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</si>
  <si>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</si>
  <si>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</si>
  <si>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</si>
  <si>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</si>
  <si>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</si>
  <si>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</si>
  <si>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</si>
  <si>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</si>
  <si>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</si>
  <si>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</si>
  <si>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</si>
  <si>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</si>
  <si>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</si>
  <si>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</si>
  <si>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</si>
  <si>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</si>
  <si>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</si>
  <si>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</si>
  <si>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</si>
  <si>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</si>
  <si>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</si>
  <si>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</si>
  <si>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</si>
  <si>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</si>
  <si>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</si>
  <si>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</si>
  <si>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</si>
  <si>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</si>
  <si>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</si>
  <si>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</si>
  <si>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</si>
  <si>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</si>
  <si>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</si>
  <si>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</si>
  <si>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</si>
  <si>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</si>
  <si>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</si>
  <si>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</si>
  <si>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</si>
  <si>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</si>
  <si>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</si>
  <si>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</si>
  <si>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</si>
  <si>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</si>
  <si>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</si>
  <si>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</si>
  <si>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</si>
  <si>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</si>
  <si>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</si>
  <si>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</si>
  <si>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</si>
  <si>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</si>
  <si>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</si>
  <si>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</si>
  <si>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</si>
  <si>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</si>
  <si>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</si>
  <si>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</si>
  <si>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</si>
  <si>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</si>
  <si>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</si>
  <si>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</si>
  <si>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</si>
  <si>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</si>
  <si>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</si>
  <si>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</si>
  <si>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</si>
  <si>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</si>
  <si>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</si>
  <si>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</si>
  <si>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</si>
  <si>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</si>
  <si>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</si>
  <si>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</si>
  <si>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</si>
  <si>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</si>
  <si>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</si>
  <si>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</si>
  <si>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</si>
  <si>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</si>
  <si>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</si>
  <si>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</si>
  <si>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</si>
  <si>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</si>
  <si>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</si>
  <si>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</si>
  <si>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</si>
  <si>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</si>
  <si>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</si>
  <si>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</si>
  <si>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</si>
  <si>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</si>
  <si>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</si>
  <si>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</si>
  <si>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</si>
  <si>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</si>
  <si>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</si>
  <si>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</si>
  <si>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</si>
  <si>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</si>
  <si>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</si>
  <si>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</si>
  <si>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</si>
  <si>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</si>
  <si>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</si>
  <si>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</si>
  <si>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</si>
  <si>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</si>
  <si>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</si>
  <si>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</si>
  <si>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</si>
  <si>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</si>
  <si>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</si>
  <si>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</si>
  <si>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</si>
  <si>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</si>
  <si>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</si>
  <si>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</si>
  <si>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</si>
  <si>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</si>
  <si>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</si>
  <si>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</si>
  <si>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</si>
  <si>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</si>
  <si>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</si>
  <si>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</si>
  <si>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</si>
  <si>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</si>
  <si>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</si>
  <si>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</si>
  <si>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</si>
  <si>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</si>
  <si>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</si>
  <si>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</si>
  <si>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</si>
  <si>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</si>
  <si>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</si>
  <si>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</si>
  <si>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</si>
  <si>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</si>
  <si>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</si>
  <si>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</si>
  <si>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</si>
  <si>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</si>
  <si>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</si>
  <si>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</si>
  <si>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</si>
  <si>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</si>
  <si>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</si>
  <si>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</si>
  <si>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</si>
  <si>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</si>
  <si>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</si>
  <si>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</si>
  <si>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</si>
  <si>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</si>
  <si>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</si>
  <si>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</si>
  <si>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</si>
  <si>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</si>
  <si>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</si>
  <si>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</si>
  <si>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</si>
  <si>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</si>
  <si>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</si>
  <si>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</si>
  <si>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</si>
  <si>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</si>
  <si>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</si>
  <si>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</si>
  <si>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</si>
  <si>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</si>
  <si>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</si>
  <si>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</si>
  <si>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</si>
  <si>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</si>
  <si>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</si>
  <si>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</si>
  <si>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</si>
  <si>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</si>
  <si>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</si>
  <si>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</si>
  <si>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</si>
  <si>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</si>
  <si>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</si>
  <si>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</si>
  <si>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</si>
  <si>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</si>
  <si>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</si>
  <si>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</si>
  <si>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</si>
  <si>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</si>
  <si>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</si>
  <si>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</si>
  <si>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</si>
  <si>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</si>
  <si>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</si>
  <si>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</si>
  <si>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</si>
  <si>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</si>
  <si>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</si>
  <si>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</si>
  <si>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</si>
  <si>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</si>
  <si>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</si>
  <si>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</si>
  <si>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</si>
  <si>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</si>
  <si>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</si>
  <si>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</si>
  <si>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</si>
  <si>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</si>
  <si>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</si>
  <si>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</si>
  <si>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</si>
  <si>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</si>
  <si>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</si>
  <si>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</si>
  <si>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</si>
  <si>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</si>
  <si>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</si>
  <si>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</si>
  <si>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</si>
  <si>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</si>
  <si>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</si>
  <si>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</si>
  <si>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</si>
  <si>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</si>
  <si>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</si>
  <si>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</si>
  <si>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</si>
  <si>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</si>
  <si>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</si>
  <si>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</si>
  <si>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</si>
  <si>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</si>
  <si>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</si>
  <si>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</si>
  <si>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</si>
  <si>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</si>
  <si>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</si>
  <si>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</si>
  <si>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</si>
  <si>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</si>
  <si>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</si>
  <si>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</si>
  <si>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</si>
  <si>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</si>
  <si>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</si>
  <si>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</si>
  <si>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</si>
  <si>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</si>
  <si>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</si>
  <si>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</si>
  <si>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</si>
  <si>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</si>
  <si>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</si>
  <si>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</si>
  <si>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</si>
  <si>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</si>
  <si>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</si>
  <si>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</si>
  <si>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</si>
  <si>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</si>
  <si>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</si>
  <si>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</si>
  <si>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</si>
  <si>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</si>
  <si>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</si>
  <si>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</si>
  <si>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</si>
  <si>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</si>
  <si>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</si>
  <si>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</si>
  <si>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</si>
  <si>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</si>
  <si>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</si>
  <si>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</si>
  <si>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</si>
  <si>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</si>
  <si>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</si>
  <si>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</si>
  <si>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</si>
  <si>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</si>
  <si>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</si>
  <si>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</si>
  <si>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</si>
  <si>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</si>
  <si>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</si>
  <si>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</si>
  <si>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</si>
  <si>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</si>
  <si>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</si>
  <si>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</si>
  <si>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</si>
  <si>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</si>
  <si>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</si>
  <si>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</si>
  <si>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</si>
  <si>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</si>
  <si>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</si>
  <si>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</si>
  <si>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</si>
  <si>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</si>
  <si>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</si>
  <si>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</si>
  <si>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</si>
  <si>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</si>
  <si>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</si>
  <si>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</si>
  <si>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</si>
  <si>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</si>
  <si>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</si>
  <si>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</si>
  <si>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</si>
  <si>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</si>
  <si>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</si>
  <si>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</si>
  <si>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</si>
  <si>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</si>
  <si>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</si>
  <si>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</si>
  <si>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</si>
  <si>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</si>
  <si>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</si>
  <si>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</si>
  <si>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</si>
  <si>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</si>
  <si>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</si>
  <si>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</si>
  <si>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</si>
  <si>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</si>
  <si>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</si>
  <si>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</si>
  <si>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</si>
  <si>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</si>
  <si>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</si>
  <si>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</si>
  <si>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</si>
  <si>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</si>
  <si>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</si>
  <si>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</si>
  <si>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</si>
  <si>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</si>
  <si>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</si>
  <si>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</si>
  <si>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</si>
  <si>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</si>
  <si>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</si>
  <si>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</si>
  <si>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</si>
  <si>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</si>
  <si>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</si>
  <si>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</si>
  <si>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</si>
  <si>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</si>
  <si>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</si>
  <si>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</si>
  <si>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</si>
  <si>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</si>
  <si>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</si>
  <si>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</si>
  <si>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</si>
  <si>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</si>
  <si>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</si>
  <si>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</si>
  <si>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</si>
  <si>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</si>
  <si>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</si>
  <si>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</si>
  <si>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</si>
  <si>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</si>
  <si>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</si>
  <si>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</si>
  <si>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</si>
  <si>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</si>
  <si>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</si>
  <si>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</si>
  <si>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</si>
  <si>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</si>
  <si>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</si>
  <si>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</si>
  <si>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</si>
  <si>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</si>
  <si>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</si>
  <si>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</si>
  <si>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</si>
  <si>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</si>
  <si>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</si>
  <si>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</si>
  <si>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</si>
  <si>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</si>
  <si>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</si>
  <si>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</si>
  <si>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</si>
  <si>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</si>
  <si>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</si>
  <si>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</si>
  <si>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</si>
  <si>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</si>
  <si>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</si>
  <si>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</si>
  <si>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</si>
  <si>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</si>
  <si>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</si>
  <si>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</si>
  <si>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</si>
  <si>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</si>
  <si>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</si>
  <si>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</si>
  <si>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</si>
  <si>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</si>
  <si>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</si>
  <si>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</si>
  <si>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</si>
  <si>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</si>
  <si>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</si>
  <si>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</si>
  <si>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</si>
  <si>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</si>
  <si>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</si>
  <si>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</si>
  <si>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</si>
  <si>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</si>
  <si>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</si>
  <si>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</si>
  <si>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</si>
  <si>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</si>
  <si>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</si>
  <si>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</si>
  <si>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</si>
  <si>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</si>
  <si>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</si>
  <si>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</si>
  <si>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</si>
  <si>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</si>
  <si>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</si>
  <si>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</si>
  <si>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</si>
  <si>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</si>
  <si>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</si>
  <si>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</si>
  <si>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</si>
  <si>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</si>
  <si>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</si>
  <si>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</si>
  <si>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</si>
  <si>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</si>
  <si>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</si>
  <si>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</si>
  <si>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</si>
  <si>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</si>
  <si>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</si>
  <si>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</si>
  <si>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</si>
  <si>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</si>
  <si>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</si>
  <si>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</si>
  <si>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</si>
  <si>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</si>
  <si>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</si>
  <si>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</si>
  <si>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</si>
  <si>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</si>
  <si>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</si>
  <si>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</si>
  <si>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</si>
  <si>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</si>
  <si>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</si>
  <si>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</si>
  <si>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</si>
  <si>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</si>
  <si>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</si>
  <si>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</si>
  <si>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</si>
  <si>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</si>
  <si>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</si>
  <si>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</si>
  <si>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</si>
  <si>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</si>
  <si>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</si>
  <si>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</si>
  <si>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</si>
  <si>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</si>
  <si>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</si>
  <si>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</si>
  <si>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</si>
  <si>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</si>
  <si>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</si>
  <si>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</si>
  <si>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</si>
  <si>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</si>
  <si>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</si>
  <si>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</si>
  <si>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</si>
  <si>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</si>
  <si>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</si>
  <si>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</si>
  <si>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</si>
  <si>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</si>
  <si>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</si>
  <si>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</si>
  <si>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</si>
  <si>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</si>
  <si>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</si>
  <si>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</si>
  <si>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</si>
  <si>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</si>
  <si>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</si>
  <si>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</si>
  <si>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</si>
  <si>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</si>
  <si>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</si>
  <si>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</si>
  <si>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</si>
  <si>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</si>
  <si>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</si>
  <si>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</si>
  <si>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</si>
  <si>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</si>
  <si>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</si>
  <si>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</si>
  <si>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</si>
  <si>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</si>
  <si>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</si>
  <si>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</si>
  <si>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</si>
  <si>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</si>
  <si>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</si>
  <si>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</si>
  <si>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</si>
  <si>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</si>
  <si>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</si>
  <si>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</si>
  <si>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</si>
  <si>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</si>
  <si>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</si>
  <si>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</si>
  <si>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</si>
  <si>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</si>
  <si>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</si>
  <si>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</si>
  <si>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</si>
  <si>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</si>
  <si>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</si>
  <si>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</si>
  <si>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</si>
  <si>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</si>
  <si>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</si>
  <si>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</si>
  <si>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</si>
  <si>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</si>
  <si>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</si>
  <si>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</si>
  <si>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</si>
  <si>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</si>
  <si>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</si>
  <si>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</si>
  <si>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</si>
  <si>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</si>
  <si>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</si>
  <si>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</si>
  <si>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</si>
  <si>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</si>
  <si>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</si>
  <si>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</si>
  <si>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</si>
  <si>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</si>
  <si>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</si>
  <si>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</si>
  <si>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</si>
  <si>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</si>
  <si>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</si>
  <si>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</si>
  <si>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</si>
  <si>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</si>
  <si>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</si>
  <si>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</si>
  <si>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</si>
  <si>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</si>
  <si>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</si>
  <si>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</si>
  <si>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</si>
  <si>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</si>
  <si>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</si>
  <si>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</si>
  <si>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</si>
  <si>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</si>
  <si>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</si>
  <si>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</si>
  <si>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</si>
  <si>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</si>
  <si>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</si>
  <si>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</si>
  <si>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</si>
  <si>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</si>
  <si>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</si>
  <si>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</si>
  <si>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</si>
  <si>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</si>
  <si>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</si>
  <si>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</si>
  <si>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</si>
  <si>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</si>
  <si>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</si>
  <si>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</si>
  <si>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</si>
  <si>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</si>
  <si>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</si>
  <si>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</si>
  <si>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</si>
  <si>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</si>
  <si>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</si>
  <si>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</si>
  <si>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</si>
  <si>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</si>
  <si>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</si>
  <si>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</si>
  <si>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</si>
  <si>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</si>
  <si>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</si>
  <si>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</si>
  <si>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</si>
  <si>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</si>
  <si>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</si>
  <si>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</si>
  <si>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</si>
  <si>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</si>
  <si>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</si>
  <si>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</si>
  <si>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</si>
  <si>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</si>
  <si>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</si>
  <si>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</si>
  <si>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</si>
  <si>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</si>
  <si>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</si>
  <si>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</si>
  <si>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</si>
  <si>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</si>
  <si>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</si>
  <si>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</si>
  <si>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</si>
  <si>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</si>
  <si>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</si>
  <si>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</si>
  <si>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</si>
  <si>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</si>
  <si>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</si>
  <si>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</si>
  <si>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</si>
  <si>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</si>
  <si>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</si>
  <si>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</si>
  <si>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</si>
  <si>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</si>
  <si>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</si>
  <si>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</si>
  <si>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</si>
  <si>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</si>
  <si>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</si>
  <si>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</si>
  <si>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</si>
  <si>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</si>
  <si>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</si>
  <si>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</si>
  <si>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</si>
  <si>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</si>
  <si>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</si>
  <si>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</si>
  <si>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</si>
  <si>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</si>
  <si>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</si>
  <si>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</si>
  <si>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</si>
  <si>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</si>
  <si>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</si>
  <si>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</si>
  <si>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</si>
  <si>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</si>
  <si>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</si>
  <si>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</si>
  <si>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</si>
  <si>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</si>
  <si>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</si>
  <si>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</si>
  <si>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</si>
  <si>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</si>
  <si>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</si>
  <si>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</si>
  <si>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</si>
  <si>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</si>
  <si>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</si>
  <si>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</si>
  <si>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</si>
  <si>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</si>
  <si>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</si>
  <si>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</si>
  <si>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</si>
  <si>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</si>
  <si>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</si>
  <si>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</si>
  <si>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</si>
  <si>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</si>
  <si>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</si>
  <si>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</si>
  <si>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</si>
  <si>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</si>
  <si>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</si>
  <si>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</si>
  <si>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</si>
  <si>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</si>
  <si>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</si>
  <si>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</si>
  <si>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</si>
  <si>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</si>
  <si>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</si>
  <si>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</si>
  <si>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</si>
  <si>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</si>
  <si>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</si>
  <si>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</si>
  <si>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</si>
  <si>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</si>
  <si>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</si>
  <si>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</si>
  <si>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</si>
  <si>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</si>
  <si>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</si>
  <si>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</si>
  <si>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</si>
  <si>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</si>
  <si>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</si>
  <si>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</si>
  <si>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</si>
  <si>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</si>
  <si>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</si>
  <si>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</si>
  <si>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</si>
  <si>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</si>
  <si>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</si>
  <si>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</si>
  <si>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</si>
  <si>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</si>
  <si>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</si>
  <si>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</si>
  <si>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</si>
  <si>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</si>
  <si>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</si>
  <si>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</si>
  <si>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</si>
  <si>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</si>
  <si>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</si>
  <si>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</si>
  <si>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</si>
  <si>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</si>
  <si>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</si>
  <si>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</si>
  <si>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</si>
  <si>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</si>
  <si>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</si>
  <si>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</si>
  <si>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</si>
  <si>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</si>
  <si>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</si>
  <si>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</si>
  <si>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</si>
  <si>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</si>
  <si>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</si>
  <si>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</si>
  <si>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</si>
  <si>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</si>
  <si>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</si>
  <si>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</si>
  <si>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</si>
  <si>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</si>
  <si>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</si>
  <si>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</si>
  <si>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</si>
  <si>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</si>
  <si>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</si>
  <si>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</si>
  <si>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</si>
  <si>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</si>
  <si>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</si>
  <si>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</si>
  <si>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</si>
  <si>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</si>
  <si>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</si>
  <si>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</si>
  <si>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</si>
  <si>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</si>
  <si>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</si>
  <si>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</si>
  <si>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</si>
  <si>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</si>
  <si>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</si>
  <si>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</si>
  <si>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</si>
  <si>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</si>
  <si>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</si>
  <si>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</si>
  <si>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</si>
  <si>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</si>
  <si>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</si>
  <si>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</si>
  <si>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</si>
  <si>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</si>
  <si>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</si>
  <si>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</si>
  <si>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</si>
  <si>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</si>
  <si>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</si>
  <si>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</si>
  <si>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</si>
  <si>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</si>
  <si>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</si>
  <si>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</si>
  <si>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</si>
  <si>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</si>
  <si>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</si>
  <si>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</si>
  <si>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</si>
  <si>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</si>
  <si>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</si>
  <si>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</si>
  <si>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</si>
  <si>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</si>
  <si>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</si>
  <si>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</si>
  <si>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</si>
  <si>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</si>
  <si>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</si>
  <si>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</si>
  <si>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</si>
  <si>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</si>
  <si>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</si>
  <si>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</si>
  <si>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</si>
  <si>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</si>
  <si>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</si>
  <si>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</si>
  <si>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</si>
  <si>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</si>
  <si>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</si>
  <si>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</si>
  <si>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</si>
  <si>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</si>
  <si>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</si>
  <si>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</si>
  <si>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</si>
  <si>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</si>
  <si>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</si>
  <si>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</si>
  <si>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</si>
  <si>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</si>
  <si>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</si>
  <si>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</si>
  <si>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</si>
  <si>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</si>
  <si>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</si>
  <si>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</si>
  <si>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</si>
  <si>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</si>
  <si>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</si>
  <si>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</si>
  <si>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</si>
  <si>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</si>
  <si>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</si>
  <si>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</si>
  <si>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</si>
  <si>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</si>
  <si>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</si>
  <si>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</si>
  <si>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</si>
  <si>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</si>
  <si>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</si>
  <si>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</si>
  <si>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</si>
  <si>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</si>
  <si>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</si>
  <si>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</si>
  <si>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</si>
  <si>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</si>
  <si>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</si>
  <si>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</si>
  <si>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</si>
  <si>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</si>
  <si>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</si>
  <si>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</si>
  <si>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</si>
  <si>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</si>
  <si>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</si>
  <si>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</si>
  <si>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</si>
  <si>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</si>
  <si>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</si>
  <si>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</si>
  <si>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</si>
  <si>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</si>
  <si>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</si>
  <si>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</si>
  <si>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</si>
  <si>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</si>
  <si>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</si>
  <si>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</si>
  <si>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</si>
  <si>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</si>
  <si>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</si>
  <si>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</si>
  <si>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</si>
  <si>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</si>
  <si>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</si>
  <si>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</si>
  <si>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</si>
  <si>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</si>
  <si>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</si>
  <si>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</si>
  <si>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</si>
  <si>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</si>
  <si>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</si>
  <si>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</si>
  <si>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</si>
  <si>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</si>
  <si>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</si>
  <si>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</si>
  <si>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</si>
  <si>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</si>
  <si>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</si>
  <si>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</si>
  <si>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</si>
  <si>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</si>
  <si>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</si>
  <si>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</si>
  <si>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</si>
  <si>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</si>
  <si>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</si>
  <si>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</si>
  <si>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</si>
  <si>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</si>
  <si>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</si>
  <si>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</si>
  <si>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</si>
  <si>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</si>
  <si>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</si>
  <si>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</si>
  <si>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</si>
  <si>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</si>
  <si>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</si>
  <si>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</si>
  <si>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</si>
  <si>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</si>
  <si>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</si>
  <si>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</si>
  <si>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</si>
  <si>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</si>
  <si>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</si>
  <si>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</si>
  <si>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</si>
  <si>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</si>
  <si>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</si>
  <si>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</si>
  <si>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</si>
  <si>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</si>
  <si>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</si>
  <si>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</si>
  <si>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</si>
  <si>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</si>
  <si>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</si>
  <si>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</si>
  <si>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</si>
  <si>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</si>
  <si>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</si>
  <si>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</si>
  <si>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</si>
  <si>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</si>
  <si>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</si>
  <si>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</si>
  <si>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</si>
  <si>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</si>
  <si>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</si>
  <si>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</si>
  <si>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</si>
  <si>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</si>
  <si>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</si>
  <si>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</si>
  <si>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</si>
  <si>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</si>
  <si>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</si>
  <si>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</si>
  <si>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</si>
  <si>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</si>
  <si>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</si>
  <si>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</si>
  <si>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</si>
  <si>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</si>
  <si>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</si>
  <si>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</si>
  <si>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</si>
  <si>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</si>
  <si>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</si>
  <si>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</si>
  <si>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</si>
  <si>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</si>
  <si>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</si>
  <si>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</si>
  <si>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</si>
  <si>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</si>
  <si>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</si>
  <si>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</si>
  <si>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</si>
  <si>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</si>
  <si>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</si>
  <si>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</si>
  <si>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</si>
  <si>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</si>
  <si>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</si>
  <si>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</si>
  <si>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</si>
  <si>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</si>
  <si>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</si>
  <si>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</si>
  <si>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</si>
  <si>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</si>
  <si>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</si>
  <si>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</si>
  <si>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</si>
  <si>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</si>
  <si>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</si>
  <si>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</si>
  <si>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</si>
  <si>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</si>
  <si>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</si>
  <si>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</si>
  <si>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</si>
  <si>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</si>
  <si>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</si>
  <si>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</si>
  <si>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</si>
  <si>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</si>
  <si>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</si>
  <si>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</si>
  <si>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</si>
  <si>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</si>
  <si>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</si>
  <si>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</si>
  <si>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</si>
  <si>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</si>
  <si>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</si>
  <si>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</si>
  <si>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</si>
  <si>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</si>
  <si>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</si>
  <si>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</si>
  <si>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</si>
  <si>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</si>
  <si>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</si>
  <si>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</si>
  <si>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</si>
  <si>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</si>
  <si>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</si>
  <si>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</si>
  <si>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</si>
  <si>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</si>
  <si>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</si>
  <si>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</si>
  <si>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</si>
  <si>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</si>
  <si>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</si>
  <si>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</si>
  <si>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</si>
  <si>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</si>
  <si>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</si>
  <si>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</si>
  <si>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</si>
  <si>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</si>
  <si>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</si>
  <si>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</si>
  <si>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</si>
  <si>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</si>
  <si>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</si>
  <si>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</si>
  <si>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</si>
  <si>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</si>
  <si>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</si>
  <si>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</si>
  <si>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</si>
  <si>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</si>
  <si>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</si>
  <si>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</si>
  <si>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</si>
  <si>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</si>
  <si>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</si>
  <si>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</si>
  <si>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</si>
  <si>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</si>
  <si>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</si>
  <si>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</si>
  <si>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</si>
  <si>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</si>
  <si>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</si>
  <si>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</si>
  <si>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</si>
  <si>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</si>
  <si>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</si>
  <si>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</si>
  <si>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</si>
  <si>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</si>
  <si>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</si>
  <si>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</si>
  <si>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</si>
  <si>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</si>
  <si>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</si>
  <si>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</si>
  <si>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</si>
  <si>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</si>
  <si>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</si>
  <si>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</si>
  <si>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</si>
  <si>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</si>
  <si>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</si>
  <si>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</si>
  <si>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</si>
  <si>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</si>
  <si>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</si>
  <si>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</si>
  <si>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</si>
  <si>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</si>
  <si>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</si>
  <si>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</si>
  <si>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</si>
  <si>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</si>
  <si>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</si>
  <si>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</si>
  <si>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</si>
  <si>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</si>
  <si>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</si>
  <si>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</si>
  <si>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</si>
  <si>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</si>
  <si>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</si>
  <si>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</si>
  <si>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</si>
  <si>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</si>
  <si>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</si>
  <si>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</si>
  <si>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</si>
  <si>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</si>
  <si>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</si>
  <si>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</si>
  <si>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</si>
  <si>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</si>
  <si>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</si>
  <si>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</si>
  <si>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</si>
  <si>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</si>
  <si>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</si>
  <si>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</si>
  <si>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</si>
  <si>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</si>
  <si>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</si>
  <si>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</si>
  <si>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</si>
  <si>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</si>
  <si>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</si>
  <si>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</si>
  <si>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</si>
  <si>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</si>
  <si>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</si>
  <si>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</si>
  <si>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</si>
  <si>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</si>
  <si>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</si>
  <si>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</si>
  <si>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</si>
  <si>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</si>
  <si>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</si>
  <si>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</si>
  <si>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</si>
  <si>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</si>
  <si>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</si>
  <si>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</si>
  <si>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</si>
  <si>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</si>
  <si>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</si>
  <si>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</si>
  <si>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</si>
  <si>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</si>
  <si>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</si>
  <si>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</si>
  <si>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</si>
  <si>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</si>
  <si>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</si>
  <si>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</si>
  <si>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</si>
  <si>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</si>
  <si>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</si>
  <si>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</si>
  <si>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</si>
  <si>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</si>
  <si>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</si>
  <si>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</si>
  <si>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</si>
  <si>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</si>
  <si>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</si>
  <si>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</si>
  <si>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</si>
  <si>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</si>
  <si>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</si>
  <si>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</si>
  <si>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</si>
  <si>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</si>
  <si>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</si>
  <si>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</si>
  <si>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</si>
  <si>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</si>
  <si>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</si>
  <si>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</si>
  <si>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</si>
  <si>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</si>
  <si>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</si>
  <si>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</si>
  <si>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</si>
  <si>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</si>
  <si>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</si>
  <si>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</si>
  <si>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</si>
  <si>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</si>
  <si>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</si>
  <si>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</si>
  <si>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</si>
  <si>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</si>
  <si>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</si>
  <si>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</si>
  <si>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</si>
  <si>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</si>
  <si>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</si>
  <si>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</si>
  <si>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</si>
  <si>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</si>
  <si>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</si>
  <si>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</si>
  <si>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</si>
  <si>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</si>
  <si>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</si>
  <si>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</si>
  <si>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</si>
  <si>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</si>
  <si>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</si>
  <si>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</si>
  <si>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</si>
  <si>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</si>
  <si>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</si>
  <si>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</si>
  <si>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</si>
  <si>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</si>
  <si>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</si>
  <si>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</si>
  <si>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</si>
  <si>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</si>
  <si>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</si>
  <si>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</si>
  <si>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</si>
  <si>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</si>
  <si>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</si>
  <si>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</si>
  <si>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</si>
  <si>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</si>
  <si>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</si>
  <si>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</si>
  <si>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</si>
  <si>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</si>
  <si>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</si>
  <si>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</si>
  <si>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</si>
  <si>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</si>
  <si>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</si>
  <si>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</si>
  <si>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</si>
  <si>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</si>
  <si>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</si>
  <si>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</si>
  <si>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</si>
  <si>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</si>
  <si>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</si>
  <si>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</si>
  <si>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</si>
  <si>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</si>
  <si>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</si>
  <si>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</si>
  <si>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</si>
  <si>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</si>
  <si>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</si>
  <si>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</si>
  <si>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</si>
  <si>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</si>
  <si>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</si>
  <si>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</si>
  <si>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</si>
  <si>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</si>
  <si>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</si>
  <si>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</si>
  <si>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</si>
  <si>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</si>
  <si>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</si>
  <si>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</si>
  <si>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</si>
  <si>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</si>
  <si>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</si>
  <si>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</si>
  <si>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</si>
  <si>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</si>
  <si>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</si>
  <si>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</si>
  <si>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</si>
  <si>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</si>
  <si>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</si>
  <si>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</si>
  <si>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</si>
  <si>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</si>
  <si>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</si>
  <si>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</si>
  <si>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</si>
  <si>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</si>
  <si>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</si>
  <si>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</si>
  <si>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</si>
  <si>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</si>
  <si>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</si>
  <si>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</si>
  <si>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</si>
  <si>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</si>
  <si>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</si>
  <si>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</si>
  <si>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</si>
  <si>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</si>
  <si>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</si>
  <si>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</si>
  <si>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</si>
  <si>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</si>
  <si>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</si>
  <si>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</si>
  <si>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</si>
  <si>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</si>
  <si>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</si>
  <si>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</si>
  <si>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</si>
  <si>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</si>
  <si>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</si>
  <si>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</si>
  <si>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</si>
  <si>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</si>
  <si>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</si>
  <si>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</si>
  <si>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</si>
  <si>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</si>
  <si>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</si>
  <si>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</si>
  <si>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</si>
  <si>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</si>
  <si>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</si>
  <si>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</si>
  <si>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</si>
  <si>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</si>
  <si>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</si>
  <si>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</si>
  <si>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</si>
  <si>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</si>
  <si>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</si>
  <si>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</si>
  <si>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</si>
  <si>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</si>
  <si>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</si>
  <si>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</si>
  <si>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</si>
  <si>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</si>
  <si>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</si>
  <si>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</si>
  <si>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</si>
  <si>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</si>
  <si>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</si>
  <si>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</si>
  <si>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</si>
  <si>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</si>
  <si>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</si>
  <si>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</si>
  <si>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</si>
  <si>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</si>
  <si>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</si>
  <si>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</si>
  <si>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</si>
  <si>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</si>
  <si>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</si>
  <si>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</si>
  <si>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</si>
  <si>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</si>
  <si>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</si>
  <si>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</si>
  <si>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</si>
  <si>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</si>
  <si>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</si>
  <si>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</si>
  <si>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</si>
  <si>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</si>
  <si>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</si>
  <si>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</si>
  <si>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</si>
  <si>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</si>
  <si>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</si>
  <si>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</si>
  <si>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</si>
  <si>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</si>
  <si>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</si>
  <si>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</si>
  <si>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</si>
  <si>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</si>
  <si>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</si>
  <si>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</si>
  <si>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</si>
  <si>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</si>
  <si>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</si>
  <si>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</si>
  <si>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</si>
  <si>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</si>
  <si>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</si>
  <si>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</si>
  <si>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</si>
  <si>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</si>
  <si>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</si>
  <si>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</si>
  <si>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</si>
  <si>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</si>
  <si>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</si>
  <si>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</si>
  <si>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</si>
  <si>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</si>
  <si>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</si>
  <si>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</si>
  <si>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</si>
  <si>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</si>
  <si>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</si>
  <si>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</si>
  <si>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</si>
  <si>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</si>
  <si>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</si>
  <si>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</si>
  <si>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</si>
  <si>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</si>
  <si>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</si>
  <si>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</si>
  <si>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</si>
  <si>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</si>
  <si>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</si>
  <si>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</si>
  <si>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</si>
  <si>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</si>
  <si>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</si>
  <si>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</si>
  <si>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</si>
  <si>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</si>
  <si>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</si>
  <si>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</si>
  <si>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</si>
  <si>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</si>
  <si>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</si>
  <si>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</si>
  <si>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</si>
  <si>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</si>
  <si>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</si>
  <si>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</si>
  <si>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</si>
  <si>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</si>
  <si>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</si>
  <si>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</si>
  <si>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</si>
  <si>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</si>
  <si>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</si>
  <si>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</si>
  <si>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</si>
  <si>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</si>
  <si>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</si>
  <si>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</si>
  <si>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</si>
  <si>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</si>
  <si>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</si>
  <si>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</si>
  <si>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</si>
  <si>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</si>
  <si>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</si>
  <si>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</si>
  <si>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</si>
  <si>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</si>
  <si>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</si>
  <si>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</si>
  <si>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</si>
  <si>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</si>
  <si>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</si>
  <si>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</si>
  <si>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</si>
  <si>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</si>
  <si>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</si>
  <si>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</si>
  <si>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</si>
  <si>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</si>
  <si>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</si>
  <si>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</si>
  <si>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</si>
  <si>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</si>
  <si>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</si>
  <si>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</si>
  <si>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</si>
  <si>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</si>
  <si>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</si>
  <si>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</si>
  <si>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</si>
  <si>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</si>
  <si>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</si>
  <si>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</si>
  <si>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</si>
  <si>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</si>
  <si>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</si>
  <si>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</si>
  <si>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</si>
  <si>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</si>
  <si>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</si>
  <si>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</si>
  <si>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</si>
  <si>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</si>
  <si>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</si>
  <si>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</si>
  <si>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</si>
  <si>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</si>
  <si>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</si>
  <si>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</si>
  <si>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</si>
  <si>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</si>
  <si>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</si>
  <si>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</si>
  <si>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</si>
  <si>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</si>
  <si>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</si>
  <si>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</si>
  <si>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</si>
  <si>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</si>
  <si>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</si>
  <si>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</si>
  <si>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</si>
  <si>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</si>
  <si>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</si>
  <si>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</si>
  <si>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</si>
  <si>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</si>
  <si>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</si>
  <si>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</si>
  <si>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</si>
  <si>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</si>
  <si>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</si>
  <si>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</si>
  <si>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</si>
  <si>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</si>
  <si>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</si>
  <si>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</si>
  <si>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</si>
  <si>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</si>
  <si>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</si>
  <si>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</si>
  <si>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</si>
  <si>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</si>
  <si>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</si>
  <si>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</si>
  <si>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</si>
  <si>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</si>
  <si>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</si>
  <si>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</si>
  <si>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</si>
  <si>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</si>
  <si>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</si>
  <si>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</si>
  <si>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</si>
  <si>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</si>
  <si>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</si>
  <si>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</si>
  <si>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</si>
  <si>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</si>
  <si>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</si>
  <si>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</si>
  <si>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</si>
  <si>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</si>
  <si>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</si>
  <si>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</si>
  <si>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</si>
  <si>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</si>
  <si>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</si>
  <si>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</si>
  <si>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</si>
  <si>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</si>
  <si>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</si>
  <si>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</si>
  <si>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</si>
  <si>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</si>
  <si>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</si>
  <si>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</si>
  <si>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</si>
  <si>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</si>
  <si>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</si>
  <si>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</si>
  <si>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</si>
  <si>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</si>
  <si>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</si>
  <si>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</si>
  <si>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</si>
  <si>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</si>
  <si>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</si>
  <si>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</si>
  <si>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</si>
  <si>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</si>
  <si>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</si>
  <si>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</si>
  <si>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</si>
  <si>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</si>
  <si>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</si>
  <si>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</si>
  <si>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</si>
  <si>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</si>
  <si>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</si>
  <si>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</si>
  <si>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</si>
  <si>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</si>
  <si>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</si>
  <si>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</si>
  <si>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</si>
  <si>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</si>
  <si>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</si>
  <si>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</si>
  <si>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</si>
  <si>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</si>
  <si>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</si>
  <si>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</si>
  <si>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</si>
  <si>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</si>
  <si>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</si>
  <si>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</si>
  <si>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</si>
  <si>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</si>
  <si>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</si>
  <si>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</si>
  <si>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</si>
  <si>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</si>
  <si>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</si>
  <si>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</si>
  <si>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</si>
  <si>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</si>
  <si>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</si>
  <si>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</si>
  <si>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</si>
  <si>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</si>
  <si>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</si>
  <si>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</si>
  <si>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</si>
  <si>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</si>
  <si>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</si>
  <si>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</si>
  <si>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</si>
  <si>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</si>
  <si>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</si>
  <si>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</si>
  <si>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</si>
  <si>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</si>
  <si>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</si>
  <si>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</si>
  <si>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</si>
  <si>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</si>
  <si>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</si>
  <si>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</si>
  <si>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</si>
  <si>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</si>
  <si>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</si>
  <si>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</si>
  <si>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</si>
  <si>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</si>
  <si>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</si>
  <si>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</si>
  <si>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</si>
  <si>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</si>
  <si>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</si>
  <si>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</si>
  <si>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</si>
  <si>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</si>
  <si>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</si>
  <si>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</si>
  <si>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</si>
  <si>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</si>
  <si>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</si>
  <si>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</si>
  <si>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</si>
  <si>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</si>
  <si>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</si>
  <si>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</si>
  <si>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</si>
  <si>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</si>
  <si>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</si>
  <si>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</si>
  <si>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</si>
  <si>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</si>
  <si>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</si>
  <si>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</si>
  <si>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</si>
  <si>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</si>
  <si>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</si>
  <si>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</si>
  <si>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</si>
  <si>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</si>
  <si>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</si>
  <si>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</si>
  <si>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</si>
  <si>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</si>
  <si>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</si>
  <si>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</si>
  <si>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</si>
  <si>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</si>
  <si>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</si>
  <si>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</si>
  <si>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</si>
  <si>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</si>
  <si>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</si>
  <si>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</si>
  <si>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</si>
  <si>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</si>
  <si>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</si>
  <si>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</si>
  <si>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</si>
  <si>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</si>
  <si>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</si>
  <si>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</si>
  <si>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</si>
  <si>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</si>
  <si>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</si>
  <si>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</si>
  <si>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</si>
  <si>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</si>
  <si>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</si>
  <si>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</si>
  <si>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</si>
  <si>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</si>
  <si>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</si>
  <si>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</si>
  <si>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</si>
  <si>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</si>
  <si>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</si>
  <si>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</si>
  <si>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</si>
  <si>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</si>
  <si>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</si>
  <si>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</si>
  <si>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</si>
  <si>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</si>
  <si>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</si>
  <si>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</si>
  <si>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</si>
  <si>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</si>
  <si>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</si>
  <si>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</si>
  <si>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</si>
  <si>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</si>
  <si>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</si>
  <si>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</si>
  <si>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</si>
  <si>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</si>
  <si>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</si>
  <si>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</si>
  <si>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</si>
  <si>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</si>
  <si>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</si>
  <si>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</si>
  <si>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</si>
  <si>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</si>
  <si>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</si>
  <si>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</si>
  <si>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</si>
  <si>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</si>
  <si>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</si>
  <si>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</si>
  <si>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</si>
  <si>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</si>
  <si>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</si>
  <si>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</si>
  <si>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</si>
  <si>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</si>
  <si>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</si>
  <si>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</si>
  <si>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</si>
  <si>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</si>
  <si>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</si>
  <si>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</si>
  <si>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</si>
  <si>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</si>
  <si>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</si>
  <si>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</si>
  <si>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</si>
  <si>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</si>
  <si>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</si>
  <si>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</si>
  <si>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</si>
  <si>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</si>
  <si>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</si>
  <si>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</si>
  <si>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</si>
  <si>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</si>
  <si>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</si>
  <si>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</si>
  <si>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</si>
  <si>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</si>
  <si>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</si>
  <si>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</si>
  <si>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</si>
  <si>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</si>
  <si>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</si>
  <si>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</si>
  <si>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</si>
  <si>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</si>
  <si>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</si>
  <si>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</si>
  <si>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</si>
  <si>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</si>
  <si>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</si>
  <si>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</si>
  <si>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</si>
  <si>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</si>
  <si>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</si>
  <si>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</si>
  <si>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</si>
  <si>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</si>
  <si>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</si>
  <si>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</si>
  <si>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</si>
  <si>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</si>
  <si>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</si>
  <si>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</si>
  <si>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</si>
  <si>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</si>
  <si>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</si>
  <si>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</si>
  <si>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</si>
  <si>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</si>
  <si>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</si>
  <si>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</si>
  <si>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</si>
  <si>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</si>
  <si>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</si>
  <si>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</si>
  <si>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</si>
  <si>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</si>
  <si>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</si>
  <si>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</si>
  <si>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</si>
  <si>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</si>
  <si>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</si>
  <si>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</si>
  <si>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</si>
  <si>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</si>
  <si>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</si>
  <si>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</si>
  <si>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</si>
  <si>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</si>
  <si>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</si>
  <si>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</si>
  <si>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</si>
  <si>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</si>
  <si>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</si>
  <si>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</si>
  <si>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</si>
  <si>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</si>
  <si>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</si>
  <si>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</si>
  <si>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</si>
  <si>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</si>
  <si>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</si>
  <si>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</si>
  <si>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</si>
  <si>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</si>
  <si>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</si>
  <si>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</si>
  <si>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</si>
  <si>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</si>
  <si>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</si>
  <si>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</si>
  <si>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</si>
  <si>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</si>
  <si>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</si>
  <si>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</si>
  <si>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</si>
  <si>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</si>
  <si>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</si>
  <si>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</si>
  <si>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</si>
  <si>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</si>
  <si>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</si>
  <si>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</si>
  <si>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</si>
  <si>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</si>
  <si>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</si>
  <si>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</si>
  <si>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</si>
  <si>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</si>
  <si>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</si>
  <si>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</si>
  <si>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</si>
  <si>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</si>
  <si>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</si>
  <si>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</si>
  <si>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</si>
  <si>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</si>
  <si>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</si>
  <si>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</si>
  <si>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</si>
  <si>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</si>
  <si>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</si>
  <si>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</si>
  <si>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</si>
  <si>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</si>
  <si>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</si>
  <si>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</si>
  <si>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</si>
  <si>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</si>
  <si>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</si>
  <si>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</si>
  <si>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</si>
  <si>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</si>
  <si>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</si>
  <si>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</si>
  <si>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</si>
  <si>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</si>
  <si>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</si>
  <si>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</si>
  <si>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</si>
  <si>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</si>
  <si>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</si>
  <si>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</si>
  <si>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</si>
  <si>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</si>
  <si>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</si>
  <si>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</si>
  <si>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</si>
  <si>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</si>
  <si>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</si>
  <si>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</si>
  <si>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</si>
  <si>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</si>
  <si>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</si>
  <si>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</si>
  <si>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</si>
  <si>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</si>
  <si>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</si>
  <si>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</si>
  <si>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</si>
  <si>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</si>
  <si>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</si>
  <si>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</si>
  <si>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</si>
  <si>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</si>
  <si>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</si>
  <si>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</si>
  <si>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</si>
  <si>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</si>
  <si>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</si>
  <si>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</si>
  <si>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</si>
  <si>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</si>
  <si>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</si>
  <si>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</si>
  <si>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</si>
  <si>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</si>
  <si>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</si>
  <si>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</si>
  <si>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</si>
  <si>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</si>
  <si>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</si>
  <si>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</si>
  <si>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</si>
  <si>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</si>
  <si>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</si>
  <si>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</si>
  <si>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</si>
  <si>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</si>
  <si>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</si>
  <si>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</si>
  <si>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</si>
  <si>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</si>
  <si>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</si>
  <si>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</si>
  <si>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</si>
  <si>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</si>
  <si>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</si>
  <si>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</si>
  <si>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</si>
  <si>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</si>
  <si>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</si>
  <si>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</si>
  <si>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</si>
  <si>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</si>
  <si>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</si>
  <si>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</si>
  <si>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</si>
  <si>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</si>
  <si>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</si>
  <si>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</si>
  <si>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</si>
  <si>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</si>
  <si>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</si>
  <si>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</si>
  <si>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</si>
  <si>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</si>
  <si>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</si>
  <si>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</si>
  <si>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</si>
  <si>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</si>
  <si>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</si>
  <si>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</si>
  <si>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</si>
  <si>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</si>
  <si>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</si>
  <si>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</si>
  <si>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</si>
  <si>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</si>
  <si>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</si>
  <si>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</si>
  <si>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</si>
  <si>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</si>
  <si>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</si>
  <si>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</si>
  <si>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</si>
  <si>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</si>
  <si>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</si>
  <si>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</si>
  <si>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</si>
  <si>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</si>
  <si>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</si>
  <si>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</si>
  <si>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</si>
  <si>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</si>
  <si>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</si>
  <si>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</si>
  <si>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</si>
  <si>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</si>
  <si>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</si>
  <si>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</si>
  <si>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</si>
  <si>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</si>
  <si>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</si>
  <si>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</si>
  <si>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</si>
  <si>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</si>
  <si>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</si>
  <si>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</si>
  <si>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</si>
  <si>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</si>
  <si>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</si>
  <si>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</si>
  <si>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</si>
  <si>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</si>
  <si>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</si>
  <si>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</si>
  <si>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</si>
  <si>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</si>
  <si>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</si>
  <si>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</si>
  <si>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</si>
  <si>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</si>
  <si>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</si>
  <si>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</si>
  <si>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</si>
  <si>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</si>
  <si>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</si>
  <si>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</si>
  <si>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</si>
  <si>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</si>
  <si>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</si>
  <si>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</si>
  <si>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</si>
  <si>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</si>
  <si>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</si>
  <si>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</si>
  <si>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</si>
  <si>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</si>
  <si>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</si>
  <si>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</si>
  <si>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</si>
  <si>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</si>
  <si>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</si>
  <si>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</si>
  <si>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</si>
  <si>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</si>
  <si>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</si>
  <si>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</si>
  <si>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</si>
  <si>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</si>
  <si>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</si>
  <si>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</si>
  <si>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</si>
  <si>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</si>
  <si>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</si>
  <si>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</si>
  <si>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</si>
  <si>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</si>
  <si>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</si>
  <si>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</si>
  <si>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</si>
  <si>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</si>
  <si>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</si>
  <si>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</si>
  <si>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</si>
  <si>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</si>
  <si>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</si>
  <si>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</si>
  <si>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</si>
  <si>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</si>
  <si>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</si>
  <si>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</si>
  <si>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</si>
  <si>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</si>
  <si>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</si>
  <si>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</si>
  <si>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</si>
  <si>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</si>
  <si>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</si>
  <si>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</si>
  <si>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</si>
  <si>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</si>
  <si>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</si>
  <si>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</si>
  <si>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</si>
  <si>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</si>
  <si>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</si>
  <si>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</si>
  <si>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</si>
  <si>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</si>
  <si>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</si>
  <si>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</si>
  <si>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</si>
  <si>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</si>
  <si>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</si>
  <si>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</si>
  <si>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</si>
  <si>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</si>
  <si>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</si>
  <si>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</si>
  <si>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</si>
  <si>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</si>
  <si>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</si>
  <si>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</si>
  <si>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</si>
  <si>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</si>
  <si>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</si>
  <si>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</si>
  <si>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</si>
  <si>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</si>
  <si>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</si>
  <si>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</si>
  <si>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</si>
  <si>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</si>
  <si>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</si>
  <si>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</si>
  <si>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</si>
  <si>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</si>
  <si>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</si>
  <si>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</si>
  <si>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</si>
  <si>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</si>
  <si>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</si>
  <si>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</si>
  <si>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</si>
  <si>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</si>
  <si>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</si>
  <si>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</si>
  <si>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</si>
  <si>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</si>
  <si>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</si>
  <si>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</si>
  <si>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</si>
  <si>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</si>
  <si>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</si>
  <si>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</si>
  <si>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</si>
  <si>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</si>
  <si>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</si>
  <si>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</si>
  <si>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</si>
  <si>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</si>
  <si>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</si>
  <si>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</si>
  <si>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</si>
  <si>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</si>
  <si>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</si>
  <si>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</si>
  <si>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</si>
  <si>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</si>
  <si>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</si>
  <si>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</si>
  <si>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</si>
  <si>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</si>
  <si>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</si>
  <si>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</si>
  <si>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</si>
  <si>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</si>
  <si>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</si>
  <si>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</si>
  <si>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</si>
  <si>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</si>
  <si>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</si>
  <si>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</si>
  <si>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</si>
  <si>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</si>
  <si>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</si>
  <si>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</si>
  <si>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</si>
  <si>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</si>
  <si>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</si>
  <si>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</si>
  <si>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</si>
  <si>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</si>
  <si>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</si>
  <si>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</si>
  <si>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</si>
  <si>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</si>
  <si>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</si>
  <si>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</si>
  <si>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</si>
  <si>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</si>
  <si>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</si>
  <si>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</si>
  <si>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</si>
  <si>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</si>
  <si>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</si>
  <si>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</si>
  <si>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</si>
  <si>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</si>
  <si>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</si>
  <si>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</si>
  <si>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</si>
  <si>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</si>
  <si>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</si>
  <si>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</si>
  <si>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</si>
  <si>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</si>
  <si>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</si>
  <si>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</si>
  <si>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</si>
  <si>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</si>
  <si>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</si>
  <si>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</si>
  <si>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</si>
  <si>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</si>
  <si>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</si>
  <si>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</si>
  <si>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</si>
  <si>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</si>
  <si>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</si>
  <si>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</si>
  <si>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</si>
  <si>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</si>
  <si>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</si>
  <si>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</si>
  <si>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</si>
  <si>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</si>
  <si>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</si>
  <si>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</si>
  <si>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</si>
  <si>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</si>
  <si>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</si>
  <si>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</si>
  <si>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</si>
  <si>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</si>
  <si>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</si>
  <si>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</si>
  <si>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</si>
  <si>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</si>
  <si>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</si>
  <si>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</si>
  <si>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</si>
  <si>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</si>
  <si>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</si>
  <si>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</si>
  <si>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</si>
  <si>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</si>
  <si>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</si>
  <si>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</si>
  <si>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</si>
  <si>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</si>
  <si>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</si>
  <si>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</si>
  <si>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</si>
  <si>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</si>
  <si>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</si>
  <si>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</si>
  <si>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</si>
  <si>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</si>
  <si>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</si>
  <si>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</si>
  <si>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</si>
  <si>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</si>
  <si>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</si>
  <si>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</si>
  <si>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</si>
  <si>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</si>
  <si>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</si>
  <si>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</si>
  <si>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</si>
  <si>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</si>
  <si>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</si>
  <si>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</si>
  <si>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</si>
  <si>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</si>
  <si>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</si>
  <si>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</si>
  <si>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</si>
  <si>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</si>
  <si>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</si>
  <si>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</si>
  <si>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</si>
  <si>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</si>
  <si>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</si>
  <si>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</si>
  <si>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</si>
  <si>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</si>
  <si>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</si>
  <si>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</si>
  <si>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</si>
  <si>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</si>
  <si>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</si>
  <si>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</si>
  <si>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</si>
  <si>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</si>
  <si>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</si>
  <si>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</si>
  <si>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</si>
  <si>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</si>
  <si>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</si>
  <si>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</si>
  <si>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</si>
  <si>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</si>
  <si>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</si>
  <si>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</si>
  <si>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</si>
  <si>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</si>
  <si>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</si>
  <si>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</si>
  <si>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</si>
  <si>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</si>
  <si>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</si>
  <si>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</si>
  <si>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</si>
  <si>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</si>
  <si>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</si>
  <si>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</si>
  <si>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</si>
  <si>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</si>
  <si>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</si>
  <si>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</si>
  <si>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</si>
  <si>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</si>
  <si>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</si>
  <si>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</si>
  <si>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</si>
  <si>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</si>
  <si>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</si>
  <si>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</si>
  <si>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</si>
  <si>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</si>
  <si>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</si>
  <si>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</si>
  <si>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</si>
  <si>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</si>
  <si>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</si>
  <si>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</si>
  <si>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</si>
  <si>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</si>
  <si>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</si>
  <si>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</si>
  <si>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</si>
  <si>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</si>
  <si>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</si>
  <si>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</si>
  <si>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</si>
  <si>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</si>
  <si>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</si>
  <si>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</si>
  <si>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</si>
  <si>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</si>
  <si>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</si>
  <si>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</si>
  <si>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</si>
  <si>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</si>
  <si>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</si>
  <si>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</si>
  <si>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</si>
  <si>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</si>
  <si>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</si>
  <si>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</si>
  <si>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</si>
  <si>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</si>
  <si>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</si>
  <si>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</si>
  <si>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</si>
  <si>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</si>
  <si>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</si>
  <si>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</si>
  <si>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</si>
  <si>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</si>
  <si>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</si>
  <si>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</si>
  <si>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</si>
  <si>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</si>
  <si>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</si>
  <si>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</si>
  <si>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</si>
  <si>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</si>
  <si>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</si>
  <si>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</si>
  <si>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</si>
  <si>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</si>
  <si>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</si>
  <si>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</si>
  <si>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</si>
  <si>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</si>
  <si>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</si>
  <si>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</si>
  <si>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</si>
  <si>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</si>
  <si>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</si>
  <si>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</si>
  <si>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</si>
  <si>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</si>
  <si>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</si>
  <si>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</si>
  <si>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</si>
  <si>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</si>
  <si>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</si>
  <si>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</si>
  <si>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</si>
  <si>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</si>
  <si>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</si>
  <si>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</si>
  <si>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</si>
  <si>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</si>
  <si>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</si>
  <si>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</si>
  <si>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</si>
  <si>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</si>
  <si>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</si>
  <si>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</si>
  <si>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</si>
  <si>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</si>
  <si>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</si>
  <si>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</si>
  <si>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</si>
  <si>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</si>
  <si>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</si>
  <si>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</si>
  <si>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</si>
  <si>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</si>
  <si>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</si>
  <si>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</si>
  <si>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</si>
  <si>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</si>
  <si>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</si>
  <si>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</si>
  <si>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</si>
  <si>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</si>
  <si>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</si>
  <si>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</si>
  <si>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</si>
  <si>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</si>
  <si>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</si>
  <si>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</si>
  <si>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</si>
  <si>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</si>
  <si>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</si>
  <si>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</si>
  <si>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</si>
  <si>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</si>
  <si>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</si>
  <si>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</si>
  <si>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</si>
  <si>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</si>
  <si>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</si>
  <si>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</si>
  <si>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</si>
  <si>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</si>
  <si>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</si>
  <si>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</si>
  <si>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</si>
  <si>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</si>
  <si>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</si>
  <si>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</si>
  <si>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</si>
  <si>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</si>
  <si>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</si>
  <si>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</si>
  <si>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</si>
  <si>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</si>
  <si>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</si>
  <si>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</si>
  <si>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</si>
  <si>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</si>
  <si>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</si>
  <si>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</si>
  <si>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</si>
  <si>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</si>
  <si>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</si>
  <si>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</si>
  <si>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</si>
  <si>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</si>
  <si>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</si>
  <si>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</si>
  <si>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</si>
  <si>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</si>
  <si>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</si>
  <si>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</si>
  <si>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</si>
  <si>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</si>
  <si>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</si>
  <si>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</si>
  <si>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</si>
  <si>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</si>
  <si>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</si>
  <si>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</si>
  <si>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</si>
  <si>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</si>
  <si>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</si>
  <si>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</si>
  <si>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</si>
  <si>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</si>
  <si>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</si>
  <si>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</si>
  <si>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</si>
  <si>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</si>
  <si>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</si>
  <si>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</si>
  <si>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</si>
  <si>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</si>
  <si>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</si>
  <si>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</si>
  <si>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</si>
  <si>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</si>
  <si>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</si>
  <si>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</si>
  <si>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</si>
  <si>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</si>
  <si>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</si>
  <si>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</si>
  <si>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</si>
  <si>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</si>
  <si>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</si>
  <si>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</si>
  <si>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</si>
  <si>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</si>
  <si>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</si>
  <si>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</si>
  <si>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</si>
  <si>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</si>
  <si>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</si>
  <si>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</si>
  <si>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</si>
  <si>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</si>
  <si>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</si>
  <si>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</si>
  <si>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</si>
  <si>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</si>
  <si>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</si>
  <si>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</si>
  <si>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</si>
  <si>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</si>
  <si>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</si>
  <si>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</si>
  <si>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</si>
  <si>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</si>
  <si>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</si>
  <si>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</si>
  <si>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</si>
  <si>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</si>
  <si>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</si>
  <si>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</si>
  <si>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</si>
  <si>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</si>
  <si>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</si>
  <si>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</si>
  <si>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</si>
  <si>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</si>
  <si>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</si>
  <si>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</si>
  <si>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</si>
  <si>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</si>
  <si>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</si>
  <si>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</si>
  <si>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</si>
  <si>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</si>
  <si>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</si>
  <si>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</si>
  <si>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</si>
  <si>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</si>
  <si>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</si>
  <si>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</si>
  <si>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</si>
  <si>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</si>
  <si>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</si>
  <si>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</si>
  <si>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</si>
  <si>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</si>
  <si>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</si>
  <si>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</si>
  <si>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</si>
  <si>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</si>
  <si>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</si>
  <si>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</si>
  <si>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</si>
  <si>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</si>
  <si>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</si>
  <si>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</si>
  <si>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</si>
  <si>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</si>
  <si>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</si>
  <si>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</si>
  <si>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</si>
  <si>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</si>
  <si>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</si>
  <si>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</si>
  <si>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</si>
  <si>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</si>
  <si>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</si>
  <si>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</si>
  <si>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</si>
  <si>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</si>
  <si>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</si>
  <si>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</si>
  <si>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</si>
  <si>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</si>
  <si>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</si>
  <si>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</si>
  <si>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</si>
  <si>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</si>
  <si>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</si>
  <si>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</si>
  <si>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</si>
  <si>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</si>
  <si>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</si>
  <si>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</si>
  <si>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</si>
  <si>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</si>
  <si>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</si>
  <si>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</si>
  <si>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</si>
  <si>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</si>
  <si>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</si>
  <si>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</si>
  <si>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</si>
  <si>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</si>
  <si>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</si>
  <si>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</si>
  <si>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</si>
  <si>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</si>
  <si>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</si>
  <si>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</si>
  <si>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</si>
  <si>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</si>
  <si>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</si>
  <si>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</si>
  <si>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</si>
  <si>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</si>
  <si>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</si>
  <si>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</si>
  <si>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</si>
  <si>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</si>
  <si>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</si>
  <si>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</si>
  <si>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</si>
  <si>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</si>
  <si>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</si>
  <si>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</si>
  <si>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</si>
  <si>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</si>
  <si>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</si>
  <si>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</si>
  <si>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</si>
  <si>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</si>
  <si>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</si>
  <si>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</si>
  <si>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</si>
  <si>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</si>
  <si>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</si>
  <si>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</si>
  <si>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</si>
  <si>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</si>
  <si>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</si>
  <si>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</si>
  <si>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</si>
  <si>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</si>
  <si>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</si>
  <si>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</si>
  <si>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</si>
  <si>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</si>
  <si>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</si>
  <si>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</si>
  <si>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</si>
  <si>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</si>
  <si>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</si>
  <si>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</si>
  <si>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</si>
  <si>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</si>
  <si>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</si>
  <si>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</si>
  <si>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</si>
  <si>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</si>
  <si>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</si>
  <si>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</si>
  <si>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</si>
  <si>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</si>
  <si>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</si>
  <si>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</si>
  <si>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</si>
  <si>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</si>
  <si>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</si>
  <si>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</si>
  <si>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</si>
  <si>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</si>
  <si>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</si>
  <si>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</si>
  <si>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</si>
  <si>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</si>
  <si>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</si>
  <si>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</si>
  <si>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</si>
  <si>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</si>
  <si>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</si>
  <si>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</si>
  <si>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</si>
  <si>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</si>
  <si>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</si>
  <si>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</si>
  <si>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</si>
  <si>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</si>
  <si>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</si>
  <si>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</si>
  <si>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</si>
  <si>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</si>
  <si>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</si>
  <si>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</si>
  <si>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</si>
  <si>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</si>
  <si>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</si>
  <si>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</si>
  <si>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</si>
  <si>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</si>
  <si>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</si>
  <si>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</si>
  <si>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</si>
  <si>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</si>
  <si>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</si>
  <si>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</si>
  <si>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</si>
  <si>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</si>
  <si>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</si>
  <si>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</si>
  <si>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</si>
  <si>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</si>
  <si>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</si>
  <si>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</si>
  <si>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</si>
  <si>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</si>
  <si>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</si>
  <si>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</si>
  <si>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</si>
  <si>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</si>
  <si>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</si>
  <si>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</si>
  <si>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</si>
  <si>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</si>
  <si>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</si>
  <si>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</si>
  <si>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</si>
  <si>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</si>
  <si>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</si>
  <si>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</si>
  <si>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</si>
  <si>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</si>
  <si>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</si>
  <si>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</si>
  <si>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</si>
  <si>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</si>
  <si>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</si>
  <si>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</si>
  <si>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</si>
  <si>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</si>
  <si>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</si>
  <si>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</si>
  <si>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</si>
  <si>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</si>
  <si>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</si>
  <si>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</si>
  <si>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</si>
  <si>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</si>
  <si>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</si>
  <si>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</si>
  <si>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</si>
  <si>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</si>
  <si>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</si>
  <si>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</si>
  <si>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</si>
  <si>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</si>
  <si>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</si>
  <si>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</si>
  <si>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</si>
  <si>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</si>
  <si>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</si>
  <si>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</si>
  <si>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</si>
  <si>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</si>
  <si>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</si>
  <si>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</si>
  <si>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</si>
  <si>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</si>
  <si>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</si>
  <si>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</si>
  <si>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</si>
  <si>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</si>
  <si>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</si>
  <si>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</si>
  <si>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</si>
  <si>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</si>
  <si>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</si>
  <si>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</si>
  <si>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</si>
  <si>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</si>
  <si>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</si>
  <si>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</si>
  <si>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</si>
  <si>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</si>
  <si>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</si>
  <si>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</si>
  <si>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</si>
  <si>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</si>
  <si>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</si>
  <si>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</si>
  <si>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</si>
  <si>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</si>
  <si>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</si>
  <si>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</si>
  <si>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</si>
  <si>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</si>
  <si>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</si>
  <si>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</si>
  <si>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</si>
  <si>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</si>
  <si>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</si>
  <si>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</si>
  <si>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</si>
  <si>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</si>
  <si>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</si>
  <si>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</si>
  <si>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</si>
  <si>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</si>
  <si>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</si>
  <si>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</si>
  <si>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</si>
  <si>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</si>
  <si>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</si>
  <si>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</si>
  <si>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</si>
  <si>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</si>
  <si>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</si>
  <si>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</si>
  <si>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</si>
  <si>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</si>
  <si>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</si>
  <si>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</si>
  <si>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</si>
  <si>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</si>
  <si>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</si>
  <si>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</si>
  <si>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</si>
  <si>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</si>
  <si>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</si>
  <si>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</si>
  <si>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</si>
  <si>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</si>
  <si>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</si>
  <si>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</si>
  <si>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</si>
  <si>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</si>
  <si>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</si>
  <si>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</si>
  <si>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</si>
  <si>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</si>
  <si>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</si>
  <si>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</si>
  <si>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</si>
  <si>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</si>
  <si>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</si>
  <si>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</si>
  <si>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</si>
  <si>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</si>
  <si>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</si>
  <si>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</si>
  <si>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</si>
  <si>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</si>
  <si>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</si>
  <si>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</si>
  <si>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</si>
  <si>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</si>
  <si>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</si>
  <si>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</si>
  <si>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</si>
  <si>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</si>
  <si>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</si>
  <si>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</si>
  <si>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</si>
  <si>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</si>
  <si>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</si>
  <si>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</si>
  <si>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</si>
  <si>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</si>
  <si>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</si>
  <si>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</si>
  <si>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</si>
  <si>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</si>
  <si>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</si>
  <si>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</si>
  <si>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</si>
  <si>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</si>
  <si>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</si>
  <si>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</si>
  <si>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</si>
  <si>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</si>
  <si>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</si>
  <si>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</si>
  <si>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</si>
  <si>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</si>
  <si>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</si>
  <si>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</si>
  <si>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</si>
  <si>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</si>
  <si>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</si>
  <si>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</si>
  <si>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</si>
  <si>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</si>
  <si>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</si>
  <si>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</si>
  <si>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</si>
  <si>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</si>
  <si>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</si>
  <si>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</si>
  <si>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</si>
  <si>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</si>
  <si>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</si>
  <si>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</si>
  <si>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</si>
  <si>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</si>
  <si>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</si>
  <si>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</si>
  <si>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</si>
  <si>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</si>
  <si>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</si>
  <si>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</si>
  <si>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</si>
  <si>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</si>
  <si>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</si>
  <si>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</si>
  <si>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</si>
  <si>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</si>
  <si>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</si>
  <si>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</si>
  <si>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</si>
  <si>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</si>
  <si>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</si>
  <si>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</si>
  <si>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</si>
  <si>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</si>
  <si>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</si>
  <si>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</si>
  <si>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</si>
  <si>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</si>
  <si>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</si>
  <si>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</si>
  <si>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</si>
  <si>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</si>
  <si>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</si>
  <si>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</si>
  <si>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</si>
  <si>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</si>
  <si>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</si>
  <si>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</si>
  <si>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</si>
  <si>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</si>
  <si>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</si>
  <si>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</si>
  <si>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</si>
  <si>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</si>
  <si>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</si>
  <si>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</si>
  <si>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</si>
  <si>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</si>
  <si>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</si>
  <si>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</si>
  <si>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</si>
  <si>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</si>
  <si>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</si>
  <si>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</si>
  <si>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</si>
  <si>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</si>
  <si>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</si>
  <si>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</si>
  <si>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</si>
  <si>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</si>
  <si>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</si>
  <si>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</si>
  <si>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</si>
  <si>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</si>
  <si>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</si>
  <si>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</si>
  <si>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</si>
  <si>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</si>
  <si>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</si>
  <si>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</si>
  <si>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</si>
  <si>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</si>
  <si>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</si>
  <si>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</si>
  <si>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</si>
  <si>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</si>
  <si>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</si>
  <si>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</si>
  <si>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</si>
  <si>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</si>
  <si>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</si>
  <si>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</si>
  <si>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</si>
  <si>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</si>
  <si>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</si>
  <si>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</si>
  <si>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</si>
  <si>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</si>
  <si>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</si>
  <si>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</si>
  <si>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</si>
  <si>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</si>
  <si>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</si>
  <si>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</si>
  <si>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</si>
  <si>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</si>
  <si>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</si>
  <si>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</si>
  <si>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</si>
  <si>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</si>
  <si>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</si>
  <si>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</si>
  <si>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</si>
  <si>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</si>
  <si>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</si>
  <si>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</si>
  <si>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</si>
  <si>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</si>
  <si>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</si>
  <si>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</si>
  <si>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</si>
  <si>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</si>
  <si>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</si>
  <si>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</si>
  <si>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</si>
  <si>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</si>
  <si>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</si>
  <si>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</si>
  <si>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</si>
  <si>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</si>
  <si>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</si>
  <si>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</si>
  <si>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</si>
  <si>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</si>
  <si>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</si>
  <si>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</si>
  <si>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</si>
  <si>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</si>
  <si>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</si>
  <si>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</si>
  <si>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</si>
  <si>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</si>
  <si>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</si>
  <si>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</si>
  <si>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</si>
  <si>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</si>
  <si>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</si>
  <si>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</si>
  <si>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</si>
  <si>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</si>
  <si>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</si>
  <si>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</si>
  <si>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</si>
  <si>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</si>
  <si>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</si>
  <si>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</si>
  <si>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</si>
  <si>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</si>
  <si>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</si>
  <si>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</si>
  <si>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</si>
  <si>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</si>
  <si>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</si>
  <si>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</si>
  <si>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</si>
  <si>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</si>
  <si>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</si>
  <si>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</si>
  <si>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</si>
  <si>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</si>
  <si>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</si>
  <si>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</si>
  <si>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</si>
  <si>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</si>
  <si>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</si>
  <si>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</si>
  <si>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</si>
  <si>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</si>
  <si>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</si>
  <si>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</si>
  <si>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</si>
  <si>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</si>
  <si>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</si>
  <si>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</si>
  <si>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</si>
  <si>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</si>
  <si>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</si>
  <si>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</si>
  <si>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</si>
  <si>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</si>
  <si>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</si>
  <si>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</si>
  <si>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</si>
  <si>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</si>
  <si>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</si>
  <si>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</si>
  <si>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</si>
  <si>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</si>
  <si>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</si>
  <si>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</si>
  <si>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</si>
  <si>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</si>
  <si>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</si>
  <si>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</si>
  <si>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</si>
  <si>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</si>
  <si>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</si>
  <si>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</si>
  <si>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</si>
  <si>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</si>
  <si>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</si>
  <si>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</si>
  <si>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</si>
  <si>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</si>
  <si>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</si>
  <si>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</si>
  <si>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</si>
  <si>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</si>
  <si>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</si>
  <si>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</si>
  <si>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</si>
  <si>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</si>
  <si>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</si>
  <si>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</si>
  <si>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</si>
  <si>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</si>
  <si>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</si>
  <si>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</si>
  <si>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</si>
  <si>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</si>
  <si>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</si>
  <si>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</si>
  <si>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</si>
  <si>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</si>
  <si>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</si>
  <si>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</si>
  <si>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</si>
  <si>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</si>
  <si>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</si>
  <si>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</si>
  <si>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</si>
  <si>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</si>
  <si>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</si>
  <si>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</si>
  <si>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</si>
  <si>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</si>
  <si>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</si>
  <si>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</si>
  <si>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</si>
  <si>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</si>
  <si>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</si>
  <si>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</si>
  <si>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</si>
  <si>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</si>
  <si>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</si>
  <si>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</si>
  <si>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</si>
  <si>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</si>
  <si>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</si>
  <si>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</si>
  <si>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</si>
  <si>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</si>
  <si>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</si>
  <si>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</si>
  <si>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</si>
  <si>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</si>
  <si>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</si>
  <si>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</si>
  <si>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</si>
  <si>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</si>
  <si>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</si>
  <si>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</si>
  <si>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</si>
  <si>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</si>
  <si>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</si>
  <si>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</si>
  <si>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</si>
  <si>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</si>
  <si>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</si>
  <si>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</si>
  <si>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</si>
  <si>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</si>
  <si>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</si>
  <si>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</si>
  <si>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</si>
  <si>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</si>
  <si>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</si>
  <si>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</si>
  <si>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</si>
  <si>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</si>
  <si>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</si>
  <si>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</si>
  <si>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</si>
  <si>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</si>
  <si>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</si>
  <si>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</si>
  <si>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</si>
  <si>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</si>
  <si>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</si>
  <si>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</si>
  <si>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</si>
  <si>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</si>
  <si>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</si>
  <si>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</si>
  <si>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</si>
  <si>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</si>
  <si>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</si>
  <si>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</si>
  <si>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</si>
  <si>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</si>
  <si>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</si>
  <si>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</si>
  <si>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</si>
  <si>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</si>
  <si>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</si>
  <si>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</si>
  <si>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</si>
  <si>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</si>
  <si>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</si>
  <si>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</si>
  <si>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</si>
  <si>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</si>
  <si>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</si>
  <si>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</si>
  <si>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</si>
  <si>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</si>
  <si>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</si>
  <si>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</si>
  <si>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</si>
  <si>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</si>
  <si>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</si>
  <si>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</si>
  <si>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</si>
  <si>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</si>
  <si>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</si>
  <si>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</si>
  <si>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</si>
  <si>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</si>
  <si>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</si>
  <si>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</si>
  <si>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</si>
  <si>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</si>
  <si>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</si>
  <si>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</si>
  <si>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</si>
  <si>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</si>
  <si>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</si>
  <si>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</si>
  <si>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</si>
  <si>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</si>
  <si>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</si>
  <si>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</si>
  <si>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</si>
  <si>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</si>
  <si>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</si>
  <si>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</si>
  <si>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</si>
  <si>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</si>
  <si>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</si>
  <si>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</si>
  <si>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</si>
  <si>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</si>
  <si>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</si>
  <si>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</si>
  <si>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</si>
  <si>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</si>
  <si>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</si>
  <si>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</si>
  <si>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</si>
  <si>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</si>
  <si>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</si>
  <si>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</si>
  <si>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</si>
  <si>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</si>
  <si>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</si>
  <si>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</si>
  <si>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</si>
  <si>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</si>
  <si>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</si>
  <si>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</si>
  <si>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</si>
  <si>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</si>
  <si>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</si>
  <si>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</si>
  <si>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</si>
  <si>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</si>
  <si>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</si>
  <si>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</si>
  <si>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</si>
  <si>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</si>
  <si>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</si>
  <si>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</si>
  <si>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</si>
  <si>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</si>
  <si>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</si>
  <si>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</si>
  <si>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</si>
  <si>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</si>
  <si>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</si>
  <si>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</si>
  <si>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</si>
  <si>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</si>
  <si>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</si>
  <si>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</si>
  <si>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</si>
  <si>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</si>
  <si>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</si>
  <si>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</si>
  <si>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</si>
  <si>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</si>
  <si>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</si>
  <si>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</si>
  <si>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</si>
  <si>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</si>
  <si>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</si>
  <si>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</si>
  <si>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</si>
  <si>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</si>
  <si>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</si>
  <si>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</si>
  <si>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</si>
  <si>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</si>
  <si>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</si>
  <si>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</si>
  <si>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</si>
  <si>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</si>
  <si>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</si>
  <si>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</si>
  <si>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</si>
  <si>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</si>
  <si>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</si>
  <si>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</si>
  <si>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</si>
  <si>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</si>
  <si>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</si>
  <si>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</si>
  <si>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</si>
  <si>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</si>
  <si>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</si>
  <si>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</si>
  <si>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</si>
  <si>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</si>
  <si>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</si>
  <si>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</si>
  <si>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</si>
  <si>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</si>
  <si>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</si>
  <si>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</si>
  <si>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</si>
  <si>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</si>
  <si>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</si>
  <si>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</si>
  <si>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</si>
  <si>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</si>
  <si>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</si>
  <si>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</si>
  <si>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</si>
  <si>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</si>
  <si>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</si>
  <si>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</si>
  <si>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</si>
  <si>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</si>
  <si>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</si>
  <si>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</si>
  <si>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</si>
  <si>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</si>
  <si>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</si>
  <si>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</si>
  <si>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</si>
  <si>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</si>
  <si>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</si>
  <si>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</si>
  <si>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</si>
  <si>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</si>
  <si>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</si>
  <si>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</si>
  <si>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</si>
  <si>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</si>
  <si>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</si>
  <si>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</si>
  <si>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</si>
  <si>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</si>
  <si>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</si>
  <si>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</si>
  <si>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</si>
  <si>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</si>
  <si>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</si>
  <si>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</si>
  <si>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</si>
  <si>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</si>
  <si>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</si>
  <si>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</si>
  <si>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</si>
  <si>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</si>
  <si>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</si>
  <si>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</si>
  <si>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</si>
  <si>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</si>
  <si>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</si>
  <si>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</si>
  <si>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</si>
  <si>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</si>
  <si>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</si>
  <si>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</si>
  <si>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</si>
  <si>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</si>
  <si>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</si>
  <si>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</si>
  <si>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</si>
  <si>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</si>
  <si>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</si>
  <si>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</si>
  <si>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</si>
  <si>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</si>
  <si>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</si>
  <si>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</si>
  <si>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</si>
  <si>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</si>
  <si>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</si>
  <si>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</si>
  <si>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</si>
  <si>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</si>
  <si>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</si>
  <si>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</si>
  <si>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</si>
  <si>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</si>
  <si>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</si>
  <si>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</si>
  <si>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</si>
  <si>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</si>
  <si>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</si>
  <si>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</si>
  <si>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</si>
  <si>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</si>
  <si>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</si>
  <si>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</si>
  <si>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</si>
  <si>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</si>
  <si>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</si>
  <si>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</si>
  <si>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</si>
  <si>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</si>
  <si>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</si>
  <si>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</si>
  <si>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</si>
  <si>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</si>
  <si>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</si>
  <si>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</si>
  <si>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</si>
  <si>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</si>
  <si>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</si>
  <si>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</si>
  <si>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</si>
  <si>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</si>
  <si>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</si>
  <si>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</si>
  <si>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</si>
  <si>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</si>
  <si>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</si>
  <si>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</si>
  <si>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</si>
  <si>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</si>
  <si>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</si>
  <si>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</si>
  <si>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</si>
  <si>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</si>
  <si>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</si>
  <si>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</si>
  <si>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</si>
  <si>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</si>
  <si>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</si>
  <si>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</si>
  <si>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</si>
  <si>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</si>
  <si>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</si>
  <si>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</si>
  <si>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</si>
  <si>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</si>
  <si>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</si>
  <si>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</si>
  <si>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</si>
  <si>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</si>
  <si>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</si>
  <si>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</si>
  <si>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</si>
  <si>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</si>
  <si>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</si>
  <si>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</si>
  <si>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</si>
  <si>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</si>
  <si>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</si>
  <si>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</si>
  <si>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</si>
  <si>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</si>
  <si>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</si>
  <si>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</si>
  <si>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</si>
  <si>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</si>
  <si>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</si>
  <si>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</si>
  <si>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</si>
  <si>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</si>
  <si>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</si>
  <si>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</si>
  <si>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</si>
  <si>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</si>
  <si>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</si>
  <si>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</si>
  <si>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</si>
  <si>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</si>
  <si>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</si>
  <si>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</si>
  <si>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</si>
  <si>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</si>
  <si>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</si>
  <si>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</si>
  <si>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</si>
  <si>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</si>
  <si>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</si>
  <si>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</si>
  <si>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</si>
  <si>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</si>
  <si>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</si>
  <si>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</si>
  <si>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</si>
  <si>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</si>
  <si>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</si>
  <si>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</si>
  <si>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</si>
  <si>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</si>
  <si>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</si>
  <si>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</si>
  <si>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</si>
  <si>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</si>
  <si>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</si>
  <si>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</si>
  <si>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</si>
  <si>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</si>
  <si>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</si>
  <si>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</si>
  <si>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</si>
  <si>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</si>
  <si>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</si>
  <si>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</si>
  <si>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</si>
  <si>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</si>
  <si>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</si>
  <si>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</si>
  <si>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</si>
  <si>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</si>
  <si>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</si>
  <si>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</si>
  <si>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</si>
  <si>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</si>
  <si>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</si>
  <si>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</si>
  <si>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</si>
  <si>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</si>
  <si>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</si>
  <si>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</si>
  <si>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</si>
  <si>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</si>
  <si>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</si>
  <si>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</si>
  <si>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</si>
  <si>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</si>
  <si>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</si>
  <si>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</si>
  <si>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</si>
  <si>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</si>
  <si>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</si>
  <si>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</si>
  <si>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</si>
  <si>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</si>
  <si>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</si>
  <si>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</si>
  <si>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</si>
  <si>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</si>
  <si>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</si>
  <si>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</si>
  <si>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</si>
  <si>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</si>
  <si>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</si>
  <si>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</si>
  <si>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</si>
  <si>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</si>
  <si>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</si>
  <si>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</si>
  <si>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</si>
  <si>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</si>
  <si>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</si>
  <si>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</si>
  <si>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</si>
  <si>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</si>
  <si>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</si>
  <si>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</si>
  <si>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</si>
  <si>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</si>
  <si>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</si>
  <si>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</si>
  <si>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</si>
  <si>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</si>
  <si>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</si>
  <si>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</si>
  <si>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</si>
  <si>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</si>
  <si>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</si>
  <si>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</si>
  <si>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</si>
  <si>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</si>
  <si>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</si>
  <si>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</si>
  <si>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</si>
  <si>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</si>
  <si>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</si>
  <si>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</si>
  <si>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</si>
  <si>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</si>
  <si>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</si>
  <si>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</si>
  <si>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</si>
  <si>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</si>
  <si>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</si>
  <si>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</si>
  <si>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</si>
  <si>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</si>
  <si>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</si>
  <si>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</si>
  <si>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</si>
  <si>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</si>
  <si>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</si>
  <si>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</si>
  <si>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</si>
  <si>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</si>
  <si>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</si>
  <si>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</si>
  <si>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</si>
  <si>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</si>
  <si>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</si>
  <si>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</si>
  <si>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</si>
  <si>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</si>
  <si>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</si>
  <si>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</si>
  <si>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</si>
  <si>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</si>
  <si>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</si>
  <si>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</si>
  <si>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</si>
  <si>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</si>
  <si>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</si>
  <si>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</si>
  <si>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</si>
  <si>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</si>
  <si>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</si>
  <si>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</si>
  <si>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</si>
  <si>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</si>
  <si>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</si>
  <si>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</si>
  <si>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</si>
  <si>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</si>
  <si>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</si>
  <si>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</si>
  <si>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</si>
  <si>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</si>
  <si>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</si>
  <si>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</si>
  <si>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</si>
  <si>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</si>
  <si>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</si>
  <si>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</si>
  <si>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</si>
  <si>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</si>
  <si>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</si>
  <si>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</si>
  <si>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</si>
  <si>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</si>
  <si>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</si>
  <si>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</si>
  <si>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</si>
  <si>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</si>
  <si>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</si>
  <si>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</si>
  <si>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</si>
  <si>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</si>
  <si>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</si>
  <si>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</si>
  <si>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</si>
  <si>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</si>
  <si>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</si>
  <si>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</si>
  <si>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</si>
  <si>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</si>
  <si>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</si>
  <si>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</si>
  <si>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</si>
  <si>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</si>
  <si>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</si>
  <si>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</si>
  <si>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</si>
  <si>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</si>
  <si>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</si>
  <si>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</si>
  <si>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</si>
  <si>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</si>
  <si>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</si>
  <si>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</si>
  <si>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</si>
  <si>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</si>
  <si>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</si>
  <si>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</si>
  <si>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</si>
  <si>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</si>
  <si>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</si>
  <si>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</si>
  <si>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</si>
  <si>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</si>
  <si>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</si>
  <si>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</si>
  <si>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</si>
  <si>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</si>
  <si>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</si>
  <si>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</si>
  <si>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</si>
  <si>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</si>
  <si>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</si>
  <si>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</si>
  <si>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</si>
  <si>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</si>
  <si>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</si>
  <si>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</si>
  <si>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</si>
  <si>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</si>
  <si>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</si>
  <si>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</si>
  <si>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</si>
  <si>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</si>
  <si>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</si>
  <si>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</si>
  <si>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</si>
  <si>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</si>
  <si>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</si>
  <si>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</si>
  <si>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</si>
  <si>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</si>
  <si>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</si>
  <si>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</si>
  <si>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</si>
  <si>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</si>
  <si>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</si>
  <si>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</si>
  <si>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</si>
  <si>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</si>
  <si>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</si>
  <si>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</si>
  <si>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</si>
  <si>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</si>
  <si>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</si>
  <si>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</si>
  <si>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</si>
  <si>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</si>
  <si>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</si>
  <si>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</si>
  <si>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</si>
  <si>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</si>
  <si>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</si>
  <si>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</si>
  <si>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</si>
  <si>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</si>
  <si>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</si>
  <si>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</si>
  <si>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</si>
  <si>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</si>
  <si>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</si>
  <si>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</si>
  <si>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</si>
  <si>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</si>
  <si>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</si>
  <si>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</si>
  <si>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</si>
  <si>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</si>
  <si>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</si>
  <si>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</si>
  <si>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</si>
  <si>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</si>
  <si>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</si>
  <si>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</si>
  <si>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</si>
  <si>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</si>
  <si>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</si>
  <si>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</si>
  <si>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</si>
  <si>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</si>
  <si>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</si>
  <si>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</si>
  <si>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</si>
  <si>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</si>
  <si>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</si>
  <si>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</si>
  <si>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</si>
  <si>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</si>
  <si>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</si>
  <si>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</si>
  <si>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</si>
  <si>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</si>
  <si>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</si>
  <si>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</si>
  <si>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</si>
  <si>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</si>
  <si>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</si>
  <si>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</si>
  <si>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</si>
  <si>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</si>
  <si>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</si>
  <si>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</si>
  <si>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</si>
  <si>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</si>
  <si>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</si>
  <si>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</si>
  <si>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</si>
  <si>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</si>
  <si>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</si>
  <si>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</si>
  <si>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</si>
  <si>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</si>
  <si>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</si>
  <si>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</si>
  <si>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</si>
  <si>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</si>
  <si>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</si>
  <si>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</si>
  <si>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</si>
  <si>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</si>
  <si>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</si>
  <si>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</si>
  <si>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</si>
  <si>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</si>
  <si>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</si>
  <si>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</si>
  <si>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</si>
  <si>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</si>
  <si>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</si>
  <si>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</si>
  <si>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</si>
  <si>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</si>
  <si>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</si>
  <si>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</si>
  <si>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</si>
  <si>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</si>
  <si>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</si>
  <si>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</si>
  <si>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</si>
  <si>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</si>
  <si>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</si>
  <si>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</si>
  <si>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</si>
  <si>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</si>
  <si>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</si>
  <si>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</si>
  <si>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</si>
  <si>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</si>
  <si>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</si>
  <si>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</si>
  <si>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</si>
  <si>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</si>
  <si>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</si>
  <si>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</si>
  <si>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</si>
  <si>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</si>
  <si>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</si>
  <si>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</si>
  <si>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</si>
  <si>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</si>
  <si>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</si>
  <si>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</si>
  <si>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</si>
  <si>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</si>
  <si>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</si>
  <si>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</si>
  <si>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</si>
  <si>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</si>
  <si>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</si>
  <si>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</si>
  <si>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</si>
  <si>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</si>
  <si>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</si>
  <si>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</si>
  <si>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</si>
  <si>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</si>
  <si>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</si>
  <si>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</si>
  <si>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</si>
  <si>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</si>
  <si>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</si>
  <si>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</si>
  <si>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</si>
  <si>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</si>
  <si>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</si>
  <si>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</si>
  <si>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</si>
  <si>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</si>
  <si>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</si>
  <si>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</si>
  <si>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</si>
  <si>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</si>
  <si>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</si>
  <si>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</si>
  <si>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</si>
  <si>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</si>
  <si>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</si>
  <si>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</si>
  <si>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</si>
  <si>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</si>
  <si>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</si>
  <si>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</si>
  <si>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</si>
  <si>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</si>
  <si>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</si>
  <si>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</si>
  <si>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</si>
  <si>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</si>
  <si>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</si>
  <si>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</si>
  <si>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</si>
  <si>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</si>
  <si>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</si>
  <si>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</si>
  <si>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</si>
  <si>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</si>
  <si>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</si>
  <si>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</si>
  <si>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</si>
  <si>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</si>
  <si>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</si>
  <si>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</si>
  <si>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</si>
  <si>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</si>
  <si>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</si>
  <si>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</si>
  <si>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</si>
  <si>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</si>
  <si>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</si>
  <si>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</si>
  <si>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</si>
  <si>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</si>
  <si>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</si>
  <si>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</si>
  <si>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</si>
  <si>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</si>
  <si>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</si>
  <si>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</si>
  <si>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</si>
  <si>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</si>
  <si>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</si>
  <si>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</si>
  <si>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</si>
  <si>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</si>
  <si>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</si>
  <si>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</si>
  <si>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</si>
  <si>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</si>
  <si>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</si>
  <si>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</si>
  <si>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</si>
  <si>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</si>
  <si>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</si>
  <si>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</si>
  <si>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</si>
  <si>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</si>
  <si>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</si>
  <si>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</si>
  <si>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</si>
  <si>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</si>
  <si>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</si>
  <si>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</si>
  <si>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</si>
  <si>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</si>
  <si>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</si>
  <si>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</si>
  <si>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</si>
  <si>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</si>
  <si>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</si>
  <si>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</si>
  <si>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</si>
  <si>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</si>
  <si>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</si>
  <si>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</si>
  <si>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</si>
  <si>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</si>
  <si>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</si>
  <si>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</si>
  <si>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</si>
  <si>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</si>
  <si>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</si>
  <si>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</si>
  <si>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</si>
  <si>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</si>
  <si>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</si>
  <si>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</si>
  <si>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</si>
  <si>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</si>
  <si>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</si>
  <si>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</si>
  <si>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</si>
  <si>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</si>
  <si>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</si>
  <si>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</si>
  <si>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</si>
  <si>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</si>
  <si>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</si>
  <si>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</si>
  <si>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</si>
  <si>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</si>
  <si>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</si>
  <si>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</si>
  <si>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</si>
  <si>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</si>
  <si>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</si>
  <si>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</si>
  <si>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</si>
  <si>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</si>
  <si>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</si>
  <si>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</si>
  <si>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</si>
  <si>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</si>
  <si>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</si>
  <si>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</si>
  <si>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</si>
  <si>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</si>
  <si>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</si>
  <si>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</si>
  <si>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</si>
  <si>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</si>
  <si>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</si>
  <si>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</si>
  <si>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</si>
  <si>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</si>
  <si>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</si>
  <si>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</si>
  <si>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</si>
  <si>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</si>
  <si>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</si>
  <si>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</si>
  <si>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</si>
  <si>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</si>
  <si>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</si>
  <si>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</si>
  <si>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</si>
  <si>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</si>
  <si>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</si>
  <si>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</si>
  <si>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</si>
  <si>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</si>
  <si>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</si>
  <si>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</si>
  <si>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</si>
  <si>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</si>
  <si>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</si>
  <si>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</si>
  <si>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</si>
  <si>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</si>
  <si>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</si>
  <si>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</si>
  <si>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</si>
  <si>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</si>
  <si>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</si>
  <si>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</si>
  <si>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</si>
  <si>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</si>
  <si>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</si>
  <si>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</si>
  <si>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</si>
  <si>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</si>
  <si>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</si>
  <si>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</si>
  <si>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</si>
  <si>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</si>
  <si>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</si>
  <si>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</si>
  <si>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</si>
  <si>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</si>
  <si>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</si>
  <si>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</si>
  <si>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</si>
  <si>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</si>
  <si>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</si>
  <si>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</si>
  <si>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</si>
  <si>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</si>
  <si>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</si>
  <si>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</si>
  <si>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</si>
  <si>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</si>
  <si>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</si>
  <si>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</si>
  <si>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</si>
  <si>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</si>
  <si>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</si>
  <si>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</si>
  <si>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</si>
  <si>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</si>
  <si>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</si>
  <si>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</si>
  <si>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</si>
  <si>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</si>
  <si>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</si>
  <si>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</si>
  <si>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</si>
  <si>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</si>
  <si>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</si>
  <si>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</si>
  <si>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</si>
  <si>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</si>
  <si>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</si>
  <si>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</si>
  <si>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</si>
  <si>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</si>
  <si>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</si>
  <si>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</si>
  <si>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</si>
  <si>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</si>
  <si>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</si>
  <si>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</si>
  <si>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</si>
  <si>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</si>
  <si>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</si>
  <si>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</si>
  <si>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</si>
  <si>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</si>
  <si>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</si>
  <si>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</si>
  <si>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</si>
  <si>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</si>
  <si>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</si>
  <si>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</si>
  <si>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</si>
  <si>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</si>
  <si>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</si>
  <si>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</si>
  <si>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</si>
  <si>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</si>
  <si>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</si>
  <si>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</si>
  <si>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</si>
  <si>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</si>
  <si>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</si>
  <si>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</si>
  <si>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</si>
  <si>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</si>
  <si>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</si>
  <si>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</si>
  <si>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</si>
  <si>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</si>
  <si>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</si>
  <si>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</si>
  <si>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</si>
  <si>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</si>
  <si>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</si>
  <si>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</si>
  <si>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</si>
  <si>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</si>
  <si>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</si>
  <si>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</si>
  <si>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</si>
  <si>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</si>
  <si>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</si>
  <si>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</si>
  <si>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</si>
  <si>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</si>
  <si>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</si>
  <si>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</si>
  <si>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</si>
  <si>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</si>
  <si>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</si>
  <si>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</si>
  <si>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</si>
  <si>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</si>
  <si>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</si>
  <si>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</si>
  <si>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</si>
  <si>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</si>
  <si>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</si>
  <si>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</si>
  <si>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</si>
  <si>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</si>
  <si>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</si>
  <si>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</si>
  <si>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</si>
  <si>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</si>
  <si>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</si>
  <si>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</si>
  <si>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</si>
  <si>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</si>
  <si>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</si>
  <si>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</si>
  <si>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</si>
  <si>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</si>
  <si>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</si>
  <si>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</si>
  <si>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</si>
  <si>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</si>
  <si>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</si>
  <si>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</si>
  <si>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</si>
  <si>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</si>
  <si>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</si>
  <si>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</si>
  <si>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</si>
  <si>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</si>
  <si>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</si>
  <si>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</si>
  <si>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</si>
  <si>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</si>
  <si>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</si>
  <si>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</si>
  <si>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</si>
  <si>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</si>
  <si>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</si>
  <si>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</si>
  <si>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</si>
  <si>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</si>
  <si>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</si>
  <si>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</si>
  <si>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</si>
  <si>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</si>
  <si>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</si>
  <si>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</si>
  <si>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</si>
  <si>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</si>
  <si>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</si>
  <si>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</si>
  <si>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</si>
  <si>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</si>
  <si>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</si>
  <si>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</si>
  <si>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</si>
  <si>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</si>
  <si>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</si>
  <si>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</si>
  <si>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</si>
  <si>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</si>
  <si>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</si>
  <si>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</si>
  <si>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</si>
  <si>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</si>
  <si>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</si>
  <si>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</si>
  <si>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</si>
  <si>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</si>
  <si>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</si>
  <si>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</si>
  <si>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</si>
  <si>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</si>
  <si>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</si>
  <si>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</si>
  <si>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</si>
  <si>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</si>
  <si>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</si>
  <si>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</si>
  <si>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</si>
  <si>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</si>
  <si>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</si>
  <si>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</si>
  <si>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</si>
  <si>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</si>
  <si>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</si>
  <si>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</si>
  <si>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</si>
  <si>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</si>
  <si>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</si>
  <si>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</si>
  <si>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</si>
  <si>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</si>
  <si>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</si>
  <si>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</si>
  <si>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</si>
  <si>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</si>
  <si>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</si>
  <si>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</si>
  <si>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</si>
  <si>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</si>
  <si>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</si>
  <si>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</si>
  <si>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</si>
  <si>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</si>
  <si>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</si>
  <si>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</si>
  <si>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</si>
  <si>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</si>
  <si>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</si>
  <si>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</si>
  <si>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</si>
  <si>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</si>
  <si>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</si>
  <si>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</si>
  <si>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</si>
  <si>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</si>
  <si>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</si>
  <si>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</si>
  <si>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</si>
  <si>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</si>
  <si>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</si>
  <si>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</si>
  <si>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</si>
  <si>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</si>
  <si>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</si>
  <si>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</si>
  <si>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</si>
  <si>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</si>
  <si>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</si>
  <si>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</si>
  <si>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</si>
  <si>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</si>
  <si>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</si>
  <si>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</si>
  <si>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</si>
  <si>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</si>
  <si>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</si>
  <si>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</si>
  <si>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</si>
  <si>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</si>
  <si>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</si>
  <si>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</si>
  <si>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</si>
  <si>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</si>
  <si>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</si>
  <si>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</si>
  <si>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</si>
  <si>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</si>
  <si>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</si>
  <si>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</si>
  <si>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</si>
  <si>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</si>
  <si>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</si>
  <si>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</si>
  <si>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</si>
  <si>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</si>
  <si>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</si>
  <si>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</si>
  <si>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</si>
  <si>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</si>
  <si>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</si>
  <si>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</si>
  <si>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</si>
  <si>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</si>
  <si>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</si>
  <si>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</si>
  <si>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</si>
  <si>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</si>
  <si>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</si>
  <si>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</si>
  <si>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</si>
  <si>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</si>
  <si>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</si>
  <si>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</si>
  <si>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</si>
  <si>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</si>
  <si>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</si>
  <si>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</si>
  <si>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</si>
  <si>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</si>
  <si>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</si>
  <si>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</si>
  <si>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</si>
  <si>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</si>
  <si>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</si>
  <si>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</si>
  <si>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</si>
  <si>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</si>
  <si>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</si>
  <si>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</si>
  <si>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</si>
  <si>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</si>
  <si>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</si>
  <si>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</si>
  <si>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</si>
  <si>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</si>
  <si>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</si>
  <si>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</si>
  <si>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</si>
  <si>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</si>
  <si>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</si>
  <si>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</si>
  <si>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</si>
  <si>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</si>
  <si>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</si>
  <si>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</si>
  <si>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</si>
  <si>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</si>
  <si>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</si>
  <si>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</si>
  <si>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</si>
  <si>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</si>
  <si>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</si>
  <si>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</si>
  <si>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</si>
  <si>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</si>
  <si>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</si>
  <si>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</si>
  <si>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</si>
  <si>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</si>
  <si>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</si>
  <si>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</si>
  <si>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</si>
  <si>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</si>
  <si>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</si>
  <si>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</si>
  <si>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</si>
  <si>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</si>
  <si>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</si>
  <si>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</si>
  <si>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</si>
  <si>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</si>
  <si>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</si>
  <si>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</si>
  <si>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</si>
  <si>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</si>
  <si>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</si>
  <si>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</si>
  <si>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</si>
  <si>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</si>
  <si>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</si>
  <si>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</si>
  <si>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</si>
  <si>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</si>
  <si>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</si>
  <si>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</si>
  <si>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</si>
  <si>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</si>
  <si>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</si>
  <si>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</si>
  <si>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</si>
  <si>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</si>
  <si>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</si>
  <si>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</si>
  <si>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</si>
  <si>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</si>
  <si>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</si>
  <si>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</si>
  <si>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</si>
  <si>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</si>
  <si>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</si>
  <si>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</si>
  <si>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</si>
  <si>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</si>
  <si>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</si>
  <si>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</si>
  <si>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</si>
  <si>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</si>
  <si>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</si>
  <si>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</si>
  <si>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</si>
  <si>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</si>
  <si>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</si>
  <si>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</si>
  <si>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</si>
  <si>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</si>
  <si>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</si>
  <si>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</si>
  <si>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</si>
  <si>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</si>
  <si>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</si>
  <si>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</si>
  <si>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</si>
  <si>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</si>
  <si>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</si>
  <si>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</si>
  <si>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</si>
  <si>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</si>
  <si>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</si>
  <si>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</si>
  <si>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</si>
  <si>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</si>
  <si>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</si>
  <si>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</si>
  <si>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</si>
  <si>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</si>
  <si>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</si>
  <si>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</si>
  <si>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</si>
  <si>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</si>
  <si>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</si>
  <si>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</si>
  <si>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</si>
  <si>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</si>
  <si>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</si>
  <si>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</si>
  <si>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</si>
  <si>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</si>
  <si>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</si>
  <si>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</si>
  <si>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</si>
  <si>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</si>
  <si>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</si>
  <si>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</si>
  <si>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</si>
  <si>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</si>
  <si>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</si>
  <si>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</si>
  <si>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</si>
  <si>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</si>
  <si>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</si>
  <si>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</si>
  <si>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</si>
  <si>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</si>
  <si>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</si>
  <si>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</si>
  <si>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</si>
  <si>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</si>
  <si>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</si>
  <si>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</si>
  <si>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</si>
  <si>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</si>
  <si>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</si>
  <si>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</si>
  <si>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</si>
  <si>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</si>
  <si>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</si>
  <si>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</si>
  <si>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</si>
  <si>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</si>
  <si>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</si>
  <si>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</si>
  <si>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</si>
  <si>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</si>
  <si>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</si>
  <si>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</si>
  <si>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</si>
  <si>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</si>
  <si>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</si>
  <si>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</si>
  <si>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</si>
  <si>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</si>
  <si>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</si>
  <si>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</si>
  <si>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</si>
  <si>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</si>
  <si>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</si>
  <si>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</si>
  <si>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</si>
  <si>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</si>
  <si>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</si>
  <si>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</si>
  <si>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</si>
  <si>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</si>
  <si>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</si>
  <si>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</si>
  <si>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</si>
  <si>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</si>
  <si>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</si>
  <si>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</si>
  <si>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</si>
  <si>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</si>
  <si>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</si>
  <si>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</si>
  <si>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</si>
  <si>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</si>
  <si>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</si>
  <si>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</si>
  <si>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</si>
  <si>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</si>
  <si>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</si>
  <si>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</si>
  <si>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</si>
  <si>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</si>
  <si>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</si>
  <si>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</si>
  <si>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</si>
  <si>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</si>
  <si>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</si>
  <si>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</si>
  <si>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</si>
  <si>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</si>
  <si>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</si>
  <si>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</si>
  <si>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</si>
  <si>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</si>
  <si>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</si>
  <si>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</si>
  <si>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</si>
  <si>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</si>
  <si>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</si>
  <si>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</si>
  <si>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</si>
  <si>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</si>
  <si>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</si>
  <si>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</si>
  <si>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</si>
  <si>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</si>
  <si>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</si>
  <si>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</si>
  <si>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</si>
  <si>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</si>
  <si>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</si>
  <si>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</si>
  <si>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</si>
  <si>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</si>
  <si>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</si>
  <si>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</si>
  <si>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</si>
  <si>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</si>
  <si>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</si>
  <si>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</si>
  <si>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</si>
  <si>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</si>
  <si>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</si>
  <si>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</si>
  <si>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</si>
  <si>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</si>
  <si>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</si>
  <si>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</si>
  <si>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</si>
  <si>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</si>
  <si>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</si>
  <si>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</si>
  <si>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</si>
  <si>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</si>
  <si>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</si>
  <si>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</si>
  <si>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</si>
  <si>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</si>
  <si>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</si>
  <si>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</si>
  <si>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</si>
  <si>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</si>
  <si>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</si>
  <si>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</si>
  <si>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</si>
  <si>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</si>
  <si>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</si>
  <si>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</si>
  <si>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</si>
  <si>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</si>
  <si>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</si>
  <si>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</si>
  <si>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</si>
  <si>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</si>
  <si>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</si>
  <si>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</si>
  <si>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</si>
  <si>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</si>
  <si>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</si>
  <si>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</si>
  <si>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</si>
  <si>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</si>
  <si>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</si>
  <si>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</si>
  <si>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</si>
  <si>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</si>
  <si>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</si>
  <si>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</si>
  <si>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</si>
  <si>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</si>
  <si>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</si>
  <si>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</si>
  <si>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</si>
  <si>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</si>
  <si>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</si>
  <si>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</si>
  <si>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</si>
  <si>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</si>
  <si>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</si>
  <si>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</si>
  <si>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</si>
  <si>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</si>
  <si>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</si>
  <si>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</si>
  <si>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</si>
  <si>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</si>
  <si>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</si>
  <si>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</si>
  <si>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</si>
  <si>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</si>
  <si>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</si>
  <si>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</si>
  <si>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</si>
  <si>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</si>
  <si>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</si>
  <si>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</si>
  <si>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</si>
  <si>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</si>
  <si>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</si>
  <si>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</si>
  <si>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</si>
  <si>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</si>
  <si>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</si>
  <si>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</si>
  <si>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</si>
  <si>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</si>
  <si>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</si>
  <si>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</si>
  <si>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</si>
  <si>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</si>
  <si>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</si>
  <si>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</si>
  <si>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</si>
  <si>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</si>
  <si>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</si>
  <si>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</si>
  <si>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</si>
  <si>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</si>
  <si>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</si>
  <si>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</si>
  <si>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</si>
  <si>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</si>
  <si>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</si>
  <si>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</si>
  <si>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</si>
  <si>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</si>
  <si>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</si>
  <si>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</si>
  <si>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</si>
  <si>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</si>
  <si>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</si>
  <si>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</si>
  <si>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</si>
  <si>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</si>
  <si>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</si>
  <si>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</si>
  <si>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</si>
  <si>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</si>
  <si>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</si>
  <si>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</si>
  <si>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</si>
  <si>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</si>
  <si>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</si>
  <si>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</si>
  <si>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</si>
  <si>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</si>
  <si>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</si>
  <si>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</si>
  <si>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</si>
  <si>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</si>
  <si>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</si>
  <si>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</si>
  <si>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</si>
  <si>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</si>
  <si>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</si>
  <si>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</si>
  <si>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</si>
  <si>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</si>
  <si>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</si>
  <si>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</si>
  <si>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</si>
  <si>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</si>
  <si>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</si>
  <si>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</si>
  <si>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</si>
  <si>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</si>
  <si>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</si>
  <si>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</si>
  <si>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</si>
  <si>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</si>
  <si>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</si>
  <si>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</si>
  <si>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</si>
  <si>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</si>
  <si>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</si>
  <si>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</si>
  <si>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</si>
  <si>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</si>
  <si>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</si>
  <si>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</si>
  <si>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</si>
  <si>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</si>
  <si>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</si>
  <si>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</si>
  <si>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</si>
  <si>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</si>
  <si>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</si>
  <si>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</si>
  <si>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</si>
  <si>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</si>
  <si>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</si>
  <si>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</si>
  <si>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</si>
  <si>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</si>
  <si>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</si>
  <si>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</si>
  <si>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</si>
  <si>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</si>
  <si>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</si>
  <si>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</si>
  <si>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</si>
  <si>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</si>
  <si>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</si>
  <si>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</si>
  <si>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</si>
  <si>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</si>
  <si>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</si>
  <si>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</si>
  <si>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</si>
  <si>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</si>
  <si>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</si>
  <si>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</si>
  <si>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</si>
  <si>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</si>
  <si>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</si>
  <si>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</si>
  <si>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</si>
  <si>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</si>
  <si>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</si>
  <si>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</si>
  <si>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</si>
  <si>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</si>
  <si>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</si>
  <si>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</si>
  <si>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</si>
  <si>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</si>
  <si>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</si>
  <si>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</si>
  <si>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</si>
  <si>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</si>
  <si>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</si>
  <si>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</si>
  <si>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</si>
  <si>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</si>
  <si>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</si>
  <si>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</si>
  <si>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</si>
  <si>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</si>
  <si>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</si>
  <si>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</si>
  <si>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</si>
  <si>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</si>
  <si>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</si>
  <si>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</si>
  <si>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</si>
  <si>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</si>
  <si>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</si>
  <si>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</si>
  <si>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</si>
  <si>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</si>
  <si>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</si>
  <si>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</si>
  <si>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</si>
  <si>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</si>
  <si>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</si>
  <si>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</si>
  <si>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</si>
  <si>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</si>
  <si>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</si>
  <si>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</si>
  <si>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</si>
  <si>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</si>
  <si>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</si>
  <si>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</si>
  <si>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</si>
  <si>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</si>
  <si>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</si>
  <si>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</si>
  <si>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</si>
  <si>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</si>
  <si>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</si>
  <si>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</si>
  <si>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</si>
  <si>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</si>
  <si>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</si>
  <si>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</si>
  <si>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</si>
  <si>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</si>
  <si>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</si>
  <si>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</si>
  <si>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</si>
  <si>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</si>
  <si>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</si>
  <si>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</si>
  <si>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</si>
  <si>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</si>
  <si>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</si>
  <si>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</si>
  <si>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</si>
  <si>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</si>
  <si>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</si>
  <si>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</si>
  <si>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</si>
  <si>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</si>
  <si>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</si>
  <si>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</si>
  <si>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</si>
  <si>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</si>
  <si>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</si>
  <si>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</si>
  <si>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</si>
  <si>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</si>
  <si>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</si>
  <si>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</si>
  <si>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</si>
  <si>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</si>
  <si>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</si>
  <si>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</si>
  <si>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</si>
  <si>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</si>
  <si>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</si>
  <si>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</si>
  <si>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</si>
  <si>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</si>
  <si>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</si>
  <si>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</si>
  <si>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</si>
  <si>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</si>
  <si>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</si>
  <si>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</si>
  <si>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</si>
  <si>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</si>
  <si>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</si>
  <si>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</si>
  <si>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</si>
  <si>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</si>
  <si>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</si>
  <si>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</si>
  <si>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</si>
  <si>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</si>
  <si>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</si>
  <si>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</si>
  <si>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</si>
  <si>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</si>
  <si>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</si>
  <si>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</si>
  <si>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</si>
  <si>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</si>
  <si>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</si>
  <si>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</si>
  <si>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</si>
  <si>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</si>
  <si>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</si>
  <si>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</si>
  <si>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</si>
  <si>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</si>
  <si>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</si>
  <si>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</si>
  <si>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</si>
  <si>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</si>
  <si>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</si>
  <si>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</si>
  <si>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</si>
  <si>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</si>
  <si>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</si>
  <si>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</si>
  <si>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</si>
  <si>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</si>
  <si>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</si>
  <si>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</si>
  <si>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</si>
  <si>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</si>
  <si>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</si>
  <si>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</si>
  <si>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</si>
  <si>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</si>
  <si>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</si>
  <si>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</si>
  <si>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</si>
  <si>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</si>
  <si>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</si>
  <si>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</si>
  <si>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</si>
  <si>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</si>
  <si>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</si>
  <si>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</si>
  <si>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</si>
  <si>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</si>
  <si>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</si>
  <si>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</si>
  <si>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</si>
  <si>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</si>
  <si>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</si>
  <si>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</si>
  <si>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</si>
  <si>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</si>
  <si>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</si>
  <si>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</si>
  <si>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</si>
  <si>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</si>
  <si>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</si>
  <si>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</si>
  <si>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</si>
  <si>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</si>
  <si>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</si>
  <si>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</si>
  <si>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</si>
  <si>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</si>
  <si>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</si>
  <si>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</si>
  <si>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</si>
  <si>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</si>
  <si>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</si>
  <si>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</si>
  <si>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</si>
  <si>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</si>
  <si>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</si>
  <si>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</si>
  <si>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</si>
  <si>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</si>
  <si>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</si>
  <si>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</si>
  <si>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</si>
  <si>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</si>
  <si>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</si>
  <si>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</si>
  <si>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</si>
  <si>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</si>
  <si>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</si>
  <si>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</si>
  <si>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</si>
  <si>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</si>
  <si>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</si>
  <si>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</si>
  <si>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</si>
  <si>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</si>
  <si>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</si>
  <si>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</si>
  <si>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</si>
  <si>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</si>
  <si>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</si>
  <si>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</si>
  <si>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</si>
  <si>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</si>
  <si>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</si>
  <si>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</si>
  <si>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</si>
  <si>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</si>
  <si>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</si>
  <si>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</si>
  <si>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</si>
  <si>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</si>
  <si>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</si>
  <si>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</si>
  <si>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</si>
  <si>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</si>
  <si>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</si>
  <si>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</si>
  <si>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</si>
  <si>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</si>
  <si>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</si>
  <si>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</si>
  <si>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</si>
  <si>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</si>
  <si>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</si>
  <si>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</si>
  <si>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</si>
  <si>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</si>
  <si>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</si>
  <si>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</si>
  <si>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</si>
  <si>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</si>
  <si>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</si>
  <si>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</si>
  <si>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</si>
  <si>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</si>
  <si>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</si>
  <si>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</si>
  <si>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</si>
  <si>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</si>
  <si>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</si>
  <si>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</si>
  <si>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</si>
  <si>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</si>
  <si>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</si>
  <si>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</si>
  <si>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</si>
  <si>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</si>
  <si>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</si>
  <si>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</si>
  <si>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</si>
  <si>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</si>
  <si>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</si>
  <si>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</si>
  <si>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</si>
  <si>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</si>
  <si>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</si>
  <si>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</si>
  <si>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</si>
  <si>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</si>
  <si>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</si>
  <si>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</si>
  <si>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</si>
  <si>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</si>
  <si>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</si>
  <si>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</si>
  <si>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</si>
  <si>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</si>
  <si>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</si>
  <si>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</si>
  <si>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</si>
  <si>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</si>
  <si>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</si>
  <si>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</si>
  <si>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</si>
  <si>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</si>
  <si>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</si>
  <si>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</si>
  <si>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</si>
  <si>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</si>
  <si>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</si>
  <si>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</si>
  <si>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</si>
  <si>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</si>
  <si>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</si>
  <si>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</si>
  <si>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</si>
  <si>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</si>
  <si>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</si>
  <si>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</si>
  <si>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</si>
  <si>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</si>
  <si>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</si>
  <si>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</si>
  <si>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</si>
  <si>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</si>
  <si>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</si>
  <si>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</si>
  <si>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</si>
  <si>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</si>
  <si>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</si>
  <si>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</si>
  <si>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</si>
  <si>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</si>
  <si>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</si>
  <si>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</si>
  <si>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</si>
  <si>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</si>
  <si>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</si>
  <si>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</si>
  <si>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</si>
  <si>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</si>
  <si>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</si>
  <si>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</si>
  <si>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</si>
  <si>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</si>
  <si>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</si>
  <si>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</si>
  <si>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</si>
  <si>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</si>
  <si>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</si>
  <si>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</si>
  <si>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</si>
  <si>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</si>
  <si>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</si>
  <si>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</si>
  <si>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</si>
  <si>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</si>
  <si>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</si>
  <si>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</si>
  <si>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</si>
  <si>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</si>
  <si>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</si>
  <si>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</si>
  <si>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</si>
  <si>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</si>
  <si>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</si>
  <si>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</si>
  <si>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</si>
  <si>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</si>
  <si>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</si>
  <si>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</si>
  <si>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</si>
  <si>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</si>
  <si>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</si>
  <si>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</si>
  <si>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</si>
  <si>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</si>
  <si>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</si>
  <si>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</si>
  <si>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</si>
  <si>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</si>
  <si>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</si>
  <si>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</si>
  <si>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</si>
  <si>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</si>
  <si>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</si>
  <si>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</si>
  <si>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</si>
  <si>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</si>
  <si>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</si>
  <si>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</si>
  <si>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</si>
  <si>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</si>
  <si>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</si>
  <si>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</si>
  <si>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</si>
  <si>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</si>
  <si>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</si>
  <si>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</si>
  <si>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</si>
  <si>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</si>
  <si>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</si>
  <si>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</si>
  <si>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</si>
  <si>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</si>
  <si>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</si>
  <si>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</si>
  <si>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</si>
  <si>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</si>
  <si>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</si>
  <si>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</si>
  <si>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</si>
  <si>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</si>
  <si>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</si>
  <si>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</si>
  <si>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</si>
  <si>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</si>
  <si>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</si>
  <si>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</si>
  <si>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</si>
  <si>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</si>
  <si>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</si>
  <si>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</si>
  <si>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</si>
  <si>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</si>
  <si>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</si>
  <si>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</si>
  <si>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</si>
  <si>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</si>
  <si>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</si>
  <si>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</si>
  <si>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</si>
  <si>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</si>
  <si>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</si>
  <si>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</si>
  <si>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</si>
  <si>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</si>
  <si>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</si>
  <si>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</si>
  <si>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</si>
  <si>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</si>
  <si>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</si>
  <si>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</si>
  <si>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</si>
  <si>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</si>
  <si>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</si>
  <si>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</si>
  <si>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</si>
  <si>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</si>
  <si>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</si>
  <si>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</si>
  <si>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</si>
  <si>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</si>
  <si>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</si>
  <si>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</si>
  <si>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</si>
  <si>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</si>
  <si>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</si>
  <si>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</si>
  <si>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</si>
  <si>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</si>
  <si>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</si>
  <si>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</si>
  <si>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</si>
  <si>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</si>
  <si>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</si>
  <si>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</si>
  <si>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</si>
  <si>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</si>
  <si>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</si>
  <si>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</si>
  <si>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</si>
  <si>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</si>
  <si>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</si>
  <si>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</si>
  <si>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</si>
  <si>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</si>
  <si>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</si>
  <si>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</si>
  <si>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</si>
  <si>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</si>
  <si>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</si>
  <si>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</si>
  <si>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</si>
  <si>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</si>
  <si>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</si>
  <si>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</si>
  <si>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</si>
  <si>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</si>
  <si>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</si>
  <si>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</si>
  <si>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</si>
  <si>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</si>
  <si>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</si>
  <si>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</si>
  <si>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</si>
  <si>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</si>
  <si>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</si>
  <si>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</si>
  <si>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</si>
  <si>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</si>
  <si>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</si>
  <si>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</si>
  <si>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</si>
  <si>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</si>
  <si>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</si>
  <si>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</si>
  <si>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</si>
  <si>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</si>
  <si>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</si>
  <si>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</si>
  <si>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</si>
  <si>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</si>
  <si>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</si>
  <si>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</si>
  <si>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</si>
  <si>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</si>
  <si>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</si>
  <si>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</si>
  <si>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</si>
  <si>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</si>
  <si>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</si>
  <si>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</si>
  <si>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</si>
  <si>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</si>
  <si>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</si>
  <si>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</si>
  <si>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</si>
  <si>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</si>
  <si>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</si>
  <si>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</si>
  <si>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</si>
  <si>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</si>
  <si>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</si>
  <si>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</si>
  <si>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</si>
  <si>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</si>
  <si>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</si>
  <si>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</si>
  <si>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</si>
  <si>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</si>
  <si>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</si>
  <si>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</si>
  <si>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</si>
  <si>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</si>
  <si>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</si>
  <si>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</si>
  <si>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</si>
  <si>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</si>
  <si>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</si>
  <si>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</si>
  <si>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</si>
  <si>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</si>
  <si>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</si>
  <si>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</si>
  <si>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</si>
  <si>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</si>
  <si>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</si>
  <si>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</si>
  <si>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</si>
  <si>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</si>
  <si>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</si>
  <si>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</si>
  <si>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</si>
  <si>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</si>
  <si>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</si>
  <si>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</si>
  <si>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</si>
  <si>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</si>
  <si>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</si>
  <si>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</si>
  <si>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</si>
  <si>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</si>
  <si>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</si>
  <si>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</si>
  <si>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</si>
  <si>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</si>
  <si>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</si>
  <si>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</si>
  <si>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</si>
  <si>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</si>
  <si>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</si>
  <si>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</si>
  <si>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</si>
  <si>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</si>
  <si>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</si>
  <si>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</si>
  <si>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</si>
  <si>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</si>
  <si>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</si>
  <si>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</si>
  <si>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</si>
  <si>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</si>
  <si>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</si>
  <si>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</si>
  <si>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</si>
  <si>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</si>
  <si>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</si>
  <si>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</si>
  <si>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</si>
  <si>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</si>
  <si>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</si>
  <si>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</si>
  <si>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</si>
  <si>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</si>
  <si>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</si>
  <si>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</si>
  <si>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</si>
  <si>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</si>
  <si>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</si>
  <si>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</si>
  <si>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</si>
  <si>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</si>
  <si>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</si>
  <si>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</si>
  <si>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</si>
  <si>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</si>
  <si>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</si>
  <si>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</si>
  <si>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</si>
  <si>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</si>
  <si>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</si>
  <si>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</si>
  <si>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</si>
  <si>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</si>
  <si>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</si>
  <si>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</si>
  <si>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</si>
  <si>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</si>
  <si>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</si>
  <si>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</si>
  <si>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</si>
  <si>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</si>
  <si>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</si>
  <si>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</si>
  <si>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</si>
  <si>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</si>
  <si>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</si>
  <si>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</si>
  <si>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</si>
  <si>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</si>
  <si>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</si>
  <si>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</si>
  <si>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</si>
  <si>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</si>
  <si>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</si>
  <si>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</si>
  <si>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</si>
  <si>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</si>
  <si>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</si>
  <si>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</si>
  <si>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</si>
  <si>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</si>
  <si>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</si>
  <si>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</si>
  <si>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</si>
  <si>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</si>
  <si>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</si>
  <si>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</si>
  <si>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</si>
  <si>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</si>
  <si>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</si>
  <si>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</si>
  <si>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</si>
  <si>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</si>
  <si>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</si>
  <si>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</si>
  <si>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</si>
  <si>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</si>
  <si>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</si>
  <si>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</si>
  <si>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</si>
  <si>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</si>
  <si>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</si>
  <si>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</si>
  <si>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</si>
  <si>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</si>
  <si>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</si>
  <si>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</si>
  <si>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</si>
  <si>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</si>
  <si>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</si>
  <si>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</si>
  <si>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</si>
  <si>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</si>
  <si>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</si>
  <si>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</si>
  <si>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</si>
  <si>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</si>
  <si>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</si>
  <si>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</si>
  <si>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</si>
  <si>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</si>
  <si>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</si>
  <si>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</si>
  <si>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</si>
  <si>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</si>
  <si>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</si>
  <si>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</si>
  <si>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</si>
  <si>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</si>
  <si>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</si>
  <si>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</si>
  <si>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</si>
  <si>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</si>
  <si>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</si>
  <si>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</si>
  <si>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</si>
  <si>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</si>
  <si>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</si>
  <si>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</si>
  <si>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</si>
  <si>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</si>
  <si>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</si>
  <si>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</si>
  <si>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</si>
  <si>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</si>
  <si>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</si>
  <si>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</si>
  <si>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</si>
  <si>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</si>
  <si>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</si>
  <si>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</si>
  <si>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</si>
  <si>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</si>
  <si>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</si>
  <si>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</si>
  <si>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</si>
  <si>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</si>
  <si>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</si>
  <si>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</si>
  <si>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</si>
  <si>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</si>
  <si>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</si>
  <si>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</si>
  <si>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</si>
  <si>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</si>
  <si>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</si>
  <si>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</si>
  <si>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</si>
  <si>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</si>
  <si>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</si>
  <si>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</si>
  <si>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</si>
  <si>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</si>
  <si>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</si>
  <si>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</si>
  <si>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</si>
  <si>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</si>
  <si>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</si>
  <si>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</si>
  <si>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</si>
  <si>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</si>
  <si>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</si>
  <si>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</si>
  <si>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</si>
  <si>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</si>
  <si>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</si>
  <si>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</si>
  <si>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</si>
  <si>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</si>
  <si>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</si>
  <si>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</si>
  <si>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</si>
  <si>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</si>
  <si>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</si>
  <si>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</si>
  <si>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</si>
  <si>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</si>
  <si>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</si>
  <si>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</si>
  <si>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</si>
  <si>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</si>
  <si>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</si>
  <si>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</si>
  <si>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</si>
  <si>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</si>
  <si>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</si>
  <si>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</si>
  <si>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</si>
  <si>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</si>
  <si>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</si>
  <si>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</si>
  <si>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</si>
  <si>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</si>
  <si>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</si>
  <si>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</si>
  <si>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</si>
  <si>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</si>
  <si>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</si>
  <si>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</si>
  <si>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</si>
  <si>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</si>
  <si>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</si>
  <si>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</si>
  <si>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</si>
  <si>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</si>
  <si>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</si>
  <si>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</si>
  <si>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</si>
  <si>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</si>
  <si>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</si>
  <si>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</si>
  <si>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</si>
  <si>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</si>
  <si>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</si>
  <si>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</si>
  <si>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</si>
  <si>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</si>
  <si>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</si>
  <si>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</si>
  <si>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</si>
  <si>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</si>
  <si>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</si>
  <si>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</si>
  <si>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</si>
  <si>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</si>
  <si>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</si>
  <si>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</si>
  <si>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</si>
  <si>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</si>
  <si>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</si>
  <si>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</si>
  <si>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</si>
  <si>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</si>
  <si>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</si>
  <si>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</si>
  <si>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</si>
  <si>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</si>
  <si>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</si>
  <si>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</si>
  <si>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</si>
  <si>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</si>
  <si>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</si>
  <si>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</si>
  <si>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</si>
  <si>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</si>
  <si>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</si>
  <si>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</si>
  <si>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</si>
  <si>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</si>
  <si>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</si>
  <si>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</si>
  <si>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</si>
  <si>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</si>
  <si>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</si>
  <si>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</si>
  <si>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</si>
  <si>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</si>
  <si>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</si>
  <si>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</si>
  <si>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</si>
  <si>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</si>
  <si>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</si>
  <si>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</si>
  <si>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</si>
  <si>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</si>
  <si>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</si>
  <si>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</si>
  <si>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</si>
  <si>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</si>
  <si>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</si>
  <si>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</si>
  <si>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</si>
  <si>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</si>
  <si>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</si>
  <si>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</si>
  <si>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</si>
  <si>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</si>
  <si>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</si>
  <si>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</si>
  <si>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</si>
  <si>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</si>
  <si>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</si>
  <si>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</si>
  <si>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</si>
  <si>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</si>
  <si>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</si>
  <si>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</si>
  <si>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</si>
  <si>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</si>
  <si>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</si>
  <si>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</si>
  <si>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</si>
  <si>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</si>
  <si>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</si>
  <si>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</si>
  <si>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</si>
  <si>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</si>
  <si>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</si>
  <si>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</si>
  <si>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</si>
  <si>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</si>
  <si>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</si>
  <si>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</si>
  <si>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</si>
  <si>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</si>
  <si>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</si>
  <si>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</si>
  <si>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</si>
  <si>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</si>
  <si>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</si>
  <si>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</si>
  <si>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</si>
  <si>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</si>
  <si>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</si>
  <si>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</si>
  <si>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</si>
  <si>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</si>
  <si>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</si>
  <si>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</si>
  <si>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</si>
  <si>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</si>
  <si>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</si>
  <si>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</si>
  <si>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</si>
  <si>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</si>
  <si>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</si>
  <si>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</si>
  <si>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</si>
  <si>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</si>
  <si>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</si>
  <si>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</si>
  <si>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</si>
  <si>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</si>
  <si>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</si>
  <si>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</si>
  <si>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</si>
  <si>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</si>
  <si>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</si>
  <si>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</si>
  <si>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</si>
  <si>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</si>
  <si>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</si>
  <si>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</si>
  <si>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</si>
  <si>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</si>
  <si>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</si>
  <si>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</si>
  <si>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</si>
  <si>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</si>
  <si>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</si>
  <si>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</si>
  <si>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</si>
  <si>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</si>
  <si>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</si>
  <si>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</si>
  <si>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</si>
  <si>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</si>
  <si>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</si>
  <si>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</si>
  <si>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</si>
  <si>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</si>
  <si>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</si>
  <si>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</si>
  <si>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</si>
  <si>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</si>
  <si>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</si>
  <si>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</si>
  <si>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</si>
  <si>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</si>
  <si>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</si>
  <si>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</si>
  <si>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</si>
  <si>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</si>
  <si>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</si>
  <si>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</si>
  <si>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</si>
  <si>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</si>
  <si>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</si>
  <si>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</si>
  <si>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</si>
  <si>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</si>
  <si>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</si>
  <si>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</si>
  <si>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</si>
  <si>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</si>
  <si>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</si>
  <si>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</si>
  <si>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</si>
  <si>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</si>
  <si>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</si>
  <si>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</si>
  <si>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</si>
  <si>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</si>
  <si>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</si>
  <si>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</si>
  <si>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</si>
  <si>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</si>
  <si>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</si>
  <si>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</si>
  <si>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</si>
  <si>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</si>
  <si>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</si>
  <si>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</si>
  <si>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</si>
  <si>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</si>
  <si>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</si>
  <si>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</si>
  <si>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</si>
  <si>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</si>
  <si>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</si>
  <si>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</si>
  <si>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</si>
  <si>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</si>
  <si>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</si>
  <si>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</si>
  <si>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</si>
  <si>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</si>
  <si>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</si>
  <si>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</si>
  <si>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</si>
  <si>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</si>
  <si>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</si>
  <si>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</si>
  <si>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</si>
  <si>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</si>
  <si>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</si>
  <si>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</si>
  <si>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</si>
  <si>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</si>
  <si>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</si>
  <si>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</si>
  <si>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</si>
  <si>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</si>
  <si>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</si>
  <si>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</si>
  <si>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</si>
  <si>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</si>
  <si>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</si>
  <si>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</si>
  <si>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</si>
  <si>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</si>
  <si>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</si>
  <si>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</si>
  <si>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</si>
  <si>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</si>
  <si>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</si>
  <si>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</si>
  <si>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</si>
  <si>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</si>
  <si>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</si>
  <si>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</si>
  <si>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</si>
  <si>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</si>
  <si>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</si>
  <si>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</si>
  <si>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</si>
  <si>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</si>
  <si>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</si>
  <si>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</si>
  <si>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</si>
  <si>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</si>
  <si>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</si>
  <si>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</si>
  <si>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</si>
  <si>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</si>
  <si>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</si>
  <si>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</si>
  <si>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</si>
  <si>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</si>
  <si>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</si>
  <si>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</si>
  <si>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</si>
  <si>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</si>
  <si>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</si>
  <si>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</si>
  <si>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</si>
  <si>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</si>
  <si>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</si>
  <si>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</si>
  <si>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</si>
  <si>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</si>
  <si>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</si>
  <si>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</si>
  <si>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</si>
  <si>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</si>
  <si>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</si>
  <si>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</si>
  <si>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</si>
  <si>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</si>
  <si>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</si>
  <si>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</si>
  <si>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</si>
  <si>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</si>
  <si>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</si>
  <si>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</si>
  <si>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</si>
  <si>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</si>
  <si>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</si>
  <si>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</si>
  <si>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</si>
  <si>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</si>
  <si>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</si>
  <si>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</si>
  <si>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</si>
  <si>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</si>
  <si>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</si>
  <si>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</si>
  <si>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</si>
  <si>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</si>
  <si>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</si>
  <si>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</si>
  <si>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</si>
  <si>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</si>
  <si>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</si>
  <si>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</si>
  <si>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</si>
  <si>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</si>
  <si>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</si>
  <si>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</si>
  <si>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</si>
  <si>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</si>
  <si>
    <t>URL Checker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</si>
</sst>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38">
  <autoFilter ref="A4:M300" xr:uid="{00000000-0009-0000-0100-000001000000}"/>
  <tableColumns count="13">
    <tableColumn id="1" xr3:uid="{00000000-0010-0000-0000-000001000000}" name="Chassis ID" dataDxfId="337">
      <calculatedColumnFormula>IF(Table_12121510[[#This Row],[Chassis Name]]=0,"",Table_12121510[[#This Row],[Chassis Name]])</calculatedColumnFormula>
    </tableColumn>
    <tableColumn id="4" xr3:uid="{00000000-0010-0000-0000-000004000000}" name="Chassis Name" dataDxfId="336"/>
    <tableColumn id="9" xr3:uid="{00000000-0010-0000-0000-000009000000}" name="Previous Version (URI)"/>
    <tableColumn id="5" xr3:uid="{00000000-0010-0000-0000-000005000000}" name="Chassis Description" dataDxfId="335"/>
    <tableColumn id="6" xr3:uid="{00000000-0010-0000-0000-000006000000}" name="Data Source" dataDxfId="334"/>
    <tableColumn id="2" xr3:uid="{00000000-0010-0000-0000-000002000000}" name="PubMed Id" dataDxfId="333"/>
    <tableColumn id="7" xr3:uid="{00000000-0010-0000-0000-000007000000}" name="DOI" dataDxfId="332"/>
    <tableColumn id="10" xr3:uid="{00000000-0010-0000-0000-00000A000000}" name="URI" dataDxfId="331"/>
    <tableColumn id="11" xr3:uid="{00000000-0010-0000-0000-00000B000000}" name="Update" dataDxfId="330">
      <calculatedColumnFormula>IF($B5="","FALSE","TRUE")</calculatedColumnFormula>
    </tableColumn>
    <tableColumn id="8" xr3:uid="{00000000-0010-0000-0000-000008000000}" name="URL Checker - Data Source" dataDxfId="329">
      <calculatedColumnFormula array="1">IsURL(Table_12121510[[#This Row],[Data Source]])</calculatedColumnFormula>
    </tableColumn>
    <tableColumn id="12" xr3:uid="{00000000-0010-0000-0000-00000C000000}" name="URL Checker - DOI" dataDxfId="328">
      <calculatedColumnFormula array="1">IsURL(Table_12121510[[#This Row],[DOI]])</calculatedColumnFormula>
    </tableColumn>
    <tableColumn id="13" xr3:uid="{00000000-0010-0000-0000-00000D000000}" name="URL Checker - Previous Version" dataDxfId="327">
      <calculatedColumnFormula array="1">IsURL(Table_12121510[[#This Row],[Data Source]])</calculatedColumnFormula>
    </tableColumn>
    <tableColumn id="14" xr3:uid="{00000000-0010-0000-0000-00000E000000}" name="URL Checker - URI" dataDxfId="326">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5">
  <autoFilter ref="A4:M300" xr:uid="{00000000-0009-0000-0100-000002000000}"/>
  <tableColumns count="13">
    <tableColumn id="1" xr3:uid="{00000000-0010-0000-0100-000001000000}" name="Media ID" dataDxfId="324">
      <calculatedColumnFormula>IF(Table_121215[[#This Row],[Media Name]]=0,"",Table_121215[[#This Row],[Media Name]])</calculatedColumnFormula>
    </tableColumn>
    <tableColumn id="4" xr3:uid="{00000000-0010-0000-0100-000004000000}" name="Media Name" dataDxfId="323"/>
    <tableColumn id="9" xr3:uid="{00000000-0010-0000-0100-000009000000}" name="Previous Version (URI)"/>
    <tableColumn id="5" xr3:uid="{00000000-0010-0000-0100-000005000000}" name="Media Description" dataDxfId="322"/>
    <tableColumn id="6" xr3:uid="{00000000-0010-0000-0100-000006000000}" name="Data Source" dataDxfId="321"/>
    <tableColumn id="2" xr3:uid="{00000000-0010-0000-0100-000002000000}" name="PubMed ID" dataDxfId="320"/>
    <tableColumn id="7" xr3:uid="{00000000-0010-0000-0100-000007000000}" name="DOI" dataDxfId="319"/>
    <tableColumn id="10" xr3:uid="{00000000-0010-0000-0100-00000A000000}" name="URI" dataDxfId="318"/>
    <tableColumn id="11" xr3:uid="{00000000-0010-0000-0100-00000B000000}" name="Update" dataDxfId="317">
      <calculatedColumnFormula>IF($B5="","FALSE","TRUE")</calculatedColumnFormula>
    </tableColumn>
    <tableColumn id="8" xr3:uid="{00000000-0010-0000-0100-000008000000}" name="URL Checker - Data Source" dataDxfId="316">
      <calculatedColumnFormula array="1">IsURL(Table_121215[[#This Row],[Data Source]])</calculatedColumnFormula>
    </tableColumn>
    <tableColumn id="12" xr3:uid="{00000000-0010-0000-0100-00000C000000}" name="URL Checker - DOI" dataDxfId="315">
      <calculatedColumnFormula array="1">IsURL(Table_121215[[#This Row],[DOI]])</calculatedColumnFormula>
    </tableColumn>
    <tableColumn id="13" xr3:uid="{00000000-0010-0000-0100-00000D000000}" name="URL Checker - Previous Version" dataDxfId="314">
      <calculatedColumnFormula array="1">IsURL(Table_121215[[#This Row],[Data Source]])</calculatedColumnFormula>
    </tableColumn>
    <tableColumn id="14" xr3:uid="{00000000-0010-0000-0100-00000E000000}" name="URL Checker - URI" dataDxfId="313">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12">
  <autoFilter ref="A4:M300" xr:uid="{00000000-0009-0000-0100-000003000000}"/>
  <tableColumns count="13">
    <tableColumn id="1" xr3:uid="{00000000-0010-0000-0200-000001000000}" name="Chemical ID" dataDxfId="311">
      <calculatedColumnFormula>IF(chemicals!B5="","",chemicals!B5)</calculatedColumnFormula>
    </tableColumn>
    <tableColumn id="4" xr3:uid="{00000000-0010-0000-0200-000004000000}" name="Chemical Name" dataDxfId="310"/>
    <tableColumn id="9" xr3:uid="{00000000-0010-0000-0200-000009000000}" name="Previous Version (URI)"/>
    <tableColumn id="5" xr3:uid="{00000000-0010-0000-0200-000005000000}" name="Chemical Description" dataDxfId="309"/>
    <tableColumn id="6" xr3:uid="{00000000-0010-0000-0200-000006000000}" name="Data Source" dataDxfId="308"/>
    <tableColumn id="2" xr3:uid="{00000000-0010-0000-0200-000002000000}" name="PubMed ID" dataDxfId="307"/>
    <tableColumn id="7" xr3:uid="{00000000-0010-0000-0200-000007000000}" name="DOI" dataDxfId="306"/>
    <tableColumn id="10" xr3:uid="{00000000-0010-0000-0200-00000A000000}" name="URI" dataDxfId="305"/>
    <tableColumn id="11" xr3:uid="{00000000-0010-0000-0200-00000B000000}" name="Update" dataDxfId="304">
      <calculatedColumnFormula>IF($B5="","FALSE","TRUE")</calculatedColumnFormula>
    </tableColumn>
    <tableColumn id="12" xr3:uid="{00000000-0010-0000-0200-00000C000000}" name="URL Checker - Data Source" dataDxfId="303">
      <calculatedColumnFormula array="1">IsURL(Table_121214[[#This Row],[Data Source]])</calculatedColumnFormula>
    </tableColumn>
    <tableColumn id="13" xr3:uid="{00000000-0010-0000-0200-00000D000000}" name="URL Checker - DOI" dataDxfId="302">
      <calculatedColumnFormula array="1">IsURL(Table_121214[[#This Row],[DOI]])</calculatedColumnFormula>
    </tableColumn>
    <tableColumn id="3" xr3:uid="{00000000-0010-0000-0200-000003000000}" name="URL Checker - Previous Version" dataDxfId="301">
      <calculatedColumnFormula array="1">IsURL(Table_121214[[#This Row],[Data Source]])</calculatedColumnFormula>
    </tableColumn>
    <tableColumn id="8" xr3:uid="{00000000-0010-0000-0200-000008000000}" name="URL Checker - URI" dataDxfId="300">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9">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8">
      <calculatedColumnFormula>LEN(TRIM(CLEAN(SUBSTITUTE(SUBSTITUTE(Table_19[[#This Row],[Sequence]],CHAR(160)," ")," ",""))))</calculatedColumnFormula>
    </tableColumn>
    <tableColumn id="13" xr3:uid="{00000000-0010-0000-0300-00000D000000}" name="Sequence"/>
    <tableColumn id="17" xr3:uid="{00000000-0010-0000-0300-000011000000}" name="URI" dataDxfId="297"/>
    <tableColumn id="18" xr3:uid="{00000000-0010-0000-0300-000012000000}" name="Update" dataDxfId="296">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95">
      <calculatedColumnFormula>IF(Table_18[[#This Row],[Part Name]]=0,"",Table_18[[#This Row],[Part Name]])</calculatedColumnFormula>
    </tableColumn>
    <tableColumn id="4" xr3:uid="{00000000-0010-0000-0400-000004000000}" name="Part Name" dataDxfId="294"/>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93">
      <calculatedColumnFormula>LEN(TRIM(CLEAN(SUBSTITUTE(SUBSTITUTE(Table_18[[#This Row],[Sequence]],CHAR(160)," ")," ",""))))</calculatedColumnFormula>
    </tableColumn>
    <tableColumn id="13" xr3:uid="{00000000-0010-0000-0400-00000D000000}" name="Sequence" dataDxfId="292"/>
    <tableColumn id="11" xr3:uid="{00000000-0010-0000-0400-00000B000000}" name="URI" dataDxfId="291"/>
    <tableColumn id="14" xr3:uid="{00000000-0010-0000-0400-00000E000000}" name="Update" dataDxfId="290">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89">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88">
      <calculatedColumnFormula>LEN(TRIM(CLEAN(SUBSTITUTE(SUBSTITUTE(Table_17[[#This Row],[Sequence]],CHAR(160)," ")," ",""))))</calculatedColumnFormula>
    </tableColumn>
    <tableColumn id="13" xr3:uid="{00000000-0010-0000-0500-00000D000000}" name="Sequence"/>
    <tableColumn id="14" xr3:uid="{00000000-0010-0000-0500-00000E000000}" name="URI" dataDxfId="287"/>
    <tableColumn id="16" xr3:uid="{00000000-0010-0000-0500-000010000000}" name="Update" dataDxfId="286">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85">
      <calculatedColumnFormula>IF(Table_15[[#This Row],[Part Name]]=0,"",Table_15[[#This Row],[Part Name]])</calculatedColumnFormula>
    </tableColumn>
    <tableColumn id="4" xr3:uid="{00000000-0010-0000-0600-000004000000}" name="Part Name" dataDxfId="284"/>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83">
      <calculatedColumnFormula>LEN(TRIM(CLEAN(SUBSTITUTE(SUBSTITUTE(Table_15[[#This Row],[Sequence]],CHAR(160)," ")," ",""))))</calculatedColumnFormula>
    </tableColumn>
    <tableColumn id="13" xr3:uid="{00000000-0010-0000-0600-00000D000000}" name="Sequence"/>
    <tableColumn id="11" xr3:uid="{00000000-0010-0000-0600-00000B000000}" name="URI" dataDxfId="282"/>
    <tableColumn id="14" xr3:uid="{00000000-0010-0000-0600-00000E000000}" name="Update" dataDxfId="281">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80">
      <calculatedColumnFormula>IF(Table_1[[#This Row],[Part Name]]=0,"",Table_1[[#This Row],[Part Name]])</calculatedColumnFormula>
    </tableColumn>
    <tableColumn id="4" xr3:uid="{00000000-0010-0000-0700-000004000000}" name="Part Name"/>
    <tableColumn id="11" xr3:uid="{00000000-0010-0000-0700-00000B000000}" name="Previous Version (URI)" dataDxfId="279"/>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78">
      <calculatedColumnFormula>LEN(TRIM(CLEAN(SUBSTITUTE(SUBSTITUTE(Table_1[[#This Row],[Sequence]],CHAR(160)," ")," ",""))))</calculatedColumnFormula>
    </tableColumn>
    <tableColumn id="13" xr3:uid="{00000000-0010-0000-0700-00000D000000}" name="Sequence"/>
    <tableColumn id="14" xr3:uid="{00000000-0010-0000-0700-00000E000000}" name="URI" dataDxfId="277"/>
    <tableColumn id="15" xr3:uid="{00000000-0010-0000-0700-00000F000000}" name="Update" dataDxfId="276">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75">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74">
      <calculatedColumnFormula>LEN(TRIM(CLEAN(SUBSTITUTE(SUBSTITUTE(Table_12[[#This Row],[Sequence]],CHAR(160)," ")," ",""))))</calculatedColumnFormula>
    </tableColumn>
    <tableColumn id="13" xr3:uid="{00000000-0010-0000-0800-00000D000000}" name="Sequence"/>
    <tableColumn id="10" xr3:uid="{00000000-0010-0000-0800-00000A000000}" name="URI" dataDxfId="273"/>
    <tableColumn id="11" xr3:uid="{00000000-0010-0000-0800-00000B000000}" name="Update" dataDxfId="272">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71">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70"/>
    <tableColumn id="13" xr3:uid="{00000000-0010-0000-0900-00000D000000}" name="Update" dataDxfId="269">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68">
  <autoFilter ref="A4:N300" xr:uid="{00000000-0009-0000-0100-00000B000000}"/>
  <tableColumns count="14">
    <tableColumn id="1" xr3:uid="{00000000-0010-0000-0A00-000001000000}" name="Signal ID" dataDxfId="267">
      <calculatedColumnFormula>IF(Table_1212151012[[#This Row],[Signal Name]]=0,"",Table_1212151012[[#This Row],[Signal Name]])</calculatedColumnFormula>
    </tableColumn>
    <tableColumn id="4" xr3:uid="{00000000-0010-0000-0A00-000004000000}" name="Signal Name" dataDxfId="266"/>
    <tableColumn id="9" xr3:uid="{00000000-0010-0000-0A00-000009000000}" name="Previous Version (URI)"/>
    <tableColumn id="5" xr3:uid="{00000000-0010-0000-0A00-000005000000}" name="Signal Description" dataDxfId="265"/>
    <tableColumn id="3" xr3:uid="{00000000-0010-0000-0A00-000003000000}" name="Signal Color" dataDxfId="264"/>
    <tableColumn id="6" xr3:uid="{00000000-0010-0000-0A00-000006000000}" name="Data Source" dataDxfId="263"/>
    <tableColumn id="2" xr3:uid="{00000000-0010-0000-0A00-000002000000}" name="PubMed Id" dataDxfId="262"/>
    <tableColumn id="7" xr3:uid="{00000000-0010-0000-0A00-000007000000}" name="DOI" dataDxfId="261"/>
    <tableColumn id="10" xr3:uid="{00000000-0010-0000-0A00-00000A000000}" name="URI" dataDxfId="260"/>
    <tableColumn id="11" xr3:uid="{00000000-0010-0000-0A00-00000B000000}" name="Update" dataDxfId="259">
      <calculatedColumnFormula>IF($B5="","FALSE","TRUE")</calculatedColumnFormula>
    </tableColumn>
    <tableColumn id="8" xr3:uid="{00000000-0010-0000-0A00-000008000000}" name="URL Checker - Data Source" dataDxfId="258">
      <calculatedColumnFormula array="1">IsURL(Table_1212151012[[#This Row],[Data Source]])</calculatedColumnFormula>
    </tableColumn>
    <tableColumn id="12" xr3:uid="{00000000-0010-0000-0A00-00000C000000}" name="URL Checker - DOI" dataDxfId="257">
      <calculatedColumnFormula array="1">IsURL(Table_1212151012[[#This Row],[DOI]])</calculatedColumnFormula>
    </tableColumn>
    <tableColumn id="13" xr3:uid="{00000000-0010-0000-0A00-00000D000000}" name="URL Checker - Previous Version" dataDxfId="256">
      <calculatedColumnFormula array="1">IsURL(Table_1212151012[[#This Row],[Data Source]])</calculatedColumnFormula>
    </tableColumn>
    <tableColumn id="14" xr3:uid="{00000000-0010-0000-0A00-00000E000000}" name="URL Checker - URI" dataDxfId="255">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4" totalsRowShown="0" dataDxfId="254">
  <autoFilter ref="A1:Q164" xr:uid="{00000000-0009-0000-0100-00000D000000}"/>
  <sortState xmlns:xlrd2="http://schemas.microsoft.com/office/spreadsheetml/2017/richdata2" ref="A2:Q163">
    <sortCondition ref="A1:A163"/>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253"/>
    <tableColumn id="9" xr3:uid="{00000000-0010-0000-0C00-000009000000}" name="Sheet Lookup" dataDxfId="252"/>
    <tableColumn id="10" xr3:uid="{00000000-0010-0000-0C00-00000A000000}" name="Replacement Lookup" dataDxfId="251"/>
    <tableColumn id="11" xr3:uid="{00000000-0010-0000-0C00-00000B000000}" name="Object_ID Lookup" dataDxfId="250"/>
    <tableColumn id="12" xr3:uid="{00000000-0010-0000-0C00-00000C000000}" name="Parent Lookup" dataDxfId="249"/>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F4" sqref="F4"/>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3" width="8.5" bestFit="1" customWidth="1"/>
    <col min="24" max="24"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48"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47"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246"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45" priority="5">
      <formula>ISBLANK(B5)</formula>
    </cfRule>
  </conditionalFormatting>
  <conditionalFormatting sqref="L5:L300">
    <cfRule type="duplicateValues" dxfId="244"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43" priority="4" stopIfTrue="1">
      <formula>ISBLANK(B5)</formula>
    </cfRule>
  </conditionalFormatting>
  <conditionalFormatting sqref="J5:J300">
    <cfRule type="duplicateValues" dxfId="242"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41" priority="13" stopIfTrue="1">
      <formula>ISBLANK(B5)</formula>
    </cfRule>
  </conditionalFormatting>
  <conditionalFormatting sqref="K5:K300">
    <cfRule type="duplicateValues" dxfId="240"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39" priority="4" stopIfTrue="1">
      <formula>ISBLANK(B5)</formula>
    </cfRule>
  </conditionalFormatting>
  <conditionalFormatting sqref="J5:J300">
    <cfRule type="duplicateValues" dxfId="238"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37" priority="4" stopIfTrue="1">
      <formula>ISBLANK(B5)</formula>
    </cfRule>
  </conditionalFormatting>
  <conditionalFormatting sqref="K5:K300">
    <cfRule type="duplicateValues" dxfId="236"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35" priority="11" stopIfTrue="1">
      <formula>ISBLANK(B5)</formula>
    </cfRule>
  </conditionalFormatting>
  <conditionalFormatting sqref="I5:I301">
    <cfRule type="duplicateValues" dxfId="234"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33"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32"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4"/>
  <sheetViews>
    <sheetView tabSelected="1" topLeftCell="A9" zoomScale="92" zoomScaleNormal="100" workbookViewId="0">
      <selection activeCell="A24" sqref="A24:XFD24"/>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F2" t="s">
        <v>135</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s="1" customFormat="1" ht="17.25" customHeight="1" x14ac:dyDescent="0.2">
      <c r="A24" s="1" t="s">
        <v>103</v>
      </c>
      <c r="B24" s="1" t="s">
        <v>7644</v>
      </c>
      <c r="C24" s="1" t="s">
        <v>151</v>
      </c>
      <c r="E24" s="1" t="s">
        <v>151</v>
      </c>
      <c r="F24" s="1" t="s">
        <v>151</v>
      </c>
      <c r="G24" s="1" t="s">
        <v>136</v>
      </c>
      <c r="I24" s="1" t="b">
        <v>0</v>
      </c>
      <c r="J24" s="1" t="b">
        <v>0</v>
      </c>
      <c r="K24" s="1" t="b">
        <v>0</v>
      </c>
      <c r="L24" s="1" t="b">
        <v>0</v>
      </c>
      <c r="M24" s="1" t="b">
        <v>0</v>
      </c>
    </row>
    <row r="25" spans="1:17" ht="17.25" customHeight="1" x14ac:dyDescent="0.2">
      <c r="A25" t="s">
        <v>103</v>
      </c>
      <c r="B25" t="s">
        <v>15</v>
      </c>
      <c r="C25" t="s">
        <v>141</v>
      </c>
      <c r="E25" t="s">
        <v>142</v>
      </c>
      <c r="F25" t="s">
        <v>135</v>
      </c>
      <c r="G25" t="s">
        <v>136</v>
      </c>
      <c r="I25" s="1" t="b">
        <v>0</v>
      </c>
      <c r="J25" s="1" t="b">
        <v>0</v>
      </c>
      <c r="K25" s="1" t="b">
        <v>0</v>
      </c>
      <c r="L25" s="1" t="b">
        <v>0</v>
      </c>
      <c r="M25" s="1" t="b">
        <v>0</v>
      </c>
    </row>
    <row r="26" spans="1:17" ht="17.25" customHeight="1" x14ac:dyDescent="0.2">
      <c r="A26" t="s">
        <v>103</v>
      </c>
      <c r="B26" t="s">
        <v>16</v>
      </c>
      <c r="C26" t="s">
        <v>140</v>
      </c>
      <c r="E26" t="str">
        <f>CONCATENATE("http://sbols.org/v",Init!$B$1,"#")</f>
        <v>http://sbols.org/v2#</v>
      </c>
      <c r="F26" t="s">
        <v>21</v>
      </c>
      <c r="G26" t="s">
        <v>136</v>
      </c>
      <c r="I26" s="1" t="b">
        <v>0</v>
      </c>
      <c r="J26" s="1" t="b">
        <v>0</v>
      </c>
      <c r="K26" s="1" t="b">
        <v>0</v>
      </c>
      <c r="L26" s="1" t="b">
        <v>0</v>
      </c>
      <c r="M26" s="1" t="b">
        <v>0</v>
      </c>
    </row>
    <row r="27" spans="1:17" ht="17.25" customHeight="1" x14ac:dyDescent="0.2">
      <c r="A27" t="s">
        <v>103</v>
      </c>
      <c r="B27" t="s">
        <v>17</v>
      </c>
      <c r="C27" t="s">
        <v>143</v>
      </c>
      <c r="E27" t="s">
        <v>144</v>
      </c>
      <c r="F27" t="s">
        <v>21</v>
      </c>
      <c r="G27" t="s">
        <v>136</v>
      </c>
      <c r="I27" s="1" t="b">
        <v>0</v>
      </c>
      <c r="J27" s="1" t="b">
        <v>1</v>
      </c>
      <c r="K27" s="1" t="b">
        <v>0</v>
      </c>
      <c r="L27" s="1" t="b">
        <v>0</v>
      </c>
      <c r="M27" s="1" t="b">
        <v>0</v>
      </c>
      <c r="N27" t="s">
        <v>115</v>
      </c>
      <c r="O27" t="s">
        <v>145</v>
      </c>
      <c r="P27" t="s">
        <v>146</v>
      </c>
      <c r="Q27" t="s">
        <v>147</v>
      </c>
    </row>
    <row r="28" spans="1:17" ht="17.25" customHeight="1" x14ac:dyDescent="0.2">
      <c r="A28" t="s">
        <v>103</v>
      </c>
      <c r="B28" t="s">
        <v>19</v>
      </c>
      <c r="C28" t="s">
        <v>151</v>
      </c>
      <c r="E28" t="s">
        <v>151</v>
      </c>
      <c r="F28" t="s">
        <v>151</v>
      </c>
      <c r="G28" t="s">
        <v>136</v>
      </c>
      <c r="I28" s="1" t="b">
        <v>0</v>
      </c>
      <c r="J28" s="1" t="b">
        <v>0</v>
      </c>
      <c r="K28" s="1" t="b">
        <v>0</v>
      </c>
      <c r="L28" s="1" t="b">
        <v>0</v>
      </c>
      <c r="M28" s="1" t="b">
        <v>0</v>
      </c>
    </row>
    <row r="29" spans="1:17" ht="17.25" customHeight="1" x14ac:dyDescent="0.2">
      <c r="A29" t="s">
        <v>103</v>
      </c>
      <c r="B29" t="s">
        <v>20</v>
      </c>
      <c r="C29" t="s">
        <v>152</v>
      </c>
      <c r="E29" t="str">
        <f>CONCATENATE("http://sbols.org/v",Init!$B$1,"#")</f>
        <v>http://sbols.org/v2#</v>
      </c>
      <c r="F29" t="s">
        <v>135</v>
      </c>
      <c r="G29" t="s">
        <v>136</v>
      </c>
      <c r="H29" t="s">
        <v>153</v>
      </c>
      <c r="I29" s="1" t="b">
        <v>0</v>
      </c>
      <c r="J29" s="1" t="b">
        <v>0</v>
      </c>
      <c r="K29" s="1" t="b">
        <v>0</v>
      </c>
      <c r="L29" s="1" t="b">
        <v>0</v>
      </c>
      <c r="M29" s="1" t="b">
        <v>0</v>
      </c>
    </row>
    <row r="30" spans="1:17" ht="17.25" customHeight="1" x14ac:dyDescent="0.2">
      <c r="A30" t="s">
        <v>103</v>
      </c>
      <c r="B30" t="s">
        <v>22</v>
      </c>
      <c r="C30" t="s">
        <v>151</v>
      </c>
      <c r="F30" t="s">
        <v>135</v>
      </c>
      <c r="G30" t="s">
        <v>136</v>
      </c>
      <c r="I30" s="1" t="b">
        <v>0</v>
      </c>
      <c r="J30" s="1" t="b">
        <v>0</v>
      </c>
      <c r="K30" s="1" t="b">
        <v>0</v>
      </c>
      <c r="L30" s="1" t="b">
        <v>0</v>
      </c>
      <c r="M30" s="1" t="b">
        <v>0</v>
      </c>
    </row>
    <row r="31" spans="1:17" ht="17.25" customHeight="1" x14ac:dyDescent="0.2">
      <c r="A31" t="s">
        <v>103</v>
      </c>
      <c r="B31" t="s">
        <v>23</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24</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25</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103</v>
      </c>
      <c r="B34" t="s">
        <v>26</v>
      </c>
      <c r="C34" s="28" t="s">
        <v>151</v>
      </c>
      <c r="D34" s="28"/>
      <c r="E34" s="29"/>
      <c r="F34" s="29" t="s">
        <v>135</v>
      </c>
      <c r="G34" s="29" t="s">
        <v>136</v>
      </c>
      <c r="H34" s="29"/>
      <c r="I34" s="30" t="b">
        <v>0</v>
      </c>
      <c r="J34" s="30" t="b">
        <v>0</v>
      </c>
      <c r="K34" s="30" t="b">
        <v>0</v>
      </c>
      <c r="L34" s="30" t="b">
        <v>0</v>
      </c>
      <c r="M34" s="30" t="b">
        <v>0</v>
      </c>
      <c r="N34" s="29"/>
      <c r="O34" s="29"/>
      <c r="P34" s="29"/>
      <c r="Q34" s="29"/>
    </row>
    <row r="35" spans="1:17" ht="17.25" customHeight="1" x14ac:dyDescent="0.2">
      <c r="A35" t="s">
        <v>105</v>
      </c>
      <c r="B35" t="s">
        <v>10</v>
      </c>
      <c r="C35" t="s">
        <v>134</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11</v>
      </c>
      <c r="C36" t="s">
        <v>137</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12</v>
      </c>
      <c r="C37" t="s">
        <v>134</v>
      </c>
      <c r="E37" t="str">
        <f>CONCATENATE("http://sbols.org/v",Init!$B$1,"#")</f>
        <v>http://sbols.org/v2#</v>
      </c>
      <c r="F37" t="s">
        <v>135</v>
      </c>
      <c r="G37" t="s">
        <v>136</v>
      </c>
      <c r="I37" s="1" t="b">
        <v>0</v>
      </c>
      <c r="J37" s="1" t="b">
        <v>0</v>
      </c>
      <c r="K37" s="1" t="b">
        <v>0</v>
      </c>
      <c r="L37" s="1" t="b">
        <v>0</v>
      </c>
      <c r="M37" s="1" t="b">
        <v>0</v>
      </c>
    </row>
    <row r="38" spans="1:17" ht="17.25" customHeight="1" x14ac:dyDescent="0.2">
      <c r="A38" t="s">
        <v>105</v>
      </c>
      <c r="B38" t="s">
        <v>13</v>
      </c>
      <c r="C38" t="s">
        <v>138</v>
      </c>
      <c r="E38" t="s">
        <v>139</v>
      </c>
      <c r="F38" t="s">
        <v>135</v>
      </c>
      <c r="G38" t="s">
        <v>136</v>
      </c>
      <c r="I38" s="1" t="b">
        <v>0</v>
      </c>
      <c r="J38" s="1" t="b">
        <v>0</v>
      </c>
      <c r="K38" s="1" t="b">
        <v>0</v>
      </c>
      <c r="L38" s="1" t="b">
        <v>0</v>
      </c>
      <c r="M38" s="1" t="b">
        <v>0</v>
      </c>
    </row>
    <row r="39" spans="1:17" ht="17.25" customHeight="1" x14ac:dyDescent="0.2">
      <c r="A39" t="s">
        <v>105</v>
      </c>
      <c r="B39" t="s">
        <v>14</v>
      </c>
      <c r="C39" t="s">
        <v>140</v>
      </c>
      <c r="E39" t="str">
        <f>CONCATENATE("http://sbols.org/v",Init!$B$1,"#")</f>
        <v>http://sbols.org/v2#</v>
      </c>
      <c r="F39" t="s">
        <v>21</v>
      </c>
      <c r="G39" t="s">
        <v>136</v>
      </c>
      <c r="I39" s="1" t="b">
        <v>0</v>
      </c>
      <c r="J39" s="1" t="b">
        <v>0</v>
      </c>
      <c r="K39" s="1" t="b">
        <v>0</v>
      </c>
      <c r="L39" s="1" t="b">
        <v>0</v>
      </c>
      <c r="M39" s="1" t="b">
        <v>0</v>
      </c>
    </row>
    <row r="40" spans="1:17" ht="17.25" customHeight="1" x14ac:dyDescent="0.2">
      <c r="A40" t="s">
        <v>105</v>
      </c>
      <c r="B40" t="s">
        <v>15</v>
      </c>
      <c r="C40" t="s">
        <v>141</v>
      </c>
      <c r="E40" t="s">
        <v>142</v>
      </c>
      <c r="F40" t="s">
        <v>135</v>
      </c>
      <c r="G40" t="s">
        <v>136</v>
      </c>
      <c r="I40" s="1" t="b">
        <v>0</v>
      </c>
      <c r="J40" s="1" t="b">
        <v>0</v>
      </c>
      <c r="K40" s="1" t="b">
        <v>0</v>
      </c>
      <c r="L40" s="1" t="b">
        <v>0</v>
      </c>
      <c r="M40" s="1" t="b">
        <v>0</v>
      </c>
    </row>
    <row r="41" spans="1:17" ht="17.25" customHeight="1" x14ac:dyDescent="0.2">
      <c r="A41" t="s">
        <v>105</v>
      </c>
      <c r="B41" t="s">
        <v>16</v>
      </c>
      <c r="C41" t="s">
        <v>140</v>
      </c>
      <c r="E41" t="str">
        <f>CONCATENATE("http://sbols.org/v",Init!$B$1,"#")</f>
        <v>http://sbols.org/v2#</v>
      </c>
      <c r="F41" t="s">
        <v>21</v>
      </c>
      <c r="G41" t="s">
        <v>136</v>
      </c>
      <c r="I41" s="1" t="b">
        <v>0</v>
      </c>
      <c r="J41" s="1" t="b">
        <v>0</v>
      </c>
      <c r="K41" s="1" t="b">
        <v>0</v>
      </c>
      <c r="L41" s="1" t="b">
        <v>0</v>
      </c>
      <c r="M41" s="1" t="b">
        <v>0</v>
      </c>
    </row>
    <row r="42" spans="1:17" ht="17.25" customHeight="1" x14ac:dyDescent="0.2">
      <c r="A42" t="s">
        <v>105</v>
      </c>
      <c r="B42" t="s">
        <v>17</v>
      </c>
      <c r="C42" t="s">
        <v>143</v>
      </c>
      <c r="E42" t="s">
        <v>144</v>
      </c>
      <c r="F42" t="s">
        <v>21</v>
      </c>
      <c r="G42" t="s">
        <v>136</v>
      </c>
      <c r="I42" s="1" t="b">
        <v>0</v>
      </c>
      <c r="J42" s="1" t="b">
        <v>1</v>
      </c>
      <c r="K42" s="1" t="b">
        <v>0</v>
      </c>
      <c r="L42" s="1" t="b">
        <v>0</v>
      </c>
      <c r="M42" s="1" t="b">
        <v>0</v>
      </c>
      <c r="N42" t="s">
        <v>115</v>
      </c>
      <c r="O42" t="s">
        <v>145</v>
      </c>
      <c r="P42" t="s">
        <v>146</v>
      </c>
      <c r="Q42" t="s">
        <v>147</v>
      </c>
    </row>
    <row r="43" spans="1:17" ht="17.25" customHeight="1" x14ac:dyDescent="0.2">
      <c r="A43" t="s">
        <v>105</v>
      </c>
      <c r="B43" t="s">
        <v>18</v>
      </c>
      <c r="C43" t="s">
        <v>154</v>
      </c>
      <c r="E43" t="s">
        <v>144</v>
      </c>
      <c r="F43" t="s">
        <v>21</v>
      </c>
      <c r="G43" t="s">
        <v>136</v>
      </c>
      <c r="I43" s="1" t="b">
        <v>0</v>
      </c>
      <c r="J43" s="1" t="b">
        <v>0</v>
      </c>
      <c r="K43" s="1" t="b">
        <v>0</v>
      </c>
      <c r="L43" s="1" t="b">
        <v>1</v>
      </c>
      <c r="M43" s="1" t="b">
        <v>0</v>
      </c>
    </row>
    <row r="44" spans="1:17" ht="17.25" customHeight="1" x14ac:dyDescent="0.2">
      <c r="A44" t="s">
        <v>105</v>
      </c>
      <c r="B44" t="s">
        <v>19</v>
      </c>
      <c r="C44" t="s">
        <v>151</v>
      </c>
      <c r="E44" t="s">
        <v>151</v>
      </c>
      <c r="F44" t="s">
        <v>151</v>
      </c>
      <c r="G44" t="s">
        <v>136</v>
      </c>
      <c r="I44" s="1" t="b">
        <v>0</v>
      </c>
      <c r="J44" s="1" t="b">
        <v>0</v>
      </c>
      <c r="K44" s="1" t="b">
        <v>0</v>
      </c>
      <c r="L44" s="1" t="b">
        <v>0</v>
      </c>
      <c r="M44" s="1" t="b">
        <v>0</v>
      </c>
    </row>
    <row r="45" spans="1:17" ht="17.25" customHeight="1" x14ac:dyDescent="0.2">
      <c r="A45" t="s">
        <v>105</v>
      </c>
      <c r="B45" t="s">
        <v>20</v>
      </c>
      <c r="C45" t="s">
        <v>152</v>
      </c>
      <c r="E45" t="str">
        <f>CONCATENATE("http://sbols.org/v",Init!$B$1,"#")</f>
        <v>http://sbols.org/v2#</v>
      </c>
      <c r="F45" t="s">
        <v>135</v>
      </c>
      <c r="G45" t="s">
        <v>136</v>
      </c>
      <c r="H45" t="s">
        <v>153</v>
      </c>
      <c r="I45" s="1" t="b">
        <v>0</v>
      </c>
      <c r="J45" s="1" t="b">
        <v>0</v>
      </c>
      <c r="K45" s="1" t="b">
        <v>0</v>
      </c>
      <c r="L45" s="1" t="b">
        <v>0</v>
      </c>
      <c r="M45" s="1" t="b">
        <v>0</v>
      </c>
    </row>
    <row r="46" spans="1:17" ht="17.25" customHeight="1" x14ac:dyDescent="0.2">
      <c r="A46" t="s">
        <v>105</v>
      </c>
      <c r="B46" t="s">
        <v>22</v>
      </c>
      <c r="C46" t="s">
        <v>151</v>
      </c>
      <c r="F46" t="s">
        <v>135</v>
      </c>
      <c r="G46" t="s">
        <v>136</v>
      </c>
      <c r="I46" s="1" t="b">
        <v>0</v>
      </c>
      <c r="J46" s="1" t="b">
        <v>0</v>
      </c>
      <c r="K46" s="1" t="b">
        <v>0</v>
      </c>
      <c r="L46" s="1" t="b">
        <v>0</v>
      </c>
      <c r="M46" s="1" t="b">
        <v>0</v>
      </c>
    </row>
    <row r="47" spans="1:17" ht="17.25" customHeight="1" x14ac:dyDescent="0.2">
      <c r="A47" t="s">
        <v>105</v>
      </c>
      <c r="B47" t="s">
        <v>23</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24</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25</v>
      </c>
      <c r="C49" s="28" t="s">
        <v>151</v>
      </c>
      <c r="D49" s="28"/>
      <c r="E49" s="29"/>
      <c r="F49" s="29" t="s">
        <v>135</v>
      </c>
      <c r="G49" s="29" t="s">
        <v>136</v>
      </c>
      <c r="H49" s="29"/>
      <c r="I49" s="30" t="b">
        <v>0</v>
      </c>
      <c r="J49" s="30" t="b">
        <v>0</v>
      </c>
      <c r="K49" s="30" t="b">
        <v>0</v>
      </c>
      <c r="L49" s="30" t="b">
        <v>0</v>
      </c>
      <c r="M49" s="30" t="b">
        <v>0</v>
      </c>
      <c r="N49" s="29"/>
      <c r="O49" s="29"/>
      <c r="P49" s="29"/>
      <c r="Q49" s="29"/>
    </row>
    <row r="50" spans="1:17" ht="17.25" customHeight="1" x14ac:dyDescent="0.2">
      <c r="A50" t="s">
        <v>105</v>
      </c>
      <c r="B50" t="s">
        <v>26</v>
      </c>
      <c r="C50" s="28" t="s">
        <v>151</v>
      </c>
      <c r="D50" s="28"/>
      <c r="E50" s="29"/>
      <c r="F50" s="29" t="s">
        <v>135</v>
      </c>
      <c r="G50" s="29" t="s">
        <v>136</v>
      </c>
      <c r="H50" s="29"/>
      <c r="I50" s="30" t="b">
        <v>0</v>
      </c>
      <c r="J50" s="30" t="b">
        <v>0</v>
      </c>
      <c r="K50" s="30" t="b">
        <v>0</v>
      </c>
      <c r="L50" s="30" t="b">
        <v>0</v>
      </c>
      <c r="M50" s="30" t="b">
        <v>0</v>
      </c>
      <c r="N50" s="29"/>
      <c r="O50" s="29"/>
      <c r="P50" s="29"/>
      <c r="Q50" s="29"/>
    </row>
    <row r="51" spans="1:17" s="1" customFormat="1" ht="17.25" customHeight="1" x14ac:dyDescent="0.2">
      <c r="A51" s="1" t="s">
        <v>105</v>
      </c>
      <c r="B51" s="1" t="s">
        <v>27</v>
      </c>
      <c r="C51" s="28" t="s">
        <v>151</v>
      </c>
      <c r="D51" s="29"/>
      <c r="E51" s="29"/>
      <c r="F51" s="29" t="s">
        <v>135</v>
      </c>
      <c r="G51" s="29" t="s">
        <v>136</v>
      </c>
      <c r="H51" s="29"/>
      <c r="I51" s="30" t="b">
        <v>0</v>
      </c>
      <c r="J51" s="30" t="b">
        <v>0</v>
      </c>
      <c r="K51" s="30" t="b">
        <v>0</v>
      </c>
      <c r="L51" s="30" t="b">
        <v>0</v>
      </c>
      <c r="M51" s="30" t="b">
        <v>0</v>
      </c>
      <c r="N51" s="29"/>
      <c r="O51" s="29"/>
      <c r="P51" s="29"/>
      <c r="Q51" s="29"/>
    </row>
    <row r="52" spans="1:17" ht="17.25" customHeight="1" x14ac:dyDescent="0.2">
      <c r="A52" t="s">
        <v>107</v>
      </c>
      <c r="B52" t="s">
        <v>10</v>
      </c>
      <c r="C52" t="s">
        <v>134</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11</v>
      </c>
      <c r="C53" t="s">
        <v>137</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12</v>
      </c>
      <c r="C54" t="s">
        <v>134</v>
      </c>
      <c r="E54" t="str">
        <f>CONCATENATE("http://sbols.org/v",Init!$B$1,"#")</f>
        <v>http://sbols.org/v2#</v>
      </c>
      <c r="F54" t="s">
        <v>135</v>
      </c>
      <c r="G54" t="s">
        <v>136</v>
      </c>
      <c r="I54" s="1" t="b">
        <v>0</v>
      </c>
      <c r="J54" s="1" t="b">
        <v>0</v>
      </c>
      <c r="K54" s="1" t="b">
        <v>0</v>
      </c>
      <c r="L54" s="1" t="b">
        <v>0</v>
      </c>
      <c r="M54" s="1" t="b">
        <v>0</v>
      </c>
    </row>
    <row r="55" spans="1:17" ht="17.25" customHeight="1" x14ac:dyDescent="0.2">
      <c r="A55" t="s">
        <v>107</v>
      </c>
      <c r="B55" t="s">
        <v>13</v>
      </c>
      <c r="C55" t="s">
        <v>138</v>
      </c>
      <c r="E55" t="s">
        <v>139</v>
      </c>
      <c r="F55" t="s">
        <v>135</v>
      </c>
      <c r="G55" t="s">
        <v>136</v>
      </c>
      <c r="I55" s="1" t="b">
        <v>0</v>
      </c>
      <c r="J55" s="1" t="b">
        <v>0</v>
      </c>
      <c r="K55" s="1" t="b">
        <v>0</v>
      </c>
      <c r="L55" s="1" t="b">
        <v>0</v>
      </c>
      <c r="M55" s="1" t="b">
        <v>0</v>
      </c>
    </row>
    <row r="56" spans="1:17" ht="17.25" customHeight="1" x14ac:dyDescent="0.2">
      <c r="A56" t="s">
        <v>107</v>
      </c>
      <c r="B56" t="s">
        <v>14</v>
      </c>
      <c r="C56" t="s">
        <v>140</v>
      </c>
      <c r="E56" t="str">
        <f>CONCATENATE("http://sbols.org/v",Init!$B$1,"#")</f>
        <v>http://sbols.org/v2#</v>
      </c>
      <c r="F56" t="s">
        <v>21</v>
      </c>
      <c r="G56" t="s">
        <v>136</v>
      </c>
      <c r="I56" s="1" t="b">
        <v>0</v>
      </c>
      <c r="J56" s="1" t="b">
        <v>0</v>
      </c>
      <c r="K56" s="1" t="b">
        <v>0</v>
      </c>
      <c r="L56" s="1" t="b">
        <v>0</v>
      </c>
      <c r="M56" s="1" t="b">
        <v>0</v>
      </c>
    </row>
    <row r="57" spans="1:17" ht="17.25" customHeight="1" x14ac:dyDescent="0.2">
      <c r="A57" t="s">
        <v>107</v>
      </c>
      <c r="B57" t="s">
        <v>15</v>
      </c>
      <c r="C57" t="s">
        <v>141</v>
      </c>
      <c r="E57" t="s">
        <v>142</v>
      </c>
      <c r="F57" t="s">
        <v>135</v>
      </c>
      <c r="G57" t="s">
        <v>136</v>
      </c>
      <c r="I57" s="1" t="b">
        <v>0</v>
      </c>
      <c r="J57" s="1" t="b">
        <v>0</v>
      </c>
      <c r="K57" s="1" t="b">
        <v>0</v>
      </c>
      <c r="L57" s="1" t="b">
        <v>0</v>
      </c>
      <c r="M57" s="1" t="b">
        <v>0</v>
      </c>
    </row>
    <row r="58" spans="1:17" x14ac:dyDescent="0.2">
      <c r="A58" t="s">
        <v>107</v>
      </c>
      <c r="B58" t="s">
        <v>16</v>
      </c>
      <c r="C58" t="s">
        <v>140</v>
      </c>
      <c r="E58" t="str">
        <f>CONCATENATE("http://sbols.org/v",Init!$B$1,"#")</f>
        <v>http://sbols.org/v2#</v>
      </c>
      <c r="F58" t="s">
        <v>21</v>
      </c>
      <c r="G58" t="s">
        <v>136</v>
      </c>
      <c r="I58" s="1" t="b">
        <v>0</v>
      </c>
      <c r="J58" s="1" t="b">
        <v>0</v>
      </c>
      <c r="K58" s="1" t="b">
        <v>0</v>
      </c>
      <c r="L58" s="1" t="b">
        <v>0</v>
      </c>
      <c r="M58" s="1" t="b">
        <v>0</v>
      </c>
    </row>
    <row r="59" spans="1:17" x14ac:dyDescent="0.2">
      <c r="A59" t="s">
        <v>107</v>
      </c>
      <c r="B59" t="s">
        <v>17</v>
      </c>
      <c r="C59" t="s">
        <v>143</v>
      </c>
      <c r="E59" t="s">
        <v>144</v>
      </c>
      <c r="F59" t="s">
        <v>21</v>
      </c>
      <c r="G59" t="s">
        <v>136</v>
      </c>
      <c r="I59" s="1" t="b">
        <v>0</v>
      </c>
      <c r="J59" s="1" t="b">
        <v>1</v>
      </c>
      <c r="K59" s="1" t="b">
        <v>0</v>
      </c>
      <c r="L59" s="1" t="b">
        <v>0</v>
      </c>
      <c r="M59" s="1" t="b">
        <v>0</v>
      </c>
      <c r="N59" t="s">
        <v>115</v>
      </c>
      <c r="O59" t="s">
        <v>145</v>
      </c>
      <c r="P59" t="s">
        <v>146</v>
      </c>
      <c r="Q59" t="s">
        <v>147</v>
      </c>
    </row>
    <row r="60" spans="1:17" x14ac:dyDescent="0.2">
      <c r="A60" t="s">
        <v>107</v>
      </c>
      <c r="B60" t="s">
        <v>19</v>
      </c>
      <c r="C60" t="s">
        <v>151</v>
      </c>
      <c r="E60" t="s">
        <v>151</v>
      </c>
      <c r="F60" t="s">
        <v>151</v>
      </c>
      <c r="G60" t="s">
        <v>136</v>
      </c>
      <c r="I60" s="1" t="b">
        <v>0</v>
      </c>
      <c r="J60" s="1" t="b">
        <v>0</v>
      </c>
      <c r="K60" s="1" t="b">
        <v>0</v>
      </c>
      <c r="L60" s="1" t="b">
        <v>0</v>
      </c>
      <c r="M60" s="1" t="b">
        <v>0</v>
      </c>
    </row>
    <row r="61" spans="1:17" x14ac:dyDescent="0.2">
      <c r="A61" t="s">
        <v>107</v>
      </c>
      <c r="B61" t="s">
        <v>20</v>
      </c>
      <c r="C61" t="s">
        <v>152</v>
      </c>
      <c r="E61" t="str">
        <f>CONCATENATE("http://sbols.org/v",Init!$B$1,"#")</f>
        <v>http://sbols.org/v2#</v>
      </c>
      <c r="F61" t="s">
        <v>135</v>
      </c>
      <c r="G61" t="s">
        <v>136</v>
      </c>
      <c r="H61" t="s">
        <v>153</v>
      </c>
      <c r="I61" s="1" t="b">
        <v>0</v>
      </c>
      <c r="J61" s="1" t="b">
        <v>0</v>
      </c>
      <c r="K61" s="1" t="b">
        <v>0</v>
      </c>
      <c r="L61" s="1" t="b">
        <v>0</v>
      </c>
      <c r="M61" s="1" t="b">
        <v>0</v>
      </c>
    </row>
    <row r="62" spans="1:17" ht="15" customHeight="1" x14ac:dyDescent="0.2">
      <c r="A62" t="s">
        <v>107</v>
      </c>
      <c r="B62" t="s">
        <v>22</v>
      </c>
      <c r="C62" t="s">
        <v>151</v>
      </c>
      <c r="F62" t="s">
        <v>135</v>
      </c>
      <c r="G62" t="s">
        <v>136</v>
      </c>
      <c r="I62" s="1" t="b">
        <v>0</v>
      </c>
      <c r="J62" s="1" t="b">
        <v>0</v>
      </c>
      <c r="K62" s="1" t="b">
        <v>0</v>
      </c>
      <c r="L62" s="1" t="b">
        <v>0</v>
      </c>
      <c r="M62" s="1" t="b">
        <v>0</v>
      </c>
    </row>
    <row r="63" spans="1:17" ht="15" customHeight="1" x14ac:dyDescent="0.2">
      <c r="A63" t="s">
        <v>107</v>
      </c>
      <c r="B63" t="s">
        <v>23</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24</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25</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107</v>
      </c>
      <c r="B66" t="s">
        <v>26</v>
      </c>
      <c r="C66" s="28" t="s">
        <v>151</v>
      </c>
      <c r="D66" s="28"/>
      <c r="E66" s="29"/>
      <c r="F66" s="29" t="s">
        <v>135</v>
      </c>
      <c r="G66" s="29" t="s">
        <v>136</v>
      </c>
      <c r="H66" s="29"/>
      <c r="I66" s="30" t="b">
        <v>0</v>
      </c>
      <c r="J66" s="30" t="b">
        <v>0</v>
      </c>
      <c r="K66" s="30" t="b">
        <v>0</v>
      </c>
      <c r="L66" s="30" t="b">
        <v>0</v>
      </c>
      <c r="M66" s="30" t="b">
        <v>0</v>
      </c>
      <c r="N66" s="29"/>
      <c r="O66" s="29"/>
      <c r="P66" s="29"/>
      <c r="Q66" s="29"/>
    </row>
    <row r="67" spans="1:17" x14ac:dyDescent="0.2">
      <c r="A67" t="s">
        <v>108</v>
      </c>
      <c r="B67" t="s">
        <v>10</v>
      </c>
      <c r="C67" t="s">
        <v>134</v>
      </c>
      <c r="E67" t="str">
        <f>CONCATENATE("http://sbols.org/v",Init!$B$1,"#")</f>
        <v>http://sbols.org/v2#</v>
      </c>
      <c r="F67" t="s">
        <v>135</v>
      </c>
      <c r="G67" t="s">
        <v>136</v>
      </c>
      <c r="I67" s="1" t="b">
        <v>0</v>
      </c>
      <c r="J67" s="1" t="b">
        <v>0</v>
      </c>
      <c r="K67" s="1" t="b">
        <v>0</v>
      </c>
      <c r="L67" s="1" t="b">
        <v>0</v>
      </c>
      <c r="M67" s="1" t="b">
        <v>0</v>
      </c>
    </row>
    <row r="68" spans="1:17" x14ac:dyDescent="0.2">
      <c r="A68" t="s">
        <v>108</v>
      </c>
      <c r="B68" t="s">
        <v>11</v>
      </c>
      <c r="C68" t="s">
        <v>137</v>
      </c>
      <c r="E68" t="str">
        <f>CONCATENATE("http://sbols.org/v",Init!$B$1,"#")</f>
        <v>http://sbols.org/v2#</v>
      </c>
      <c r="F68" t="s">
        <v>135</v>
      </c>
      <c r="G68" t="s">
        <v>136</v>
      </c>
      <c r="I68" s="1" t="b">
        <v>0</v>
      </c>
      <c r="J68" s="1" t="b">
        <v>0</v>
      </c>
      <c r="K68" s="1" t="b">
        <v>0</v>
      </c>
      <c r="L68" s="1" t="b">
        <v>0</v>
      </c>
      <c r="M68" s="1" t="b">
        <v>0</v>
      </c>
    </row>
    <row r="69" spans="1:17" x14ac:dyDescent="0.2">
      <c r="A69" t="s">
        <v>108</v>
      </c>
      <c r="B69" t="s">
        <v>12</v>
      </c>
      <c r="C69" t="s">
        <v>134</v>
      </c>
      <c r="E69" t="str">
        <f>CONCATENATE("http://sbols.org/v",Init!$B$1,"#")</f>
        <v>http://sbols.org/v2#</v>
      </c>
      <c r="F69" t="s">
        <v>135</v>
      </c>
      <c r="G69" t="s">
        <v>136</v>
      </c>
      <c r="I69" s="1" t="b">
        <v>0</v>
      </c>
      <c r="J69" s="1" t="b">
        <v>0</v>
      </c>
      <c r="K69" s="1" t="b">
        <v>0</v>
      </c>
      <c r="L69" s="1" t="b">
        <v>0</v>
      </c>
      <c r="M69" s="1" t="b">
        <v>0</v>
      </c>
    </row>
    <row r="70" spans="1:17" x14ac:dyDescent="0.2">
      <c r="A70" t="s">
        <v>108</v>
      </c>
      <c r="B70" t="s">
        <v>13</v>
      </c>
      <c r="C70" t="s">
        <v>138</v>
      </c>
      <c r="E70" t="s">
        <v>139</v>
      </c>
      <c r="F70" t="s">
        <v>135</v>
      </c>
      <c r="G70" t="s">
        <v>136</v>
      </c>
      <c r="I70" s="1" t="b">
        <v>0</v>
      </c>
      <c r="J70" s="1" t="b">
        <v>0</v>
      </c>
      <c r="K70" s="1" t="b">
        <v>0</v>
      </c>
      <c r="L70" s="1" t="b">
        <v>0</v>
      </c>
      <c r="M70" s="1" t="b">
        <v>0</v>
      </c>
    </row>
    <row r="71" spans="1:17" x14ac:dyDescent="0.2">
      <c r="A71" t="s">
        <v>108</v>
      </c>
      <c r="B71" t="s">
        <v>61</v>
      </c>
      <c r="C71" t="s">
        <v>155</v>
      </c>
      <c r="E71" t="str">
        <f>CONCATENATE("http://sbols.org/v",Init!$B$1,"#")</f>
        <v>http://sbols.org/v2#</v>
      </c>
      <c r="F71" t="s">
        <v>21</v>
      </c>
      <c r="G71" t="s">
        <v>156</v>
      </c>
      <c r="H71" t="s">
        <v>157</v>
      </c>
      <c r="I71" s="1" t="b">
        <v>0</v>
      </c>
      <c r="J71" s="1" t="b">
        <v>1</v>
      </c>
      <c r="K71" s="1" t="b">
        <v>0</v>
      </c>
      <c r="L71" s="1" t="b">
        <v>0</v>
      </c>
      <c r="M71" s="1" t="b">
        <v>0</v>
      </c>
      <c r="N71" t="s">
        <v>114</v>
      </c>
      <c r="O71" t="s">
        <v>145</v>
      </c>
      <c r="P71" t="s">
        <v>146</v>
      </c>
      <c r="Q71" t="s">
        <v>158</v>
      </c>
    </row>
    <row r="72" spans="1:17" x14ac:dyDescent="0.2">
      <c r="A72" t="s">
        <v>108</v>
      </c>
      <c r="B72" t="s">
        <v>14</v>
      </c>
      <c r="C72" t="s">
        <v>140</v>
      </c>
      <c r="E72" t="str">
        <f>CONCATENATE("http://sbols.org/v",Init!$B$1,"#")</f>
        <v>http://sbols.org/v2#</v>
      </c>
      <c r="F72" t="s">
        <v>21</v>
      </c>
      <c r="G72" t="s">
        <v>136</v>
      </c>
      <c r="I72" s="1" t="b">
        <v>0</v>
      </c>
      <c r="J72" s="1" t="b">
        <v>0</v>
      </c>
      <c r="K72" s="1" t="b">
        <v>0</v>
      </c>
      <c r="L72" s="1" t="b">
        <v>0</v>
      </c>
      <c r="M72" s="1" t="b">
        <v>0</v>
      </c>
    </row>
    <row r="73" spans="1:17" x14ac:dyDescent="0.2">
      <c r="A73" t="s">
        <v>108</v>
      </c>
      <c r="B73" t="s">
        <v>15</v>
      </c>
      <c r="C73" t="s">
        <v>141</v>
      </c>
      <c r="E73" t="s">
        <v>142</v>
      </c>
      <c r="F73" t="s">
        <v>135</v>
      </c>
      <c r="G73" t="s">
        <v>136</v>
      </c>
      <c r="I73" s="1" t="b">
        <v>0</v>
      </c>
      <c r="J73" s="1" t="b">
        <v>0</v>
      </c>
      <c r="K73" s="1" t="b">
        <v>0</v>
      </c>
      <c r="L73" s="1" t="b">
        <v>0</v>
      </c>
      <c r="M73" s="1" t="b">
        <v>0</v>
      </c>
    </row>
    <row r="74" spans="1:17" x14ac:dyDescent="0.2">
      <c r="A74" t="s">
        <v>108</v>
      </c>
      <c r="B74" t="s">
        <v>16</v>
      </c>
      <c r="C74" t="s">
        <v>140</v>
      </c>
      <c r="E74" t="str">
        <f>CONCATENATE("http://sbols.org/v",Init!$B$1,"#")</f>
        <v>http://sbols.org/v2#</v>
      </c>
      <c r="F74" t="s">
        <v>21</v>
      </c>
      <c r="G74" t="s">
        <v>136</v>
      </c>
      <c r="I74" s="1" t="b">
        <v>0</v>
      </c>
      <c r="J74" s="1" t="b">
        <v>0</v>
      </c>
      <c r="K74" s="1" t="b">
        <v>0</v>
      </c>
      <c r="L74" s="1" t="b">
        <v>0</v>
      </c>
      <c r="M74" s="1" t="b">
        <v>0</v>
      </c>
    </row>
    <row r="75" spans="1:17" x14ac:dyDescent="0.2">
      <c r="A75" t="s">
        <v>108</v>
      </c>
      <c r="B75" t="s">
        <v>17</v>
      </c>
      <c r="C75" t="s">
        <v>143</v>
      </c>
      <c r="E75" t="s">
        <v>144</v>
      </c>
      <c r="F75" t="s">
        <v>21</v>
      </c>
      <c r="G75" t="s">
        <v>136</v>
      </c>
      <c r="I75" s="1" t="b">
        <v>0</v>
      </c>
      <c r="J75" s="1" t="b">
        <v>1</v>
      </c>
      <c r="K75" s="1" t="b">
        <v>0</v>
      </c>
      <c r="L75" s="1" t="b">
        <v>0</v>
      </c>
      <c r="M75" s="1" t="b">
        <v>0</v>
      </c>
      <c r="N75" t="s">
        <v>115</v>
      </c>
      <c r="O75" t="s">
        <v>145</v>
      </c>
      <c r="P75" t="s">
        <v>146</v>
      </c>
      <c r="Q75" t="s">
        <v>147</v>
      </c>
    </row>
    <row r="76" spans="1:17" ht="17.25" customHeight="1" x14ac:dyDescent="0.2">
      <c r="A76" t="s">
        <v>108</v>
      </c>
      <c r="B76" t="s">
        <v>19</v>
      </c>
      <c r="C76" t="s">
        <v>151</v>
      </c>
      <c r="E76" t="s">
        <v>151</v>
      </c>
      <c r="F76" t="s">
        <v>151</v>
      </c>
      <c r="G76" t="s">
        <v>136</v>
      </c>
      <c r="I76" s="1" t="b">
        <v>0</v>
      </c>
      <c r="J76" s="1" t="b">
        <v>0</v>
      </c>
      <c r="K76" s="1" t="b">
        <v>0</v>
      </c>
      <c r="L76" s="1" t="b">
        <v>0</v>
      </c>
      <c r="M76" s="1" t="b">
        <v>0</v>
      </c>
    </row>
    <row r="77" spans="1:17" x14ac:dyDescent="0.2">
      <c r="A77" t="s">
        <v>108</v>
      </c>
      <c r="B77" t="s">
        <v>20</v>
      </c>
      <c r="C77" t="s">
        <v>152</v>
      </c>
      <c r="E77" t="str">
        <f>CONCATENATE("http://sbols.org/v",Init!$B$1,"#")</f>
        <v>http://sbols.org/v2#</v>
      </c>
      <c r="F77" t="s">
        <v>135</v>
      </c>
      <c r="G77" t="s">
        <v>136</v>
      </c>
      <c r="H77" t="s">
        <v>153</v>
      </c>
      <c r="I77" s="1" t="b">
        <v>0</v>
      </c>
      <c r="J77" s="1" t="b">
        <v>0</v>
      </c>
      <c r="K77" s="1" t="b">
        <v>0</v>
      </c>
      <c r="L77" s="1" t="b">
        <v>0</v>
      </c>
      <c r="M77" s="1" t="b">
        <v>0</v>
      </c>
    </row>
    <row r="78" spans="1:17" x14ac:dyDescent="0.2">
      <c r="A78" t="s">
        <v>108</v>
      </c>
      <c r="B78" t="s">
        <v>22</v>
      </c>
      <c r="C78" t="s">
        <v>151</v>
      </c>
      <c r="F78" t="s">
        <v>135</v>
      </c>
      <c r="G78" t="s">
        <v>136</v>
      </c>
      <c r="I78" s="1" t="b">
        <v>0</v>
      </c>
      <c r="J78" s="1" t="b">
        <v>0</v>
      </c>
      <c r="K78" s="1" t="b">
        <v>0</v>
      </c>
      <c r="L78" s="1" t="b">
        <v>0</v>
      </c>
      <c r="M78" s="1" t="b">
        <v>0</v>
      </c>
    </row>
    <row r="79" spans="1:17" x14ac:dyDescent="0.2">
      <c r="A79" t="s">
        <v>108</v>
      </c>
      <c r="B79" t="s">
        <v>23</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24</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25</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108</v>
      </c>
      <c r="B82" t="s">
        <v>26</v>
      </c>
      <c r="C82" s="28" t="s">
        <v>151</v>
      </c>
      <c r="D82" s="28"/>
      <c r="E82" s="29"/>
      <c r="F82" s="29" t="s">
        <v>135</v>
      </c>
      <c r="G82" s="29" t="s">
        <v>136</v>
      </c>
      <c r="H82" s="29"/>
      <c r="I82" s="30" t="b">
        <v>0</v>
      </c>
      <c r="J82" s="30" t="b">
        <v>0</v>
      </c>
      <c r="K82" s="30" t="b">
        <v>0</v>
      </c>
      <c r="L82" s="30" t="b">
        <v>0</v>
      </c>
      <c r="M82" s="30" t="b">
        <v>0</v>
      </c>
      <c r="N82" s="29"/>
      <c r="O82" s="29"/>
      <c r="P82" s="29"/>
      <c r="Q82" s="29"/>
    </row>
    <row r="83" spans="1:17" x14ac:dyDescent="0.2">
      <c r="A83" t="s">
        <v>109</v>
      </c>
      <c r="B83" t="s">
        <v>62</v>
      </c>
      <c r="C83" t="s">
        <v>134</v>
      </c>
      <c r="E83" t="str">
        <f>CONCATENATE("http://sbols.org/v",Init!$B$1,"#")</f>
        <v>http://sbols.org/v2#</v>
      </c>
      <c r="F83" t="s">
        <v>135</v>
      </c>
      <c r="G83" t="s">
        <v>136</v>
      </c>
      <c r="I83" s="1" t="b">
        <v>0</v>
      </c>
      <c r="J83" s="1" t="b">
        <v>0</v>
      </c>
      <c r="K83" s="1" t="b">
        <v>0</v>
      </c>
      <c r="L83" s="1" t="b">
        <v>0</v>
      </c>
      <c r="M83" s="1" t="b">
        <v>0</v>
      </c>
    </row>
    <row r="84" spans="1:17" x14ac:dyDescent="0.2">
      <c r="A84" t="s">
        <v>109</v>
      </c>
      <c r="B84" t="s">
        <v>63</v>
      </c>
      <c r="C84" t="s">
        <v>137</v>
      </c>
      <c r="E84" t="str">
        <f>CONCATENATE("http://sbols.org/v",Init!$B$1,"#")</f>
        <v>http://sbols.org/v2#</v>
      </c>
      <c r="F84" t="s">
        <v>135</v>
      </c>
      <c r="G84" t="s">
        <v>136</v>
      </c>
      <c r="I84" s="1" t="b">
        <v>0</v>
      </c>
      <c r="J84" s="1" t="b">
        <v>0</v>
      </c>
      <c r="K84" s="1" t="b">
        <v>0</v>
      </c>
      <c r="L84" s="1" t="b">
        <v>0</v>
      </c>
      <c r="M84" s="1" t="b">
        <v>0</v>
      </c>
    </row>
    <row r="85" spans="1:17" x14ac:dyDescent="0.2">
      <c r="A85" t="s">
        <v>109</v>
      </c>
      <c r="B85" t="s">
        <v>12</v>
      </c>
      <c r="C85" t="s">
        <v>134</v>
      </c>
      <c r="E85" t="str">
        <f>CONCATENATE("http://sbols.org/v",Init!$B$1,"#")</f>
        <v>http://sbols.org/v2#</v>
      </c>
      <c r="F85" t="s">
        <v>135</v>
      </c>
      <c r="G85" t="s">
        <v>136</v>
      </c>
      <c r="I85" s="1" t="b">
        <v>0</v>
      </c>
      <c r="J85" s="1" t="b">
        <v>0</v>
      </c>
      <c r="K85" s="1" t="b">
        <v>0</v>
      </c>
      <c r="L85" s="1" t="b">
        <v>0</v>
      </c>
      <c r="M85" s="1" t="b">
        <v>0</v>
      </c>
    </row>
    <row r="86" spans="1:17" x14ac:dyDescent="0.2">
      <c r="A86" t="s">
        <v>109</v>
      </c>
      <c r="B86" t="s">
        <v>64</v>
      </c>
      <c r="C86" t="s">
        <v>138</v>
      </c>
      <c r="E86" t="s">
        <v>139</v>
      </c>
      <c r="F86" t="s">
        <v>135</v>
      </c>
      <c r="G86" t="s">
        <v>136</v>
      </c>
      <c r="I86" s="1" t="b">
        <v>0</v>
      </c>
      <c r="J86" s="1" t="b">
        <v>0</v>
      </c>
      <c r="K86" s="1" t="b">
        <v>0</v>
      </c>
      <c r="L86" s="1" t="b">
        <v>0</v>
      </c>
      <c r="M86" s="1" t="b">
        <v>0</v>
      </c>
    </row>
    <row r="87" spans="1:17" x14ac:dyDescent="0.2">
      <c r="A87" t="s">
        <v>109</v>
      </c>
      <c r="B87" t="s">
        <v>14</v>
      </c>
      <c r="C87" t="s">
        <v>140</v>
      </c>
      <c r="E87" t="str">
        <f>CONCATENATE("http://sbols.org/v",Init!$B$1,"#")</f>
        <v>http://sbols.org/v2#</v>
      </c>
      <c r="F87" t="s">
        <v>21</v>
      </c>
      <c r="G87" t="s">
        <v>136</v>
      </c>
      <c r="I87" s="1" t="b">
        <v>0</v>
      </c>
      <c r="J87" s="1" t="b">
        <v>0</v>
      </c>
      <c r="K87" s="1" t="b">
        <v>0</v>
      </c>
      <c r="L87" s="1" t="b">
        <v>0</v>
      </c>
      <c r="M87" s="1" t="b">
        <v>0</v>
      </c>
    </row>
    <row r="88" spans="1:17" x14ac:dyDescent="0.2">
      <c r="A88" t="s">
        <v>109</v>
      </c>
      <c r="B88" t="s">
        <v>15</v>
      </c>
      <c r="C88" t="s">
        <v>141</v>
      </c>
      <c r="E88" t="s">
        <v>142</v>
      </c>
      <c r="F88" t="s">
        <v>135</v>
      </c>
      <c r="G88" t="s">
        <v>136</v>
      </c>
      <c r="I88" s="1" t="b">
        <v>0</v>
      </c>
      <c r="J88" s="1" t="b">
        <v>0</v>
      </c>
      <c r="K88" s="1" t="b">
        <v>0</v>
      </c>
      <c r="L88" s="1" t="b">
        <v>0</v>
      </c>
      <c r="M88" s="1" t="b">
        <v>0</v>
      </c>
    </row>
    <row r="89" spans="1:17" x14ac:dyDescent="0.2">
      <c r="A89" t="s">
        <v>109</v>
      </c>
      <c r="B89" t="s">
        <v>16</v>
      </c>
      <c r="C89" t="s">
        <v>140</v>
      </c>
      <c r="E89" t="str">
        <f>CONCATENATE("http://sbols.org/v",Init!$B$1,"#")</f>
        <v>http://sbols.org/v2#</v>
      </c>
      <c r="F89" t="s">
        <v>21</v>
      </c>
      <c r="G89" t="s">
        <v>136</v>
      </c>
      <c r="I89" s="1" t="b">
        <v>0</v>
      </c>
      <c r="J89" s="1" t="b">
        <v>0</v>
      </c>
      <c r="K89" s="1" t="b">
        <v>0</v>
      </c>
      <c r="L89" s="1" t="b">
        <v>0</v>
      </c>
      <c r="M89" s="1" t="b">
        <v>0</v>
      </c>
    </row>
    <row r="90" spans="1:17" x14ac:dyDescent="0.2">
      <c r="A90" t="s">
        <v>109</v>
      </c>
      <c r="B90" t="s">
        <v>65</v>
      </c>
      <c r="C90" t="s">
        <v>151</v>
      </c>
      <c r="E90" t="s">
        <v>151</v>
      </c>
      <c r="F90" t="s">
        <v>151</v>
      </c>
      <c r="G90" t="s">
        <v>136</v>
      </c>
      <c r="I90" s="1" t="b">
        <v>0</v>
      </c>
      <c r="J90" s="1" t="b">
        <v>0</v>
      </c>
      <c r="K90" s="1" t="b">
        <v>0</v>
      </c>
      <c r="L90" s="1" t="b">
        <v>0</v>
      </c>
      <c r="M90" s="1" t="b">
        <v>0</v>
      </c>
    </row>
    <row r="91" spans="1:17" x14ac:dyDescent="0.2">
      <c r="A91" t="s">
        <v>109</v>
      </c>
      <c r="B91" t="s">
        <v>20</v>
      </c>
      <c r="C91" t="s">
        <v>159</v>
      </c>
      <c r="E91" t="str">
        <f>CONCATENATE("http://sbols.org/v",Init!$B$1,"#")</f>
        <v>http://sbols.org/v2#</v>
      </c>
      <c r="F91" t="s">
        <v>135</v>
      </c>
      <c r="G91" t="s">
        <v>136</v>
      </c>
      <c r="H91" t="s">
        <v>153</v>
      </c>
      <c r="I91" s="1" t="b">
        <v>0</v>
      </c>
      <c r="J91" s="1" t="b">
        <v>0</v>
      </c>
      <c r="K91" s="1" t="b">
        <v>0</v>
      </c>
      <c r="L91" s="1" t="b">
        <v>0</v>
      </c>
      <c r="M91" s="1" t="b">
        <v>0</v>
      </c>
    </row>
    <row r="92" spans="1:17" x14ac:dyDescent="0.2">
      <c r="A92" t="s">
        <v>109</v>
      </c>
      <c r="B92" t="s">
        <v>22</v>
      </c>
      <c r="C92" t="s">
        <v>151</v>
      </c>
      <c r="F92" t="s">
        <v>135</v>
      </c>
      <c r="G92" t="s">
        <v>136</v>
      </c>
      <c r="I92" s="1" t="b">
        <v>0</v>
      </c>
      <c r="J92" s="1" t="b">
        <v>0</v>
      </c>
      <c r="K92" s="1" t="b">
        <v>0</v>
      </c>
      <c r="L92" s="1" t="b">
        <v>0</v>
      </c>
      <c r="M92" s="1" t="b">
        <v>0</v>
      </c>
    </row>
    <row r="93" spans="1:17" x14ac:dyDescent="0.2">
      <c r="A93" t="s">
        <v>109</v>
      </c>
      <c r="B93" t="s">
        <v>23</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24</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25</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109</v>
      </c>
      <c r="B96" t="s">
        <v>26</v>
      </c>
      <c r="C96" s="28" t="s">
        <v>151</v>
      </c>
      <c r="D96" s="28"/>
      <c r="E96" s="29"/>
      <c r="F96" s="29" t="s">
        <v>135</v>
      </c>
      <c r="G96" s="29" t="s">
        <v>136</v>
      </c>
      <c r="H96" s="29"/>
      <c r="I96" s="30" t="b">
        <v>0</v>
      </c>
      <c r="J96" s="30" t="b">
        <v>0</v>
      </c>
      <c r="K96" s="30" t="b">
        <v>0</v>
      </c>
      <c r="L96" s="30" t="b">
        <v>0</v>
      </c>
      <c r="M96" s="30" t="b">
        <v>0</v>
      </c>
      <c r="N96" s="29"/>
      <c r="O96" s="29"/>
      <c r="P96" s="29"/>
      <c r="Q96" s="29"/>
    </row>
    <row r="97" spans="1:17" x14ac:dyDescent="0.2">
      <c r="A97" t="s">
        <v>111</v>
      </c>
      <c r="B97" t="s">
        <v>69</v>
      </c>
      <c r="C97" t="s">
        <v>134</v>
      </c>
      <c r="E97" t="str">
        <f>CONCATENATE("http://sbols.org/v",Init!$B$1,"#")</f>
        <v>http://sbols.org/v2#</v>
      </c>
      <c r="F97" t="s">
        <v>135</v>
      </c>
      <c r="G97" t="s">
        <v>136</v>
      </c>
      <c r="I97" s="1" t="b">
        <v>0</v>
      </c>
      <c r="J97" s="1" t="b">
        <v>0</v>
      </c>
      <c r="K97" s="1" t="b">
        <v>0</v>
      </c>
      <c r="L97" s="1" t="b">
        <v>0</v>
      </c>
      <c r="M97" s="1" t="b">
        <v>0</v>
      </c>
    </row>
    <row r="98" spans="1:17" x14ac:dyDescent="0.2">
      <c r="A98" t="s">
        <v>111</v>
      </c>
      <c r="B98" t="s">
        <v>70</v>
      </c>
      <c r="C98" t="s">
        <v>137</v>
      </c>
      <c r="E98" t="str">
        <f>CONCATENATE("http://sbols.org/v",Init!$B$1,"#")</f>
        <v>http://sbols.org/v2#</v>
      </c>
      <c r="F98" t="s">
        <v>135</v>
      </c>
      <c r="G98" t="s">
        <v>136</v>
      </c>
      <c r="I98" s="1" t="b">
        <v>0</v>
      </c>
      <c r="J98" s="1" t="b">
        <v>0</v>
      </c>
      <c r="K98" s="1" t="b">
        <v>0</v>
      </c>
      <c r="L98" s="1" t="b">
        <v>0</v>
      </c>
      <c r="M98" s="1" t="b">
        <v>0</v>
      </c>
    </row>
    <row r="99" spans="1:17" x14ac:dyDescent="0.2">
      <c r="A99" t="s">
        <v>111</v>
      </c>
      <c r="B99" t="s">
        <v>12</v>
      </c>
      <c r="C99" t="s">
        <v>134</v>
      </c>
      <c r="E99" t="str">
        <f>CONCATENATE("http://sbols.org/v",Init!$B$1,"#")</f>
        <v>http://sbols.org/v2#</v>
      </c>
      <c r="F99" t="s">
        <v>135</v>
      </c>
      <c r="G99" t="s">
        <v>136</v>
      </c>
      <c r="I99" s="1" t="b">
        <v>0</v>
      </c>
      <c r="J99" s="1" t="b">
        <v>0</v>
      </c>
      <c r="K99" s="1" t="b">
        <v>0</v>
      </c>
      <c r="L99" s="1" t="b">
        <v>0</v>
      </c>
      <c r="M99" s="1" t="b">
        <v>0</v>
      </c>
    </row>
    <row r="100" spans="1:17" x14ac:dyDescent="0.2">
      <c r="A100" t="s">
        <v>111</v>
      </c>
      <c r="B100" t="s">
        <v>71</v>
      </c>
      <c r="C100" t="s">
        <v>138</v>
      </c>
      <c r="E100" t="s">
        <v>139</v>
      </c>
      <c r="F100" t="s">
        <v>135</v>
      </c>
      <c r="G100" t="s">
        <v>136</v>
      </c>
      <c r="I100" s="1" t="b">
        <v>0</v>
      </c>
      <c r="J100" s="1" t="b">
        <v>0</v>
      </c>
      <c r="K100" s="1" t="b">
        <v>0</v>
      </c>
      <c r="L100" s="1" t="b">
        <v>0</v>
      </c>
      <c r="M100" s="1" t="b">
        <v>0</v>
      </c>
    </row>
    <row r="101" spans="1:17" x14ac:dyDescent="0.2">
      <c r="A101" t="s">
        <v>111</v>
      </c>
      <c r="B101" t="s">
        <v>14</v>
      </c>
      <c r="C101" t="s">
        <v>140</v>
      </c>
      <c r="E101" t="str">
        <f>CONCATENATE("http://sbols.org/v",Init!$B$1,"#")</f>
        <v>http://sbols.org/v2#</v>
      </c>
      <c r="F101" t="s">
        <v>21</v>
      </c>
      <c r="G101" t="s">
        <v>136</v>
      </c>
      <c r="I101" s="1" t="b">
        <v>0</v>
      </c>
      <c r="J101" s="1" t="b">
        <v>0</v>
      </c>
      <c r="K101" s="1" t="b">
        <v>0</v>
      </c>
      <c r="L101" s="1" t="b">
        <v>0</v>
      </c>
      <c r="M101" s="1" t="b">
        <v>0</v>
      </c>
    </row>
    <row r="102" spans="1:17" x14ac:dyDescent="0.2">
      <c r="A102" t="s">
        <v>111</v>
      </c>
      <c r="B102" t="s">
        <v>15</v>
      </c>
      <c r="C102" t="s">
        <v>141</v>
      </c>
      <c r="E102" t="s">
        <v>142</v>
      </c>
      <c r="F102" t="s">
        <v>135</v>
      </c>
      <c r="G102" t="s">
        <v>136</v>
      </c>
      <c r="I102" s="1" t="b">
        <v>0</v>
      </c>
      <c r="J102" s="1" t="b">
        <v>0</v>
      </c>
      <c r="K102" s="1" t="b">
        <v>0</v>
      </c>
      <c r="L102" s="1" t="b">
        <v>0</v>
      </c>
      <c r="M102" s="1" t="b">
        <v>0</v>
      </c>
    </row>
    <row r="103" spans="1:17" x14ac:dyDescent="0.2">
      <c r="A103" t="s">
        <v>111</v>
      </c>
      <c r="B103" t="s">
        <v>16</v>
      </c>
      <c r="C103" t="s">
        <v>140</v>
      </c>
      <c r="E103" t="str">
        <f>CONCATENATE("http://sbols.org/v",Init!$B$1,"#")</f>
        <v>http://sbols.org/v2#</v>
      </c>
      <c r="F103" t="s">
        <v>21</v>
      </c>
      <c r="G103" t="s">
        <v>136</v>
      </c>
      <c r="I103" s="1" t="b">
        <v>0</v>
      </c>
      <c r="J103" s="1" t="b">
        <v>0</v>
      </c>
      <c r="K103" s="1" t="b">
        <v>0</v>
      </c>
      <c r="L103" s="1" t="b">
        <v>0</v>
      </c>
      <c r="M103" s="1" t="b">
        <v>0</v>
      </c>
    </row>
    <row r="104" spans="1:17" x14ac:dyDescent="0.2">
      <c r="A104" t="s">
        <v>111</v>
      </c>
      <c r="B104" t="s">
        <v>72</v>
      </c>
      <c r="C104" t="s">
        <v>160</v>
      </c>
      <c r="E104" t="str">
        <f>CONCATENATE("http://sbols.org/v",Init!$B$1,"#")</f>
        <v>http://sbols.org/v2#</v>
      </c>
      <c r="F104" t="s">
        <v>21</v>
      </c>
      <c r="G104" t="s">
        <v>149</v>
      </c>
      <c r="I104" s="1" t="b">
        <v>0</v>
      </c>
      <c r="J104" s="1" t="b">
        <v>0</v>
      </c>
      <c r="K104" s="1" t="b">
        <v>0</v>
      </c>
      <c r="L104" s="1" t="b">
        <v>1</v>
      </c>
      <c r="M104" s="1" t="b">
        <v>0</v>
      </c>
    </row>
    <row r="105" spans="1:17" x14ac:dyDescent="0.2">
      <c r="A105" t="s">
        <v>111</v>
      </c>
      <c r="B105" t="s">
        <v>22</v>
      </c>
      <c r="C105" t="s">
        <v>151</v>
      </c>
      <c r="F105" t="s">
        <v>135</v>
      </c>
      <c r="G105" t="s">
        <v>136</v>
      </c>
      <c r="I105" s="1" t="b">
        <v>0</v>
      </c>
      <c r="J105" s="1" t="b">
        <v>0</v>
      </c>
      <c r="K105" s="1" t="b">
        <v>0</v>
      </c>
      <c r="L105" s="1" t="b">
        <v>0</v>
      </c>
      <c r="M105" s="1" t="b">
        <v>0</v>
      </c>
    </row>
    <row r="106" spans="1:17" x14ac:dyDescent="0.2">
      <c r="A106" t="s">
        <v>111</v>
      </c>
      <c r="B106" t="s">
        <v>23</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24</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25</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111</v>
      </c>
      <c r="B109" t="s">
        <v>26</v>
      </c>
      <c r="C109" s="28" t="s">
        <v>151</v>
      </c>
      <c r="D109" s="28"/>
      <c r="E109" s="29"/>
      <c r="F109" s="29" t="s">
        <v>135</v>
      </c>
      <c r="G109" s="29" t="s">
        <v>136</v>
      </c>
      <c r="H109" s="29"/>
      <c r="I109" s="30" t="b">
        <v>0</v>
      </c>
      <c r="J109" s="30" t="b">
        <v>0</v>
      </c>
      <c r="K109" s="30" t="b">
        <v>0</v>
      </c>
      <c r="L109" s="30" t="b">
        <v>0</v>
      </c>
      <c r="M109" s="30" t="b">
        <v>0</v>
      </c>
      <c r="N109" s="29"/>
      <c r="O109" s="29"/>
      <c r="P109" s="29"/>
      <c r="Q109" s="29"/>
    </row>
    <row r="110" spans="1:17" x14ac:dyDescent="0.2">
      <c r="A110" t="s">
        <v>93</v>
      </c>
      <c r="B110" t="s">
        <v>43</v>
      </c>
      <c r="C110" t="s">
        <v>134</v>
      </c>
      <c r="E110" t="str">
        <f>CONCATENATE("http://sbols.org/v",Init!$B$1,"#")</f>
        <v>http://sbols.org/v2#</v>
      </c>
      <c r="F110" t="s">
        <v>135</v>
      </c>
      <c r="G110" t="s">
        <v>136</v>
      </c>
      <c r="I110" s="1" t="b">
        <v>0</v>
      </c>
      <c r="J110" s="1" t="b">
        <v>0</v>
      </c>
      <c r="K110" s="1" t="b">
        <v>0</v>
      </c>
      <c r="L110" s="1" t="b">
        <v>0</v>
      </c>
      <c r="M110" s="1" t="b">
        <v>0</v>
      </c>
    </row>
    <row r="111" spans="1:17" x14ac:dyDescent="0.2">
      <c r="A111" t="s">
        <v>93</v>
      </c>
      <c r="B111" t="s">
        <v>44</v>
      </c>
      <c r="C111" t="s">
        <v>137</v>
      </c>
      <c r="E111" t="str">
        <f>CONCATENATE("http://sbols.org/v",Init!$B$1,"#")</f>
        <v>http://sbols.org/v2#</v>
      </c>
      <c r="F111" t="s">
        <v>135</v>
      </c>
      <c r="G111" t="s">
        <v>136</v>
      </c>
      <c r="I111" s="1" t="b">
        <v>0</v>
      </c>
      <c r="J111" s="1" t="b">
        <v>0</v>
      </c>
      <c r="K111" s="1" t="b">
        <v>0</v>
      </c>
      <c r="L111" s="1" t="b">
        <v>0</v>
      </c>
      <c r="M111" s="1" t="b">
        <v>0</v>
      </c>
    </row>
    <row r="112" spans="1:17" x14ac:dyDescent="0.2">
      <c r="A112" t="s">
        <v>93</v>
      </c>
      <c r="B112" t="s">
        <v>12</v>
      </c>
      <c r="C112" t="s">
        <v>134</v>
      </c>
      <c r="E112" t="str">
        <f>CONCATENATE("http://sbols.org/v",Init!$B$1,"#")</f>
        <v>http://sbols.org/v2#</v>
      </c>
      <c r="F112" t="s">
        <v>135</v>
      </c>
      <c r="G112" t="s">
        <v>136</v>
      </c>
      <c r="I112" s="1" t="b">
        <v>0</v>
      </c>
      <c r="J112" s="1" t="b">
        <v>0</v>
      </c>
      <c r="K112" s="1" t="b">
        <v>0</v>
      </c>
      <c r="L112" s="1" t="b">
        <v>0</v>
      </c>
      <c r="M112" s="1" t="b">
        <v>0</v>
      </c>
    </row>
    <row r="113" spans="1:17" x14ac:dyDescent="0.2">
      <c r="A113" t="s">
        <v>93</v>
      </c>
      <c r="B113" t="s">
        <v>45</v>
      </c>
      <c r="C113" t="s">
        <v>138</v>
      </c>
      <c r="E113" t="s">
        <v>139</v>
      </c>
      <c r="F113" t="s">
        <v>135</v>
      </c>
      <c r="G113" t="s">
        <v>136</v>
      </c>
      <c r="I113" s="1" t="b">
        <v>0</v>
      </c>
      <c r="J113" s="1" t="b">
        <v>0</v>
      </c>
      <c r="K113" s="1" t="b">
        <v>0</v>
      </c>
      <c r="L113" s="1" t="b">
        <v>0</v>
      </c>
      <c r="M113" s="1" t="b">
        <v>0</v>
      </c>
    </row>
    <row r="114" spans="1:17" x14ac:dyDescent="0.2">
      <c r="A114" t="s">
        <v>93</v>
      </c>
      <c r="B114" t="s">
        <v>14</v>
      </c>
      <c r="C114" t="s">
        <v>140</v>
      </c>
      <c r="E114" t="str">
        <f>CONCATENATE("http://sbols.org/v",Init!$B$1,"#")</f>
        <v>http://sbols.org/v2#</v>
      </c>
      <c r="F114" t="s">
        <v>21</v>
      </c>
      <c r="G114" t="s">
        <v>136</v>
      </c>
      <c r="I114" s="1" t="b">
        <v>0</v>
      </c>
      <c r="J114" s="1" t="b">
        <v>0</v>
      </c>
      <c r="K114" s="1" t="b">
        <v>0</v>
      </c>
      <c r="L114" s="1" t="b">
        <v>0</v>
      </c>
      <c r="M114" s="1" t="b">
        <v>0</v>
      </c>
    </row>
    <row r="115" spans="1:17" x14ac:dyDescent="0.2">
      <c r="A115" t="s">
        <v>93</v>
      </c>
      <c r="B115" t="s">
        <v>15</v>
      </c>
      <c r="C115" t="s">
        <v>141</v>
      </c>
      <c r="E115" t="s">
        <v>142</v>
      </c>
      <c r="F115" t="s">
        <v>135</v>
      </c>
      <c r="G115" t="s">
        <v>136</v>
      </c>
      <c r="I115" s="1" t="b">
        <v>0</v>
      </c>
      <c r="J115" s="1" t="b">
        <v>0</v>
      </c>
      <c r="K115" s="1" t="b">
        <v>0</v>
      </c>
      <c r="L115" s="1" t="b">
        <v>0</v>
      </c>
      <c r="M115" s="1" t="b">
        <v>0</v>
      </c>
    </row>
    <row r="116" spans="1:17" x14ac:dyDescent="0.2">
      <c r="A116" t="s">
        <v>93</v>
      </c>
      <c r="B116" t="s">
        <v>16</v>
      </c>
      <c r="C116" t="s">
        <v>140</v>
      </c>
      <c r="E116" t="str">
        <f>CONCATENATE("http://sbols.org/v",Init!$B$1,"#")</f>
        <v>http://sbols.org/v2#</v>
      </c>
      <c r="F116" t="s">
        <v>21</v>
      </c>
      <c r="G116" t="s">
        <v>136</v>
      </c>
      <c r="I116" s="1" t="b">
        <v>0</v>
      </c>
      <c r="J116" s="1" t="b">
        <v>0</v>
      </c>
      <c r="K116" s="1" t="b">
        <v>0</v>
      </c>
      <c r="L116" s="1" t="b">
        <v>0</v>
      </c>
      <c r="M116" s="1" t="b">
        <v>0</v>
      </c>
    </row>
    <row r="117" spans="1:17" x14ac:dyDescent="0.2">
      <c r="A117" t="s">
        <v>93</v>
      </c>
      <c r="B117" t="s">
        <v>21</v>
      </c>
      <c r="C117" t="s">
        <v>151</v>
      </c>
      <c r="F117" t="s">
        <v>135</v>
      </c>
      <c r="G117" t="s">
        <v>136</v>
      </c>
      <c r="I117" s="1" t="b">
        <v>0</v>
      </c>
      <c r="J117" s="1" t="b">
        <v>0</v>
      </c>
      <c r="K117" s="1" t="b">
        <v>0</v>
      </c>
      <c r="L117" s="1" t="b">
        <v>0</v>
      </c>
      <c r="M117" s="1" t="b">
        <v>0</v>
      </c>
    </row>
    <row r="118" spans="1:17" x14ac:dyDescent="0.2">
      <c r="A118" t="s">
        <v>93</v>
      </c>
      <c r="B118" t="s">
        <v>22</v>
      </c>
      <c r="C118" t="s">
        <v>151</v>
      </c>
      <c r="F118" t="s">
        <v>135</v>
      </c>
      <c r="G118" t="s">
        <v>136</v>
      </c>
      <c r="I118" s="1" t="b">
        <v>0</v>
      </c>
      <c r="J118" s="1" t="b">
        <v>0</v>
      </c>
      <c r="K118" s="1" t="b">
        <v>0</v>
      </c>
      <c r="L118" s="1" t="b">
        <v>0</v>
      </c>
      <c r="M118" s="1" t="b">
        <v>0</v>
      </c>
    </row>
    <row r="119" spans="1:17" x14ac:dyDescent="0.2">
      <c r="A119" t="s">
        <v>93</v>
      </c>
      <c r="B119" t="s">
        <v>23</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24</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25</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93</v>
      </c>
      <c r="B122" t="s">
        <v>26</v>
      </c>
      <c r="C122" s="28" t="s">
        <v>151</v>
      </c>
      <c r="D122" s="28"/>
      <c r="E122" s="29"/>
      <c r="F122" s="29" t="s">
        <v>135</v>
      </c>
      <c r="G122" s="29" t="s">
        <v>136</v>
      </c>
      <c r="H122" s="29"/>
      <c r="I122" s="30" t="b">
        <v>0</v>
      </c>
      <c r="J122" s="30" t="b">
        <v>0</v>
      </c>
      <c r="K122" s="30" t="b">
        <v>0</v>
      </c>
      <c r="L122" s="30" t="b">
        <v>0</v>
      </c>
      <c r="M122" s="30" t="b">
        <v>0</v>
      </c>
      <c r="N122" s="29"/>
      <c r="O122" s="29"/>
      <c r="P122" s="29"/>
      <c r="Q122" s="29"/>
    </row>
    <row r="123" spans="1:17" x14ac:dyDescent="0.2">
      <c r="A123" t="s">
        <v>96</v>
      </c>
      <c r="B123" t="s">
        <v>50</v>
      </c>
      <c r="C123" t="s">
        <v>134</v>
      </c>
      <c r="E123" t="str">
        <f>CONCATENATE("http://sbols.org/v",Init!$B$1,"#")</f>
        <v>http://sbols.org/v2#</v>
      </c>
      <c r="F123" t="s">
        <v>135</v>
      </c>
      <c r="G123" t="s">
        <v>136</v>
      </c>
      <c r="I123" s="1" t="b">
        <v>0</v>
      </c>
      <c r="J123" s="1" t="b">
        <v>0</v>
      </c>
      <c r="K123" s="1" t="b">
        <v>0</v>
      </c>
      <c r="L123" s="1" t="b">
        <v>0</v>
      </c>
      <c r="M123" s="1" t="b">
        <v>0</v>
      </c>
    </row>
    <row r="124" spans="1:17" x14ac:dyDescent="0.2">
      <c r="A124" t="s">
        <v>96</v>
      </c>
      <c r="B124" t="s">
        <v>51</v>
      </c>
      <c r="C124" t="s">
        <v>137</v>
      </c>
      <c r="E124" t="str">
        <f>CONCATENATE("http://sbols.org/v",Init!$B$1,"#")</f>
        <v>http://sbols.org/v2#</v>
      </c>
      <c r="F124" t="s">
        <v>135</v>
      </c>
      <c r="G124" t="s">
        <v>136</v>
      </c>
      <c r="I124" s="1" t="b">
        <v>0</v>
      </c>
      <c r="J124" s="1" t="b">
        <v>0</v>
      </c>
      <c r="K124" s="1" t="b">
        <v>0</v>
      </c>
      <c r="L124" s="1" t="b">
        <v>0</v>
      </c>
      <c r="M124" s="1" t="b">
        <v>0</v>
      </c>
    </row>
    <row r="125" spans="1:17" x14ac:dyDescent="0.2">
      <c r="A125" t="s">
        <v>96</v>
      </c>
      <c r="B125" t="s">
        <v>12</v>
      </c>
      <c r="C125" t="s">
        <v>134</v>
      </c>
      <c r="E125" t="str">
        <f>CONCATENATE("http://sbols.org/v",Init!$B$1,"#")</f>
        <v>http://sbols.org/v2#</v>
      </c>
      <c r="F125" t="s">
        <v>135</v>
      </c>
      <c r="G125" t="s">
        <v>136</v>
      </c>
      <c r="I125" s="1" t="b">
        <v>0</v>
      </c>
      <c r="J125" s="1" t="b">
        <v>0</v>
      </c>
      <c r="K125" s="1" t="b">
        <v>0</v>
      </c>
      <c r="L125" s="1" t="b">
        <v>0</v>
      </c>
      <c r="M125" s="1" t="b">
        <v>0</v>
      </c>
    </row>
    <row r="126" spans="1:17" x14ac:dyDescent="0.2">
      <c r="A126" t="s">
        <v>96</v>
      </c>
      <c r="B126" t="s">
        <v>52</v>
      </c>
      <c r="C126" t="s">
        <v>138</v>
      </c>
      <c r="E126" t="s">
        <v>139</v>
      </c>
      <c r="F126" t="s">
        <v>135</v>
      </c>
      <c r="G126" t="s">
        <v>136</v>
      </c>
      <c r="I126" s="1" t="b">
        <v>0</v>
      </c>
      <c r="J126" s="1" t="b">
        <v>0</v>
      </c>
      <c r="K126" s="1" t="b">
        <v>0</v>
      </c>
      <c r="L126" s="1" t="b">
        <v>0</v>
      </c>
      <c r="M126" s="1" t="b">
        <v>0</v>
      </c>
    </row>
    <row r="127" spans="1:17" x14ac:dyDescent="0.2">
      <c r="A127" t="s">
        <v>96</v>
      </c>
      <c r="B127" t="s">
        <v>14</v>
      </c>
      <c r="C127" t="s">
        <v>140</v>
      </c>
      <c r="E127" t="str">
        <f>CONCATENATE("http://sbols.org/v",Init!$B$1,"#")</f>
        <v>http://sbols.org/v2#</v>
      </c>
      <c r="F127" t="s">
        <v>21</v>
      </c>
      <c r="G127" t="s">
        <v>136</v>
      </c>
      <c r="I127" s="1" t="b">
        <v>0</v>
      </c>
      <c r="J127" s="1" t="b">
        <v>0</v>
      </c>
      <c r="K127" s="1" t="b">
        <v>0</v>
      </c>
      <c r="L127" s="1" t="b">
        <v>0</v>
      </c>
      <c r="M127" s="1" t="b">
        <v>0</v>
      </c>
    </row>
    <row r="128" spans="1:17" x14ac:dyDescent="0.2">
      <c r="A128" t="s">
        <v>96</v>
      </c>
      <c r="B128" t="s">
        <v>46</v>
      </c>
      <c r="C128" t="s">
        <v>141</v>
      </c>
      <c r="E128" t="s">
        <v>142</v>
      </c>
      <c r="F128" t="s">
        <v>135</v>
      </c>
      <c r="G128" t="s">
        <v>136</v>
      </c>
      <c r="I128" s="1" t="b">
        <v>0</v>
      </c>
      <c r="J128" s="1" t="b">
        <v>0</v>
      </c>
      <c r="K128" s="1" t="b">
        <v>0</v>
      </c>
      <c r="L128" s="1" t="b">
        <v>0</v>
      </c>
      <c r="M128" s="1" t="b">
        <v>0</v>
      </c>
    </row>
    <row r="129" spans="1:17" x14ac:dyDescent="0.2">
      <c r="A129" t="s">
        <v>96</v>
      </c>
      <c r="B129" t="s">
        <v>16</v>
      </c>
      <c r="C129" t="s">
        <v>140</v>
      </c>
      <c r="E129" t="str">
        <f>CONCATENATE("http://sbols.org/v",Init!$B$1,"#")</f>
        <v>http://sbols.org/v2#</v>
      </c>
      <c r="F129" t="s">
        <v>21</v>
      </c>
      <c r="G129" t="s">
        <v>136</v>
      </c>
      <c r="I129" s="1" t="b">
        <v>0</v>
      </c>
      <c r="J129" s="1" t="b">
        <v>0</v>
      </c>
      <c r="K129" s="1" t="b">
        <v>0</v>
      </c>
      <c r="L129" s="1" t="b">
        <v>0</v>
      </c>
      <c r="M129" s="1" t="b">
        <v>0</v>
      </c>
    </row>
    <row r="130" spans="1:17" x14ac:dyDescent="0.2">
      <c r="A130" t="s">
        <v>96</v>
      </c>
      <c r="B130" t="s">
        <v>22</v>
      </c>
      <c r="C130" t="s">
        <v>151</v>
      </c>
      <c r="F130" t="s">
        <v>135</v>
      </c>
      <c r="G130" t="s">
        <v>136</v>
      </c>
      <c r="I130" s="1" t="b">
        <v>0</v>
      </c>
      <c r="J130" s="1" t="b">
        <v>0</v>
      </c>
      <c r="K130" s="1" t="b">
        <v>0</v>
      </c>
      <c r="L130" s="1" t="b">
        <v>0</v>
      </c>
      <c r="M130" s="1" t="b">
        <v>0</v>
      </c>
    </row>
    <row r="131" spans="1:17" x14ac:dyDescent="0.2">
      <c r="A131" t="s">
        <v>96</v>
      </c>
      <c r="B131" t="s">
        <v>23</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24</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25</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96</v>
      </c>
      <c r="B134" t="s">
        <v>26</v>
      </c>
      <c r="C134" s="28" t="s">
        <v>151</v>
      </c>
      <c r="D134" s="28"/>
      <c r="E134" s="29"/>
      <c r="F134" s="29" t="s">
        <v>135</v>
      </c>
      <c r="G134" s="29" t="s">
        <v>136</v>
      </c>
      <c r="H134" s="29"/>
      <c r="I134" s="30" t="b">
        <v>0</v>
      </c>
      <c r="J134" s="30" t="b">
        <v>0</v>
      </c>
      <c r="K134" s="30" t="b">
        <v>0</v>
      </c>
      <c r="L134" s="30" t="b">
        <v>0</v>
      </c>
      <c r="M134" s="30" t="b">
        <v>0</v>
      </c>
      <c r="N134" s="29"/>
      <c r="O134" s="29"/>
      <c r="P134" s="29"/>
      <c r="Q134" s="29"/>
    </row>
    <row r="135" spans="1:17" x14ac:dyDescent="0.2">
      <c r="A135" t="s">
        <v>99</v>
      </c>
      <c r="B135" t="s">
        <v>47</v>
      </c>
      <c r="C135" t="s">
        <v>134</v>
      </c>
      <c r="E135" t="str">
        <f>CONCATENATE("http://sbols.org/v",Init!$B$1,"#")</f>
        <v>http://sbols.org/v2#</v>
      </c>
      <c r="F135" t="s">
        <v>135</v>
      </c>
      <c r="G135" t="s">
        <v>136</v>
      </c>
      <c r="I135" s="1" t="b">
        <v>0</v>
      </c>
      <c r="J135" s="1" t="b">
        <v>0</v>
      </c>
      <c r="K135" s="1" t="b">
        <v>0</v>
      </c>
      <c r="L135" s="1" t="b">
        <v>0</v>
      </c>
      <c r="M135" s="1" t="b">
        <v>0</v>
      </c>
    </row>
    <row r="136" spans="1:17" x14ac:dyDescent="0.2">
      <c r="A136" t="s">
        <v>99</v>
      </c>
      <c r="B136" t="s">
        <v>48</v>
      </c>
      <c r="C136" t="s">
        <v>137</v>
      </c>
      <c r="E136" t="str">
        <f>CONCATENATE("http://sbols.org/v",Init!$B$1,"#")</f>
        <v>http://sbols.org/v2#</v>
      </c>
      <c r="F136" t="s">
        <v>135</v>
      </c>
      <c r="G136" t="s">
        <v>136</v>
      </c>
      <c r="I136" s="1" t="b">
        <v>0</v>
      </c>
      <c r="J136" s="1" t="b">
        <v>0</v>
      </c>
      <c r="K136" s="1" t="b">
        <v>0</v>
      </c>
      <c r="L136" s="1" t="b">
        <v>0</v>
      </c>
      <c r="M136" s="1" t="b">
        <v>0</v>
      </c>
    </row>
    <row r="137" spans="1:17" x14ac:dyDescent="0.2">
      <c r="A137" t="s">
        <v>99</v>
      </c>
      <c r="B137" t="s">
        <v>12</v>
      </c>
      <c r="C137" t="s">
        <v>134</v>
      </c>
      <c r="E137" t="str">
        <f>CONCATENATE("http://sbols.org/v",Init!$B$1,"#")</f>
        <v>http://sbols.org/v2#</v>
      </c>
      <c r="F137" t="s">
        <v>135</v>
      </c>
      <c r="G137" t="s">
        <v>136</v>
      </c>
      <c r="I137" s="1" t="b">
        <v>0</v>
      </c>
      <c r="J137" s="1" t="b">
        <v>0</v>
      </c>
      <c r="K137" s="1" t="b">
        <v>0</v>
      </c>
      <c r="L137" s="1" t="b">
        <v>0</v>
      </c>
      <c r="M137" s="1" t="b">
        <v>0</v>
      </c>
    </row>
    <row r="138" spans="1:17" x14ac:dyDescent="0.2">
      <c r="A138" t="s">
        <v>99</v>
      </c>
      <c r="B138" t="s">
        <v>49</v>
      </c>
      <c r="C138" t="s">
        <v>138</v>
      </c>
      <c r="E138" t="s">
        <v>139</v>
      </c>
      <c r="F138" t="s">
        <v>135</v>
      </c>
      <c r="G138" t="s">
        <v>136</v>
      </c>
      <c r="I138" s="1" t="b">
        <v>0</v>
      </c>
      <c r="J138" s="1" t="b">
        <v>0</v>
      </c>
      <c r="K138" s="1" t="b">
        <v>0</v>
      </c>
      <c r="L138" s="1" t="b">
        <v>0</v>
      </c>
      <c r="M138" s="1" t="b">
        <v>0</v>
      </c>
    </row>
    <row r="139" spans="1:17" x14ac:dyDescent="0.2">
      <c r="A139" t="s">
        <v>99</v>
      </c>
      <c r="B139" t="s">
        <v>14</v>
      </c>
      <c r="C139" t="s">
        <v>140</v>
      </c>
      <c r="E139" t="str">
        <f>CONCATENATE("http://sbols.org/v",Init!$B$1,"#")</f>
        <v>http://sbols.org/v2#</v>
      </c>
      <c r="F139" t="s">
        <v>21</v>
      </c>
      <c r="G139" t="s">
        <v>136</v>
      </c>
      <c r="I139" s="1" t="b">
        <v>0</v>
      </c>
      <c r="J139" s="1" t="b">
        <v>0</v>
      </c>
      <c r="K139" s="1" t="b">
        <v>0</v>
      </c>
      <c r="L139" s="1" t="b">
        <v>0</v>
      </c>
      <c r="M139" s="1" t="b">
        <v>0</v>
      </c>
    </row>
    <row r="140" spans="1:17" x14ac:dyDescent="0.2">
      <c r="A140" t="s">
        <v>99</v>
      </c>
      <c r="B140" t="s">
        <v>46</v>
      </c>
      <c r="C140" t="s">
        <v>141</v>
      </c>
      <c r="E140" t="s">
        <v>142</v>
      </c>
      <c r="F140" t="s">
        <v>135</v>
      </c>
      <c r="G140" t="s">
        <v>136</v>
      </c>
      <c r="I140" s="1" t="b">
        <v>0</v>
      </c>
      <c r="J140" s="1" t="b">
        <v>0</v>
      </c>
      <c r="K140" s="1" t="b">
        <v>0</v>
      </c>
      <c r="L140" s="1" t="b">
        <v>0</v>
      </c>
      <c r="M140" s="1" t="b">
        <v>0</v>
      </c>
    </row>
    <row r="141" spans="1:17" x14ac:dyDescent="0.2">
      <c r="A141" t="s">
        <v>99</v>
      </c>
      <c r="B141" t="s">
        <v>16</v>
      </c>
      <c r="C141" t="s">
        <v>140</v>
      </c>
      <c r="E141" t="str">
        <f>CONCATENATE("http://sbols.org/v",Init!$B$1,"#")</f>
        <v>http://sbols.org/v2#</v>
      </c>
      <c r="F141" t="s">
        <v>21</v>
      </c>
      <c r="G141" t="s">
        <v>136</v>
      </c>
      <c r="I141" s="1" t="b">
        <v>0</v>
      </c>
      <c r="J141" s="1" t="b">
        <v>0</v>
      </c>
      <c r="K141" s="1" t="b">
        <v>0</v>
      </c>
      <c r="L141" s="1" t="b">
        <v>0</v>
      </c>
      <c r="M141" s="1" t="b">
        <v>0</v>
      </c>
    </row>
    <row r="142" spans="1:17" x14ac:dyDescent="0.2">
      <c r="A142" t="s">
        <v>99</v>
      </c>
      <c r="B142" t="s">
        <v>21</v>
      </c>
      <c r="C142" t="s">
        <v>151</v>
      </c>
      <c r="F142" t="s">
        <v>135</v>
      </c>
      <c r="G142" t="s">
        <v>136</v>
      </c>
      <c r="I142" s="1" t="b">
        <v>0</v>
      </c>
      <c r="J142" s="1" t="b">
        <v>0</v>
      </c>
      <c r="K142" s="1" t="b">
        <v>0</v>
      </c>
      <c r="L142" s="1" t="b">
        <v>0</v>
      </c>
      <c r="M142" s="1" t="b">
        <v>0</v>
      </c>
    </row>
    <row r="143" spans="1:17" x14ac:dyDescent="0.2">
      <c r="A143" t="s">
        <v>99</v>
      </c>
      <c r="B143" t="s">
        <v>22</v>
      </c>
      <c r="C143" t="s">
        <v>151</v>
      </c>
      <c r="F143" t="s">
        <v>135</v>
      </c>
      <c r="G143" t="s">
        <v>136</v>
      </c>
      <c r="I143" s="1" t="b">
        <v>0</v>
      </c>
      <c r="J143" s="1" t="b">
        <v>0</v>
      </c>
      <c r="K143" s="1" t="b">
        <v>0</v>
      </c>
      <c r="L143" s="1" t="b">
        <v>0</v>
      </c>
      <c r="M143" s="1" t="b">
        <v>0</v>
      </c>
    </row>
    <row r="144" spans="1:17" x14ac:dyDescent="0.2">
      <c r="A144" t="s">
        <v>99</v>
      </c>
      <c r="B144" t="s">
        <v>23</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24</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25</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99</v>
      </c>
      <c r="B147" t="s">
        <v>26</v>
      </c>
      <c r="C147" s="28" t="s">
        <v>151</v>
      </c>
      <c r="D147" s="28"/>
      <c r="E147" s="29"/>
      <c r="F147" s="29" t="s">
        <v>135</v>
      </c>
      <c r="G147" s="29" t="s">
        <v>136</v>
      </c>
      <c r="H147" s="29"/>
      <c r="I147" s="30" t="b">
        <v>0</v>
      </c>
      <c r="J147" s="30" t="b">
        <v>0</v>
      </c>
      <c r="K147" s="30" t="b">
        <v>0</v>
      </c>
      <c r="L147" s="30" t="b">
        <v>0</v>
      </c>
      <c r="M147" s="30" t="b">
        <v>0</v>
      </c>
      <c r="N147" s="29"/>
      <c r="O147" s="29"/>
      <c r="P147" s="29"/>
      <c r="Q147" s="29"/>
    </row>
    <row r="148" spans="1:17" x14ac:dyDescent="0.2">
      <c r="A148" t="s">
        <v>113</v>
      </c>
      <c r="B148" t="s">
        <v>73</v>
      </c>
      <c r="C148" t="s">
        <v>134</v>
      </c>
      <c r="E148" t="str">
        <f>CONCATENATE("http://sbols.org/v",Init!$B$1,"#")</f>
        <v>http://sbols.org/v2#</v>
      </c>
      <c r="F148" t="s">
        <v>135</v>
      </c>
      <c r="G148" t="s">
        <v>136</v>
      </c>
      <c r="I148" s="1" t="b">
        <v>0</v>
      </c>
      <c r="J148" s="1" t="b">
        <v>0</v>
      </c>
      <c r="K148" s="1" t="b">
        <v>0</v>
      </c>
      <c r="L148" s="1" t="b">
        <v>0</v>
      </c>
      <c r="M148" s="1" t="b">
        <v>0</v>
      </c>
    </row>
    <row r="149" spans="1:17" x14ac:dyDescent="0.2">
      <c r="A149" t="s">
        <v>113</v>
      </c>
      <c r="B149" t="s">
        <v>74</v>
      </c>
      <c r="C149" t="s">
        <v>137</v>
      </c>
      <c r="E149" t="str">
        <f>CONCATENATE("http://sbols.org/v",Init!$B$1,"#")</f>
        <v>http://sbols.org/v2#</v>
      </c>
      <c r="F149" t="s">
        <v>135</v>
      </c>
      <c r="G149" t="s">
        <v>136</v>
      </c>
      <c r="I149" s="1" t="b">
        <v>0</v>
      </c>
      <c r="J149" s="1" t="b">
        <v>0</v>
      </c>
      <c r="K149" s="1" t="b">
        <v>0</v>
      </c>
      <c r="L149" s="1" t="b">
        <v>0</v>
      </c>
      <c r="M149" s="1" t="b">
        <v>0</v>
      </c>
    </row>
    <row r="150" spans="1:17" x14ac:dyDescent="0.2">
      <c r="A150" t="s">
        <v>113</v>
      </c>
      <c r="B150" t="s">
        <v>12</v>
      </c>
      <c r="C150" t="s">
        <v>134</v>
      </c>
      <c r="E150" t="str">
        <f>CONCATENATE("http://sbols.org/v",Init!$B$1,"#")</f>
        <v>http://sbols.org/v2#</v>
      </c>
      <c r="F150" t="s">
        <v>135</v>
      </c>
      <c r="G150" t="s">
        <v>136</v>
      </c>
      <c r="I150" s="1" t="b">
        <v>0</v>
      </c>
      <c r="J150" s="1" t="b">
        <v>0</v>
      </c>
      <c r="K150" s="1" t="b">
        <v>0</v>
      </c>
      <c r="L150" s="1" t="b">
        <v>0</v>
      </c>
      <c r="M150" s="1" t="b">
        <v>0</v>
      </c>
    </row>
    <row r="151" spans="1:17" x14ac:dyDescent="0.2">
      <c r="A151" t="s">
        <v>113</v>
      </c>
      <c r="B151" t="s">
        <v>75</v>
      </c>
      <c r="C151" t="s">
        <v>138</v>
      </c>
      <c r="E151" t="s">
        <v>139</v>
      </c>
      <c r="F151" t="s">
        <v>135</v>
      </c>
      <c r="G151" t="s">
        <v>136</v>
      </c>
      <c r="I151" s="1" t="b">
        <v>0</v>
      </c>
      <c r="J151" s="1" t="b">
        <v>0</v>
      </c>
      <c r="K151" s="1" t="b">
        <v>0</v>
      </c>
      <c r="L151" s="1" t="b">
        <v>0</v>
      </c>
      <c r="M151" s="1" t="b">
        <v>0</v>
      </c>
    </row>
    <row r="152" spans="1:17" x14ac:dyDescent="0.2">
      <c r="A152" t="s">
        <v>113</v>
      </c>
      <c r="B152" t="s">
        <v>76</v>
      </c>
      <c r="C152" t="s">
        <v>161</v>
      </c>
      <c r="E152" s="36" t="s">
        <v>162</v>
      </c>
      <c r="F152" t="s">
        <v>135</v>
      </c>
      <c r="G152" t="s">
        <v>136</v>
      </c>
      <c r="I152" s="1" t="b">
        <v>0</v>
      </c>
      <c r="J152" s="1" t="b">
        <v>0</v>
      </c>
      <c r="K152" s="1" t="b">
        <v>0</v>
      </c>
      <c r="L152" s="1" t="b">
        <v>0</v>
      </c>
      <c r="M152" s="1" t="b">
        <v>0</v>
      </c>
    </row>
    <row r="153" spans="1:17" x14ac:dyDescent="0.2">
      <c r="A153" t="s">
        <v>113</v>
      </c>
      <c r="B153" t="s">
        <v>14</v>
      </c>
      <c r="C153" t="s">
        <v>140</v>
      </c>
      <c r="E153" t="str">
        <f>CONCATENATE("http://sbols.org/v",Init!$B$1,"#")</f>
        <v>http://sbols.org/v2#</v>
      </c>
      <c r="F153" t="s">
        <v>21</v>
      </c>
      <c r="G153" t="s">
        <v>136</v>
      </c>
      <c r="I153" s="1" t="b">
        <v>0</v>
      </c>
      <c r="J153" s="1" t="b">
        <v>0</v>
      </c>
      <c r="K153" s="1" t="b">
        <v>0</v>
      </c>
      <c r="L153" s="1" t="b">
        <v>0</v>
      </c>
      <c r="M153" s="1" t="b">
        <v>0</v>
      </c>
    </row>
    <row r="154" spans="1:17" x14ac:dyDescent="0.2">
      <c r="A154" t="s">
        <v>113</v>
      </c>
      <c r="B154" t="s">
        <v>15</v>
      </c>
      <c r="C154" t="s">
        <v>141</v>
      </c>
      <c r="E154" t="s">
        <v>142</v>
      </c>
      <c r="F154" t="s">
        <v>135</v>
      </c>
      <c r="G154" t="s">
        <v>136</v>
      </c>
      <c r="I154" s="1" t="b">
        <v>0</v>
      </c>
      <c r="J154" s="1" t="b">
        <v>0</v>
      </c>
      <c r="K154" s="1" t="b">
        <v>0</v>
      </c>
      <c r="L154" s="1" t="b">
        <v>0</v>
      </c>
      <c r="M154" s="1" t="b">
        <v>0</v>
      </c>
    </row>
    <row r="155" spans="1:17" x14ac:dyDescent="0.2">
      <c r="A155" t="s">
        <v>113</v>
      </c>
      <c r="B155" t="s">
        <v>16</v>
      </c>
      <c r="C155" t="s">
        <v>140</v>
      </c>
      <c r="E155" t="str">
        <f>CONCATENATE("http://sbols.org/v",Init!$B$1,"#")</f>
        <v>http://sbols.org/v2#</v>
      </c>
      <c r="F155" t="s">
        <v>21</v>
      </c>
      <c r="G155" t="s">
        <v>136</v>
      </c>
      <c r="I155" s="1" t="b">
        <v>0</v>
      </c>
      <c r="J155" s="1" t="b">
        <v>0</v>
      </c>
      <c r="K155" s="1" t="b">
        <v>0</v>
      </c>
      <c r="L155" s="1" t="b">
        <v>0</v>
      </c>
      <c r="M155" s="1" t="b">
        <v>0</v>
      </c>
    </row>
    <row r="156" spans="1:17" x14ac:dyDescent="0.2">
      <c r="A156" t="s">
        <v>113</v>
      </c>
      <c r="B156" t="s">
        <v>21</v>
      </c>
      <c r="C156" t="s">
        <v>151</v>
      </c>
      <c r="F156" t="s">
        <v>135</v>
      </c>
      <c r="G156" t="s">
        <v>136</v>
      </c>
      <c r="I156" s="1" t="b">
        <v>0</v>
      </c>
      <c r="J156" s="1" t="b">
        <v>0</v>
      </c>
      <c r="K156" s="1" t="b">
        <v>0</v>
      </c>
      <c r="L156" s="1" t="b">
        <v>0</v>
      </c>
      <c r="M156" s="1" t="b">
        <v>0</v>
      </c>
    </row>
    <row r="157" spans="1:17" x14ac:dyDescent="0.2">
      <c r="A157" t="s">
        <v>113</v>
      </c>
      <c r="B157" t="s">
        <v>22</v>
      </c>
      <c r="C157" t="s">
        <v>151</v>
      </c>
      <c r="F157" t="s">
        <v>135</v>
      </c>
      <c r="G157" t="s">
        <v>136</v>
      </c>
      <c r="I157" s="1" t="b">
        <v>0</v>
      </c>
      <c r="J157" s="1" t="b">
        <v>0</v>
      </c>
      <c r="K157" s="1" t="b">
        <v>0</v>
      </c>
      <c r="L157" s="1" t="b">
        <v>0</v>
      </c>
      <c r="M157" s="1" t="b">
        <v>0</v>
      </c>
    </row>
    <row r="158" spans="1:17" x14ac:dyDescent="0.2">
      <c r="A158" t="s">
        <v>113</v>
      </c>
      <c r="B158" t="s">
        <v>23</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24</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25</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113</v>
      </c>
      <c r="B161" t="s">
        <v>26</v>
      </c>
      <c r="C161" s="28" t="s">
        <v>151</v>
      </c>
      <c r="D161" s="28"/>
      <c r="E161" s="29"/>
      <c r="F161" s="29" t="s">
        <v>135</v>
      </c>
      <c r="G161" s="29" t="s">
        <v>136</v>
      </c>
      <c r="H161" s="29"/>
      <c r="I161" s="30" t="b">
        <v>0</v>
      </c>
      <c r="J161" s="30" t="b">
        <v>0</v>
      </c>
      <c r="K161" s="30" t="b">
        <v>0</v>
      </c>
      <c r="L161" s="30" t="b">
        <v>0</v>
      </c>
      <c r="M161" s="30" t="b">
        <v>0</v>
      </c>
      <c r="N161" s="29"/>
      <c r="O161" s="29"/>
      <c r="P161" s="29"/>
      <c r="Q161" s="29"/>
    </row>
    <row r="162" spans="1:17" x14ac:dyDescent="0.2">
      <c r="A162" t="s">
        <v>163</v>
      </c>
      <c r="B162" t="s">
        <v>90</v>
      </c>
      <c r="C162" t="s">
        <v>164</v>
      </c>
      <c r="E162" t="str">
        <f>CONCATENATE("http://sbols.org/v",Init!$B$1,"#")</f>
        <v>http://sbols.org/v2#</v>
      </c>
      <c r="F162" t="s">
        <v>135</v>
      </c>
      <c r="G162" t="s">
        <v>136</v>
      </c>
      <c r="I162" s="1" t="b">
        <v>0</v>
      </c>
      <c r="J162" s="1" t="b">
        <v>0</v>
      </c>
      <c r="K162" s="1" t="b">
        <v>0</v>
      </c>
      <c r="L162" s="1" t="b">
        <v>0</v>
      </c>
      <c r="M162" s="1" t="b">
        <v>0</v>
      </c>
    </row>
    <row r="163" spans="1:17" x14ac:dyDescent="0.2">
      <c r="A163" t="s">
        <v>163</v>
      </c>
      <c r="B163" t="s">
        <v>91</v>
      </c>
      <c r="C163" t="s">
        <v>165</v>
      </c>
      <c r="E163" t="str">
        <f>CONCATENATE("http://sbols.org/v",Init!$B$1,"#")</f>
        <v>http://sbols.org/v2#</v>
      </c>
      <c r="F163" t="s">
        <v>21</v>
      </c>
      <c r="G163" t="s">
        <v>136</v>
      </c>
      <c r="I163" s="1" t="b">
        <v>0</v>
      </c>
      <c r="J163" s="1" t="b">
        <v>1</v>
      </c>
      <c r="K163" s="1" t="b">
        <v>0</v>
      </c>
      <c r="L163" s="1" t="b">
        <v>0</v>
      </c>
      <c r="M163" s="1" t="b">
        <v>0</v>
      </c>
      <c r="N163" t="s">
        <v>116</v>
      </c>
      <c r="O163" t="s">
        <v>145</v>
      </c>
      <c r="P163" t="s">
        <v>146</v>
      </c>
    </row>
    <row r="164" spans="1:17" x14ac:dyDescent="0.2">
      <c r="A164" t="s">
        <v>163</v>
      </c>
      <c r="B164" t="s">
        <v>61</v>
      </c>
      <c r="C164" t="s">
        <v>155</v>
      </c>
      <c r="E164" t="str">
        <f>CONCATENATE("http://sbols.org/v",Init!$B$1,"#")</f>
        <v>http://sbols.org/v2#</v>
      </c>
      <c r="F164" t="s">
        <v>21</v>
      </c>
      <c r="G164" t="s">
        <v>156</v>
      </c>
      <c r="I164" s="1" t="b">
        <v>0</v>
      </c>
      <c r="J164" s="1" t="b">
        <v>1</v>
      </c>
      <c r="K164" s="1" t="b">
        <v>0</v>
      </c>
      <c r="L164" s="1" t="b">
        <v>0</v>
      </c>
      <c r="M164" s="1" t="b">
        <v>0</v>
      </c>
      <c r="N164" t="s">
        <v>114</v>
      </c>
      <c r="O164" t="s">
        <v>145</v>
      </c>
      <c r="P164" t="s">
        <v>146</v>
      </c>
      <c r="Q164" t="s">
        <v>158</v>
      </c>
    </row>
  </sheetData>
  <conditionalFormatting sqref="I2:M3 I5:M13 I19:M20 I35:M45 I52:M53 I55:M61 I67:M68 I70:M77 I83:M84 I86:M91 I97:M98 I100:M104 I113:I116 I123:M129 I134:M141 I162:M164 I22:M23 I25:M29">
    <cfRule type="cellIs" dxfId="231" priority="289" operator="equal">
      <formula>TRUE</formula>
    </cfRule>
    <cfRule type="cellIs" dxfId="230" priority="290" operator="equal">
      <formula>FALSE</formula>
    </cfRule>
  </conditionalFormatting>
  <conditionalFormatting sqref="I4:M4">
    <cfRule type="cellIs" dxfId="229" priority="283" operator="equal">
      <formula>TRUE</formula>
    </cfRule>
    <cfRule type="cellIs" dxfId="228" priority="284" operator="equal">
      <formula>FALSE</formula>
    </cfRule>
  </conditionalFormatting>
  <conditionalFormatting sqref="I21:M21">
    <cfRule type="cellIs" dxfId="227" priority="277" operator="equal">
      <formula>TRUE</formula>
    </cfRule>
    <cfRule type="cellIs" dxfId="226" priority="278" operator="equal">
      <formula>FALSE</formula>
    </cfRule>
  </conditionalFormatting>
  <conditionalFormatting sqref="I54:M54">
    <cfRule type="cellIs" dxfId="225" priority="275" operator="equal">
      <formula>TRUE</formula>
    </cfRule>
    <cfRule type="cellIs" dxfId="224" priority="276" operator="equal">
      <formula>FALSE</formula>
    </cfRule>
  </conditionalFormatting>
  <conditionalFormatting sqref="I69:M69">
    <cfRule type="cellIs" dxfId="223" priority="273" operator="equal">
      <formula>TRUE</formula>
    </cfRule>
    <cfRule type="cellIs" dxfId="222" priority="274" operator="equal">
      <formula>FALSE</formula>
    </cfRule>
  </conditionalFormatting>
  <conditionalFormatting sqref="I85:M85">
    <cfRule type="cellIs" dxfId="221" priority="271" operator="equal">
      <formula>TRUE</formula>
    </cfRule>
    <cfRule type="cellIs" dxfId="220" priority="272" operator="equal">
      <formula>FALSE</formula>
    </cfRule>
  </conditionalFormatting>
  <conditionalFormatting sqref="I99:M99">
    <cfRule type="cellIs" dxfId="219" priority="269" operator="equal">
      <formula>TRUE</formula>
    </cfRule>
    <cfRule type="cellIs" dxfId="218" priority="270" operator="equal">
      <formula>FALSE</formula>
    </cfRule>
  </conditionalFormatting>
  <conditionalFormatting sqref="I110:M111 J113:M116">
    <cfRule type="cellIs" dxfId="217" priority="263" operator="equal">
      <formula>TRUE</formula>
    </cfRule>
    <cfRule type="cellIs" dxfId="216" priority="264" operator="equal">
      <formula>FALSE</formula>
    </cfRule>
  </conditionalFormatting>
  <conditionalFormatting sqref="I112:M112">
    <cfRule type="cellIs" dxfId="215" priority="261" operator="equal">
      <formula>TRUE</formula>
    </cfRule>
    <cfRule type="cellIs" dxfId="214" priority="262" operator="equal">
      <formula>FALSE</formula>
    </cfRule>
  </conditionalFormatting>
  <conditionalFormatting sqref="I117:I118">
    <cfRule type="cellIs" dxfId="213" priority="259" operator="equal">
      <formula>TRUE</formula>
    </cfRule>
    <cfRule type="cellIs" dxfId="212" priority="260" operator="equal">
      <formula>FALSE</formula>
    </cfRule>
  </conditionalFormatting>
  <conditionalFormatting sqref="J117">
    <cfRule type="cellIs" dxfId="211" priority="257" operator="equal">
      <formula>TRUE</formula>
    </cfRule>
    <cfRule type="cellIs" dxfId="210" priority="258" operator="equal">
      <formula>FALSE</formula>
    </cfRule>
  </conditionalFormatting>
  <conditionalFormatting sqref="J118">
    <cfRule type="cellIs" dxfId="209" priority="255" operator="equal">
      <formula>TRUE</formula>
    </cfRule>
    <cfRule type="cellIs" dxfId="208" priority="256" operator="equal">
      <formula>FALSE</formula>
    </cfRule>
  </conditionalFormatting>
  <conditionalFormatting sqref="K117">
    <cfRule type="cellIs" dxfId="207" priority="253" operator="equal">
      <formula>TRUE</formula>
    </cfRule>
    <cfRule type="cellIs" dxfId="206" priority="254" operator="equal">
      <formula>FALSE</formula>
    </cfRule>
  </conditionalFormatting>
  <conditionalFormatting sqref="K118">
    <cfRule type="cellIs" dxfId="205" priority="251" operator="equal">
      <formula>TRUE</formula>
    </cfRule>
    <cfRule type="cellIs" dxfId="204" priority="252" operator="equal">
      <formula>FALSE</formula>
    </cfRule>
  </conditionalFormatting>
  <conditionalFormatting sqref="L117">
    <cfRule type="cellIs" dxfId="203" priority="249" operator="equal">
      <formula>TRUE</formula>
    </cfRule>
    <cfRule type="cellIs" dxfId="202" priority="250" operator="equal">
      <formula>FALSE</formula>
    </cfRule>
  </conditionalFormatting>
  <conditionalFormatting sqref="L118">
    <cfRule type="cellIs" dxfId="201" priority="247" operator="equal">
      <formula>TRUE</formula>
    </cfRule>
    <cfRule type="cellIs" dxfId="200" priority="248" operator="equal">
      <formula>FALSE</formula>
    </cfRule>
  </conditionalFormatting>
  <conditionalFormatting sqref="M117">
    <cfRule type="cellIs" dxfId="199" priority="245" operator="equal">
      <formula>TRUE</formula>
    </cfRule>
    <cfRule type="cellIs" dxfId="198" priority="246" operator="equal">
      <formula>FALSE</formula>
    </cfRule>
  </conditionalFormatting>
  <conditionalFormatting sqref="M118">
    <cfRule type="cellIs" dxfId="197" priority="243" operator="equal">
      <formula>TRUE</formula>
    </cfRule>
    <cfRule type="cellIs" dxfId="196" priority="244" operator="equal">
      <formula>FALSE</formula>
    </cfRule>
  </conditionalFormatting>
  <conditionalFormatting sqref="I129:I130">
    <cfRule type="cellIs" dxfId="195" priority="241" operator="equal">
      <formula>TRUE</formula>
    </cfRule>
    <cfRule type="cellIs" dxfId="194" priority="242" operator="equal">
      <formula>FALSE</formula>
    </cfRule>
  </conditionalFormatting>
  <conditionalFormatting sqref="I124:M124">
    <cfRule type="cellIs" dxfId="193" priority="239" operator="equal">
      <formula>TRUE</formula>
    </cfRule>
    <cfRule type="cellIs" dxfId="192" priority="240" operator="equal">
      <formula>FALSE</formula>
    </cfRule>
  </conditionalFormatting>
  <conditionalFormatting sqref="J129:J130">
    <cfRule type="cellIs" dxfId="191" priority="237" operator="equal">
      <formula>TRUE</formula>
    </cfRule>
    <cfRule type="cellIs" dxfId="190" priority="238" operator="equal">
      <formula>FALSE</formula>
    </cfRule>
  </conditionalFormatting>
  <conditionalFormatting sqref="K129:K130">
    <cfRule type="cellIs" dxfId="189" priority="235" operator="equal">
      <formula>TRUE</formula>
    </cfRule>
    <cfRule type="cellIs" dxfId="188" priority="236" operator="equal">
      <formula>FALSE</formula>
    </cfRule>
  </conditionalFormatting>
  <conditionalFormatting sqref="L129:L130">
    <cfRule type="cellIs" dxfId="187" priority="233" operator="equal">
      <formula>TRUE</formula>
    </cfRule>
    <cfRule type="cellIs" dxfId="186" priority="234" operator="equal">
      <formula>FALSE</formula>
    </cfRule>
  </conditionalFormatting>
  <conditionalFormatting sqref="M129:M130">
    <cfRule type="cellIs" dxfId="185" priority="231" operator="equal">
      <formula>TRUE</formula>
    </cfRule>
    <cfRule type="cellIs" dxfId="184" priority="232" operator="equal">
      <formula>FALSE</formula>
    </cfRule>
  </conditionalFormatting>
  <conditionalFormatting sqref="I136:M136">
    <cfRule type="cellIs" dxfId="183" priority="227" operator="equal">
      <formula>TRUE</formula>
    </cfRule>
    <cfRule type="cellIs" dxfId="182" priority="228" operator="equal">
      <formula>FALSE</formula>
    </cfRule>
  </conditionalFormatting>
  <conditionalFormatting sqref="I141:I143">
    <cfRule type="cellIs" dxfId="181" priority="225" operator="equal">
      <formula>TRUE</formula>
    </cfRule>
    <cfRule type="cellIs" dxfId="180" priority="226" operator="equal">
      <formula>FALSE</formula>
    </cfRule>
  </conditionalFormatting>
  <conditionalFormatting sqref="J141:J142">
    <cfRule type="cellIs" dxfId="179" priority="223" operator="equal">
      <formula>TRUE</formula>
    </cfRule>
    <cfRule type="cellIs" dxfId="178" priority="224" operator="equal">
      <formula>FALSE</formula>
    </cfRule>
  </conditionalFormatting>
  <conditionalFormatting sqref="J142:J143">
    <cfRule type="cellIs" dxfId="177" priority="221" operator="equal">
      <formula>TRUE</formula>
    </cfRule>
    <cfRule type="cellIs" dxfId="176" priority="222" operator="equal">
      <formula>FALSE</formula>
    </cfRule>
  </conditionalFormatting>
  <conditionalFormatting sqref="K141:K142">
    <cfRule type="cellIs" dxfId="175" priority="219" operator="equal">
      <formula>TRUE</formula>
    </cfRule>
    <cfRule type="cellIs" dxfId="174" priority="220" operator="equal">
      <formula>FALSE</formula>
    </cfRule>
  </conditionalFormatting>
  <conditionalFormatting sqref="K142:K143">
    <cfRule type="cellIs" dxfId="173" priority="217" operator="equal">
      <formula>TRUE</formula>
    </cfRule>
    <cfRule type="cellIs" dxfId="172" priority="218" operator="equal">
      <formula>FALSE</formula>
    </cfRule>
  </conditionalFormatting>
  <conditionalFormatting sqref="L141:L142">
    <cfRule type="cellIs" dxfId="171" priority="215" operator="equal">
      <formula>TRUE</formula>
    </cfRule>
    <cfRule type="cellIs" dxfId="170" priority="216" operator="equal">
      <formula>FALSE</formula>
    </cfRule>
  </conditionalFormatting>
  <conditionalFormatting sqref="L142:L143">
    <cfRule type="cellIs" dxfId="169" priority="213" operator="equal">
      <formula>TRUE</formula>
    </cfRule>
    <cfRule type="cellIs" dxfId="168" priority="214" operator="equal">
      <formula>FALSE</formula>
    </cfRule>
  </conditionalFormatting>
  <conditionalFormatting sqref="M141:M142">
    <cfRule type="cellIs" dxfId="167" priority="211" operator="equal">
      <formula>TRUE</formula>
    </cfRule>
    <cfRule type="cellIs" dxfId="166" priority="212" operator="equal">
      <formula>FALSE</formula>
    </cfRule>
  </conditionalFormatting>
  <conditionalFormatting sqref="M142:M143">
    <cfRule type="cellIs" dxfId="165" priority="209" operator="equal">
      <formula>TRUE</formula>
    </cfRule>
    <cfRule type="cellIs" dxfId="164" priority="210" operator="equal">
      <formula>FALSE</formula>
    </cfRule>
  </conditionalFormatting>
  <conditionalFormatting sqref="I125:M125">
    <cfRule type="cellIs" dxfId="163" priority="163" operator="equal">
      <formula>TRUE</formula>
    </cfRule>
    <cfRule type="cellIs" dxfId="162" priority="164" operator="equal">
      <formula>FALSE</formula>
    </cfRule>
  </conditionalFormatting>
  <conditionalFormatting sqref="I137:M137">
    <cfRule type="cellIs" dxfId="161" priority="161" operator="equal">
      <formula>TRUE</formula>
    </cfRule>
    <cfRule type="cellIs" dxfId="160" priority="162" operator="equal">
      <formula>FALSE</formula>
    </cfRule>
  </conditionalFormatting>
  <conditionalFormatting sqref="I132:M132">
    <cfRule type="cellIs" dxfId="159" priority="159" operator="equal">
      <formula>TRUE</formula>
    </cfRule>
    <cfRule type="cellIs" dxfId="158" priority="160" operator="equal">
      <formula>FALSE</formula>
    </cfRule>
  </conditionalFormatting>
  <conditionalFormatting sqref="I133:M133">
    <cfRule type="cellIs" dxfId="157" priority="157" operator="equal">
      <formula>TRUE</formula>
    </cfRule>
    <cfRule type="cellIs" dxfId="156" priority="158" operator="equal">
      <formula>FALSE</formula>
    </cfRule>
  </conditionalFormatting>
  <conditionalFormatting sqref="I109:M109">
    <cfRule type="cellIs" dxfId="155" priority="155" operator="equal">
      <formula>TRUE</formula>
    </cfRule>
    <cfRule type="cellIs" dxfId="154" priority="156" operator="equal">
      <formula>FALSE</formula>
    </cfRule>
  </conditionalFormatting>
  <conditionalFormatting sqref="I107:M107">
    <cfRule type="cellIs" dxfId="153" priority="153" operator="equal">
      <formula>TRUE</formula>
    </cfRule>
    <cfRule type="cellIs" dxfId="152" priority="154" operator="equal">
      <formula>FALSE</formula>
    </cfRule>
  </conditionalFormatting>
  <conditionalFormatting sqref="I108:M108">
    <cfRule type="cellIs" dxfId="151" priority="151" operator="equal">
      <formula>TRUE</formula>
    </cfRule>
    <cfRule type="cellIs" dxfId="150" priority="152" operator="equal">
      <formula>FALSE</formula>
    </cfRule>
  </conditionalFormatting>
  <conditionalFormatting sqref="I96:M96">
    <cfRule type="cellIs" dxfId="149" priority="149" operator="equal">
      <formula>TRUE</formula>
    </cfRule>
    <cfRule type="cellIs" dxfId="148" priority="150" operator="equal">
      <formula>FALSE</formula>
    </cfRule>
  </conditionalFormatting>
  <conditionalFormatting sqref="I94:M94">
    <cfRule type="cellIs" dxfId="147" priority="147" operator="equal">
      <formula>TRUE</formula>
    </cfRule>
    <cfRule type="cellIs" dxfId="146" priority="148" operator="equal">
      <formula>FALSE</formula>
    </cfRule>
  </conditionalFormatting>
  <conditionalFormatting sqref="I95:M95">
    <cfRule type="cellIs" dxfId="145" priority="145" operator="equal">
      <formula>TRUE</formula>
    </cfRule>
    <cfRule type="cellIs" dxfId="144" priority="146" operator="equal">
      <formula>FALSE</formula>
    </cfRule>
  </conditionalFormatting>
  <conditionalFormatting sqref="I82:M82">
    <cfRule type="cellIs" dxfId="143" priority="143" operator="equal">
      <formula>TRUE</formula>
    </cfRule>
    <cfRule type="cellIs" dxfId="142" priority="144" operator="equal">
      <formula>FALSE</formula>
    </cfRule>
  </conditionalFormatting>
  <conditionalFormatting sqref="I80:M80">
    <cfRule type="cellIs" dxfId="141" priority="141" operator="equal">
      <formula>TRUE</formula>
    </cfRule>
    <cfRule type="cellIs" dxfId="140" priority="142" operator="equal">
      <formula>FALSE</formula>
    </cfRule>
  </conditionalFormatting>
  <conditionalFormatting sqref="I81:M81">
    <cfRule type="cellIs" dxfId="139" priority="139" operator="equal">
      <formula>TRUE</formula>
    </cfRule>
    <cfRule type="cellIs" dxfId="138" priority="140" operator="equal">
      <formula>FALSE</formula>
    </cfRule>
  </conditionalFormatting>
  <conditionalFormatting sqref="I66:M66">
    <cfRule type="cellIs" dxfId="137" priority="137" operator="equal">
      <formula>TRUE</formula>
    </cfRule>
    <cfRule type="cellIs" dxfId="136" priority="138" operator="equal">
      <formula>FALSE</formula>
    </cfRule>
  </conditionalFormatting>
  <conditionalFormatting sqref="I64:M64">
    <cfRule type="cellIs" dxfId="135" priority="135" operator="equal">
      <formula>TRUE</formula>
    </cfRule>
    <cfRule type="cellIs" dxfId="134" priority="136" operator="equal">
      <formula>FALSE</formula>
    </cfRule>
  </conditionalFormatting>
  <conditionalFormatting sqref="I65:M65">
    <cfRule type="cellIs" dxfId="133" priority="133" operator="equal">
      <formula>TRUE</formula>
    </cfRule>
    <cfRule type="cellIs" dxfId="132" priority="134" operator="equal">
      <formula>FALSE</formula>
    </cfRule>
  </conditionalFormatting>
  <conditionalFormatting sqref="I50:M51">
    <cfRule type="cellIs" dxfId="131" priority="131" operator="equal">
      <formula>TRUE</formula>
    </cfRule>
    <cfRule type="cellIs" dxfId="130" priority="132" operator="equal">
      <formula>FALSE</formula>
    </cfRule>
  </conditionalFormatting>
  <conditionalFormatting sqref="I48:M48">
    <cfRule type="cellIs" dxfId="129" priority="129" operator="equal">
      <formula>TRUE</formula>
    </cfRule>
    <cfRule type="cellIs" dxfId="128" priority="130" operator="equal">
      <formula>FALSE</formula>
    </cfRule>
  </conditionalFormatting>
  <conditionalFormatting sqref="I49:M49">
    <cfRule type="cellIs" dxfId="127" priority="127" operator="equal">
      <formula>TRUE</formula>
    </cfRule>
    <cfRule type="cellIs" dxfId="126" priority="128" operator="equal">
      <formula>FALSE</formula>
    </cfRule>
  </conditionalFormatting>
  <conditionalFormatting sqref="I34:M34">
    <cfRule type="cellIs" dxfId="125" priority="125" operator="equal">
      <formula>TRUE</formula>
    </cfRule>
    <cfRule type="cellIs" dxfId="124" priority="126" operator="equal">
      <formula>FALSE</formula>
    </cfRule>
  </conditionalFormatting>
  <conditionalFormatting sqref="I32:M32">
    <cfRule type="cellIs" dxfId="123" priority="123" operator="equal">
      <formula>TRUE</formula>
    </cfRule>
    <cfRule type="cellIs" dxfId="122" priority="124" operator="equal">
      <formula>FALSE</formula>
    </cfRule>
  </conditionalFormatting>
  <conditionalFormatting sqref="I33:M33">
    <cfRule type="cellIs" dxfId="121" priority="121" operator="equal">
      <formula>TRUE</formula>
    </cfRule>
    <cfRule type="cellIs" dxfId="120" priority="122" operator="equal">
      <formula>FALSE</formula>
    </cfRule>
  </conditionalFormatting>
  <conditionalFormatting sqref="I18:M18">
    <cfRule type="cellIs" dxfId="119" priority="119" operator="equal">
      <formula>TRUE</formula>
    </cfRule>
    <cfRule type="cellIs" dxfId="118" priority="120" operator="equal">
      <formula>FALSE</formula>
    </cfRule>
  </conditionalFormatting>
  <conditionalFormatting sqref="I16:M16">
    <cfRule type="cellIs" dxfId="117" priority="117" operator="equal">
      <formula>TRUE</formula>
    </cfRule>
    <cfRule type="cellIs" dxfId="116" priority="118" operator="equal">
      <formula>FALSE</formula>
    </cfRule>
  </conditionalFormatting>
  <conditionalFormatting sqref="I17:M17">
    <cfRule type="cellIs" dxfId="115" priority="115" operator="equal">
      <formula>TRUE</formula>
    </cfRule>
    <cfRule type="cellIs" dxfId="114" priority="116" operator="equal">
      <formula>FALSE</formula>
    </cfRule>
  </conditionalFormatting>
  <conditionalFormatting sqref="I147:M147">
    <cfRule type="cellIs" dxfId="113" priority="113" operator="equal">
      <formula>TRUE</formula>
    </cfRule>
    <cfRule type="cellIs" dxfId="112" priority="114" operator="equal">
      <formula>FALSE</formula>
    </cfRule>
  </conditionalFormatting>
  <conditionalFormatting sqref="I145:M145">
    <cfRule type="cellIs" dxfId="111" priority="111" operator="equal">
      <formula>TRUE</formula>
    </cfRule>
    <cfRule type="cellIs" dxfId="110" priority="112" operator="equal">
      <formula>FALSE</formula>
    </cfRule>
  </conditionalFormatting>
  <conditionalFormatting sqref="I146:M146">
    <cfRule type="cellIs" dxfId="109" priority="109" operator="equal">
      <formula>TRUE</formula>
    </cfRule>
    <cfRule type="cellIs" dxfId="108" priority="110" operator="equal">
      <formula>FALSE</formula>
    </cfRule>
  </conditionalFormatting>
  <conditionalFormatting sqref="I122:M122">
    <cfRule type="cellIs" dxfId="107" priority="107" operator="equal">
      <formula>TRUE</formula>
    </cfRule>
    <cfRule type="cellIs" dxfId="106" priority="108" operator="equal">
      <formula>FALSE</formula>
    </cfRule>
  </conditionalFormatting>
  <conditionalFormatting sqref="I120:M120">
    <cfRule type="cellIs" dxfId="105" priority="105" operator="equal">
      <formula>TRUE</formula>
    </cfRule>
    <cfRule type="cellIs" dxfId="104" priority="106" operator="equal">
      <formula>FALSE</formula>
    </cfRule>
  </conditionalFormatting>
  <conditionalFormatting sqref="I121:M121">
    <cfRule type="cellIs" dxfId="103" priority="103" operator="equal">
      <formula>TRUE</formula>
    </cfRule>
    <cfRule type="cellIs" dxfId="102" priority="104" operator="equal">
      <formula>FALSE</formula>
    </cfRule>
  </conditionalFormatting>
  <conditionalFormatting sqref="I14">
    <cfRule type="cellIs" dxfId="101" priority="101" operator="equal">
      <formula>TRUE</formula>
    </cfRule>
    <cfRule type="cellIs" dxfId="100" priority="102" operator="equal">
      <formula>FALSE</formula>
    </cfRule>
  </conditionalFormatting>
  <conditionalFormatting sqref="J14">
    <cfRule type="cellIs" dxfId="99" priority="99" operator="equal">
      <formula>TRUE</formula>
    </cfRule>
    <cfRule type="cellIs" dxfId="98" priority="100" operator="equal">
      <formula>FALSE</formula>
    </cfRule>
  </conditionalFormatting>
  <conditionalFormatting sqref="K14">
    <cfRule type="cellIs" dxfId="97" priority="97" operator="equal">
      <formula>TRUE</formula>
    </cfRule>
    <cfRule type="cellIs" dxfId="96" priority="98" operator="equal">
      <formula>FALSE</formula>
    </cfRule>
  </conditionalFormatting>
  <conditionalFormatting sqref="L14">
    <cfRule type="cellIs" dxfId="95" priority="95" operator="equal">
      <formula>TRUE</formula>
    </cfRule>
    <cfRule type="cellIs" dxfId="94" priority="96" operator="equal">
      <formula>FALSE</formula>
    </cfRule>
  </conditionalFormatting>
  <conditionalFormatting sqref="M14">
    <cfRule type="cellIs" dxfId="93" priority="93" operator="equal">
      <formula>TRUE</formula>
    </cfRule>
    <cfRule type="cellIs" dxfId="92" priority="94" operator="equal">
      <formula>FALSE</formula>
    </cfRule>
  </conditionalFormatting>
  <conditionalFormatting sqref="I30">
    <cfRule type="cellIs" dxfId="91" priority="91" operator="equal">
      <formula>TRUE</formula>
    </cfRule>
    <cfRule type="cellIs" dxfId="90" priority="92" operator="equal">
      <formula>FALSE</formula>
    </cfRule>
  </conditionalFormatting>
  <conditionalFormatting sqref="J30">
    <cfRule type="cellIs" dxfId="89" priority="89" operator="equal">
      <formula>TRUE</formula>
    </cfRule>
    <cfRule type="cellIs" dxfId="88" priority="90" operator="equal">
      <formula>FALSE</formula>
    </cfRule>
  </conditionalFormatting>
  <conditionalFormatting sqref="K30">
    <cfRule type="cellIs" dxfId="87" priority="87" operator="equal">
      <formula>TRUE</formula>
    </cfRule>
    <cfRule type="cellIs" dxfId="86" priority="88" operator="equal">
      <formula>FALSE</formula>
    </cfRule>
  </conditionalFormatting>
  <conditionalFormatting sqref="L30">
    <cfRule type="cellIs" dxfId="85" priority="85" operator="equal">
      <formula>TRUE</formula>
    </cfRule>
    <cfRule type="cellIs" dxfId="84" priority="86" operator="equal">
      <formula>FALSE</formula>
    </cfRule>
  </conditionalFormatting>
  <conditionalFormatting sqref="M30">
    <cfRule type="cellIs" dxfId="83" priority="83" operator="equal">
      <formula>TRUE</formula>
    </cfRule>
    <cfRule type="cellIs" dxfId="82" priority="84" operator="equal">
      <formula>FALSE</formula>
    </cfRule>
  </conditionalFormatting>
  <conditionalFormatting sqref="I46">
    <cfRule type="cellIs" dxfId="81" priority="81" operator="equal">
      <formula>TRUE</formula>
    </cfRule>
    <cfRule type="cellIs" dxfId="80" priority="82" operator="equal">
      <formula>FALSE</formula>
    </cfRule>
  </conditionalFormatting>
  <conditionalFormatting sqref="J46">
    <cfRule type="cellIs" dxfId="79" priority="79" operator="equal">
      <formula>TRUE</formula>
    </cfRule>
    <cfRule type="cellIs" dxfId="78" priority="80" operator="equal">
      <formula>FALSE</formula>
    </cfRule>
  </conditionalFormatting>
  <conditionalFormatting sqref="K46">
    <cfRule type="cellIs" dxfId="77" priority="77" operator="equal">
      <formula>TRUE</formula>
    </cfRule>
    <cfRule type="cellIs" dxfId="76" priority="78" operator="equal">
      <formula>FALSE</formula>
    </cfRule>
  </conditionalFormatting>
  <conditionalFormatting sqref="L46">
    <cfRule type="cellIs" dxfId="75" priority="75" operator="equal">
      <formula>TRUE</formula>
    </cfRule>
    <cfRule type="cellIs" dxfId="74" priority="76" operator="equal">
      <formula>FALSE</formula>
    </cfRule>
  </conditionalFormatting>
  <conditionalFormatting sqref="M46">
    <cfRule type="cellIs" dxfId="73" priority="73" operator="equal">
      <formula>TRUE</formula>
    </cfRule>
    <cfRule type="cellIs" dxfId="72" priority="74" operator="equal">
      <formula>FALSE</formula>
    </cfRule>
  </conditionalFormatting>
  <conditionalFormatting sqref="I62">
    <cfRule type="cellIs" dxfId="71" priority="71" operator="equal">
      <formula>TRUE</formula>
    </cfRule>
    <cfRule type="cellIs" dxfId="70" priority="72" operator="equal">
      <formula>FALSE</formula>
    </cfRule>
  </conditionalFormatting>
  <conditionalFormatting sqref="J62">
    <cfRule type="cellIs" dxfId="69" priority="69" operator="equal">
      <formula>TRUE</formula>
    </cfRule>
    <cfRule type="cellIs" dxfId="68" priority="70" operator="equal">
      <formula>FALSE</formula>
    </cfRule>
  </conditionalFormatting>
  <conditionalFormatting sqref="K62">
    <cfRule type="cellIs" dxfId="67" priority="67" operator="equal">
      <formula>TRUE</formula>
    </cfRule>
    <cfRule type="cellIs" dxfId="66" priority="68" operator="equal">
      <formula>FALSE</formula>
    </cfRule>
  </conditionalFormatting>
  <conditionalFormatting sqref="L62">
    <cfRule type="cellIs" dxfId="65" priority="65" operator="equal">
      <formula>TRUE</formula>
    </cfRule>
    <cfRule type="cellIs" dxfId="64" priority="66" operator="equal">
      <formula>FALSE</formula>
    </cfRule>
  </conditionalFormatting>
  <conditionalFormatting sqref="M62">
    <cfRule type="cellIs" dxfId="63" priority="63" operator="equal">
      <formula>TRUE</formula>
    </cfRule>
    <cfRule type="cellIs" dxfId="62" priority="64" operator="equal">
      <formula>FALSE</formula>
    </cfRule>
  </conditionalFormatting>
  <conditionalFormatting sqref="I78">
    <cfRule type="cellIs" dxfId="61" priority="61" operator="equal">
      <formula>TRUE</formula>
    </cfRule>
    <cfRule type="cellIs" dxfId="60" priority="62" operator="equal">
      <formula>FALSE</formula>
    </cfRule>
  </conditionalFormatting>
  <conditionalFormatting sqref="J78">
    <cfRule type="cellIs" dxfId="59" priority="59" operator="equal">
      <formula>TRUE</formula>
    </cfRule>
    <cfRule type="cellIs" dxfId="58" priority="60" operator="equal">
      <formula>FALSE</formula>
    </cfRule>
  </conditionalFormatting>
  <conditionalFormatting sqref="K78">
    <cfRule type="cellIs" dxfId="57" priority="57" operator="equal">
      <formula>TRUE</formula>
    </cfRule>
    <cfRule type="cellIs" dxfId="56" priority="58" operator="equal">
      <formula>FALSE</formula>
    </cfRule>
  </conditionalFormatting>
  <conditionalFormatting sqref="L78">
    <cfRule type="cellIs" dxfId="55" priority="55" operator="equal">
      <formula>TRUE</formula>
    </cfRule>
    <cfRule type="cellIs" dxfId="54" priority="56" operator="equal">
      <formula>FALSE</formula>
    </cfRule>
  </conditionalFormatting>
  <conditionalFormatting sqref="M78">
    <cfRule type="cellIs" dxfId="53" priority="53" operator="equal">
      <formula>TRUE</formula>
    </cfRule>
    <cfRule type="cellIs" dxfId="52" priority="54" operator="equal">
      <formula>FALSE</formula>
    </cfRule>
  </conditionalFormatting>
  <conditionalFormatting sqref="I92">
    <cfRule type="cellIs" dxfId="51" priority="51" operator="equal">
      <formula>TRUE</formula>
    </cfRule>
    <cfRule type="cellIs" dxfId="50" priority="52" operator="equal">
      <formula>FALSE</formula>
    </cfRule>
  </conditionalFormatting>
  <conditionalFormatting sqref="J92">
    <cfRule type="cellIs" dxfId="49" priority="49" operator="equal">
      <formula>TRUE</formula>
    </cfRule>
    <cfRule type="cellIs" dxfId="48" priority="50" operator="equal">
      <formula>FALSE</formula>
    </cfRule>
  </conditionalFormatting>
  <conditionalFormatting sqref="K92">
    <cfRule type="cellIs" dxfId="47" priority="47" operator="equal">
      <formula>TRUE</formula>
    </cfRule>
    <cfRule type="cellIs" dxfId="46" priority="48" operator="equal">
      <formula>FALSE</formula>
    </cfRule>
  </conditionalFormatting>
  <conditionalFormatting sqref="L92">
    <cfRule type="cellIs" dxfId="45" priority="45" operator="equal">
      <formula>TRUE</formula>
    </cfRule>
    <cfRule type="cellIs" dxfId="44" priority="46" operator="equal">
      <formula>FALSE</formula>
    </cfRule>
  </conditionalFormatting>
  <conditionalFormatting sqref="M92">
    <cfRule type="cellIs" dxfId="43" priority="43" operator="equal">
      <formula>TRUE</formula>
    </cfRule>
    <cfRule type="cellIs" dxfId="42" priority="44" operator="equal">
      <formula>FALSE</formula>
    </cfRule>
  </conditionalFormatting>
  <conditionalFormatting sqref="I105">
    <cfRule type="cellIs" dxfId="41" priority="41" operator="equal">
      <formula>TRUE</formula>
    </cfRule>
    <cfRule type="cellIs" dxfId="40" priority="42" operator="equal">
      <formula>FALSE</formula>
    </cfRule>
  </conditionalFormatting>
  <conditionalFormatting sqref="J105">
    <cfRule type="cellIs" dxfId="39" priority="39" operator="equal">
      <formula>TRUE</formula>
    </cfRule>
    <cfRule type="cellIs" dxfId="38" priority="40" operator="equal">
      <formula>FALSE</formula>
    </cfRule>
  </conditionalFormatting>
  <conditionalFormatting sqref="K105">
    <cfRule type="cellIs" dxfId="37" priority="37" operator="equal">
      <formula>TRUE</formula>
    </cfRule>
    <cfRule type="cellIs" dxfId="36" priority="38" operator="equal">
      <formula>FALSE</formula>
    </cfRule>
  </conditionalFormatting>
  <conditionalFormatting sqref="L105">
    <cfRule type="cellIs" dxfId="35" priority="35" operator="equal">
      <formula>TRUE</formula>
    </cfRule>
    <cfRule type="cellIs" dxfId="34" priority="36" operator="equal">
      <formula>FALSE</formula>
    </cfRule>
  </conditionalFormatting>
  <conditionalFormatting sqref="M105">
    <cfRule type="cellIs" dxfId="33" priority="33" operator="equal">
      <formula>TRUE</formula>
    </cfRule>
    <cfRule type="cellIs" dxfId="32" priority="34" operator="equal">
      <formula>FALSE</formula>
    </cfRule>
  </conditionalFormatting>
  <conditionalFormatting sqref="I151:M155">
    <cfRule type="cellIs" dxfId="31" priority="31" operator="equal">
      <formula>TRUE</formula>
    </cfRule>
    <cfRule type="cellIs" dxfId="30" priority="32" operator="equal">
      <formula>FALSE</formula>
    </cfRule>
  </conditionalFormatting>
  <conditionalFormatting sqref="I148:M149">
    <cfRule type="cellIs" dxfId="29" priority="29" operator="equal">
      <formula>TRUE</formula>
    </cfRule>
    <cfRule type="cellIs" dxfId="28" priority="30" operator="equal">
      <formula>FALSE</formula>
    </cfRule>
  </conditionalFormatting>
  <conditionalFormatting sqref="I150:M150">
    <cfRule type="cellIs" dxfId="27" priority="27" operator="equal">
      <formula>TRUE</formula>
    </cfRule>
    <cfRule type="cellIs" dxfId="26" priority="28" operator="equal">
      <formula>FALSE</formula>
    </cfRule>
  </conditionalFormatting>
  <conditionalFormatting sqref="I156:I157">
    <cfRule type="cellIs" dxfId="25" priority="25" operator="equal">
      <formula>TRUE</formula>
    </cfRule>
    <cfRule type="cellIs" dxfId="24" priority="26" operator="equal">
      <formula>FALSE</formula>
    </cfRule>
  </conditionalFormatting>
  <conditionalFormatting sqref="J156">
    <cfRule type="cellIs" dxfId="23" priority="23" operator="equal">
      <formula>TRUE</formula>
    </cfRule>
    <cfRule type="cellIs" dxfId="22" priority="24" operator="equal">
      <formula>FALSE</formula>
    </cfRule>
  </conditionalFormatting>
  <conditionalFormatting sqref="J157">
    <cfRule type="cellIs" dxfId="21" priority="21" operator="equal">
      <formula>TRUE</formula>
    </cfRule>
    <cfRule type="cellIs" dxfId="20" priority="22" operator="equal">
      <formula>FALSE</formula>
    </cfRule>
  </conditionalFormatting>
  <conditionalFormatting sqref="K156">
    <cfRule type="cellIs" dxfId="19" priority="19" operator="equal">
      <formula>TRUE</formula>
    </cfRule>
    <cfRule type="cellIs" dxfId="18" priority="20" operator="equal">
      <formula>FALSE</formula>
    </cfRule>
  </conditionalFormatting>
  <conditionalFormatting sqref="K157">
    <cfRule type="cellIs" dxfId="17" priority="17" operator="equal">
      <formula>TRUE</formula>
    </cfRule>
    <cfRule type="cellIs" dxfId="16" priority="18" operator="equal">
      <formula>FALSE</formula>
    </cfRule>
  </conditionalFormatting>
  <conditionalFormatting sqref="L156">
    <cfRule type="cellIs" dxfId="15" priority="15" operator="equal">
      <formula>TRUE</formula>
    </cfRule>
    <cfRule type="cellIs" dxfId="14" priority="16" operator="equal">
      <formula>FALSE</formula>
    </cfRule>
  </conditionalFormatting>
  <conditionalFormatting sqref="L157">
    <cfRule type="cellIs" dxfId="13" priority="13" operator="equal">
      <formula>TRUE</formula>
    </cfRule>
    <cfRule type="cellIs" dxfId="12" priority="14" operator="equal">
      <formula>FALSE</formula>
    </cfRule>
  </conditionalFormatting>
  <conditionalFormatting sqref="M156">
    <cfRule type="cellIs" dxfId="11" priority="11" operator="equal">
      <formula>TRUE</formula>
    </cfRule>
    <cfRule type="cellIs" dxfId="10" priority="12" operator="equal">
      <formula>FALSE</formula>
    </cfRule>
  </conditionalFormatting>
  <conditionalFormatting sqref="M157">
    <cfRule type="cellIs" dxfId="9" priority="9" operator="equal">
      <formula>TRUE</formula>
    </cfRule>
    <cfRule type="cellIs" dxfId="8" priority="10" operator="equal">
      <formula>FALSE</formula>
    </cfRule>
  </conditionalFormatting>
  <conditionalFormatting sqref="I161:M161">
    <cfRule type="cellIs" dxfId="7" priority="7" operator="equal">
      <formula>TRUE</formula>
    </cfRule>
    <cfRule type="cellIs" dxfId="6" priority="8" operator="equal">
      <formula>FALSE</formula>
    </cfRule>
  </conditionalFormatting>
  <conditionalFormatting sqref="I159:M159">
    <cfRule type="cellIs" dxfId="5" priority="5" operator="equal">
      <formula>TRUE</formula>
    </cfRule>
    <cfRule type="cellIs" dxfId="4" priority="6" operator="equal">
      <formula>FALSE</formula>
    </cfRule>
  </conditionalFormatting>
  <conditionalFormatting sqref="I160:M160">
    <cfRule type="cellIs" dxfId="3" priority="3" operator="equal">
      <formula>TRUE</formula>
    </cfRule>
    <cfRule type="cellIs" dxfId="2" priority="4" operator="equal">
      <formula>FALSE</formula>
    </cfRule>
  </conditionalFormatting>
  <conditionalFormatting sqref="I24:M24">
    <cfRule type="cellIs" dxfId="1" priority="1" operator="equal">
      <formula>TRUE</formula>
    </cfRule>
    <cfRule type="cellIs" dxfId="0" priority="2" operator="equal">
      <formula>FALSE</formula>
    </cfRule>
  </conditionalFormatting>
  <dataValidations count="2">
    <dataValidation type="list" showInputMessage="1" showErrorMessage="1" sqref="I2:M14 I35:M46 I52:M62 I67:M78 I83:M92 I97:M105 I110:M118 I123:M130 I135:M143 I148:M157 I162:M164 I19:M23 I25:M30" xr:uid="{00000000-0002-0000-0D00-000000000000}">
      <formula1>"TRUE, FALSE"</formula1>
    </dataValidation>
    <dataValidation type="list" allowBlank="1" showInputMessage="1" showErrorMessage="1" sqref="I24:M24" xr:uid="{9C3976B2-CB69-F74A-BA65-5DEF33CA99C9}">
      <formula1>"TRUE, FALSE"</formula1>
    </dataValidation>
  </dataValidations>
  <hyperlinks>
    <hyperlink ref="E152"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2026-04-06T19:03:22Z</dcterms:modified>
</cp:coreProperties>
</file>