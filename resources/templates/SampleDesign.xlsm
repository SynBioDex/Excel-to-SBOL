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cuments/GitHub/Project_SynBioSuite/Test/templates/"/>
    </mc:Choice>
  </mc:AlternateContent>
  <xr:revisionPtr revIDLastSave="0" documentId="8_{79253C52-452B-2D4A-B3C5-C467FC05E1F2}" xr6:coauthVersionLast="47" xr6:coauthVersionMax="47" xr10:uidLastSave="{00000000-0000-0000-0000-000000000000}"/>
  <bookViews>
    <workbookView xWindow="0" yWindow="500" windowWidth="33600" windowHeight="18800" tabRatio="745" xr2:uid="{00000000-000D-0000-FFFF-FFFF00000000}"/>
  </bookViews>
  <sheets>
    <sheet name="welcome" sheetId="20" r:id="rId1"/>
    <sheet name="sample design" sheetId="25" r:id="rId2"/>
    <sheet name="supplement" sheetId="26" r:id="rId3"/>
    <sheet name="Init" sheetId="3" state="hidden" r:id="rId4"/>
    <sheet name="FlapjackCols" sheetId="24" state="hidden" r:id="rId5"/>
    <sheet name="column_definitions" sheetId="4" state="hidden" r:id="rId6"/>
    <sheet name="Ontology Terms" sheetId="5" state="hidden" r:id="rId7"/>
    <sheet name="molecule_types" sheetId="27" state="hidden" r:id="rId8"/>
    <sheet name="unique_values" sheetId="21" state="hidden" r:id="rId9"/>
    <sheet name="SBH_strains_collection" sheetId="29" r:id="rId10"/>
    <sheet name="SBH_medias_collection" sheetId="30" r:id="rId11"/>
    <sheet name="SBH_chemicals_collection" sheetId="31" r:id="rId12"/>
  </sheets>
  <functionGroups builtInGroupCount="19"/>
  <externalReferences>
    <externalReference r:id="rId13"/>
    <externalReference r:id="rId14"/>
  </externalReferences>
  <definedNames>
    <definedName name="_xlnm._FilterDatabase" localSheetId="6">'Ontology Terms'!$A$1:$C$1</definedName>
    <definedName name="_xleta.COMPLEX" hidden="1" xlm="1">#NAME?</definedName>
    <definedName name="_xlpm.chars" hidden="1" xlm="1">#NAME?</definedName>
    <definedName name="_xlpm.seq" hidden="1" xlm="1">#NAME?</definedName>
    <definedName name="_xlpm.unique" hidden="1" xlm="1">#NAME?</definedName>
    <definedName name="_xlpm.vali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1" l="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E5" i="4"/>
  <c r="E6" i="4"/>
  <c r="E7" i="4"/>
  <c r="B2" i="21" l="1"/>
  <c r="A2" i="21"/>
  <c r="E28" i="4" l="1"/>
  <c r="E25" i="4"/>
  <c r="E24" i="4"/>
  <c r="E21" i="4"/>
  <c r="E20" i="4"/>
  <c r="E19" i="4"/>
  <c r="E34" i="4" l="1"/>
  <c r="E35" i="4"/>
  <c r="E33" i="4"/>
  <c r="E12" i="4"/>
  <c r="E9" i="4"/>
  <c r="E2" i="4"/>
  <c r="E3" i="4"/>
  <c r="E4" i="4"/>
</calcChain>
</file>

<file path=xl/sharedStrings.xml><?xml version="1.0" encoding="utf-8"?>
<sst xmlns="http://schemas.openxmlformats.org/spreadsheetml/2006/main" count="348" uniqueCount="149">
  <si>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</si>
  <si>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</si>
  <si>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</si>
  <si>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</si>
  <si>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</si>
  <si>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</si>
  <si>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</si>
  <si>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</si>
  <si>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</si>
  <si>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Data Source</t>
  </si>
  <si>
    <t>URL Checker</t>
  </si>
  <si>
    <t>DOI</t>
  </si>
  <si>
    <t>Role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</si>
  <si>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</si>
  <si>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</si>
  <si>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</si>
  <si>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</si>
  <si>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</si>
  <si>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</si>
  <si>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</si>
  <si>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</si>
  <si>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</si>
  <si>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</si>
  <si>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</si>
  <si>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</si>
  <si>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</si>
  <si>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</si>
  <si>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</si>
  <si>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Ontology Terms</t>
  </si>
  <si>
    <t>molecule_types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</si>
  <si>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</si>
  <si>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</si>
  <si>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</si>
  <si>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</si>
  <si>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</si>
  <si>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</si>
  <si>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</si>
  <si>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</si>
  <si>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</si>
  <si>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</si>
  <si>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</si>
  <si>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</si>
  <si>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</si>
  <si>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</si>
  <si>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</si>
  <si>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</si>
  <si>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</si>
  <si>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</si>
  <si>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</si>
  <si>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</si>
  <si>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</si>
  <si>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</si>
  <si>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</si>
  <si>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</si>
  <si>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</si>
  <si>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</si>
  <si>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</si>
  <si>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</si>
  <si>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</si>
  <si>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sbol_roles</t>
  </si>
  <si>
    <t>":"</t>
  </si>
  <si>
    <t>SO</t>
  </si>
  <si>
    <t>Init</t>
  </si>
  <si>
    <t>sbol_objectType</t>
  </si>
  <si>
    <t>sbol_types</t>
  </si>
  <si>
    <t>Synonyms</t>
  </si>
  <si>
    <t>Circular Drop down</t>
  </si>
  <si>
    <t>DNA</t>
  </si>
  <si>
    <t>RNA</t>
  </si>
  <si>
    <t>Previous Version (URI)</t>
  </si>
  <si>
    <t>Domain</t>
  </si>
  <si>
    <t>ModuleDefinition</t>
  </si>
  <si>
    <t>Master Collection</t>
  </si>
  <si>
    <t>Sample Design Name</t>
  </si>
  <si>
    <t>Sample Design Description</t>
  </si>
  <si>
    <t>Sample Design</t>
  </si>
  <si>
    <t>['sample_design']</t>
  </si>
  <si>
    <t>sample_design</t>
  </si>
  <si>
    <t>https://identifiers.org/obo/OBI:0000073</t>
  </si>
  <si>
    <t>FlapjackObject</t>
  </si>
  <si>
    <t>ColName</t>
  </si>
  <si>
    <t>FlapjackName</t>
  </si>
  <si>
    <t>name</t>
  </si>
  <si>
    <t>description</t>
  </si>
  <si>
    <t>Study</t>
  </si>
  <si>
    <t>Update</t>
  </si>
  <si>
    <t>This ID is used to reference the proteins in the other sheets.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</si>
  <si>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</si>
  <si>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</si>
  <si>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</si>
  <si>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</si>
  <si>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DO NOT CHANGE</t>
  </si>
  <si>
    <t>URL Checker - Data Source</t>
  </si>
  <si>
    <t>URL Checker - DOI</t>
  </si>
  <si>
    <t>sample design</t>
  </si>
  <si>
    <t>The column is automatically created based on the two other data source columns</t>
  </si>
  <si>
    <t>URL Checker - Previous Version</t>
  </si>
  <si>
    <t>URL Checker - URI</t>
  </si>
  <si>
    <t>Sample Design ID</t>
  </si>
  <si>
    <t>Strains</t>
  </si>
  <si>
    <t>Supplements</t>
  </si>
  <si>
    <t>Supplement ID</t>
  </si>
  <si>
    <t>Supplement Name</t>
  </si>
  <si>
    <t>Supplement Description</t>
  </si>
  <si>
    <t>Chemical</t>
  </si>
  <si>
    <t>Concentration</t>
  </si>
  <si>
    <t>fj_concentration</t>
  </si>
  <si>
    <t>https://wiki.synbiohub.org/wiki/Terms/experimental#</t>
  </si>
  <si>
    <t>sbol_funcComp</t>
  </si>
  <si>
    <t>","</t>
  </si>
  <si>
    <t>supplement</t>
  </si>
  <si>
    <t>PubMed ID</t>
  </si>
  <si>
    <t>Name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</si>
  <si>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</si>
  <si>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</si>
  <si>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</si>
  <si>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</si>
  <si>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</si>
  <si>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</si>
  <si>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</si>
  <si>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</si>
  <si>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</si>
  <si>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</si>
  <si>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</si>
  <si>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</si>
  <si>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</si>
  <si>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Supplement</t>
  </si>
  <si>
    <t>strain name</t>
  </si>
  <si>
    <t>strain URI</t>
  </si>
  <si>
    <t>media name</t>
  </si>
  <si>
    <t>media URI</t>
  </si>
  <si>
    <t>chemical name</t>
  </si>
  <si>
    <t>chemical URI</t>
  </si>
  <si>
    <t>https://identifiers.org/ncit/NCIT:C164385</t>
  </si>
  <si>
    <t>factor</t>
  </si>
  <si>
    <t>['supplement']</t>
  </si>
  <si>
    <t>URL Checker - Previous Version (URI)</t>
  </si>
  <si>
    <t>URL Checker - Previous Version (URI)2</t>
  </si>
  <si>
    <t>welcome</t>
  </si>
  <si>
    <t>unique_values</t>
  </si>
  <si>
    <t>sbol_module</t>
  </si>
  <si>
    <t>Medias</t>
  </si>
  <si>
    <t>SBH_strains_collection</t>
  </si>
  <si>
    <t>SBH_medias_collection</t>
  </si>
  <si>
    <t>SBH_chemicals_collection</t>
  </si>
  <si>
    <t>example_strain</t>
  </si>
  <si>
    <t>https://synbiohub.org/public/igem/BBa_J23101/1</t>
  </si>
  <si>
    <t>example_chemical</t>
  </si>
  <si>
    <t>example_media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</si>
</sst>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b/>
      <sz val="11"/>
      <color theme="4" tint="-0.249977111117893"/>
      <name val="Helvetica"/>
      <family val="2"/>
      <scheme val="minor"/>
    </font>
    <font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rgb="FF111827"/>
      <name val="Arial"/>
      <family val="2"/>
    </font>
    <font>
      <sz val="11"/>
      <color rgb="FF000000"/>
      <name val="Helvetica"/>
      <family val="2"/>
      <scheme val="minor"/>
    </font>
    <font>
      <b/>
      <sz val="11"/>
      <color rgb="FF000000"/>
      <name val="Helvetic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C7CE"/>
        <bgColor rgb="FFC0E6F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rgb="FF000000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</borders>
  <cellStyleXfs count="5">
    <xf numFmtId="0" fontId="0" fillId="0" borderId="0"/>
    <xf numFmtId="0" fontId="1" fillId="0" borderId="1"/>
    <xf numFmtId="0" fontId="4" fillId="0" borderId="0" applyNumberFormat="0" applyFill="0" applyBorder="0" applyAlignment="0" applyProtection="0"/>
    <xf numFmtId="0" fontId="7" fillId="0" borderId="1"/>
    <xf numFmtId="0" fontId="4" fillId="0" borderId="1" applyNumberFormat="0" applyFill="0" applyBorder="0" applyAlignment="0" applyProtection="0"/>
  </cellStyleXfs>
  <cellXfs count="37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3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0" xfId="2"/>
    <xf numFmtId="0" fontId="6" fillId="3" borderId="1" xfId="0" applyFont="1" applyFill="1" applyBorder="1"/>
    <xf numFmtId="0" fontId="8" fillId="0" borderId="7" xfId="0" applyFont="1" applyBorder="1"/>
    <xf numFmtId="0" fontId="0" fillId="0" borderId="1" xfId="0" quotePrefix="1" applyBorder="1"/>
    <xf numFmtId="0" fontId="9" fillId="4" borderId="0" xfId="0" applyFont="1" applyFill="1"/>
    <xf numFmtId="0" fontId="9" fillId="0" borderId="0" xfId="0" applyFont="1"/>
    <xf numFmtId="0" fontId="10" fillId="4" borderId="0" xfId="0" applyFont="1" applyFill="1"/>
    <xf numFmtId="0" fontId="10" fillId="0" borderId="0" xfId="0" applyFont="1"/>
    <xf numFmtId="0" fontId="5" fillId="0" borderId="0" xfId="0" applyFont="1"/>
    <xf numFmtId="0" fontId="5" fillId="0" borderId="1" xfId="0" applyFont="1" applyBorder="1"/>
    <xf numFmtId="0" fontId="6" fillId="6" borderId="1" xfId="0" applyFont="1" applyFill="1" applyBorder="1"/>
    <xf numFmtId="0" fontId="7" fillId="0" borderId="1" xfId="3"/>
    <xf numFmtId="0" fontId="7" fillId="5" borderId="1" xfId="3" applyFill="1"/>
    <xf numFmtId="0" fontId="8" fillId="0" borderId="7" xfId="3" applyFont="1" applyBorder="1"/>
    <xf numFmtId="0" fontId="7" fillId="0" borderId="1" xfId="3" applyAlignment="1">
      <alignment wrapText="1"/>
    </xf>
    <xf numFmtId="0" fontId="1" fillId="0" borderId="1" xfId="3" applyFont="1"/>
    <xf numFmtId="0" fontId="4" fillId="0" borderId="1" xfId="4" applyBorder="1"/>
    <xf numFmtId="1" fontId="11" fillId="0" borderId="1" xfId="3" applyNumberFormat="1" applyFont="1"/>
    <xf numFmtId="0" fontId="9" fillId="0" borderId="1" xfId="3" applyFont="1"/>
    <xf numFmtId="0" fontId="12" fillId="0" borderId="1" xfId="0" applyFont="1" applyBorder="1"/>
    <xf numFmtId="0" fontId="13" fillId="0" borderId="1" xfId="0" applyFont="1" applyBorder="1"/>
    <xf numFmtId="0" fontId="13" fillId="0" borderId="1" xfId="0" applyFont="1" applyBorder="1" applyAlignment="1">
      <alignment horizontal="left"/>
    </xf>
    <xf numFmtId="14" fontId="13" fillId="0" borderId="1" xfId="0" applyNumberFormat="1" applyFont="1" applyBorder="1" applyAlignment="1">
      <alignment horizontal="left"/>
    </xf>
    <xf numFmtId="0" fontId="12" fillId="0" borderId="8" xfId="0" applyFont="1" applyBorder="1"/>
    <xf numFmtId="0" fontId="12" fillId="0" borderId="9" xfId="0" applyFont="1" applyBorder="1"/>
    <xf numFmtId="0" fontId="4" fillId="0" borderId="1" xfId="4"/>
    <xf numFmtId="0" fontId="2" fillId="0" borderId="1" xfId="3" applyFont="1"/>
  </cellXfs>
  <cellStyles count="5">
    <cellStyle name="Hyperlink" xfId="2" builtinId="8"/>
    <cellStyle name="Hyperlink 2" xfId="4" xr:uid="{44365BDF-CB10-DD42-BE60-F95233BDD9A5}"/>
    <cellStyle name="Normal" xfId="0" builtinId="0"/>
    <cellStyle name="Normal 2" xfId="1" xr:uid="{DB7C29B4-4247-8740-B948-91D2ADAE8B24}"/>
    <cellStyle name="Normal 3" xfId="3" xr:uid="{1C9C26EC-9A96-4C15-8BB0-888087C7416E}"/>
  </cellStyles>
  <dxfs count="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4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Downloads/Strains.xlsm" TargetMode="External"/><Relationship Id="rId2" Type="http://schemas.openxmlformats.org/officeDocument/2006/relationships/externalLinkPath" Target="/Users/gonzalovidal/Documents/GitHub/Project_CHARMME/Project_EBUGS/Test/templates/Strains.xlsm" TargetMode="External"/><Relationship Id="rId1" Type="http://schemas.openxmlformats.org/officeDocument/2006/relationships/externalLinkPath" Target="/Users/gonzalovidal/Downloads/Strains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Project_CHARMME/Project_EBUGS/Test/templates/EBUGS_Supplements_filled2.xlsm" TargetMode="External"/><Relationship Id="rId2" Type="http://schemas.openxmlformats.org/officeDocument/2006/relationships/externalLinkPath" Target="/Users/gonzalovidal/Documents/GitHub/Project_CHARMME/Project_EBUGS/Test/templates/EBUGS_Supplements_filled2.xlsm" TargetMode="External"/><Relationship Id="rId1" Type="http://schemas.openxmlformats.org/officeDocument/2006/relationships/externalLinkPath" Target="/Users/gonzalovidal/Documents/GitHub/Project_CHARMME/Project_EBUGS/Test/templates/EBUGS_Supplements_filled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user_data"/>
      <sheetName val="strain"/>
      <sheetName val="Init"/>
      <sheetName val="FlapjackCols"/>
      <sheetName val="column_definitions"/>
      <sheetName val="Ontology Terms"/>
      <sheetName val="SBH_plasmids_collections"/>
      <sheetName val="SBH_chassis_collections"/>
    </sheetNames>
    <sheetDataSet>
      <sheetData sheetId="0"/>
      <sheetData sheetId="1"/>
      <sheetData sheetId="2">
        <row r="1">
          <cell r="B1">
            <v>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welcome"/>
      <sheetName val="Supplements"/>
      <sheetName val="Init"/>
      <sheetName val="column_definitions"/>
      <sheetName val="Ontology Terms"/>
      <sheetName val="molecule_types"/>
      <sheetName val="Organism Terms"/>
      <sheetName val="behavior_types"/>
      <sheetName val="unique_names"/>
      <sheetName val="protein_and_complex_Ids"/>
    </sheetNames>
    <sheetDataSet>
      <sheetData sheetId="0"/>
      <sheetData sheetId="1"/>
      <sheetData sheetId="2">
        <row r="1">
          <cell r="B1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33D944-51B2-8E46-90AD-B187C9A16FEC}" name="Table_1212" displayName="Table_1212" ref="A4:P5" insertRow="1" totalsRowShown="0" dataDxfId="77">
  <autoFilter ref="A4:P5" xr:uid="{00000000-0009-0000-0100-000005000000}"/>
  <tableColumns count="16">
    <tableColumn id="1" xr3:uid="{453CDD2F-8786-8A49-8686-2CB83A86DFA9}" name="Sample Design ID" dataDxfId="76"/>
    <tableColumn id="4" xr3:uid="{F1662E7E-415B-C842-9B9D-B30319D208C1}" name="Sample Design Name" dataDxfId="75"/>
    <tableColumn id="9" xr3:uid="{EF80E94D-6209-1C41-A3D4-483A311695B8}" name="Previous Version (URI)"/>
    <tableColumn id="5" xr3:uid="{C5344F15-9ECF-5A4D-AC9C-715BADEFCB09}" name="Sample Design Description" dataDxfId="74"/>
    <tableColumn id="11" xr3:uid="{25E78C9A-C99A-0F45-AE4B-7494F70B0568}" name="Strains" dataCellStyle="Hyperlink"/>
    <tableColumn id="12" xr3:uid="{ED98138A-78E1-F847-AAD2-B316648FEA0D}" name="Medias" dataCellStyle="Hyperlink"/>
    <tableColumn id="16" xr3:uid="{AF716ABA-52B5-8943-8622-D89105147EF3}" name="Supplements" dataCellStyle="Hyperlink"/>
    <tableColumn id="6" xr3:uid="{528A453C-B2D4-FD4F-AB99-F7EF77FF64D5}" name="Data Source" dataDxfId="73"/>
    <tableColumn id="2" xr3:uid="{8EEEB9B9-87AB-8940-B76A-545406373F47}" name="PubMed ID" dataDxfId="72"/>
    <tableColumn id="7" xr3:uid="{924FB5C6-7836-E949-B72B-F9894516E4DF}" name="DOI" dataDxfId="71"/>
    <tableColumn id="10" xr3:uid="{FDEFD987-0A73-CD4A-863C-B0D5E01C9AB1}" name="URI" dataDxfId="70"/>
    <tableColumn id="13" xr3:uid="{99978877-F770-1443-924F-73204F58FE1C}" name="Update" dataDxfId="69"/>
    <tableColumn id="3" xr3:uid="{BC2C395A-8C09-9E4C-80D5-7910403BFEA6}" name="URL Checker - Data Source" dataDxfId="68"/>
    <tableColumn id="14" xr3:uid="{D29DC6A7-1C8C-534D-AE0D-01C84176D920}" name="URL Checker - DOI" dataDxfId="67"/>
    <tableColumn id="8" xr3:uid="{49EB53CF-BE72-5E4E-941D-86A2628E2B03}" name="URL Checker - Previous Version (URI)2" dataDxfId="66"/>
    <tableColumn id="17" xr3:uid="{7E2FFF72-0FA7-A041-9FD4-314902A1E6C6}" name="URL Checker - URI" dataDxfId="65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0D35FC-BBA1-5745-BF21-C6AA754AE2E4}" name="Table_12126" displayName="Table_12126" ref="A4:O5" insertRow="1" totalsRowShown="0" dataDxfId="63">
  <autoFilter ref="A4:O5" xr:uid="{00000000-0009-0000-0100-000005000000}"/>
  <tableColumns count="15">
    <tableColumn id="1" xr3:uid="{72F4ADCC-654B-A044-AEA9-2CAFE9E39D41}" name="Supplement ID" dataDxfId="62"/>
    <tableColumn id="4" xr3:uid="{DEC50395-2B2C-7B43-9AA2-65D1333C53E6}" name="Supplement Name" dataDxfId="61"/>
    <tableColumn id="9" xr3:uid="{99C85917-E137-9D45-B432-8836FD3E6564}" name="Previous Version (URI)"/>
    <tableColumn id="5" xr3:uid="{C5E7F0CC-395E-624D-80C0-CFF617758E5C}" name="Supplement Description" dataDxfId="60"/>
    <tableColumn id="12" xr3:uid="{E199A178-22E7-C042-9305-E9F0077DB513}" name="Chemical" dataCellStyle="Hyperlink"/>
    <tableColumn id="16" xr3:uid="{2029052E-56A0-314A-B0E8-FE73DF2333F6}" name="Concentration" dataCellStyle="Hyperlink"/>
    <tableColumn id="6" xr3:uid="{472B8121-2B08-174D-8F6D-136E17253263}" name="Data Source" dataDxfId="59"/>
    <tableColumn id="2" xr3:uid="{57B2E40F-E41D-C949-A1B9-AF967A94EE11}" name="PubMed ID" dataDxfId="58"/>
    <tableColumn id="7" xr3:uid="{615E5F43-EECA-3E40-86BB-283AD49AF8BF}" name="DOI" dataDxfId="57"/>
    <tableColumn id="10" xr3:uid="{1CB01A86-FB7D-5A42-BC5C-0B270CF97384}" name="URI" dataDxfId="56"/>
    <tableColumn id="13" xr3:uid="{C2473AEC-4A54-CF40-B7B0-9CFDE1032A24}" name="Update" dataDxfId="55"/>
    <tableColumn id="3" xr3:uid="{7CA45FB6-9E5D-B041-A10D-52D7AC2B33CD}" name="URL Checker - Data Source" dataDxfId="54"/>
    <tableColumn id="14" xr3:uid="{FA727B69-2227-AB45-A569-0764A9DC37C2}" name="URL Checker - DOI" dataDxfId="53"/>
    <tableColumn id="8" xr3:uid="{2AA8FC4B-F84E-2E45-902F-E4933710B5DC}" name="URL Checker - Previous Version" dataDxfId="52"/>
    <tableColumn id="17" xr3:uid="{0369923A-F2AD-454A-8446-B7AEF22725BB}" name="URL Checker - URI" dataDxfId="51"/>
  </tableColumns>
  <tableStyleInfo name="TableStyleLight2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9" totalsRowShown="0">
  <autoFilter ref="A10:L19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35" totalsRowShown="0" dataDxfId="7">
  <autoFilter ref="A1:Q35" xr:uid="{00000000-0009-0000-0100-000002000000}"/>
  <sortState xmlns:xlrd2="http://schemas.microsoft.com/office/spreadsheetml/2017/richdata2" ref="A2:Q35">
    <sortCondition ref="A1:A35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6"/>
    <tableColumn id="9" xr3:uid="{00000000-0010-0000-0200-000009000000}" name="Sheet Lookup" dataDxfId="5"/>
    <tableColumn id="10" xr3:uid="{00000000-0010-0000-0200-00000A000000}" name="Replacement Lookup" dataDxfId="4"/>
    <tableColumn id="11" xr3:uid="{00000000-0010-0000-0200-00000B000000}" name="Object_ID Lookup" dataDxfId="3"/>
    <tableColumn id="12" xr3:uid="{00000000-0010-0000-0200-00000C000000}" name="Parent Lookup" dataDxfId="2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iki.synbiohub.org/wiki/Terms/experimenta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synbiohub.org/public/igem/BBa_J23101/1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synbiohub.org/public/igem/BBa_J23101/1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synbiohub.org/public/igem/BBa_J23101/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tabSelected="1" workbookViewId="0">
      <selection activeCell="F11" sqref="F11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C4" s="4" t="s">
        <v>75</v>
      </c>
    </row>
    <row r="6" spans="1:4" x14ac:dyDescent="0.2">
      <c r="B6" s="8"/>
      <c r="C6" s="8"/>
    </row>
    <row r="7" spans="1:4" x14ac:dyDescent="0.2">
      <c r="A7" s="6"/>
      <c r="B7" s="29" t="s">
        <v>0</v>
      </c>
      <c r="C7" s="30"/>
      <c r="D7" s="7"/>
    </row>
    <row r="8" spans="1:4" x14ac:dyDescent="0.2">
      <c r="A8" s="6"/>
      <c r="B8" s="29" t="s">
        <v>1</v>
      </c>
      <c r="C8" s="30"/>
      <c r="D8" s="7"/>
    </row>
    <row r="9" spans="1:4" x14ac:dyDescent="0.2">
      <c r="A9" s="6"/>
      <c r="B9" s="29" t="s">
        <v>2</v>
      </c>
      <c r="C9" s="30"/>
      <c r="D9" s="7"/>
    </row>
    <row r="10" spans="1:4" x14ac:dyDescent="0.2">
      <c r="A10" s="6"/>
      <c r="B10" s="29" t="s">
        <v>3</v>
      </c>
      <c r="C10" s="30"/>
      <c r="D10" s="7"/>
    </row>
    <row r="11" spans="1:4" x14ac:dyDescent="0.2">
      <c r="A11" s="6"/>
      <c r="B11" s="29" t="s">
        <v>4</v>
      </c>
      <c r="C11" s="30"/>
      <c r="D11" s="7"/>
    </row>
    <row r="12" spans="1:4" x14ac:dyDescent="0.2">
      <c r="A12" s="6"/>
      <c r="B12" s="29" t="s">
        <v>5</v>
      </c>
      <c r="C12" s="30"/>
      <c r="D12" s="7"/>
    </row>
    <row r="13" spans="1:4" x14ac:dyDescent="0.2">
      <c r="A13" s="6"/>
      <c r="B13" s="29" t="s">
        <v>6</v>
      </c>
      <c r="C13" s="31"/>
      <c r="D13" s="7"/>
    </row>
    <row r="14" spans="1:4" x14ac:dyDescent="0.2">
      <c r="A14" s="6"/>
      <c r="B14" s="29" t="s">
        <v>7</v>
      </c>
      <c r="C14" s="32"/>
      <c r="D14" s="7"/>
    </row>
    <row r="15" spans="1:4" x14ac:dyDescent="0.2">
      <c r="A15" s="6"/>
      <c r="B15" s="29" t="s">
        <v>8</v>
      </c>
      <c r="C15" s="29" t="b">
        <v>0</v>
      </c>
      <c r="D15" s="7"/>
    </row>
    <row r="16" spans="1:4" x14ac:dyDescent="0.2">
      <c r="A16" s="6"/>
      <c r="B16" s="33" t="s">
        <v>70</v>
      </c>
      <c r="C16" s="34"/>
      <c r="D16" s="7"/>
    </row>
    <row r="17" spans="1:4" x14ac:dyDescent="0.2">
      <c r="A17" s="6"/>
      <c r="B17" s="33" t="s">
        <v>72</v>
      </c>
      <c r="C17" s="34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41AC8-3FFB-8949-838C-37EED3F400C8}">
  <sheetPr codeName="Sheet9">
    <outlinePr summaryBelow="0"/>
  </sheetPr>
  <dimension ref="A1:P628"/>
  <sheetViews>
    <sheetView topLeftCell="B1" zoomScale="91" workbookViewId="0">
      <selection activeCell="J20" sqref="J20"/>
    </sheetView>
  </sheetViews>
  <sheetFormatPr baseColWidth="10" defaultColWidth="8.83203125" defaultRowHeight="15" x14ac:dyDescent="0.2"/>
  <cols>
    <col min="1" max="1" width="26.5" style="21" hidden="1" customWidth="1"/>
    <col min="2" max="3" width="26.5" style="21" customWidth="1"/>
    <col min="4" max="4" width="36.5" style="21" customWidth="1"/>
    <col min="5" max="5" width="14" style="21" customWidth="1"/>
    <col min="6" max="6" width="14.6640625" style="21" customWidth="1"/>
    <col min="7" max="7" width="16.5" style="21" customWidth="1"/>
    <col min="8" max="8" width="15.6640625" style="21" customWidth="1"/>
    <col min="9" max="9" width="13.5" style="21" customWidth="1"/>
    <col min="10" max="10" width="15.5" style="21" customWidth="1"/>
    <col min="11" max="11" width="8.5" style="21" customWidth="1"/>
    <col min="12" max="12" width="7.6640625" style="21" customWidth="1"/>
    <col min="13" max="13" width="17.83203125" style="21" hidden="1" customWidth="1"/>
    <col min="14" max="16" width="8.5" style="21" hidden="1" customWidth="1"/>
    <col min="17" max="26" width="8.5" style="21" bestFit="1" customWidth="1"/>
    <col min="27" max="27" width="12.5" style="21" bestFit="1" customWidth="1"/>
    <col min="28" max="16384" width="8.83203125" style="21"/>
  </cols>
  <sheetData>
    <row r="1" spans="1:16" ht="15.75" customHeight="1" x14ac:dyDescent="0.2"/>
    <row r="2" spans="1:16" ht="15.75" customHeight="1" x14ac:dyDescent="0.2"/>
    <row r="3" spans="1:16" ht="15.75" customHeight="1" x14ac:dyDescent="0.2">
      <c r="A3" s="21" t="s">
        <v>86</v>
      </c>
      <c r="B3" s="21" t="s">
        <v>87</v>
      </c>
      <c r="D3" s="21" t="s">
        <v>88</v>
      </c>
      <c r="E3" s="21" t="s">
        <v>89</v>
      </c>
      <c r="H3" s="21" t="s">
        <v>90</v>
      </c>
      <c r="K3" s="21" t="s">
        <v>95</v>
      </c>
      <c r="M3" s="22" t="s">
        <v>91</v>
      </c>
      <c r="N3" s="22" t="s">
        <v>91</v>
      </c>
      <c r="O3" s="22"/>
      <c r="P3" s="22"/>
    </row>
    <row r="4" spans="1:16" ht="43" customHeight="1" x14ac:dyDescent="0.2">
      <c r="A4" s="21" t="s">
        <v>98</v>
      </c>
      <c r="B4" s="21" t="s">
        <v>73</v>
      </c>
      <c r="C4" s="21" t="s">
        <v>69</v>
      </c>
      <c r="D4" s="21" t="s">
        <v>74</v>
      </c>
      <c r="E4" s="21" t="s">
        <v>99</v>
      </c>
      <c r="F4" s="21" t="s">
        <v>141</v>
      </c>
      <c r="G4" s="21" t="s">
        <v>100</v>
      </c>
      <c r="H4" s="21" t="s">
        <v>9</v>
      </c>
      <c r="I4" s="21" t="s">
        <v>111</v>
      </c>
      <c r="J4" s="21" t="s">
        <v>11</v>
      </c>
      <c r="K4" s="23" t="s">
        <v>53</v>
      </c>
      <c r="L4" s="23" t="s">
        <v>85</v>
      </c>
      <c r="M4" s="24" t="s">
        <v>92</v>
      </c>
      <c r="N4" s="24" t="s">
        <v>93</v>
      </c>
      <c r="O4" s="24" t="s">
        <v>137</v>
      </c>
      <c r="P4" s="24" t="s">
        <v>97</v>
      </c>
    </row>
    <row r="5" spans="1:16" ht="15" customHeight="1" x14ac:dyDescent="0.2">
      <c r="B5" s="25"/>
      <c r="D5" s="25"/>
      <c r="E5" s="26"/>
      <c r="F5" s="26"/>
      <c r="G5" s="26"/>
      <c r="I5" s="27"/>
      <c r="K5" s="28"/>
      <c r="L5" s="28"/>
    </row>
    <row r="6" spans="1:16" ht="15.75" customHeight="1" x14ac:dyDescent="0.2">
      <c r="B6" s="25"/>
      <c r="D6" s="25"/>
      <c r="E6" s="26"/>
      <c r="F6" s="26"/>
      <c r="G6" s="26"/>
      <c r="I6" s="27"/>
      <c r="K6" s="28"/>
      <c r="L6" s="28"/>
    </row>
    <row r="7" spans="1:16" ht="15.75" customHeight="1" x14ac:dyDescent="0.2">
      <c r="B7" s="25"/>
      <c r="D7" s="25"/>
      <c r="E7" s="26"/>
      <c r="F7" s="26"/>
      <c r="G7" s="26"/>
      <c r="I7" s="27"/>
      <c r="K7" s="28"/>
      <c r="L7" s="28"/>
    </row>
    <row r="8" spans="1:16" ht="15.75" customHeight="1" x14ac:dyDescent="0.2">
      <c r="B8" s="25"/>
      <c r="D8" s="25"/>
      <c r="E8" s="26"/>
      <c r="F8" s="26"/>
      <c r="G8" s="26"/>
      <c r="I8" s="27"/>
      <c r="K8" s="28"/>
      <c r="L8" s="28"/>
    </row>
    <row r="9" spans="1:16" ht="15.75" customHeight="1" x14ac:dyDescent="0.2">
      <c r="B9" s="25"/>
      <c r="D9" s="25"/>
      <c r="E9" s="26"/>
      <c r="F9" s="26"/>
      <c r="G9" s="26"/>
      <c r="I9" s="27"/>
      <c r="K9" s="28"/>
      <c r="L9" s="28"/>
    </row>
    <row r="10" spans="1:16" ht="15.75" customHeight="1" x14ac:dyDescent="0.2"/>
    <row r="11" spans="1:16" ht="15.75" customHeight="1" x14ac:dyDescent="0.2"/>
    <row r="12" spans="1:16" ht="15.75" customHeight="1" x14ac:dyDescent="0.2"/>
    <row r="13" spans="1:16" ht="15.75" customHeight="1" x14ac:dyDescent="0.2"/>
    <row r="14" spans="1:16" ht="15.75" customHeight="1" x14ac:dyDescent="0.2"/>
    <row r="15" spans="1:16" ht="15.75" customHeight="1" x14ac:dyDescent="0.2"/>
    <row r="16" spans="1:16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</sheetData>
  <conditionalFormatting sqref="B5">
    <cfRule type="expression" dxfId="78" priority="1" stopIfTrue="1">
      <formula>ISBLANK(B5)</formula>
    </cfRule>
  </conditionalFormatting>
  <dataValidations count="3">
    <dataValidation type="custom" allowBlank="1" showErrorMessage="1" errorTitle="This is not a valid name" error="Please enter a unique name to avoid future errors when referencing a component. Also, ensure that the name does not start with a number." sqref="C5" xr:uid="{374FA92B-D819-A745-8F4F-B3962B039391}">
      <formula1>AND(COUNTIF(#REF!,C5)=1,CODE(MID(C5,1,1))&gt;=65)</formula1>
    </dataValidation>
    <dataValidation type="custom" allowBlank="1" showInputMessage="1" showErrorMessage="1" errorTitle="Invalid URL" error="The URL entered seems to be invalid, please check again." sqref="H5" xr:uid="{423AEA69-970B-8046-881F-5C0CE5589B59}">
      <formula1>#REF!</formula1>
    </dataValidation>
    <dataValidation type="list" allowBlank="1" showInputMessage="1" showErrorMessage="1" sqref="L5" xr:uid="{01EA1308-A7DB-4747-A15F-F8F6BF5176A2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custom" allowBlank="1" showErrorMessage="1" errorTitle="This is not a valid name" error="Please enter a unique name to avoid future errors when referencing a component. Also, ensure that the name does not start with a number." xr:uid="{6AEFC70E-CA21-6348-8BC4-9E03DB994203}">
          <x14:formula1>
            <xm:f>AND(COUNTIF(unique_values!$A$2:$B$301,B5)=1,CODE(MID(B5,1,1))&gt;=65)</xm:f>
          </x14:formula1>
          <xm:sqref>B5</xm:sqref>
        </x14:dataValidation>
        <x14:dataValidation type="list" allowBlank="1" showInputMessage="1" showErrorMessage="1" xr:uid="{92F94567-15AB-D74E-BE96-14BDAA584B39}">
          <x14:formula1>
            <xm:f>SBH_strains_collection!$A$2:$A$301</xm:f>
          </x14:formula1>
          <xm:sqref>E5</xm:sqref>
        </x14:dataValidation>
        <x14:dataValidation type="list" allowBlank="1" showInputMessage="1" showErrorMessage="1" xr:uid="{668372F5-933F-1544-A7F0-E3FDAEA89AE2}">
          <x14:formula1>
            <xm:f>SBH_medias_collection!$A$2:$A$301</xm:f>
          </x14:formula1>
          <xm:sqref>F5</xm:sqref>
        </x14:dataValidation>
        <x14:dataValidation type="list" allowBlank="1" showInputMessage="1" showErrorMessage="1" xr:uid="{EEC8C2BB-9AE2-6147-81F5-A150B5A5685B}">
          <x14:formula1>
            <xm:f>supplement!$B$5:$B$6</xm:f>
          </x14:formula1>
          <xm:sqref>G5:G4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39539-CF92-9B42-BAA2-5BB153B585CB}">
  <sheetPr codeName="Sheet14">
    <outlinePr summaryBelow="0"/>
  </sheetPr>
  <dimension ref="A1:O618"/>
  <sheetViews>
    <sheetView topLeftCell="B1" zoomScale="91" workbookViewId="0">
      <selection activeCell="I15" sqref="I15"/>
    </sheetView>
  </sheetViews>
  <sheetFormatPr baseColWidth="10" defaultColWidth="8.83203125" defaultRowHeight="15" x14ac:dyDescent="0.2"/>
  <cols>
    <col min="1" max="1" width="26.5" style="21" hidden="1" customWidth="1"/>
    <col min="2" max="3" width="26.5" style="21" customWidth="1"/>
    <col min="4" max="4" width="36.5" style="21" customWidth="1"/>
    <col min="5" max="5" width="14.6640625" style="21" customWidth="1"/>
    <col min="6" max="6" width="16.6640625" style="21" customWidth="1"/>
    <col min="7" max="7" width="15.6640625" style="21" customWidth="1"/>
    <col min="8" max="8" width="13.6640625" style="21" customWidth="1"/>
    <col min="9" max="9" width="15.5" style="21" customWidth="1"/>
    <col min="10" max="10" width="8.5" style="21" customWidth="1"/>
    <col min="11" max="11" width="7.6640625" style="21" customWidth="1"/>
    <col min="12" max="12" width="17.83203125" style="21" hidden="1" customWidth="1"/>
    <col min="13" max="15" width="8.5" style="21" hidden="1" customWidth="1"/>
    <col min="16" max="25" width="8.5" style="21" bestFit="1" customWidth="1"/>
    <col min="26" max="26" width="12.5" style="21" bestFit="1" customWidth="1"/>
    <col min="27" max="16384" width="8.83203125" style="21"/>
  </cols>
  <sheetData>
    <row r="1" spans="1:15" ht="15.75" customHeight="1" x14ac:dyDescent="0.2"/>
    <row r="2" spans="1:15" ht="15.75" customHeight="1" x14ac:dyDescent="0.2"/>
    <row r="3" spans="1:15" ht="15.75" customHeight="1" x14ac:dyDescent="0.2">
      <c r="A3" s="21" t="s">
        <v>86</v>
      </c>
      <c r="B3" s="21" t="s">
        <v>87</v>
      </c>
      <c r="D3" s="21" t="s">
        <v>88</v>
      </c>
      <c r="G3" s="21" t="s">
        <v>90</v>
      </c>
      <c r="J3" s="21" t="s">
        <v>95</v>
      </c>
      <c r="L3" s="22" t="s">
        <v>91</v>
      </c>
      <c r="M3" s="22" t="s">
        <v>91</v>
      </c>
      <c r="N3" s="22"/>
      <c r="O3" s="22"/>
    </row>
    <row r="4" spans="1:15" ht="43" customHeight="1" x14ac:dyDescent="0.2">
      <c r="A4" s="21" t="s">
        <v>101</v>
      </c>
      <c r="B4" s="21" t="s">
        <v>102</v>
      </c>
      <c r="C4" s="21" t="s">
        <v>69</v>
      </c>
      <c r="D4" s="21" t="s">
        <v>103</v>
      </c>
      <c r="E4" s="21" t="s">
        <v>104</v>
      </c>
      <c r="F4" s="21" t="s">
        <v>105</v>
      </c>
      <c r="G4" s="21" t="s">
        <v>9</v>
      </c>
      <c r="H4" s="21" t="s">
        <v>111</v>
      </c>
      <c r="I4" s="21" t="s">
        <v>11</v>
      </c>
      <c r="J4" s="23" t="s">
        <v>53</v>
      </c>
      <c r="K4" s="23" t="s">
        <v>85</v>
      </c>
      <c r="L4" s="24" t="s">
        <v>92</v>
      </c>
      <c r="M4" s="24" t="s">
        <v>93</v>
      </c>
      <c r="N4" s="24" t="s">
        <v>96</v>
      </c>
      <c r="O4" s="24" t="s">
        <v>97</v>
      </c>
    </row>
    <row r="5" spans="1:15" ht="15" customHeight="1" x14ac:dyDescent="0.2">
      <c r="B5" s="25"/>
      <c r="D5" s="25"/>
      <c r="E5" s="26"/>
      <c r="F5" s="26"/>
      <c r="H5" s="27"/>
      <c r="J5" s="28"/>
      <c r="K5" s="28"/>
    </row>
    <row r="6" spans="1:15" ht="15.75" customHeight="1" x14ac:dyDescent="0.2">
      <c r="B6" s="25"/>
      <c r="D6" s="25"/>
      <c r="E6" s="26"/>
      <c r="F6" s="26"/>
      <c r="H6" s="27"/>
      <c r="J6" s="28"/>
      <c r="K6" s="28"/>
    </row>
    <row r="7" spans="1:15" ht="15.75" customHeight="1" x14ac:dyDescent="0.2"/>
    <row r="8" spans="1:15" ht="15.75" customHeight="1" x14ac:dyDescent="0.2"/>
    <row r="9" spans="1:15" ht="15.75" customHeight="1" x14ac:dyDescent="0.2"/>
    <row r="10" spans="1:15" ht="15.75" customHeight="1" x14ac:dyDescent="0.2"/>
    <row r="11" spans="1:15" ht="15.75" customHeight="1" x14ac:dyDescent="0.2"/>
    <row r="12" spans="1:15" ht="15.75" customHeight="1" x14ac:dyDescent="0.2"/>
    <row r="13" spans="1:15" ht="15.75" customHeight="1" x14ac:dyDescent="0.2"/>
    <row r="14" spans="1:15" ht="15.75" customHeight="1" x14ac:dyDescent="0.2"/>
    <row r="15" spans="1:15" ht="15.75" customHeight="1" x14ac:dyDescent="0.2"/>
    <row r="16" spans="1:15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</sheetData>
  <conditionalFormatting sqref="B5">
    <cfRule type="expression" dxfId="64" priority="1" stopIfTrue="1">
      <formula>ISBLANK(B5)</formula>
    </cfRule>
  </conditionalFormatting>
  <dataValidations count="3">
    <dataValidation type="list" allowBlank="1" showInputMessage="1" showErrorMessage="1" sqref="K5" xr:uid="{AC034BDB-9BCA-DE47-8FB7-A5A7663152B7}">
      <formula1>"TRUE, FALSE"</formula1>
    </dataValidation>
    <dataValidation type="custom" allowBlank="1" showInputMessage="1" showErrorMessage="1" errorTitle="Invalid URL" error="The URL entered seems to be invalid, please check again." sqref="G5" xr:uid="{B0B845DF-7D3D-1240-8487-A98FF433161E}">
      <formula1>#REF!</formula1>
    </dataValidation>
    <dataValidation type="custom" allowBlank="1" showErrorMessage="1" errorTitle="This is not a valid name" error="Please enter a unique name to avoid future errors when referencing a component. Also, ensure that the name does not start with a number." sqref="C5" xr:uid="{820814AB-E5A5-1149-A672-9CB8965415AE}">
      <formula1>AND(COUNTIF(#REF!,C5)=1,CODE(MID(C5,1,1))&gt;=65)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947AA960-785D-FF42-8FD0-8F4E03D61728}">
          <x14:formula1>
            <xm:f>AND(COUNTIF(unique_values!$A$2:$B$301,B5)=1,CODE(MID(B5,1,1))&gt;=65)</xm:f>
          </x14:formula1>
          <xm:sqref>B5</xm:sqref>
        </x14:dataValidation>
        <x14:dataValidation type="list" allowBlank="1" showInputMessage="1" showErrorMessage="1" xr:uid="{19CFD272-FB2F-9548-9D17-948E2F4280ED}">
          <x14:formula1>
            <xm:f>SBH_chemicals_collection!$A$2:$A$301</xm:f>
          </x14:formula1>
          <xm:sqref>E5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9"/>
  <sheetViews>
    <sheetView workbookViewId="0">
      <selection activeCell="B24" sqref="B24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13</v>
      </c>
      <c r="B1" s="3">
        <v>2</v>
      </c>
    </row>
    <row r="2" spans="1:12" ht="17.25" customHeight="1" x14ac:dyDescent="0.2">
      <c r="A2" s="3" t="s">
        <v>14</v>
      </c>
      <c r="B2" s="3" t="s">
        <v>15</v>
      </c>
    </row>
    <row r="3" spans="1:12" ht="17.25" customHeight="1" x14ac:dyDescent="0.2">
      <c r="A3" s="3" t="s">
        <v>16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17</v>
      </c>
      <c r="B10" t="s">
        <v>18</v>
      </c>
      <c r="C10" t="s">
        <v>19</v>
      </c>
      <c r="D10" t="s">
        <v>20</v>
      </c>
      <c r="E10" t="s">
        <v>21</v>
      </c>
      <c r="F10" t="s">
        <v>22</v>
      </c>
      <c r="G10" t="s">
        <v>23</v>
      </c>
      <c r="H10" t="s">
        <v>24</v>
      </c>
      <c r="I10" t="s">
        <v>25</v>
      </c>
      <c r="J10" t="s">
        <v>26</v>
      </c>
      <c r="K10" t="s">
        <v>27</v>
      </c>
      <c r="L10" t="s">
        <v>12</v>
      </c>
    </row>
    <row r="11" spans="1:12" x14ac:dyDescent="0.2">
      <c r="A11" t="s">
        <v>138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94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71</v>
      </c>
      <c r="L12" t="s">
        <v>77</v>
      </c>
    </row>
    <row r="13" spans="1:12" ht="17.25" customHeight="1" x14ac:dyDescent="0.2">
      <c r="A13" t="s">
        <v>110</v>
      </c>
      <c r="B13" t="b">
        <v>1</v>
      </c>
      <c r="C13">
        <v>4</v>
      </c>
      <c r="D13" t="b">
        <v>0</v>
      </c>
      <c r="E13">
        <v>0</v>
      </c>
      <c r="F13">
        <v>0</v>
      </c>
      <c r="G13" t="b">
        <v>0</v>
      </c>
      <c r="H13">
        <v>0</v>
      </c>
      <c r="I13">
        <v>0</v>
      </c>
      <c r="J13" t="s">
        <v>71</v>
      </c>
      <c r="L13" t="s">
        <v>134</v>
      </c>
    </row>
    <row r="14" spans="1:12" ht="17.25" customHeight="1" x14ac:dyDescent="0.2">
      <c r="A14" t="s">
        <v>28</v>
      </c>
      <c r="B14" t="b">
        <v>0</v>
      </c>
      <c r="C14">
        <v>0</v>
      </c>
      <c r="D14" t="b">
        <v>0</v>
      </c>
      <c r="G14" t="b">
        <v>0</v>
      </c>
    </row>
    <row r="15" spans="1:12" x14ac:dyDescent="0.2">
      <c r="A15" t="s">
        <v>29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142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143</v>
      </c>
      <c r="B17" t="b">
        <v>0</v>
      </c>
      <c r="C17">
        <v>0</v>
      </c>
      <c r="D17" t="b">
        <v>0</v>
      </c>
      <c r="G17" t="b">
        <v>0</v>
      </c>
    </row>
    <row r="18" spans="1:7" x14ac:dyDescent="0.2">
      <c r="A18" t="s">
        <v>144</v>
      </c>
      <c r="B18" t="b">
        <v>0</v>
      </c>
      <c r="C18">
        <v>0</v>
      </c>
      <c r="D18" t="b">
        <v>0</v>
      </c>
      <c r="G18" t="b">
        <v>0</v>
      </c>
    </row>
    <row r="19" spans="1:7" x14ac:dyDescent="0.2">
      <c r="A19" t="s">
        <v>139</v>
      </c>
      <c r="B19" t="b">
        <v>0</v>
      </c>
      <c r="C19">
        <v>0</v>
      </c>
      <c r="D19" t="b">
        <v>0</v>
      </c>
      <c r="G19" t="b">
        <v>0</v>
      </c>
    </row>
  </sheetData>
  <dataValidations count="1">
    <dataValidation type="list" allowBlank="1" showInputMessage="1" showErrorMessage="1" sqref="B11:B19 G11:G19 D11:D19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2B6464-7C31-274A-A575-5D55C78C65EE}">
          <x14:formula1>
            <xm:f>'Ontology Terms'!$A$2:$A$3</xm:f>
          </x14:formula1>
          <xm:sqref>L12:L13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FEB28-2435-44BF-90C5-46DC91B32A00}">
  <sheetPr>
    <tabColor theme="4"/>
  </sheetPr>
  <dimension ref="A1:D3"/>
  <sheetViews>
    <sheetView workbookViewId="0">
      <selection activeCell="F7" sqref="F7"/>
    </sheetView>
  </sheetViews>
  <sheetFormatPr baseColWidth="10" defaultColWidth="8.83203125" defaultRowHeight="15" x14ac:dyDescent="0.2"/>
  <sheetData>
    <row r="1" spans="1:4" x14ac:dyDescent="0.2">
      <c r="A1" s="12" t="s">
        <v>17</v>
      </c>
      <c r="B1" s="12" t="s">
        <v>79</v>
      </c>
      <c r="C1" s="12" t="s">
        <v>80</v>
      </c>
      <c r="D1" s="12" t="s">
        <v>81</v>
      </c>
    </row>
    <row r="2" spans="1:4" ht="16" x14ac:dyDescent="0.2">
      <c r="A2" s="16" t="s">
        <v>94</v>
      </c>
      <c r="B2" s="16" t="s">
        <v>84</v>
      </c>
      <c r="C2" s="14" t="s">
        <v>73</v>
      </c>
      <c r="D2" s="16" t="s">
        <v>82</v>
      </c>
    </row>
    <row r="3" spans="1:4" ht="16" x14ac:dyDescent="0.2">
      <c r="A3" s="15" t="s">
        <v>94</v>
      </c>
      <c r="B3" s="15" t="s">
        <v>84</v>
      </c>
      <c r="C3" s="15" t="s">
        <v>74</v>
      </c>
      <c r="D3" s="17" t="s">
        <v>83</v>
      </c>
    </row>
  </sheetData>
  <conditionalFormatting sqref="A2:B2 B3">
    <cfRule type="expression" dxfId="50" priority="1" stopIfTrue="1">
      <formula>ISBLANK(A2)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35"/>
  <sheetViews>
    <sheetView zoomScaleNormal="100" workbookViewId="0">
      <selection activeCell="G7" sqref="G7"/>
    </sheetView>
  </sheetViews>
  <sheetFormatPr baseColWidth="10" defaultColWidth="8.83203125" defaultRowHeight="15" x14ac:dyDescent="0.2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17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</row>
    <row r="2" spans="1:17" x14ac:dyDescent="0.2">
      <c r="A2" t="s">
        <v>94</v>
      </c>
      <c r="B2" t="s">
        <v>98</v>
      </c>
      <c r="C2" t="s">
        <v>46</v>
      </c>
      <c r="E2" t="str">
        <f>CONCATENATE("http://sbols.org/v",Init!$B$1,"#")</f>
        <v>http://sbols.org/v2#</v>
      </c>
      <c r="F2" t="s">
        <v>47</v>
      </c>
      <c r="G2" t="s">
        <v>48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94</v>
      </c>
      <c r="B3" t="s">
        <v>73</v>
      </c>
      <c r="C3" t="s">
        <v>49</v>
      </c>
      <c r="E3" t="str">
        <f>CONCATENATE("http://sbols.org/v",Init!$B$1,"#")</f>
        <v>http://sbols.org/v2#</v>
      </c>
      <c r="F3" t="s">
        <v>47</v>
      </c>
      <c r="G3" t="s">
        <v>48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94</v>
      </c>
      <c r="B4" t="s">
        <v>69</v>
      </c>
      <c r="C4" t="s">
        <v>46</v>
      </c>
      <c r="E4" t="str">
        <f>CONCATENATE("http://sbols.org/v",Init!$B$1,"#")</f>
        <v>http://sbols.org/v2#</v>
      </c>
      <c r="F4" t="s">
        <v>47</v>
      </c>
      <c r="G4" t="s">
        <v>48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94</v>
      </c>
      <c r="B5" t="s">
        <v>99</v>
      </c>
      <c r="C5" t="s">
        <v>140</v>
      </c>
      <c r="E5" t="str">
        <f>CONCATENATE("http://sbols.org/v",[1]Init!$B$1,"#")</f>
        <v>http://sbols.org/v2#</v>
      </c>
      <c r="F5" t="s">
        <v>53</v>
      </c>
      <c r="G5" t="s">
        <v>48</v>
      </c>
      <c r="I5" s="1" t="b">
        <v>0</v>
      </c>
      <c r="J5" s="1" t="b">
        <v>1</v>
      </c>
      <c r="K5" s="1" t="b">
        <v>0</v>
      </c>
      <c r="L5" s="1" t="b">
        <v>0</v>
      </c>
      <c r="M5" s="1" t="b">
        <v>0</v>
      </c>
      <c r="N5" t="s">
        <v>142</v>
      </c>
      <c r="O5" t="s">
        <v>57</v>
      </c>
      <c r="P5" t="s">
        <v>58</v>
      </c>
    </row>
    <row r="6" spans="1:17" x14ac:dyDescent="0.2">
      <c r="A6" t="s">
        <v>94</v>
      </c>
      <c r="B6" t="s">
        <v>141</v>
      </c>
      <c r="C6" t="s">
        <v>140</v>
      </c>
      <c r="E6" t="str">
        <f>CONCATENATE("http://sbols.org/v",[1]Init!$B$1,"#")</f>
        <v>http://sbols.org/v2#</v>
      </c>
      <c r="F6" t="s">
        <v>53</v>
      </c>
      <c r="G6" t="s">
        <v>48</v>
      </c>
      <c r="I6" s="1" t="b">
        <v>0</v>
      </c>
      <c r="J6" s="1" t="b">
        <v>1</v>
      </c>
      <c r="K6" s="1" t="b">
        <v>0</v>
      </c>
      <c r="L6" s="1" t="b">
        <v>0</v>
      </c>
      <c r="M6" s="1" t="b">
        <v>0</v>
      </c>
      <c r="N6" t="s">
        <v>143</v>
      </c>
      <c r="O6" t="s">
        <v>57</v>
      </c>
      <c r="P6" t="s">
        <v>58</v>
      </c>
    </row>
    <row r="7" spans="1:17" x14ac:dyDescent="0.2">
      <c r="A7" t="s">
        <v>94</v>
      </c>
      <c r="B7" t="s">
        <v>100</v>
      </c>
      <c r="C7" t="s">
        <v>140</v>
      </c>
      <c r="E7" t="str">
        <f>CONCATENATE("http://sbols.org/v",[1]Init!$B$1,"#")</f>
        <v>http://sbols.org/v2#</v>
      </c>
      <c r="F7" t="s">
        <v>53</v>
      </c>
      <c r="G7" t="s">
        <v>109</v>
      </c>
      <c r="I7" s="1" t="b">
        <v>0</v>
      </c>
      <c r="J7" s="1" t="b">
        <v>0</v>
      </c>
      <c r="K7" s="1" t="b">
        <v>0</v>
      </c>
      <c r="L7" s="1" t="b">
        <v>1</v>
      </c>
      <c r="M7" s="1" t="b">
        <v>0</v>
      </c>
    </row>
    <row r="8" spans="1:17" x14ac:dyDescent="0.2">
      <c r="A8" t="s">
        <v>94</v>
      </c>
      <c r="B8" t="s">
        <v>74</v>
      </c>
      <c r="C8" t="s">
        <v>50</v>
      </c>
      <c r="E8" t="s">
        <v>51</v>
      </c>
      <c r="F8" t="s">
        <v>47</v>
      </c>
      <c r="G8" t="s">
        <v>48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94</v>
      </c>
      <c r="B9" t="s">
        <v>9</v>
      </c>
      <c r="C9" t="s">
        <v>52</v>
      </c>
      <c r="E9" t="str">
        <f>CONCATENATE("http://sbols.org/v",Init!$B$1,"#")</f>
        <v>http://sbols.org/v2#</v>
      </c>
      <c r="F9" t="s">
        <v>53</v>
      </c>
      <c r="G9" t="s">
        <v>48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94</v>
      </c>
      <c r="B10" t="s">
        <v>10</v>
      </c>
      <c r="C10" t="s">
        <v>54</v>
      </c>
      <c r="E10" t="s">
        <v>54</v>
      </c>
      <c r="F10" t="s">
        <v>54</v>
      </c>
      <c r="G10" t="s">
        <v>48</v>
      </c>
      <c r="I10" s="1" t="b">
        <v>0</v>
      </c>
      <c r="J10" s="11" t="b">
        <v>0</v>
      </c>
      <c r="K10" s="11" t="b">
        <v>0</v>
      </c>
      <c r="L10" s="11" t="b">
        <v>0</v>
      </c>
      <c r="M10" s="11" t="b">
        <v>0</v>
      </c>
    </row>
    <row r="11" spans="1:17" x14ac:dyDescent="0.2">
      <c r="A11" t="s">
        <v>94</v>
      </c>
      <c r="B11" t="s">
        <v>111</v>
      </c>
      <c r="C11" t="s">
        <v>55</v>
      </c>
      <c r="E11" t="s">
        <v>56</v>
      </c>
      <c r="F11" t="s">
        <v>47</v>
      </c>
      <c r="G11" t="s">
        <v>48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94</v>
      </c>
      <c r="B12" t="s">
        <v>11</v>
      </c>
      <c r="C12" t="s">
        <v>52</v>
      </c>
      <c r="E12" t="str">
        <f>CONCATENATE("http://sbols.org/v",Init!$B$1,"#")</f>
        <v>http://sbols.org/v2#</v>
      </c>
      <c r="F12" t="s">
        <v>53</v>
      </c>
      <c r="G12" t="s">
        <v>48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94</v>
      </c>
      <c r="B13" t="s">
        <v>53</v>
      </c>
      <c r="C13" t="s">
        <v>54</v>
      </c>
      <c r="F13" t="s">
        <v>47</v>
      </c>
      <c r="G13" t="s">
        <v>48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94</v>
      </c>
      <c r="B14" t="s">
        <v>85</v>
      </c>
      <c r="C14" t="s">
        <v>54</v>
      </c>
      <c r="F14" t="s">
        <v>47</v>
      </c>
      <c r="G14" t="s">
        <v>48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</row>
    <row r="15" spans="1:17" x14ac:dyDescent="0.2">
      <c r="A15" t="s">
        <v>94</v>
      </c>
      <c r="B15" t="s">
        <v>92</v>
      </c>
      <c r="C15" s="18" t="s">
        <v>54</v>
      </c>
      <c r="D15" s="18"/>
      <c r="E15" s="19"/>
      <c r="F15" s="19" t="s">
        <v>47</v>
      </c>
      <c r="G15" s="19" t="s">
        <v>48</v>
      </c>
      <c r="H15" s="19"/>
      <c r="I15" s="20" t="b">
        <v>0</v>
      </c>
      <c r="J15" s="20" t="b">
        <v>0</v>
      </c>
      <c r="K15" s="20" t="b">
        <v>0</v>
      </c>
      <c r="L15" s="20" t="b">
        <v>0</v>
      </c>
      <c r="M15" s="20" t="b">
        <v>0</v>
      </c>
      <c r="N15" s="19"/>
      <c r="O15" s="19"/>
      <c r="P15" s="19"/>
      <c r="Q15" s="19"/>
    </row>
    <row r="16" spans="1:17" x14ac:dyDescent="0.2">
      <c r="A16" t="s">
        <v>94</v>
      </c>
      <c r="B16" t="s">
        <v>93</v>
      </c>
      <c r="C16" s="18" t="s">
        <v>54</v>
      </c>
      <c r="D16" s="18"/>
      <c r="E16" s="19"/>
      <c r="F16" s="19" t="s">
        <v>47</v>
      </c>
      <c r="G16" s="19" t="s">
        <v>48</v>
      </c>
      <c r="H16" s="19"/>
      <c r="I16" s="20" t="b">
        <v>0</v>
      </c>
      <c r="J16" s="20" t="b">
        <v>0</v>
      </c>
      <c r="K16" s="20" t="b">
        <v>0</v>
      </c>
      <c r="L16" s="20" t="b">
        <v>0</v>
      </c>
      <c r="M16" s="20" t="b">
        <v>0</v>
      </c>
      <c r="N16" s="19"/>
      <c r="O16" s="19"/>
      <c r="P16" s="19"/>
      <c r="Q16" s="19"/>
    </row>
    <row r="17" spans="1:17" x14ac:dyDescent="0.2">
      <c r="A17" t="s">
        <v>94</v>
      </c>
      <c r="B17" t="s">
        <v>136</v>
      </c>
      <c r="C17" s="18" t="s">
        <v>54</v>
      </c>
      <c r="D17" s="18"/>
      <c r="E17" s="19"/>
      <c r="F17" s="19" t="s">
        <v>47</v>
      </c>
      <c r="G17" s="19" t="s">
        <v>48</v>
      </c>
      <c r="H17" s="19"/>
      <c r="I17" s="20" t="b">
        <v>0</v>
      </c>
      <c r="J17" s="20" t="b">
        <v>0</v>
      </c>
      <c r="K17" s="20" t="b">
        <v>0</v>
      </c>
      <c r="L17" s="20" t="b">
        <v>0</v>
      </c>
      <c r="M17" s="20" t="b">
        <v>0</v>
      </c>
      <c r="N17" s="19"/>
      <c r="O17" s="19"/>
      <c r="P17" s="19"/>
      <c r="Q17" s="19"/>
    </row>
    <row r="18" spans="1:17" x14ac:dyDescent="0.2">
      <c r="A18" t="s">
        <v>94</v>
      </c>
      <c r="B18" t="s">
        <v>97</v>
      </c>
      <c r="C18" s="18" t="s">
        <v>54</v>
      </c>
      <c r="D18" s="18"/>
      <c r="E18" s="19"/>
      <c r="F18" s="19" t="s">
        <v>47</v>
      </c>
      <c r="G18" s="19" t="s">
        <v>48</v>
      </c>
      <c r="H18" s="19"/>
      <c r="I18" s="20" t="b">
        <v>0</v>
      </c>
      <c r="J18" s="20" t="b">
        <v>0</v>
      </c>
      <c r="K18" s="20" t="b">
        <v>0</v>
      </c>
      <c r="L18" s="20" t="b">
        <v>0</v>
      </c>
      <c r="M18" s="20" t="b">
        <v>0</v>
      </c>
      <c r="N18" s="19"/>
      <c r="O18" s="19"/>
      <c r="P18" s="19"/>
      <c r="Q18" s="19"/>
    </row>
    <row r="19" spans="1:17" x14ac:dyDescent="0.2">
      <c r="A19" t="s">
        <v>110</v>
      </c>
      <c r="B19" t="s">
        <v>101</v>
      </c>
      <c r="C19" t="s">
        <v>46</v>
      </c>
      <c r="E19" t="str">
        <f>_xlfn.CONCAT("http://sbols.org/v",[2]Init!$B$1,"#")</f>
        <v>http://sbols.org/v2#</v>
      </c>
      <c r="F19" t="s">
        <v>47</v>
      </c>
      <c r="G19" t="s">
        <v>48</v>
      </c>
      <c r="I19" s="1" t="b">
        <v>0</v>
      </c>
      <c r="J19" s="1" t="b">
        <v>0</v>
      </c>
      <c r="K19" s="1" t="b">
        <v>0</v>
      </c>
      <c r="L19" s="1" t="b">
        <v>0</v>
      </c>
      <c r="M19" s="1" t="b">
        <v>0</v>
      </c>
    </row>
    <row r="20" spans="1:17" x14ac:dyDescent="0.2">
      <c r="A20" t="s">
        <v>110</v>
      </c>
      <c r="B20" t="s">
        <v>102</v>
      </c>
      <c r="C20" t="s">
        <v>49</v>
      </c>
      <c r="E20" t="str">
        <f>_xlfn.CONCAT("http://sbols.org/v",[2]Init!$B$1,"#")</f>
        <v>http://sbols.org/v2#</v>
      </c>
      <c r="F20" t="s">
        <v>47</v>
      </c>
      <c r="G20" t="s">
        <v>48</v>
      </c>
      <c r="I20" s="1" t="b">
        <v>0</v>
      </c>
      <c r="J20" s="1" t="b">
        <v>0</v>
      </c>
      <c r="K20" s="1" t="b">
        <v>0</v>
      </c>
      <c r="L20" s="1" t="b">
        <v>0</v>
      </c>
      <c r="M20" s="1" t="b">
        <v>0</v>
      </c>
    </row>
    <row r="21" spans="1:17" x14ac:dyDescent="0.2">
      <c r="A21" t="s">
        <v>110</v>
      </c>
      <c r="B21" t="s">
        <v>69</v>
      </c>
      <c r="C21" t="s">
        <v>46</v>
      </c>
      <c r="E21" t="str">
        <f>_xlfn.CONCAT("http://sbols.org/v",[2]Init!$B$1,"#")</f>
        <v>http://sbols.org/v2#</v>
      </c>
      <c r="F21" t="s">
        <v>47</v>
      </c>
      <c r="G21" t="s">
        <v>48</v>
      </c>
      <c r="I21" s="1" t="b">
        <v>0</v>
      </c>
      <c r="J21" s="1" t="b">
        <v>0</v>
      </c>
      <c r="K21" s="1" t="b">
        <v>0</v>
      </c>
      <c r="L21" s="1" t="b">
        <v>0</v>
      </c>
      <c r="M21" s="1" t="b">
        <v>0</v>
      </c>
    </row>
    <row r="22" spans="1:17" x14ac:dyDescent="0.2">
      <c r="A22" t="s">
        <v>110</v>
      </c>
      <c r="B22" t="s">
        <v>103</v>
      </c>
      <c r="C22" t="s">
        <v>50</v>
      </c>
      <c r="E22" t="s">
        <v>51</v>
      </c>
      <c r="F22" t="s">
        <v>47</v>
      </c>
      <c r="G22" t="s">
        <v>48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</row>
    <row r="23" spans="1:17" x14ac:dyDescent="0.2">
      <c r="A23" t="s">
        <v>110</v>
      </c>
      <c r="B23" t="s">
        <v>105</v>
      </c>
      <c r="C23" t="s">
        <v>106</v>
      </c>
      <c r="E23" s="35" t="s">
        <v>107</v>
      </c>
      <c r="F23" t="s">
        <v>47</v>
      </c>
      <c r="G23" t="s">
        <v>48</v>
      </c>
      <c r="I23" s="1" t="b">
        <v>0</v>
      </c>
      <c r="J23" s="1" t="b">
        <v>0</v>
      </c>
      <c r="K23" s="1" t="b">
        <v>0</v>
      </c>
      <c r="L23" s="1" t="b">
        <v>0</v>
      </c>
      <c r="M23" s="1" t="b">
        <v>0</v>
      </c>
    </row>
    <row r="24" spans="1:17" x14ac:dyDescent="0.2">
      <c r="A24" t="s">
        <v>110</v>
      </c>
      <c r="B24" t="s">
        <v>104</v>
      </c>
      <c r="C24" t="s">
        <v>108</v>
      </c>
      <c r="E24" t="str">
        <f>_xlfn.CONCAT("http://sbols.org/v",[2]Init!$B$1,"#")</f>
        <v>http://sbols.org/v2#</v>
      </c>
      <c r="F24" t="s">
        <v>53</v>
      </c>
      <c r="G24" t="s">
        <v>109</v>
      </c>
      <c r="I24" s="1" t="b">
        <v>0</v>
      </c>
      <c r="J24" s="1" t="b">
        <v>1</v>
      </c>
      <c r="K24" s="1" t="b">
        <v>0</v>
      </c>
      <c r="L24" s="1" t="b">
        <v>0</v>
      </c>
      <c r="M24" s="1" t="b">
        <v>0</v>
      </c>
      <c r="N24" t="s">
        <v>144</v>
      </c>
      <c r="O24" t="s">
        <v>57</v>
      </c>
      <c r="P24" t="s">
        <v>58</v>
      </c>
    </row>
    <row r="25" spans="1:17" x14ac:dyDescent="0.2">
      <c r="A25" t="s">
        <v>110</v>
      </c>
      <c r="B25" t="s">
        <v>9</v>
      </c>
      <c r="C25" t="s">
        <v>52</v>
      </c>
      <c r="E25" t="str">
        <f>_xlfn.CONCAT("http://sbols.org/v",[2]Init!$B$1,"#")</f>
        <v>http://sbols.org/v2#</v>
      </c>
      <c r="F25" t="s">
        <v>53</v>
      </c>
      <c r="G25" t="s">
        <v>48</v>
      </c>
      <c r="I25" s="1" t="b">
        <v>0</v>
      </c>
      <c r="J25" s="1" t="b">
        <v>0</v>
      </c>
      <c r="K25" s="1" t="b">
        <v>0</v>
      </c>
      <c r="L25" s="1" t="b">
        <v>0</v>
      </c>
      <c r="M25" s="1" t="b">
        <v>0</v>
      </c>
    </row>
    <row r="26" spans="1:17" x14ac:dyDescent="0.2">
      <c r="A26" t="s">
        <v>110</v>
      </c>
      <c r="B26" t="s">
        <v>111</v>
      </c>
      <c r="C26" t="s">
        <v>55</v>
      </c>
      <c r="E26" t="s">
        <v>56</v>
      </c>
      <c r="F26" t="s">
        <v>47</v>
      </c>
      <c r="G26" t="s">
        <v>48</v>
      </c>
      <c r="I26" s="1" t="b">
        <v>0</v>
      </c>
      <c r="J26" s="1" t="b">
        <v>0</v>
      </c>
      <c r="K26" s="1" t="b">
        <v>0</v>
      </c>
      <c r="L26" s="1" t="b">
        <v>0</v>
      </c>
      <c r="M26" s="1" t="b">
        <v>0</v>
      </c>
    </row>
    <row r="27" spans="1:17" x14ac:dyDescent="0.2">
      <c r="A27" t="s">
        <v>110</v>
      </c>
      <c r="B27" t="s">
        <v>85</v>
      </c>
      <c r="C27" t="s">
        <v>54</v>
      </c>
      <c r="F27" t="s">
        <v>47</v>
      </c>
      <c r="G27" t="s">
        <v>48</v>
      </c>
      <c r="I27" s="1" t="b">
        <v>0</v>
      </c>
      <c r="J27" s="1" t="b">
        <v>0</v>
      </c>
      <c r="K27" s="1" t="b">
        <v>0</v>
      </c>
      <c r="L27" s="1" t="b">
        <v>0</v>
      </c>
      <c r="M27" s="1" t="b">
        <v>0</v>
      </c>
    </row>
    <row r="28" spans="1:17" x14ac:dyDescent="0.2">
      <c r="A28" t="s">
        <v>110</v>
      </c>
      <c r="B28" t="s">
        <v>11</v>
      </c>
      <c r="C28" t="s">
        <v>52</v>
      </c>
      <c r="E28" t="str">
        <f>_xlfn.CONCAT("http://sbols.org/v",[2]Init!$B$1,"#")</f>
        <v>http://sbols.org/v2#</v>
      </c>
      <c r="F28" t="s">
        <v>53</v>
      </c>
      <c r="G28" t="s">
        <v>48</v>
      </c>
      <c r="I28" s="1" t="b">
        <v>0</v>
      </c>
      <c r="J28" s="1" t="b">
        <v>0</v>
      </c>
      <c r="K28" s="1" t="b">
        <v>0</v>
      </c>
      <c r="L28" s="1" t="b">
        <v>0</v>
      </c>
      <c r="M28" s="1" t="b">
        <v>0</v>
      </c>
    </row>
    <row r="29" spans="1:17" x14ac:dyDescent="0.2">
      <c r="A29" t="s">
        <v>110</v>
      </c>
      <c r="B29" t="s">
        <v>93</v>
      </c>
      <c r="C29" s="18" t="s">
        <v>54</v>
      </c>
      <c r="D29" s="18"/>
      <c r="E29" s="19"/>
      <c r="F29" s="19" t="s">
        <v>47</v>
      </c>
      <c r="G29" s="19" t="s">
        <v>48</v>
      </c>
      <c r="H29" s="19"/>
      <c r="I29" s="20" t="b">
        <v>0</v>
      </c>
      <c r="J29" s="20" t="b">
        <v>0</v>
      </c>
      <c r="K29" s="20" t="b">
        <v>0</v>
      </c>
      <c r="L29" s="20" t="b">
        <v>0</v>
      </c>
      <c r="M29" s="20" t="b">
        <v>0</v>
      </c>
      <c r="N29" s="19"/>
      <c r="O29" s="19"/>
      <c r="P29" s="19"/>
      <c r="Q29" s="19"/>
    </row>
    <row r="30" spans="1:17" x14ac:dyDescent="0.2">
      <c r="A30" t="s">
        <v>110</v>
      </c>
      <c r="B30" t="s">
        <v>136</v>
      </c>
      <c r="C30" s="18" t="s">
        <v>54</v>
      </c>
      <c r="D30" s="18"/>
      <c r="E30" s="19"/>
      <c r="F30" s="19" t="s">
        <v>47</v>
      </c>
      <c r="G30" s="19" t="s">
        <v>48</v>
      </c>
      <c r="H30" s="19"/>
      <c r="I30" s="20" t="b">
        <v>0</v>
      </c>
      <c r="J30" s="20" t="b">
        <v>0</v>
      </c>
      <c r="K30" s="20" t="b">
        <v>0</v>
      </c>
      <c r="L30" s="20" t="b">
        <v>0</v>
      </c>
      <c r="M30" s="20" t="b">
        <v>0</v>
      </c>
      <c r="N30" s="19"/>
      <c r="O30" s="19"/>
      <c r="P30" s="19"/>
      <c r="Q30" s="19"/>
    </row>
    <row r="31" spans="1:17" x14ac:dyDescent="0.2">
      <c r="A31" t="s">
        <v>110</v>
      </c>
      <c r="B31" t="s">
        <v>97</v>
      </c>
      <c r="C31" s="18" t="s">
        <v>54</v>
      </c>
      <c r="D31" s="18"/>
      <c r="E31" s="19"/>
      <c r="F31" s="19" t="s">
        <v>47</v>
      </c>
      <c r="G31" s="19" t="s">
        <v>48</v>
      </c>
      <c r="H31" s="19"/>
      <c r="I31" s="20" t="b">
        <v>0</v>
      </c>
      <c r="J31" s="20" t="b">
        <v>0</v>
      </c>
      <c r="K31" s="20" t="b">
        <v>0</v>
      </c>
      <c r="L31" s="20" t="b">
        <v>0</v>
      </c>
      <c r="M31" s="20" t="b">
        <v>0</v>
      </c>
      <c r="N31" s="19"/>
      <c r="O31" s="19"/>
      <c r="P31" s="19"/>
      <c r="Q31" s="19"/>
    </row>
    <row r="32" spans="1:17" x14ac:dyDescent="0.2">
      <c r="A32" t="s">
        <v>110</v>
      </c>
      <c r="B32" t="s">
        <v>92</v>
      </c>
      <c r="C32" s="18" t="s">
        <v>54</v>
      </c>
      <c r="D32" s="18"/>
      <c r="E32" s="19"/>
      <c r="F32" s="19" t="s">
        <v>47</v>
      </c>
      <c r="G32" s="19" t="s">
        <v>48</v>
      </c>
      <c r="H32" s="19"/>
      <c r="I32" s="20" t="b">
        <v>0</v>
      </c>
      <c r="J32" s="20" t="b">
        <v>0</v>
      </c>
      <c r="K32" s="20" t="b">
        <v>0</v>
      </c>
      <c r="L32" s="20" t="b">
        <v>0</v>
      </c>
      <c r="M32" s="20" t="b">
        <v>0</v>
      </c>
      <c r="N32" s="19"/>
      <c r="O32" s="19"/>
      <c r="P32" s="19"/>
      <c r="Q32" s="19"/>
    </row>
    <row r="33" spans="1:17" x14ac:dyDescent="0.2">
      <c r="A33" t="s">
        <v>62</v>
      </c>
      <c r="B33" t="s">
        <v>26</v>
      </c>
      <c r="C33" t="s">
        <v>63</v>
      </c>
      <c r="E33" t="str">
        <f>CONCATENATE("http://sbols.org/v",Init!$B$1,"#")</f>
        <v>http://sbols.org/v2#</v>
      </c>
      <c r="F33" t="s">
        <v>47</v>
      </c>
      <c r="G33" t="s">
        <v>48</v>
      </c>
      <c r="I33" s="1" t="b">
        <v>0</v>
      </c>
      <c r="J33" s="1" t="b">
        <v>0</v>
      </c>
      <c r="K33" s="1" t="b">
        <v>0</v>
      </c>
      <c r="L33" s="1" t="b">
        <v>0</v>
      </c>
      <c r="M33" s="1" t="b">
        <v>0</v>
      </c>
    </row>
    <row r="34" spans="1:17" x14ac:dyDescent="0.2">
      <c r="A34" t="s">
        <v>62</v>
      </c>
      <c r="B34" t="s">
        <v>27</v>
      </c>
      <c r="C34" t="s">
        <v>64</v>
      </c>
      <c r="E34" t="str">
        <f>CONCATENATE("http://sbols.org/v",Init!$B$1,"#")</f>
        <v>http://sbols.org/v2#</v>
      </c>
      <c r="F34" t="s">
        <v>53</v>
      </c>
      <c r="G34" t="s">
        <v>48</v>
      </c>
      <c r="I34" s="1" t="b">
        <v>0</v>
      </c>
      <c r="J34" s="1" t="b">
        <v>1</v>
      </c>
      <c r="K34" s="1" t="b">
        <v>0</v>
      </c>
      <c r="L34" s="1" t="b">
        <v>0</v>
      </c>
      <c r="M34" s="1" t="b">
        <v>0</v>
      </c>
      <c r="N34" t="s">
        <v>29</v>
      </c>
      <c r="O34" t="s">
        <v>57</v>
      </c>
      <c r="P34" t="s">
        <v>58</v>
      </c>
    </row>
    <row r="35" spans="1:17" x14ac:dyDescent="0.2">
      <c r="A35" t="s">
        <v>62</v>
      </c>
      <c r="B35" t="s">
        <v>12</v>
      </c>
      <c r="C35" t="s">
        <v>59</v>
      </c>
      <c r="E35" t="str">
        <f>CONCATENATE("http://sbols.org/v",Init!$B$1,"#")</f>
        <v>http://sbols.org/v2#</v>
      </c>
      <c r="F35" t="s">
        <v>53</v>
      </c>
      <c r="G35" t="s">
        <v>60</v>
      </c>
      <c r="I35" s="1" t="b">
        <v>0</v>
      </c>
      <c r="J35" s="1" t="b">
        <v>1</v>
      </c>
      <c r="K35" s="1" t="b">
        <v>0</v>
      </c>
      <c r="L35" s="1" t="b">
        <v>0</v>
      </c>
      <c r="M35" s="1" t="b">
        <v>0</v>
      </c>
      <c r="N35" t="s">
        <v>28</v>
      </c>
      <c r="O35" t="s">
        <v>57</v>
      </c>
      <c r="P35" t="s">
        <v>58</v>
      </c>
      <c r="Q35" t="s">
        <v>61</v>
      </c>
    </row>
  </sheetData>
  <conditionalFormatting sqref="I2:M3 J9:M9 J11:M12 I9:I12 I33:M35 I8:M8 I22:M26 I28:M28">
    <cfRule type="cellIs" dxfId="49" priority="65" operator="equal">
      <formula>TRUE</formula>
    </cfRule>
    <cfRule type="cellIs" dxfId="48" priority="66" operator="equal">
      <formula>FALSE</formula>
    </cfRule>
  </conditionalFormatting>
  <conditionalFormatting sqref="I4:M4">
    <cfRule type="cellIs" dxfId="47" priority="39" operator="equal">
      <formula>TRUE</formula>
    </cfRule>
    <cfRule type="cellIs" dxfId="46" priority="40" operator="equal">
      <formula>FALSE</formula>
    </cfRule>
  </conditionalFormatting>
  <conditionalFormatting sqref="I13:I14">
    <cfRule type="cellIs" dxfId="45" priority="37" operator="equal">
      <formula>TRUE</formula>
    </cfRule>
    <cfRule type="cellIs" dxfId="44" priority="38" operator="equal">
      <formula>FALSE</formula>
    </cfRule>
  </conditionalFormatting>
  <conditionalFormatting sqref="J13">
    <cfRule type="cellIs" dxfId="43" priority="35" operator="equal">
      <formula>TRUE</formula>
    </cfRule>
    <cfRule type="cellIs" dxfId="42" priority="36" operator="equal">
      <formula>FALSE</formula>
    </cfRule>
  </conditionalFormatting>
  <conditionalFormatting sqref="J14">
    <cfRule type="cellIs" dxfId="41" priority="33" operator="equal">
      <formula>TRUE</formula>
    </cfRule>
    <cfRule type="cellIs" dxfId="40" priority="34" operator="equal">
      <formula>FALSE</formula>
    </cfRule>
  </conditionalFormatting>
  <conditionalFormatting sqref="K13">
    <cfRule type="cellIs" dxfId="39" priority="31" operator="equal">
      <formula>TRUE</formula>
    </cfRule>
    <cfRule type="cellIs" dxfId="38" priority="32" operator="equal">
      <formula>FALSE</formula>
    </cfRule>
  </conditionalFormatting>
  <conditionalFormatting sqref="K14">
    <cfRule type="cellIs" dxfId="37" priority="29" operator="equal">
      <formula>TRUE</formula>
    </cfRule>
    <cfRule type="cellIs" dxfId="36" priority="30" operator="equal">
      <formula>FALSE</formula>
    </cfRule>
  </conditionalFormatting>
  <conditionalFormatting sqref="L13">
    <cfRule type="cellIs" dxfId="35" priority="27" operator="equal">
      <formula>TRUE</formula>
    </cfRule>
    <cfRule type="cellIs" dxfId="34" priority="28" operator="equal">
      <formula>FALSE</formula>
    </cfRule>
  </conditionalFormatting>
  <conditionalFormatting sqref="L14">
    <cfRule type="cellIs" dxfId="33" priority="25" operator="equal">
      <formula>TRUE</formula>
    </cfRule>
    <cfRule type="cellIs" dxfId="32" priority="26" operator="equal">
      <formula>FALSE</formula>
    </cfRule>
  </conditionalFormatting>
  <conditionalFormatting sqref="M13">
    <cfRule type="cellIs" dxfId="31" priority="23" operator="equal">
      <formula>TRUE</formula>
    </cfRule>
    <cfRule type="cellIs" dxfId="30" priority="24" operator="equal">
      <formula>FALSE</formula>
    </cfRule>
  </conditionalFormatting>
  <conditionalFormatting sqref="M14">
    <cfRule type="cellIs" dxfId="29" priority="21" operator="equal">
      <formula>TRUE</formula>
    </cfRule>
    <cfRule type="cellIs" dxfId="28" priority="22" operator="equal">
      <formula>FALSE</formula>
    </cfRule>
  </conditionalFormatting>
  <conditionalFormatting sqref="I19:M20">
    <cfRule type="cellIs" dxfId="27" priority="19" operator="equal">
      <formula>TRUE</formula>
    </cfRule>
    <cfRule type="cellIs" dxfId="26" priority="20" operator="equal">
      <formula>FALSE</formula>
    </cfRule>
  </conditionalFormatting>
  <conditionalFormatting sqref="I21:M21">
    <cfRule type="cellIs" dxfId="25" priority="17" operator="equal">
      <formula>TRUE</formula>
    </cfRule>
    <cfRule type="cellIs" dxfId="24" priority="18" operator="equal">
      <formula>FALSE</formula>
    </cfRule>
  </conditionalFormatting>
  <conditionalFormatting sqref="I7:M7">
    <cfRule type="cellIs" dxfId="23" priority="15" operator="equal">
      <formula>TRUE</formula>
    </cfRule>
    <cfRule type="cellIs" dxfId="22" priority="16" operator="equal">
      <formula>FALSE</formula>
    </cfRule>
  </conditionalFormatting>
  <conditionalFormatting sqref="I6:M6">
    <cfRule type="cellIs" dxfId="21" priority="13" operator="equal">
      <formula>TRUE</formula>
    </cfRule>
    <cfRule type="cellIs" dxfId="20" priority="14" operator="equal">
      <formula>FALSE</formula>
    </cfRule>
  </conditionalFormatting>
  <conditionalFormatting sqref="I5:M5">
    <cfRule type="cellIs" dxfId="19" priority="11" operator="equal">
      <formula>TRUE</formula>
    </cfRule>
    <cfRule type="cellIs" dxfId="18" priority="12" operator="equal">
      <formula>FALSE</formula>
    </cfRule>
  </conditionalFormatting>
  <conditionalFormatting sqref="I27">
    <cfRule type="cellIs" dxfId="17" priority="9" operator="equal">
      <formula>TRUE</formula>
    </cfRule>
    <cfRule type="cellIs" dxfId="16" priority="10" operator="equal">
      <formula>FALSE</formula>
    </cfRule>
  </conditionalFormatting>
  <conditionalFormatting sqref="J27">
    <cfRule type="cellIs" dxfId="15" priority="7" operator="equal">
      <formula>TRUE</formula>
    </cfRule>
    <cfRule type="cellIs" dxfId="14" priority="8" operator="equal">
      <formula>FALSE</formula>
    </cfRule>
  </conditionalFormatting>
  <conditionalFormatting sqref="K27">
    <cfRule type="cellIs" dxfId="13" priority="5" operator="equal">
      <formula>TRUE</formula>
    </cfRule>
    <cfRule type="cellIs" dxfId="12" priority="6" operator="equal">
      <formula>FALSE</formula>
    </cfRule>
  </conditionalFormatting>
  <conditionalFormatting sqref="L27">
    <cfRule type="cellIs" dxfId="11" priority="3" operator="equal">
      <formula>TRUE</formula>
    </cfRule>
    <cfRule type="cellIs" dxfId="10" priority="4" operator="equal">
      <formula>FALSE</formula>
    </cfRule>
  </conditionalFormatting>
  <conditionalFormatting sqref="M27">
    <cfRule type="cellIs" dxfId="9" priority="1" operator="equal">
      <formula>TRUE</formula>
    </cfRule>
    <cfRule type="cellIs" dxfId="8" priority="2" operator="equal">
      <formula>FALSE</formula>
    </cfRule>
  </conditionalFormatting>
  <dataValidations count="1">
    <dataValidation type="list" allowBlank="1" showInputMessage="1" showErrorMessage="1" sqref="I33:M35 J11:M14 J8:M9 I8:I14 I2:M7 I19:M28" xr:uid="{5FDF500D-13D7-9449-93B8-47BBE7CDC58F}">
      <formula1>"TRUE, FALSE"</formula1>
    </dataValidation>
  </dataValidations>
  <hyperlinks>
    <hyperlink ref="E23" r:id="rId1" xr:uid="{54828956-9A19-EF4B-B6F2-0B77026A9563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E16"/>
  <sheetViews>
    <sheetView zoomScale="110" workbookViewId="0">
      <selection activeCell="C11" sqref="C11"/>
    </sheetView>
  </sheetViews>
  <sheetFormatPr baseColWidth="10" defaultColWidth="8.83203125" defaultRowHeight="15" x14ac:dyDescent="0.2"/>
  <cols>
    <col min="1" max="1" width="22.1640625" customWidth="1"/>
    <col min="2" max="2" width="33.83203125" customWidth="1"/>
    <col min="3" max="6" width="12.5" customWidth="1"/>
    <col min="7" max="12" width="12.5" bestFit="1" customWidth="1"/>
  </cols>
  <sheetData>
    <row r="1" spans="1:5" s="2" customFormat="1" ht="15.75" customHeight="1" x14ac:dyDescent="0.2">
      <c r="A1" s="2" t="s">
        <v>12</v>
      </c>
      <c r="B1" s="2" t="s">
        <v>53</v>
      </c>
      <c r="C1" s="2" t="s">
        <v>65</v>
      </c>
      <c r="E1" s="2" t="s">
        <v>66</v>
      </c>
    </row>
    <row r="2" spans="1:5" ht="15" customHeight="1" x14ac:dyDescent="0.2">
      <c r="A2" t="s">
        <v>77</v>
      </c>
      <c r="B2" s="13" t="s">
        <v>78</v>
      </c>
      <c r="C2" t="s">
        <v>76</v>
      </c>
    </row>
    <row r="3" spans="1:5" ht="15" customHeight="1" x14ac:dyDescent="0.2">
      <c r="A3" t="s">
        <v>134</v>
      </c>
      <c r="B3" s="13" t="s">
        <v>133</v>
      </c>
      <c r="C3" t="s">
        <v>135</v>
      </c>
    </row>
    <row r="4" spans="1:5" ht="15" customHeight="1" x14ac:dyDescent="0.2"/>
    <row r="5" spans="1:5" ht="15" customHeight="1" x14ac:dyDescent="0.2">
      <c r="B5" s="10"/>
    </row>
    <row r="6" spans="1:5" ht="15" customHeight="1" x14ac:dyDescent="0.2"/>
    <row r="7" spans="1:5" ht="15" customHeight="1" x14ac:dyDescent="0.2"/>
    <row r="8" spans="1:5" ht="15" customHeight="1" x14ac:dyDescent="0.2"/>
    <row r="9" spans="1:5" ht="15" customHeight="1" x14ac:dyDescent="0.2"/>
    <row r="10" spans="1:5" ht="15" customHeight="1" x14ac:dyDescent="0.2"/>
    <row r="11" spans="1:5" ht="15" customHeight="1" x14ac:dyDescent="0.2"/>
    <row r="12" spans="1:5" ht="15" customHeight="1" x14ac:dyDescent="0.2"/>
    <row r="13" spans="1:5" ht="15" customHeight="1" x14ac:dyDescent="0.2"/>
    <row r="14" spans="1:5" ht="15" customHeight="1" x14ac:dyDescent="0.2"/>
    <row r="15" spans="1:5" ht="15" customHeight="1" x14ac:dyDescent="0.2"/>
    <row r="16" spans="1:5" ht="15" customHeight="1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E0EAA-38B9-5443-BD52-323D6A10B29C}">
  <sheetPr codeName="Sheet15"/>
  <dimension ref="A1:B8"/>
  <sheetViews>
    <sheetView workbookViewId="0"/>
  </sheetViews>
  <sheetFormatPr baseColWidth="10" defaultColWidth="10" defaultRowHeight="15" x14ac:dyDescent="0.2"/>
  <cols>
    <col min="1" max="1" width="70.5" style="21" customWidth="1"/>
    <col min="2" max="2" width="61" style="21" customWidth="1"/>
    <col min="3" max="16384" width="10" style="21"/>
  </cols>
  <sheetData>
    <row r="1" spans="1:2" s="36" customFormat="1" x14ac:dyDescent="0.2">
      <c r="A1" s="36" t="s">
        <v>112</v>
      </c>
      <c r="B1" s="36" t="s">
        <v>113</v>
      </c>
    </row>
    <row r="2" spans="1:2" x14ac:dyDescent="0.2">
      <c r="A2" s="21" t="s">
        <v>67</v>
      </c>
      <c r="B2" s="21" t="s">
        <v>114</v>
      </c>
    </row>
    <row r="3" spans="1:2" x14ac:dyDescent="0.2">
      <c r="A3" s="21" t="s">
        <v>115</v>
      </c>
      <c r="B3" s="21" t="s">
        <v>116</v>
      </c>
    </row>
    <row r="4" spans="1:2" x14ac:dyDescent="0.2">
      <c r="A4" s="21" t="s">
        <v>68</v>
      </c>
      <c r="B4" s="21" t="s">
        <v>117</v>
      </c>
    </row>
    <row r="5" spans="1:2" x14ac:dyDescent="0.2">
      <c r="A5" s="21" t="s">
        <v>118</v>
      </c>
      <c r="B5" s="21" t="s">
        <v>119</v>
      </c>
    </row>
    <row r="6" spans="1:2" x14ac:dyDescent="0.2">
      <c r="A6" s="21" t="s">
        <v>120</v>
      </c>
      <c r="B6" s="21" t="s">
        <v>121</v>
      </c>
    </row>
    <row r="7" spans="1:2" x14ac:dyDescent="0.2">
      <c r="A7" s="21" t="s">
        <v>122</v>
      </c>
      <c r="B7" s="21" t="s">
        <v>123</v>
      </c>
    </row>
    <row r="8" spans="1:2" x14ac:dyDescent="0.2">
      <c r="A8" s="21" t="s">
        <v>124</v>
      </c>
      <c r="B8" s="21" t="s">
        <v>125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B300"/>
  <sheetViews>
    <sheetView workbookViewId="0">
      <selection activeCell="D299" sqref="D299"/>
    </sheetView>
  </sheetViews>
  <sheetFormatPr baseColWidth="10" defaultColWidth="11" defaultRowHeight="15" x14ac:dyDescent="0.2"/>
  <sheetData>
    <row r="1" spans="1:2" x14ac:dyDescent="0.2">
      <c r="A1" t="s">
        <v>75</v>
      </c>
      <c r="B1" t="s">
        <v>126</v>
      </c>
    </row>
    <row r="2" spans="1:2" x14ac:dyDescent="0.2">
      <c r="A2" t="str">
        <f>IF('sample design'!B5="","",'sample design'!B5)</f>
        <v/>
      </c>
      <c r="B2" t="str">
        <f>IF(supplement!B5="","",supplement!B5)</f>
        <v/>
      </c>
    </row>
    <row r="3" spans="1:2" x14ac:dyDescent="0.2">
      <c r="A3" t="str">
        <f>IF('sample design'!B6="","",'sample design'!B6)</f>
        <v/>
      </c>
      <c r="B3" t="str">
        <f>IF(supplement!B6="","",supplement!B6)</f>
        <v/>
      </c>
    </row>
    <row r="4" spans="1:2" x14ac:dyDescent="0.2">
      <c r="A4" t="str">
        <f>IF('sample design'!B7="","",'sample design'!B7)</f>
        <v/>
      </c>
      <c r="B4" t="str">
        <f>IF(supplement!B7="","",supplement!B7)</f>
        <v/>
      </c>
    </row>
    <row r="5" spans="1:2" x14ac:dyDescent="0.2">
      <c r="A5" t="str">
        <f>IF('sample design'!B8="","",'sample design'!B8)</f>
        <v/>
      </c>
      <c r="B5" t="str">
        <f>IF(supplement!B8="","",supplement!B8)</f>
        <v/>
      </c>
    </row>
    <row r="6" spans="1:2" x14ac:dyDescent="0.2">
      <c r="A6" t="str">
        <f>IF('sample design'!B9="","",'sample design'!B9)</f>
        <v/>
      </c>
      <c r="B6" t="str">
        <f>IF(supplement!B9="","",supplement!B9)</f>
        <v/>
      </c>
    </row>
    <row r="7" spans="1:2" x14ac:dyDescent="0.2">
      <c r="A7" t="str">
        <f>IF('sample design'!B10="","",'sample design'!B10)</f>
        <v/>
      </c>
      <c r="B7" t="str">
        <f>IF(supplement!B10="","",supplement!B10)</f>
        <v/>
      </c>
    </row>
    <row r="8" spans="1:2" x14ac:dyDescent="0.2">
      <c r="A8" t="str">
        <f>IF('sample design'!B11="","",'sample design'!B11)</f>
        <v/>
      </c>
      <c r="B8" t="str">
        <f>IF(supplement!B11="","",supplement!B11)</f>
        <v/>
      </c>
    </row>
    <row r="9" spans="1:2" x14ac:dyDescent="0.2">
      <c r="A9" t="str">
        <f>IF('sample design'!B12="","",'sample design'!B12)</f>
        <v/>
      </c>
      <c r="B9" t="str">
        <f>IF(supplement!B12="","",supplement!B12)</f>
        <v/>
      </c>
    </row>
    <row r="10" spans="1:2" x14ac:dyDescent="0.2">
      <c r="A10" t="str">
        <f>IF('sample design'!B13="","",'sample design'!B13)</f>
        <v/>
      </c>
      <c r="B10" t="str">
        <f>IF(supplement!B13="","",supplement!B13)</f>
        <v/>
      </c>
    </row>
    <row r="11" spans="1:2" x14ac:dyDescent="0.2">
      <c r="A11" t="str">
        <f>IF('sample design'!B14="","",'sample design'!B14)</f>
        <v/>
      </c>
      <c r="B11" t="str">
        <f>IF(supplement!B14="","",supplement!B14)</f>
        <v/>
      </c>
    </row>
    <row r="12" spans="1:2" x14ac:dyDescent="0.2">
      <c r="A12" t="str">
        <f>IF('sample design'!B15="","",'sample design'!B15)</f>
        <v/>
      </c>
      <c r="B12" t="str">
        <f>IF(supplement!B15="","",supplement!B15)</f>
        <v/>
      </c>
    </row>
    <row r="13" spans="1:2" x14ac:dyDescent="0.2">
      <c r="A13" t="str">
        <f>IF('sample design'!B16="","",'sample design'!B16)</f>
        <v/>
      </c>
      <c r="B13" t="str">
        <f>IF(supplement!B16="","",supplement!B16)</f>
        <v/>
      </c>
    </row>
    <row r="14" spans="1:2" x14ac:dyDescent="0.2">
      <c r="A14" t="str">
        <f>IF('sample design'!B17="","",'sample design'!B17)</f>
        <v/>
      </c>
      <c r="B14" t="str">
        <f>IF(supplement!B17="","",supplement!B17)</f>
        <v/>
      </c>
    </row>
    <row r="15" spans="1:2" x14ac:dyDescent="0.2">
      <c r="A15" t="str">
        <f>IF('sample design'!B18="","",'sample design'!B18)</f>
        <v/>
      </c>
      <c r="B15" t="str">
        <f>IF(supplement!B18="","",supplement!B18)</f>
        <v/>
      </c>
    </row>
    <row r="16" spans="1:2" x14ac:dyDescent="0.2">
      <c r="A16" t="str">
        <f>IF('sample design'!B19="","",'sample design'!B19)</f>
        <v/>
      </c>
      <c r="B16" t="str">
        <f>IF(supplement!B19="","",supplement!B19)</f>
        <v/>
      </c>
    </row>
    <row r="17" spans="1:2" x14ac:dyDescent="0.2">
      <c r="A17" t="str">
        <f>IF('sample design'!B20="","",'sample design'!B20)</f>
        <v/>
      </c>
      <c r="B17" t="str">
        <f>IF(supplement!B20="","",supplement!B20)</f>
        <v/>
      </c>
    </row>
    <row r="18" spans="1:2" x14ac:dyDescent="0.2">
      <c r="A18" t="str">
        <f>IF('sample design'!B21="","",'sample design'!B21)</f>
        <v/>
      </c>
      <c r="B18" t="str">
        <f>IF(supplement!B21="","",supplement!B21)</f>
        <v/>
      </c>
    </row>
    <row r="19" spans="1:2" x14ac:dyDescent="0.2">
      <c r="A19" t="str">
        <f>IF('sample design'!B22="","",'sample design'!B22)</f>
        <v/>
      </c>
      <c r="B19" t="str">
        <f>IF(supplement!B22="","",supplement!B22)</f>
        <v/>
      </c>
    </row>
    <row r="20" spans="1:2" x14ac:dyDescent="0.2">
      <c r="A20" t="str">
        <f>IF('sample design'!B23="","",'sample design'!B23)</f>
        <v/>
      </c>
      <c r="B20" t="str">
        <f>IF(supplement!B23="","",supplement!B23)</f>
        <v/>
      </c>
    </row>
    <row r="21" spans="1:2" x14ac:dyDescent="0.2">
      <c r="A21" t="str">
        <f>IF('sample design'!B24="","",'sample design'!B24)</f>
        <v/>
      </c>
      <c r="B21" t="str">
        <f>IF(supplement!B24="","",supplement!B24)</f>
        <v/>
      </c>
    </row>
    <row r="22" spans="1:2" x14ac:dyDescent="0.2">
      <c r="A22" t="str">
        <f>IF('sample design'!B25="","",'sample design'!B25)</f>
        <v/>
      </c>
      <c r="B22" t="str">
        <f>IF(supplement!B25="","",supplement!B25)</f>
        <v/>
      </c>
    </row>
    <row r="23" spans="1:2" x14ac:dyDescent="0.2">
      <c r="A23" t="str">
        <f>IF('sample design'!B26="","",'sample design'!B26)</f>
        <v/>
      </c>
      <c r="B23" t="str">
        <f>IF(supplement!B26="","",supplement!B26)</f>
        <v/>
      </c>
    </row>
    <row r="24" spans="1:2" x14ac:dyDescent="0.2">
      <c r="A24" t="str">
        <f>IF('sample design'!B27="","",'sample design'!B27)</f>
        <v/>
      </c>
      <c r="B24" t="str">
        <f>IF(supplement!B27="","",supplement!B27)</f>
        <v/>
      </c>
    </row>
    <row r="25" spans="1:2" x14ac:dyDescent="0.2">
      <c r="A25" t="str">
        <f>IF('sample design'!B28="","",'sample design'!B28)</f>
        <v/>
      </c>
      <c r="B25" t="str">
        <f>IF(supplement!B28="","",supplement!B28)</f>
        <v/>
      </c>
    </row>
    <row r="26" spans="1:2" x14ac:dyDescent="0.2">
      <c r="A26" t="str">
        <f>IF('sample design'!B29="","",'sample design'!B29)</f>
        <v/>
      </c>
      <c r="B26" t="str">
        <f>IF(supplement!B29="","",supplement!B29)</f>
        <v/>
      </c>
    </row>
    <row r="27" spans="1:2" x14ac:dyDescent="0.2">
      <c r="A27" t="str">
        <f>IF('sample design'!B30="","",'sample design'!B30)</f>
        <v/>
      </c>
      <c r="B27" t="str">
        <f>IF(supplement!B30="","",supplement!B30)</f>
        <v/>
      </c>
    </row>
    <row r="28" spans="1:2" x14ac:dyDescent="0.2">
      <c r="A28" t="str">
        <f>IF('sample design'!B31="","",'sample design'!B31)</f>
        <v/>
      </c>
      <c r="B28" t="str">
        <f>IF(supplement!B31="","",supplement!B31)</f>
        <v/>
      </c>
    </row>
    <row r="29" spans="1:2" x14ac:dyDescent="0.2">
      <c r="A29" t="str">
        <f>IF('sample design'!B32="","",'sample design'!B32)</f>
        <v/>
      </c>
      <c r="B29" t="str">
        <f>IF(supplement!B32="","",supplement!B32)</f>
        <v/>
      </c>
    </row>
    <row r="30" spans="1:2" x14ac:dyDescent="0.2">
      <c r="A30" t="str">
        <f>IF('sample design'!B33="","",'sample design'!B33)</f>
        <v/>
      </c>
      <c r="B30" t="str">
        <f>IF(supplement!B33="","",supplement!B33)</f>
        <v/>
      </c>
    </row>
    <row r="31" spans="1:2" x14ac:dyDescent="0.2">
      <c r="A31" t="str">
        <f>IF('sample design'!B34="","",'sample design'!B34)</f>
        <v/>
      </c>
      <c r="B31" t="str">
        <f>IF(supplement!B34="","",supplement!B34)</f>
        <v/>
      </c>
    </row>
    <row r="32" spans="1:2" x14ac:dyDescent="0.2">
      <c r="A32" t="str">
        <f>IF('sample design'!B35="","",'sample design'!B35)</f>
        <v/>
      </c>
      <c r="B32" t="str">
        <f>IF(supplement!B35="","",supplement!B35)</f>
        <v/>
      </c>
    </row>
    <row r="33" spans="1:2" x14ac:dyDescent="0.2">
      <c r="A33" t="str">
        <f>IF('sample design'!B36="","",'sample design'!B36)</f>
        <v/>
      </c>
      <c r="B33" t="str">
        <f>IF(supplement!B36="","",supplement!B36)</f>
        <v/>
      </c>
    </row>
    <row r="34" spans="1:2" x14ac:dyDescent="0.2">
      <c r="A34" t="str">
        <f>IF('sample design'!B37="","",'sample design'!B37)</f>
        <v/>
      </c>
      <c r="B34" t="str">
        <f>IF(supplement!B37="","",supplement!B37)</f>
        <v/>
      </c>
    </row>
    <row r="35" spans="1:2" x14ac:dyDescent="0.2">
      <c r="A35" t="str">
        <f>IF('sample design'!B38="","",'sample design'!B38)</f>
        <v/>
      </c>
      <c r="B35" t="str">
        <f>IF(supplement!B38="","",supplement!B38)</f>
        <v/>
      </c>
    </row>
    <row r="36" spans="1:2" x14ac:dyDescent="0.2">
      <c r="A36" t="str">
        <f>IF('sample design'!B39="","",'sample design'!B39)</f>
        <v/>
      </c>
      <c r="B36" t="str">
        <f>IF(supplement!B39="","",supplement!B39)</f>
        <v/>
      </c>
    </row>
    <row r="37" spans="1:2" x14ac:dyDescent="0.2">
      <c r="A37" t="str">
        <f>IF('sample design'!B40="","",'sample design'!B40)</f>
        <v/>
      </c>
      <c r="B37" t="str">
        <f>IF(supplement!B40="","",supplement!B40)</f>
        <v/>
      </c>
    </row>
    <row r="38" spans="1:2" x14ac:dyDescent="0.2">
      <c r="A38" t="str">
        <f>IF('sample design'!B41="","",'sample design'!B41)</f>
        <v/>
      </c>
      <c r="B38" t="str">
        <f>IF(supplement!B41="","",supplement!B41)</f>
        <v/>
      </c>
    </row>
    <row r="39" spans="1:2" x14ac:dyDescent="0.2">
      <c r="A39" t="str">
        <f>IF('sample design'!B42="","",'sample design'!B42)</f>
        <v/>
      </c>
      <c r="B39" t="str">
        <f>IF(supplement!B42="","",supplement!B42)</f>
        <v/>
      </c>
    </row>
    <row r="40" spans="1:2" x14ac:dyDescent="0.2">
      <c r="A40" t="str">
        <f>IF('sample design'!B43="","",'sample design'!B43)</f>
        <v/>
      </c>
      <c r="B40" t="str">
        <f>IF(supplement!B43="","",supplement!B43)</f>
        <v/>
      </c>
    </row>
    <row r="41" spans="1:2" x14ac:dyDescent="0.2">
      <c r="A41" t="str">
        <f>IF('sample design'!B44="","",'sample design'!B44)</f>
        <v/>
      </c>
      <c r="B41" t="str">
        <f>IF(supplement!B44="","",supplement!B44)</f>
        <v/>
      </c>
    </row>
    <row r="42" spans="1:2" x14ac:dyDescent="0.2">
      <c r="A42" t="str">
        <f>IF('sample design'!B45="","",'sample design'!B45)</f>
        <v/>
      </c>
      <c r="B42" t="str">
        <f>IF(supplement!B45="","",supplement!B45)</f>
        <v/>
      </c>
    </row>
    <row r="43" spans="1:2" x14ac:dyDescent="0.2">
      <c r="A43" t="str">
        <f>IF('sample design'!B46="","",'sample design'!B46)</f>
        <v/>
      </c>
      <c r="B43" t="str">
        <f>IF(supplement!B46="","",supplement!B46)</f>
        <v/>
      </c>
    </row>
    <row r="44" spans="1:2" x14ac:dyDescent="0.2">
      <c r="A44" t="str">
        <f>IF('sample design'!B47="","",'sample design'!B47)</f>
        <v/>
      </c>
      <c r="B44" t="str">
        <f>IF(supplement!B47="","",supplement!B47)</f>
        <v/>
      </c>
    </row>
    <row r="45" spans="1:2" x14ac:dyDescent="0.2">
      <c r="A45" t="str">
        <f>IF('sample design'!B48="","",'sample design'!B48)</f>
        <v/>
      </c>
      <c r="B45" t="str">
        <f>IF(supplement!B48="","",supplement!B48)</f>
        <v/>
      </c>
    </row>
    <row r="46" spans="1:2" x14ac:dyDescent="0.2">
      <c r="A46" t="str">
        <f>IF('sample design'!B49="","",'sample design'!B49)</f>
        <v/>
      </c>
      <c r="B46" t="str">
        <f>IF(supplement!B49="","",supplement!B49)</f>
        <v/>
      </c>
    </row>
    <row r="47" spans="1:2" x14ac:dyDescent="0.2">
      <c r="A47" t="str">
        <f>IF('sample design'!B50="","",'sample design'!B50)</f>
        <v/>
      </c>
      <c r="B47" t="str">
        <f>IF(supplement!B50="","",supplement!B50)</f>
        <v/>
      </c>
    </row>
    <row r="48" spans="1:2" x14ac:dyDescent="0.2">
      <c r="A48" t="str">
        <f>IF('sample design'!B51="","",'sample design'!B51)</f>
        <v/>
      </c>
      <c r="B48" t="str">
        <f>IF(supplement!B51="","",supplement!B51)</f>
        <v/>
      </c>
    </row>
    <row r="49" spans="1:2" x14ac:dyDescent="0.2">
      <c r="A49" t="str">
        <f>IF('sample design'!B52="","",'sample design'!B52)</f>
        <v/>
      </c>
      <c r="B49" t="str">
        <f>IF(supplement!B52="","",supplement!B52)</f>
        <v/>
      </c>
    </row>
    <row r="50" spans="1:2" x14ac:dyDescent="0.2">
      <c r="A50" t="str">
        <f>IF('sample design'!B53="","",'sample design'!B53)</f>
        <v/>
      </c>
      <c r="B50" t="str">
        <f>IF(supplement!B53="","",supplement!B53)</f>
        <v/>
      </c>
    </row>
    <row r="51" spans="1:2" x14ac:dyDescent="0.2">
      <c r="A51" t="str">
        <f>IF('sample design'!B54="","",'sample design'!B54)</f>
        <v/>
      </c>
      <c r="B51" t="str">
        <f>IF(supplement!B54="","",supplement!B54)</f>
        <v/>
      </c>
    </row>
    <row r="52" spans="1:2" x14ac:dyDescent="0.2">
      <c r="A52" t="str">
        <f>IF('sample design'!B55="","",'sample design'!B55)</f>
        <v/>
      </c>
      <c r="B52" t="str">
        <f>IF(supplement!B55="","",supplement!B55)</f>
        <v/>
      </c>
    </row>
    <row r="53" spans="1:2" x14ac:dyDescent="0.2">
      <c r="A53" t="str">
        <f>IF('sample design'!B56="","",'sample design'!B56)</f>
        <v/>
      </c>
      <c r="B53" t="str">
        <f>IF(supplement!B56="","",supplement!B56)</f>
        <v/>
      </c>
    </row>
    <row r="54" spans="1:2" x14ac:dyDescent="0.2">
      <c r="A54" t="str">
        <f>IF('sample design'!B57="","",'sample design'!B57)</f>
        <v/>
      </c>
      <c r="B54" t="str">
        <f>IF(supplement!B57="","",supplement!B57)</f>
        <v/>
      </c>
    </row>
    <row r="55" spans="1:2" x14ac:dyDescent="0.2">
      <c r="A55" t="str">
        <f>IF('sample design'!B58="","",'sample design'!B58)</f>
        <v/>
      </c>
      <c r="B55" t="str">
        <f>IF(supplement!B58="","",supplement!B58)</f>
        <v/>
      </c>
    </row>
    <row r="56" spans="1:2" x14ac:dyDescent="0.2">
      <c r="A56" t="str">
        <f>IF('sample design'!B59="","",'sample design'!B59)</f>
        <v/>
      </c>
      <c r="B56" t="str">
        <f>IF(supplement!B59="","",supplement!B59)</f>
        <v/>
      </c>
    </row>
    <row r="57" spans="1:2" x14ac:dyDescent="0.2">
      <c r="A57" t="str">
        <f>IF('sample design'!B60="","",'sample design'!B60)</f>
        <v/>
      </c>
      <c r="B57" t="str">
        <f>IF(supplement!B60="","",supplement!B60)</f>
        <v/>
      </c>
    </row>
    <row r="58" spans="1:2" x14ac:dyDescent="0.2">
      <c r="A58" t="str">
        <f>IF('sample design'!B61="","",'sample design'!B61)</f>
        <v/>
      </c>
      <c r="B58" t="str">
        <f>IF(supplement!B61="","",supplement!B61)</f>
        <v/>
      </c>
    </row>
    <row r="59" spans="1:2" x14ac:dyDescent="0.2">
      <c r="A59" t="str">
        <f>IF('sample design'!B62="","",'sample design'!B62)</f>
        <v/>
      </c>
      <c r="B59" t="str">
        <f>IF(supplement!B62="","",supplement!B62)</f>
        <v/>
      </c>
    </row>
    <row r="60" spans="1:2" x14ac:dyDescent="0.2">
      <c r="A60" t="str">
        <f>IF('sample design'!B63="","",'sample design'!B63)</f>
        <v/>
      </c>
      <c r="B60" t="str">
        <f>IF(supplement!B63="","",supplement!B63)</f>
        <v/>
      </c>
    </row>
    <row r="61" spans="1:2" x14ac:dyDescent="0.2">
      <c r="A61" t="str">
        <f>IF('sample design'!B64="","",'sample design'!B64)</f>
        <v/>
      </c>
      <c r="B61" t="str">
        <f>IF(supplement!B64="","",supplement!B64)</f>
        <v/>
      </c>
    </row>
    <row r="62" spans="1:2" x14ac:dyDescent="0.2">
      <c r="A62" t="str">
        <f>IF('sample design'!B65="","",'sample design'!B65)</f>
        <v/>
      </c>
      <c r="B62" t="str">
        <f>IF(supplement!B65="","",supplement!B65)</f>
        <v/>
      </c>
    </row>
    <row r="63" spans="1:2" x14ac:dyDescent="0.2">
      <c r="A63" t="str">
        <f>IF('sample design'!B66="","",'sample design'!B66)</f>
        <v/>
      </c>
      <c r="B63" t="str">
        <f>IF(supplement!B66="","",supplement!B66)</f>
        <v/>
      </c>
    </row>
    <row r="64" spans="1:2" x14ac:dyDescent="0.2">
      <c r="A64" t="str">
        <f>IF('sample design'!B67="","",'sample design'!B67)</f>
        <v/>
      </c>
      <c r="B64" t="str">
        <f>IF(supplement!B67="","",supplement!B67)</f>
        <v/>
      </c>
    </row>
    <row r="65" spans="1:2" x14ac:dyDescent="0.2">
      <c r="A65" t="str">
        <f>IF('sample design'!B68="","",'sample design'!B68)</f>
        <v/>
      </c>
      <c r="B65" t="str">
        <f>IF(supplement!B68="","",supplement!B68)</f>
        <v/>
      </c>
    </row>
    <row r="66" spans="1:2" x14ac:dyDescent="0.2">
      <c r="A66" t="str">
        <f>IF('sample design'!B69="","",'sample design'!B69)</f>
        <v/>
      </c>
      <c r="B66" t="str">
        <f>IF(supplement!B69="","",supplement!B69)</f>
        <v/>
      </c>
    </row>
    <row r="67" spans="1:2" x14ac:dyDescent="0.2">
      <c r="A67" t="str">
        <f>IF('sample design'!B70="","",'sample design'!B70)</f>
        <v/>
      </c>
      <c r="B67" t="str">
        <f>IF(supplement!B70="","",supplement!B70)</f>
        <v/>
      </c>
    </row>
    <row r="68" spans="1:2" x14ac:dyDescent="0.2">
      <c r="A68" t="str">
        <f>IF('sample design'!B71="","",'sample design'!B71)</f>
        <v/>
      </c>
      <c r="B68" t="str">
        <f>IF(supplement!B71="","",supplement!B71)</f>
        <v/>
      </c>
    </row>
    <row r="69" spans="1:2" x14ac:dyDescent="0.2">
      <c r="A69" t="str">
        <f>IF('sample design'!B72="","",'sample design'!B72)</f>
        <v/>
      </c>
      <c r="B69" t="str">
        <f>IF(supplement!B72="","",supplement!B72)</f>
        <v/>
      </c>
    </row>
    <row r="70" spans="1:2" x14ac:dyDescent="0.2">
      <c r="A70" t="str">
        <f>IF('sample design'!B73="","",'sample design'!B73)</f>
        <v/>
      </c>
      <c r="B70" t="str">
        <f>IF(supplement!B73="","",supplement!B73)</f>
        <v/>
      </c>
    </row>
    <row r="71" spans="1:2" x14ac:dyDescent="0.2">
      <c r="A71" t="str">
        <f>IF('sample design'!B74="","",'sample design'!B74)</f>
        <v/>
      </c>
      <c r="B71" t="str">
        <f>IF(supplement!B74="","",supplement!B74)</f>
        <v/>
      </c>
    </row>
    <row r="72" spans="1:2" x14ac:dyDescent="0.2">
      <c r="A72" t="str">
        <f>IF('sample design'!B75="","",'sample design'!B75)</f>
        <v/>
      </c>
      <c r="B72" t="str">
        <f>IF(supplement!B75="","",supplement!B75)</f>
        <v/>
      </c>
    </row>
    <row r="73" spans="1:2" x14ac:dyDescent="0.2">
      <c r="A73" t="str">
        <f>IF('sample design'!B76="","",'sample design'!B76)</f>
        <v/>
      </c>
      <c r="B73" t="str">
        <f>IF(supplement!B76="","",supplement!B76)</f>
        <v/>
      </c>
    </row>
    <row r="74" spans="1:2" x14ac:dyDescent="0.2">
      <c r="A74" t="str">
        <f>IF('sample design'!B77="","",'sample design'!B77)</f>
        <v/>
      </c>
      <c r="B74" t="str">
        <f>IF(supplement!B77="","",supplement!B77)</f>
        <v/>
      </c>
    </row>
    <row r="75" spans="1:2" x14ac:dyDescent="0.2">
      <c r="A75" t="str">
        <f>IF('sample design'!B78="","",'sample design'!B78)</f>
        <v/>
      </c>
      <c r="B75" t="str">
        <f>IF(supplement!B78="","",supplement!B78)</f>
        <v/>
      </c>
    </row>
    <row r="76" spans="1:2" x14ac:dyDescent="0.2">
      <c r="A76" t="str">
        <f>IF('sample design'!B79="","",'sample design'!B79)</f>
        <v/>
      </c>
      <c r="B76" t="str">
        <f>IF(supplement!B79="","",supplement!B79)</f>
        <v/>
      </c>
    </row>
    <row r="77" spans="1:2" x14ac:dyDescent="0.2">
      <c r="A77" t="str">
        <f>IF('sample design'!B80="","",'sample design'!B80)</f>
        <v/>
      </c>
      <c r="B77" t="str">
        <f>IF(supplement!B80="","",supplement!B80)</f>
        <v/>
      </c>
    </row>
    <row r="78" spans="1:2" x14ac:dyDescent="0.2">
      <c r="A78" t="str">
        <f>IF('sample design'!B81="","",'sample design'!B81)</f>
        <v/>
      </c>
      <c r="B78" t="str">
        <f>IF(supplement!B81="","",supplement!B81)</f>
        <v/>
      </c>
    </row>
    <row r="79" spans="1:2" x14ac:dyDescent="0.2">
      <c r="A79" t="str">
        <f>IF('sample design'!B82="","",'sample design'!B82)</f>
        <v/>
      </c>
      <c r="B79" t="str">
        <f>IF(supplement!B82="","",supplement!B82)</f>
        <v/>
      </c>
    </row>
    <row r="80" spans="1:2" x14ac:dyDescent="0.2">
      <c r="A80" t="str">
        <f>IF('sample design'!B83="","",'sample design'!B83)</f>
        <v/>
      </c>
      <c r="B80" t="str">
        <f>IF(supplement!B83="","",supplement!B83)</f>
        <v/>
      </c>
    </row>
    <row r="81" spans="1:2" x14ac:dyDescent="0.2">
      <c r="A81" t="str">
        <f>IF('sample design'!B84="","",'sample design'!B84)</f>
        <v/>
      </c>
      <c r="B81" t="str">
        <f>IF(supplement!B84="","",supplement!B84)</f>
        <v/>
      </c>
    </row>
    <row r="82" spans="1:2" x14ac:dyDescent="0.2">
      <c r="A82" t="str">
        <f>IF('sample design'!B85="","",'sample design'!B85)</f>
        <v/>
      </c>
      <c r="B82" t="str">
        <f>IF(supplement!B85="","",supplement!B85)</f>
        <v/>
      </c>
    </row>
    <row r="83" spans="1:2" x14ac:dyDescent="0.2">
      <c r="A83" t="str">
        <f>IF('sample design'!B86="","",'sample design'!B86)</f>
        <v/>
      </c>
      <c r="B83" t="str">
        <f>IF(supplement!B86="","",supplement!B86)</f>
        <v/>
      </c>
    </row>
    <row r="84" spans="1:2" x14ac:dyDescent="0.2">
      <c r="A84" t="str">
        <f>IF('sample design'!B87="","",'sample design'!B87)</f>
        <v/>
      </c>
      <c r="B84" t="str">
        <f>IF(supplement!B87="","",supplement!B87)</f>
        <v/>
      </c>
    </row>
    <row r="85" spans="1:2" x14ac:dyDescent="0.2">
      <c r="A85" t="str">
        <f>IF('sample design'!B88="","",'sample design'!B88)</f>
        <v/>
      </c>
      <c r="B85" t="str">
        <f>IF(supplement!B88="","",supplement!B88)</f>
        <v/>
      </c>
    </row>
    <row r="86" spans="1:2" x14ac:dyDescent="0.2">
      <c r="A86" t="str">
        <f>IF('sample design'!B89="","",'sample design'!B89)</f>
        <v/>
      </c>
      <c r="B86" t="str">
        <f>IF(supplement!B89="","",supplement!B89)</f>
        <v/>
      </c>
    </row>
    <row r="87" spans="1:2" x14ac:dyDescent="0.2">
      <c r="A87" t="str">
        <f>IF('sample design'!B90="","",'sample design'!B90)</f>
        <v/>
      </c>
      <c r="B87" t="str">
        <f>IF(supplement!B90="","",supplement!B90)</f>
        <v/>
      </c>
    </row>
    <row r="88" spans="1:2" x14ac:dyDescent="0.2">
      <c r="A88" t="str">
        <f>IF('sample design'!B91="","",'sample design'!B91)</f>
        <v/>
      </c>
      <c r="B88" t="str">
        <f>IF(supplement!B91="","",supplement!B91)</f>
        <v/>
      </c>
    </row>
    <row r="89" spans="1:2" x14ac:dyDescent="0.2">
      <c r="A89" t="str">
        <f>IF('sample design'!B92="","",'sample design'!B92)</f>
        <v/>
      </c>
      <c r="B89" t="str">
        <f>IF(supplement!B92="","",supplement!B92)</f>
        <v/>
      </c>
    </row>
    <row r="90" spans="1:2" x14ac:dyDescent="0.2">
      <c r="A90" t="str">
        <f>IF('sample design'!B93="","",'sample design'!B93)</f>
        <v/>
      </c>
      <c r="B90" t="str">
        <f>IF(supplement!B93="","",supplement!B93)</f>
        <v/>
      </c>
    </row>
    <row r="91" spans="1:2" x14ac:dyDescent="0.2">
      <c r="A91" t="str">
        <f>IF('sample design'!B94="","",'sample design'!B94)</f>
        <v/>
      </c>
      <c r="B91" t="str">
        <f>IF(supplement!B94="","",supplement!B94)</f>
        <v/>
      </c>
    </row>
    <row r="92" spans="1:2" x14ac:dyDescent="0.2">
      <c r="A92" t="str">
        <f>IF('sample design'!B95="","",'sample design'!B95)</f>
        <v/>
      </c>
      <c r="B92" t="str">
        <f>IF(supplement!B95="","",supplement!B95)</f>
        <v/>
      </c>
    </row>
    <row r="93" spans="1:2" x14ac:dyDescent="0.2">
      <c r="A93" t="str">
        <f>IF('sample design'!B96="","",'sample design'!B96)</f>
        <v/>
      </c>
      <c r="B93" t="str">
        <f>IF(supplement!B96="","",supplement!B96)</f>
        <v/>
      </c>
    </row>
    <row r="94" spans="1:2" x14ac:dyDescent="0.2">
      <c r="A94" t="str">
        <f>IF('sample design'!B97="","",'sample design'!B97)</f>
        <v/>
      </c>
      <c r="B94" t="str">
        <f>IF(supplement!B97="","",supplement!B97)</f>
        <v/>
      </c>
    </row>
    <row r="95" spans="1:2" x14ac:dyDescent="0.2">
      <c r="A95" t="str">
        <f>IF('sample design'!B98="","",'sample design'!B98)</f>
        <v/>
      </c>
      <c r="B95" t="str">
        <f>IF(supplement!B98="","",supplement!B98)</f>
        <v/>
      </c>
    </row>
    <row r="96" spans="1:2" x14ac:dyDescent="0.2">
      <c r="A96" t="str">
        <f>IF('sample design'!B99="","",'sample design'!B99)</f>
        <v/>
      </c>
      <c r="B96" t="str">
        <f>IF(supplement!B99="","",supplement!B99)</f>
        <v/>
      </c>
    </row>
    <row r="97" spans="1:2" x14ac:dyDescent="0.2">
      <c r="A97" t="str">
        <f>IF('sample design'!B100="","",'sample design'!B100)</f>
        <v/>
      </c>
      <c r="B97" t="str">
        <f>IF(supplement!B100="","",supplement!B100)</f>
        <v/>
      </c>
    </row>
    <row r="98" spans="1:2" x14ac:dyDescent="0.2">
      <c r="A98" t="str">
        <f>IF('sample design'!B101="","",'sample design'!B101)</f>
        <v/>
      </c>
      <c r="B98" t="str">
        <f>IF(supplement!B101="","",supplement!B101)</f>
        <v/>
      </c>
    </row>
    <row r="99" spans="1:2" x14ac:dyDescent="0.2">
      <c r="A99" t="str">
        <f>IF('sample design'!B102="","",'sample design'!B102)</f>
        <v/>
      </c>
      <c r="B99" t="str">
        <f>IF(supplement!B102="","",supplement!B102)</f>
        <v/>
      </c>
    </row>
    <row r="100" spans="1:2" x14ac:dyDescent="0.2">
      <c r="A100" t="str">
        <f>IF('sample design'!B103="","",'sample design'!B103)</f>
        <v/>
      </c>
      <c r="B100" t="str">
        <f>IF(supplement!B103="","",supplement!B103)</f>
        <v/>
      </c>
    </row>
    <row r="101" spans="1:2" x14ac:dyDescent="0.2">
      <c r="A101" t="str">
        <f>IF('sample design'!B104="","",'sample design'!B104)</f>
        <v/>
      </c>
      <c r="B101" t="str">
        <f>IF(supplement!B104="","",supplement!B104)</f>
        <v/>
      </c>
    </row>
    <row r="102" spans="1:2" x14ac:dyDescent="0.2">
      <c r="A102" t="str">
        <f>IF('sample design'!B105="","",'sample design'!B105)</f>
        <v/>
      </c>
      <c r="B102" t="str">
        <f>IF(supplement!B105="","",supplement!B105)</f>
        <v/>
      </c>
    </row>
    <row r="103" spans="1:2" x14ac:dyDescent="0.2">
      <c r="A103" t="str">
        <f>IF('sample design'!B106="","",'sample design'!B106)</f>
        <v/>
      </c>
      <c r="B103" t="str">
        <f>IF(supplement!B106="","",supplement!B106)</f>
        <v/>
      </c>
    </row>
    <row r="104" spans="1:2" x14ac:dyDescent="0.2">
      <c r="A104" t="str">
        <f>IF('sample design'!B107="","",'sample design'!B107)</f>
        <v/>
      </c>
      <c r="B104" t="str">
        <f>IF(supplement!B107="","",supplement!B107)</f>
        <v/>
      </c>
    </row>
    <row r="105" spans="1:2" x14ac:dyDescent="0.2">
      <c r="A105" t="str">
        <f>IF('sample design'!B108="","",'sample design'!B108)</f>
        <v/>
      </c>
      <c r="B105" t="str">
        <f>IF(supplement!B108="","",supplement!B108)</f>
        <v/>
      </c>
    </row>
    <row r="106" spans="1:2" x14ac:dyDescent="0.2">
      <c r="A106" t="str">
        <f>IF('sample design'!B109="","",'sample design'!B109)</f>
        <v/>
      </c>
      <c r="B106" t="str">
        <f>IF(supplement!B109="","",supplement!B109)</f>
        <v/>
      </c>
    </row>
    <row r="107" spans="1:2" x14ac:dyDescent="0.2">
      <c r="A107" t="str">
        <f>IF('sample design'!B110="","",'sample design'!B110)</f>
        <v/>
      </c>
      <c r="B107" t="str">
        <f>IF(supplement!B110="","",supplement!B110)</f>
        <v/>
      </c>
    </row>
    <row r="108" spans="1:2" x14ac:dyDescent="0.2">
      <c r="A108" t="str">
        <f>IF('sample design'!B111="","",'sample design'!B111)</f>
        <v/>
      </c>
      <c r="B108" t="str">
        <f>IF(supplement!B111="","",supplement!B111)</f>
        <v/>
      </c>
    </row>
    <row r="109" spans="1:2" x14ac:dyDescent="0.2">
      <c r="A109" t="str">
        <f>IF('sample design'!B112="","",'sample design'!B112)</f>
        <v/>
      </c>
      <c r="B109" t="str">
        <f>IF(supplement!B112="","",supplement!B112)</f>
        <v/>
      </c>
    </row>
    <row r="110" spans="1:2" x14ac:dyDescent="0.2">
      <c r="A110" t="str">
        <f>IF('sample design'!B113="","",'sample design'!B113)</f>
        <v/>
      </c>
      <c r="B110" t="str">
        <f>IF(supplement!B113="","",supplement!B113)</f>
        <v/>
      </c>
    </row>
    <row r="111" spans="1:2" x14ac:dyDescent="0.2">
      <c r="A111" t="str">
        <f>IF('sample design'!B114="","",'sample design'!B114)</f>
        <v/>
      </c>
      <c r="B111" t="str">
        <f>IF(supplement!B114="","",supplement!B114)</f>
        <v/>
      </c>
    </row>
    <row r="112" spans="1:2" x14ac:dyDescent="0.2">
      <c r="A112" t="str">
        <f>IF('sample design'!B115="","",'sample design'!B115)</f>
        <v/>
      </c>
      <c r="B112" t="str">
        <f>IF(supplement!B115="","",supplement!B115)</f>
        <v/>
      </c>
    </row>
    <row r="113" spans="1:2" x14ac:dyDescent="0.2">
      <c r="A113" t="str">
        <f>IF('sample design'!B116="","",'sample design'!B116)</f>
        <v/>
      </c>
      <c r="B113" t="str">
        <f>IF(supplement!B116="","",supplement!B116)</f>
        <v/>
      </c>
    </row>
    <row r="114" spans="1:2" x14ac:dyDescent="0.2">
      <c r="A114" t="str">
        <f>IF('sample design'!B117="","",'sample design'!B117)</f>
        <v/>
      </c>
      <c r="B114" t="str">
        <f>IF(supplement!B117="","",supplement!B117)</f>
        <v/>
      </c>
    </row>
    <row r="115" spans="1:2" x14ac:dyDescent="0.2">
      <c r="A115" t="str">
        <f>IF('sample design'!B118="","",'sample design'!B118)</f>
        <v/>
      </c>
      <c r="B115" t="str">
        <f>IF(supplement!B118="","",supplement!B118)</f>
        <v/>
      </c>
    </row>
    <row r="116" spans="1:2" x14ac:dyDescent="0.2">
      <c r="A116" t="str">
        <f>IF('sample design'!B119="","",'sample design'!B119)</f>
        <v/>
      </c>
      <c r="B116" t="str">
        <f>IF(supplement!B119="","",supplement!B119)</f>
        <v/>
      </c>
    </row>
    <row r="117" spans="1:2" x14ac:dyDescent="0.2">
      <c r="A117" t="str">
        <f>IF('sample design'!B120="","",'sample design'!B120)</f>
        <v/>
      </c>
      <c r="B117" t="str">
        <f>IF(supplement!B120="","",supplement!B120)</f>
        <v/>
      </c>
    </row>
    <row r="118" spans="1:2" x14ac:dyDescent="0.2">
      <c r="A118" t="str">
        <f>IF('sample design'!B121="","",'sample design'!B121)</f>
        <v/>
      </c>
      <c r="B118" t="str">
        <f>IF(supplement!B121="","",supplement!B121)</f>
        <v/>
      </c>
    </row>
    <row r="119" spans="1:2" x14ac:dyDescent="0.2">
      <c r="A119" t="str">
        <f>IF('sample design'!B122="","",'sample design'!B122)</f>
        <v/>
      </c>
      <c r="B119" t="str">
        <f>IF(supplement!B122="","",supplement!B122)</f>
        <v/>
      </c>
    </row>
    <row r="120" spans="1:2" x14ac:dyDescent="0.2">
      <c r="A120" t="str">
        <f>IF('sample design'!B123="","",'sample design'!B123)</f>
        <v/>
      </c>
      <c r="B120" t="str">
        <f>IF(supplement!B123="","",supplement!B123)</f>
        <v/>
      </c>
    </row>
    <row r="121" spans="1:2" x14ac:dyDescent="0.2">
      <c r="A121" t="str">
        <f>IF('sample design'!B124="","",'sample design'!B124)</f>
        <v/>
      </c>
      <c r="B121" t="str">
        <f>IF(supplement!B124="","",supplement!B124)</f>
        <v/>
      </c>
    </row>
    <row r="122" spans="1:2" x14ac:dyDescent="0.2">
      <c r="A122" t="str">
        <f>IF('sample design'!B125="","",'sample design'!B125)</f>
        <v/>
      </c>
      <c r="B122" t="str">
        <f>IF(supplement!B125="","",supplement!B125)</f>
        <v/>
      </c>
    </row>
    <row r="123" spans="1:2" x14ac:dyDescent="0.2">
      <c r="A123" t="str">
        <f>IF('sample design'!B126="","",'sample design'!B126)</f>
        <v/>
      </c>
      <c r="B123" t="str">
        <f>IF(supplement!B126="","",supplement!B126)</f>
        <v/>
      </c>
    </row>
    <row r="124" spans="1:2" x14ac:dyDescent="0.2">
      <c r="A124" t="str">
        <f>IF('sample design'!B127="","",'sample design'!B127)</f>
        <v/>
      </c>
      <c r="B124" t="str">
        <f>IF(supplement!B127="","",supplement!B127)</f>
        <v/>
      </c>
    </row>
    <row r="125" spans="1:2" x14ac:dyDescent="0.2">
      <c r="A125" t="str">
        <f>IF('sample design'!B128="","",'sample design'!B128)</f>
        <v/>
      </c>
      <c r="B125" t="str">
        <f>IF(supplement!B128="","",supplement!B128)</f>
        <v/>
      </c>
    </row>
    <row r="126" spans="1:2" x14ac:dyDescent="0.2">
      <c r="A126" t="str">
        <f>IF('sample design'!B129="","",'sample design'!B129)</f>
        <v/>
      </c>
      <c r="B126" t="str">
        <f>IF(supplement!B129="","",supplement!B129)</f>
        <v/>
      </c>
    </row>
    <row r="127" spans="1:2" x14ac:dyDescent="0.2">
      <c r="A127" t="str">
        <f>IF('sample design'!B130="","",'sample design'!B130)</f>
        <v/>
      </c>
      <c r="B127" t="str">
        <f>IF(supplement!B130="","",supplement!B130)</f>
        <v/>
      </c>
    </row>
    <row r="128" spans="1:2" x14ac:dyDescent="0.2">
      <c r="A128" t="str">
        <f>IF('sample design'!B131="","",'sample design'!B131)</f>
        <v/>
      </c>
      <c r="B128" t="str">
        <f>IF(supplement!B131="","",supplement!B131)</f>
        <v/>
      </c>
    </row>
    <row r="129" spans="1:2" x14ac:dyDescent="0.2">
      <c r="A129" t="str">
        <f>IF('sample design'!B132="","",'sample design'!B132)</f>
        <v/>
      </c>
      <c r="B129" t="str">
        <f>IF(supplement!B132="","",supplement!B132)</f>
        <v/>
      </c>
    </row>
    <row r="130" spans="1:2" x14ac:dyDescent="0.2">
      <c r="A130" t="str">
        <f>IF('sample design'!B133="","",'sample design'!B133)</f>
        <v/>
      </c>
      <c r="B130" t="str">
        <f>IF(supplement!B133="","",supplement!B133)</f>
        <v/>
      </c>
    </row>
    <row r="131" spans="1:2" x14ac:dyDescent="0.2">
      <c r="A131" t="str">
        <f>IF('sample design'!B134="","",'sample design'!B134)</f>
        <v/>
      </c>
      <c r="B131" t="str">
        <f>IF(supplement!B134="","",supplement!B134)</f>
        <v/>
      </c>
    </row>
    <row r="132" spans="1:2" x14ac:dyDescent="0.2">
      <c r="A132" t="str">
        <f>IF('sample design'!B135="","",'sample design'!B135)</f>
        <v/>
      </c>
      <c r="B132" t="str">
        <f>IF(supplement!B135="","",supplement!B135)</f>
        <v/>
      </c>
    </row>
    <row r="133" spans="1:2" x14ac:dyDescent="0.2">
      <c r="A133" t="str">
        <f>IF('sample design'!B136="","",'sample design'!B136)</f>
        <v/>
      </c>
      <c r="B133" t="str">
        <f>IF(supplement!B136="","",supplement!B136)</f>
        <v/>
      </c>
    </row>
    <row r="134" spans="1:2" x14ac:dyDescent="0.2">
      <c r="A134" t="str">
        <f>IF('sample design'!B137="","",'sample design'!B137)</f>
        <v/>
      </c>
      <c r="B134" t="str">
        <f>IF(supplement!B137="","",supplement!B137)</f>
        <v/>
      </c>
    </row>
    <row r="135" spans="1:2" x14ac:dyDescent="0.2">
      <c r="A135" t="str">
        <f>IF('sample design'!B138="","",'sample design'!B138)</f>
        <v/>
      </c>
      <c r="B135" t="str">
        <f>IF(supplement!B138="","",supplement!B138)</f>
        <v/>
      </c>
    </row>
    <row r="136" spans="1:2" x14ac:dyDescent="0.2">
      <c r="A136" t="str">
        <f>IF('sample design'!B139="","",'sample design'!B139)</f>
        <v/>
      </c>
      <c r="B136" t="str">
        <f>IF(supplement!B139="","",supplement!B139)</f>
        <v/>
      </c>
    </row>
    <row r="137" spans="1:2" x14ac:dyDescent="0.2">
      <c r="A137" t="str">
        <f>IF('sample design'!B140="","",'sample design'!B140)</f>
        <v/>
      </c>
      <c r="B137" t="str">
        <f>IF(supplement!B140="","",supplement!B140)</f>
        <v/>
      </c>
    </row>
    <row r="138" spans="1:2" x14ac:dyDescent="0.2">
      <c r="A138" t="str">
        <f>IF('sample design'!B141="","",'sample design'!B141)</f>
        <v/>
      </c>
      <c r="B138" t="str">
        <f>IF(supplement!B141="","",supplement!B141)</f>
        <v/>
      </c>
    </row>
    <row r="139" spans="1:2" x14ac:dyDescent="0.2">
      <c r="A139" t="str">
        <f>IF('sample design'!B142="","",'sample design'!B142)</f>
        <v/>
      </c>
      <c r="B139" t="str">
        <f>IF(supplement!B142="","",supplement!B142)</f>
        <v/>
      </c>
    </row>
    <row r="140" spans="1:2" x14ac:dyDescent="0.2">
      <c r="A140" t="str">
        <f>IF('sample design'!B143="","",'sample design'!B143)</f>
        <v/>
      </c>
      <c r="B140" t="str">
        <f>IF(supplement!B143="","",supplement!B143)</f>
        <v/>
      </c>
    </row>
    <row r="141" spans="1:2" x14ac:dyDescent="0.2">
      <c r="A141" t="str">
        <f>IF('sample design'!B144="","",'sample design'!B144)</f>
        <v/>
      </c>
      <c r="B141" t="str">
        <f>IF(supplement!B144="","",supplement!B144)</f>
        <v/>
      </c>
    </row>
    <row r="142" spans="1:2" x14ac:dyDescent="0.2">
      <c r="A142" t="str">
        <f>IF('sample design'!B145="","",'sample design'!B145)</f>
        <v/>
      </c>
      <c r="B142" t="str">
        <f>IF(supplement!B145="","",supplement!B145)</f>
        <v/>
      </c>
    </row>
    <row r="143" spans="1:2" x14ac:dyDescent="0.2">
      <c r="A143" t="str">
        <f>IF('sample design'!B146="","",'sample design'!B146)</f>
        <v/>
      </c>
      <c r="B143" t="str">
        <f>IF(supplement!B146="","",supplement!B146)</f>
        <v/>
      </c>
    </row>
    <row r="144" spans="1:2" x14ac:dyDescent="0.2">
      <c r="A144" t="str">
        <f>IF('sample design'!B147="","",'sample design'!B147)</f>
        <v/>
      </c>
      <c r="B144" t="str">
        <f>IF(supplement!B147="","",supplement!B147)</f>
        <v/>
      </c>
    </row>
    <row r="145" spans="1:2" x14ac:dyDescent="0.2">
      <c r="A145" t="str">
        <f>IF('sample design'!B148="","",'sample design'!B148)</f>
        <v/>
      </c>
      <c r="B145" t="str">
        <f>IF(supplement!B148="","",supplement!B148)</f>
        <v/>
      </c>
    </row>
    <row r="146" spans="1:2" x14ac:dyDescent="0.2">
      <c r="A146" t="str">
        <f>IF('sample design'!B149="","",'sample design'!B149)</f>
        <v/>
      </c>
      <c r="B146" t="str">
        <f>IF(supplement!B149="","",supplement!B149)</f>
        <v/>
      </c>
    </row>
    <row r="147" spans="1:2" x14ac:dyDescent="0.2">
      <c r="A147" t="str">
        <f>IF('sample design'!B150="","",'sample design'!B150)</f>
        <v/>
      </c>
      <c r="B147" t="str">
        <f>IF(supplement!B150="","",supplement!B150)</f>
        <v/>
      </c>
    </row>
    <row r="148" spans="1:2" x14ac:dyDescent="0.2">
      <c r="A148" t="str">
        <f>IF('sample design'!B151="","",'sample design'!B151)</f>
        <v/>
      </c>
      <c r="B148" t="str">
        <f>IF(supplement!B151="","",supplement!B151)</f>
        <v/>
      </c>
    </row>
    <row r="149" spans="1:2" x14ac:dyDescent="0.2">
      <c r="A149" t="str">
        <f>IF('sample design'!B152="","",'sample design'!B152)</f>
        <v/>
      </c>
      <c r="B149" t="str">
        <f>IF(supplement!B152="","",supplement!B152)</f>
        <v/>
      </c>
    </row>
    <row r="150" spans="1:2" x14ac:dyDescent="0.2">
      <c r="A150" t="str">
        <f>IF('sample design'!B153="","",'sample design'!B153)</f>
        <v/>
      </c>
      <c r="B150" t="str">
        <f>IF(supplement!B153="","",supplement!B153)</f>
        <v/>
      </c>
    </row>
    <row r="151" spans="1:2" x14ac:dyDescent="0.2">
      <c r="A151" t="str">
        <f>IF('sample design'!B154="","",'sample design'!B154)</f>
        <v/>
      </c>
      <c r="B151" t="str">
        <f>IF(supplement!B154="","",supplement!B154)</f>
        <v/>
      </c>
    </row>
    <row r="152" spans="1:2" x14ac:dyDescent="0.2">
      <c r="A152" t="str">
        <f>IF('sample design'!B155="","",'sample design'!B155)</f>
        <v/>
      </c>
      <c r="B152" t="str">
        <f>IF(supplement!B155="","",supplement!B155)</f>
        <v/>
      </c>
    </row>
    <row r="153" spans="1:2" x14ac:dyDescent="0.2">
      <c r="A153" t="str">
        <f>IF('sample design'!B156="","",'sample design'!B156)</f>
        <v/>
      </c>
      <c r="B153" t="str">
        <f>IF(supplement!B156="","",supplement!B156)</f>
        <v/>
      </c>
    </row>
    <row r="154" spans="1:2" x14ac:dyDescent="0.2">
      <c r="A154" t="str">
        <f>IF('sample design'!B157="","",'sample design'!B157)</f>
        <v/>
      </c>
      <c r="B154" t="str">
        <f>IF(supplement!B157="","",supplement!B157)</f>
        <v/>
      </c>
    </row>
    <row r="155" spans="1:2" x14ac:dyDescent="0.2">
      <c r="A155" t="str">
        <f>IF('sample design'!B158="","",'sample design'!B158)</f>
        <v/>
      </c>
      <c r="B155" t="str">
        <f>IF(supplement!B158="","",supplement!B158)</f>
        <v/>
      </c>
    </row>
    <row r="156" spans="1:2" x14ac:dyDescent="0.2">
      <c r="A156" t="str">
        <f>IF('sample design'!B159="","",'sample design'!B159)</f>
        <v/>
      </c>
      <c r="B156" t="str">
        <f>IF(supplement!B159="","",supplement!B159)</f>
        <v/>
      </c>
    </row>
    <row r="157" spans="1:2" x14ac:dyDescent="0.2">
      <c r="A157" t="str">
        <f>IF('sample design'!B160="","",'sample design'!B160)</f>
        <v/>
      </c>
      <c r="B157" t="str">
        <f>IF(supplement!B160="","",supplement!B160)</f>
        <v/>
      </c>
    </row>
    <row r="158" spans="1:2" x14ac:dyDescent="0.2">
      <c r="A158" t="str">
        <f>IF('sample design'!B161="","",'sample design'!B161)</f>
        <v/>
      </c>
      <c r="B158" t="str">
        <f>IF(supplement!B161="","",supplement!B161)</f>
        <v/>
      </c>
    </row>
    <row r="159" spans="1:2" x14ac:dyDescent="0.2">
      <c r="A159" t="str">
        <f>IF('sample design'!B162="","",'sample design'!B162)</f>
        <v/>
      </c>
      <c r="B159" t="str">
        <f>IF(supplement!B162="","",supplement!B162)</f>
        <v/>
      </c>
    </row>
    <row r="160" spans="1:2" x14ac:dyDescent="0.2">
      <c r="A160" t="str">
        <f>IF('sample design'!B163="","",'sample design'!B163)</f>
        <v/>
      </c>
      <c r="B160" t="str">
        <f>IF(supplement!B163="","",supplement!B163)</f>
        <v/>
      </c>
    </row>
    <row r="161" spans="1:2" x14ac:dyDescent="0.2">
      <c r="A161" t="str">
        <f>IF('sample design'!B164="","",'sample design'!B164)</f>
        <v/>
      </c>
      <c r="B161" t="str">
        <f>IF(supplement!B164="","",supplement!B164)</f>
        <v/>
      </c>
    </row>
    <row r="162" spans="1:2" x14ac:dyDescent="0.2">
      <c r="A162" t="str">
        <f>IF('sample design'!B165="","",'sample design'!B165)</f>
        <v/>
      </c>
      <c r="B162" t="str">
        <f>IF(supplement!B165="","",supplement!B165)</f>
        <v/>
      </c>
    </row>
    <row r="163" spans="1:2" x14ac:dyDescent="0.2">
      <c r="A163" t="str">
        <f>IF('sample design'!B166="","",'sample design'!B166)</f>
        <v/>
      </c>
      <c r="B163" t="str">
        <f>IF(supplement!B166="","",supplement!B166)</f>
        <v/>
      </c>
    </row>
    <row r="164" spans="1:2" x14ac:dyDescent="0.2">
      <c r="A164" t="str">
        <f>IF('sample design'!B167="","",'sample design'!B167)</f>
        <v/>
      </c>
      <c r="B164" t="str">
        <f>IF(supplement!B167="","",supplement!B167)</f>
        <v/>
      </c>
    </row>
    <row r="165" spans="1:2" x14ac:dyDescent="0.2">
      <c r="A165" t="str">
        <f>IF('sample design'!B168="","",'sample design'!B168)</f>
        <v/>
      </c>
      <c r="B165" t="str">
        <f>IF(supplement!B168="","",supplement!B168)</f>
        <v/>
      </c>
    </row>
    <row r="166" spans="1:2" x14ac:dyDescent="0.2">
      <c r="A166" t="str">
        <f>IF('sample design'!B169="","",'sample design'!B169)</f>
        <v/>
      </c>
      <c r="B166" t="str">
        <f>IF(supplement!B169="","",supplement!B169)</f>
        <v/>
      </c>
    </row>
    <row r="167" spans="1:2" x14ac:dyDescent="0.2">
      <c r="A167" t="str">
        <f>IF('sample design'!B170="","",'sample design'!B170)</f>
        <v/>
      </c>
      <c r="B167" t="str">
        <f>IF(supplement!B170="","",supplement!B170)</f>
        <v/>
      </c>
    </row>
    <row r="168" spans="1:2" x14ac:dyDescent="0.2">
      <c r="A168" t="str">
        <f>IF('sample design'!B171="","",'sample design'!B171)</f>
        <v/>
      </c>
      <c r="B168" t="str">
        <f>IF(supplement!B171="","",supplement!B171)</f>
        <v/>
      </c>
    </row>
    <row r="169" spans="1:2" x14ac:dyDescent="0.2">
      <c r="A169" t="str">
        <f>IF('sample design'!B172="","",'sample design'!B172)</f>
        <v/>
      </c>
      <c r="B169" t="str">
        <f>IF(supplement!B172="","",supplement!B172)</f>
        <v/>
      </c>
    </row>
    <row r="170" spans="1:2" x14ac:dyDescent="0.2">
      <c r="A170" t="str">
        <f>IF('sample design'!B173="","",'sample design'!B173)</f>
        <v/>
      </c>
      <c r="B170" t="str">
        <f>IF(supplement!B173="","",supplement!B173)</f>
        <v/>
      </c>
    </row>
    <row r="171" spans="1:2" x14ac:dyDescent="0.2">
      <c r="A171" t="str">
        <f>IF('sample design'!B174="","",'sample design'!B174)</f>
        <v/>
      </c>
      <c r="B171" t="str">
        <f>IF(supplement!B174="","",supplement!B174)</f>
        <v/>
      </c>
    </row>
    <row r="172" spans="1:2" x14ac:dyDescent="0.2">
      <c r="A172" t="str">
        <f>IF('sample design'!B175="","",'sample design'!B175)</f>
        <v/>
      </c>
      <c r="B172" t="str">
        <f>IF(supplement!B175="","",supplement!B175)</f>
        <v/>
      </c>
    </row>
    <row r="173" spans="1:2" x14ac:dyDescent="0.2">
      <c r="A173" t="str">
        <f>IF('sample design'!B176="","",'sample design'!B176)</f>
        <v/>
      </c>
      <c r="B173" t="str">
        <f>IF(supplement!B176="","",supplement!B176)</f>
        <v/>
      </c>
    </row>
    <row r="174" spans="1:2" x14ac:dyDescent="0.2">
      <c r="A174" t="str">
        <f>IF('sample design'!B177="","",'sample design'!B177)</f>
        <v/>
      </c>
      <c r="B174" t="str">
        <f>IF(supplement!B177="","",supplement!B177)</f>
        <v/>
      </c>
    </row>
    <row r="175" spans="1:2" x14ac:dyDescent="0.2">
      <c r="A175" t="str">
        <f>IF('sample design'!B178="","",'sample design'!B178)</f>
        <v/>
      </c>
      <c r="B175" t="str">
        <f>IF(supplement!B178="","",supplement!B178)</f>
        <v/>
      </c>
    </row>
    <row r="176" spans="1:2" x14ac:dyDescent="0.2">
      <c r="A176" t="str">
        <f>IF('sample design'!B179="","",'sample design'!B179)</f>
        <v/>
      </c>
      <c r="B176" t="str">
        <f>IF(supplement!B179="","",supplement!B179)</f>
        <v/>
      </c>
    </row>
    <row r="177" spans="1:2" x14ac:dyDescent="0.2">
      <c r="A177" t="str">
        <f>IF('sample design'!B180="","",'sample design'!B180)</f>
        <v/>
      </c>
      <c r="B177" t="str">
        <f>IF(supplement!B180="","",supplement!B180)</f>
        <v/>
      </c>
    </row>
    <row r="178" spans="1:2" x14ac:dyDescent="0.2">
      <c r="A178" t="str">
        <f>IF('sample design'!B181="","",'sample design'!B181)</f>
        <v/>
      </c>
      <c r="B178" t="str">
        <f>IF(supplement!B181="","",supplement!B181)</f>
        <v/>
      </c>
    </row>
    <row r="179" spans="1:2" x14ac:dyDescent="0.2">
      <c r="A179" t="str">
        <f>IF('sample design'!B182="","",'sample design'!B182)</f>
        <v/>
      </c>
      <c r="B179" t="str">
        <f>IF(supplement!B182="","",supplement!B182)</f>
        <v/>
      </c>
    </row>
    <row r="180" spans="1:2" x14ac:dyDescent="0.2">
      <c r="A180" t="str">
        <f>IF('sample design'!B183="","",'sample design'!B183)</f>
        <v/>
      </c>
      <c r="B180" t="str">
        <f>IF(supplement!B183="","",supplement!B183)</f>
        <v/>
      </c>
    </row>
    <row r="181" spans="1:2" x14ac:dyDescent="0.2">
      <c r="A181" t="str">
        <f>IF('sample design'!B184="","",'sample design'!B184)</f>
        <v/>
      </c>
      <c r="B181" t="str">
        <f>IF(supplement!B184="","",supplement!B184)</f>
        <v/>
      </c>
    </row>
    <row r="182" spans="1:2" x14ac:dyDescent="0.2">
      <c r="A182" t="str">
        <f>IF('sample design'!B185="","",'sample design'!B185)</f>
        <v/>
      </c>
      <c r="B182" t="str">
        <f>IF(supplement!B185="","",supplement!B185)</f>
        <v/>
      </c>
    </row>
    <row r="183" spans="1:2" x14ac:dyDescent="0.2">
      <c r="A183" t="str">
        <f>IF('sample design'!B186="","",'sample design'!B186)</f>
        <v/>
      </c>
      <c r="B183" t="str">
        <f>IF(supplement!B186="","",supplement!B186)</f>
        <v/>
      </c>
    </row>
    <row r="184" spans="1:2" x14ac:dyDescent="0.2">
      <c r="A184" t="str">
        <f>IF('sample design'!B187="","",'sample design'!B187)</f>
        <v/>
      </c>
      <c r="B184" t="str">
        <f>IF(supplement!B187="","",supplement!B187)</f>
        <v/>
      </c>
    </row>
    <row r="185" spans="1:2" x14ac:dyDescent="0.2">
      <c r="A185" t="str">
        <f>IF('sample design'!B188="","",'sample design'!B188)</f>
        <v/>
      </c>
      <c r="B185" t="str">
        <f>IF(supplement!B188="","",supplement!B188)</f>
        <v/>
      </c>
    </row>
    <row r="186" spans="1:2" x14ac:dyDescent="0.2">
      <c r="A186" t="str">
        <f>IF('sample design'!B189="","",'sample design'!B189)</f>
        <v/>
      </c>
      <c r="B186" t="str">
        <f>IF(supplement!B189="","",supplement!B189)</f>
        <v/>
      </c>
    </row>
    <row r="187" spans="1:2" x14ac:dyDescent="0.2">
      <c r="A187" t="str">
        <f>IF('sample design'!B190="","",'sample design'!B190)</f>
        <v/>
      </c>
      <c r="B187" t="str">
        <f>IF(supplement!B190="","",supplement!B190)</f>
        <v/>
      </c>
    </row>
    <row r="188" spans="1:2" x14ac:dyDescent="0.2">
      <c r="A188" t="str">
        <f>IF('sample design'!B191="","",'sample design'!B191)</f>
        <v/>
      </c>
      <c r="B188" t="str">
        <f>IF(supplement!B191="","",supplement!B191)</f>
        <v/>
      </c>
    </row>
    <row r="189" spans="1:2" x14ac:dyDescent="0.2">
      <c r="A189" t="str">
        <f>IF('sample design'!B192="","",'sample design'!B192)</f>
        <v/>
      </c>
      <c r="B189" t="str">
        <f>IF(supplement!B192="","",supplement!B192)</f>
        <v/>
      </c>
    </row>
    <row r="190" spans="1:2" x14ac:dyDescent="0.2">
      <c r="A190" t="str">
        <f>IF('sample design'!B193="","",'sample design'!B193)</f>
        <v/>
      </c>
      <c r="B190" t="str">
        <f>IF(supplement!B193="","",supplement!B193)</f>
        <v/>
      </c>
    </row>
    <row r="191" spans="1:2" x14ac:dyDescent="0.2">
      <c r="A191" t="str">
        <f>IF('sample design'!B194="","",'sample design'!B194)</f>
        <v/>
      </c>
      <c r="B191" t="str">
        <f>IF(supplement!B194="","",supplement!B194)</f>
        <v/>
      </c>
    </row>
    <row r="192" spans="1:2" x14ac:dyDescent="0.2">
      <c r="A192" t="str">
        <f>IF('sample design'!B195="","",'sample design'!B195)</f>
        <v/>
      </c>
      <c r="B192" t="str">
        <f>IF(supplement!B195="","",supplement!B195)</f>
        <v/>
      </c>
    </row>
    <row r="193" spans="1:2" x14ac:dyDescent="0.2">
      <c r="A193" t="str">
        <f>IF('sample design'!B196="","",'sample design'!B196)</f>
        <v/>
      </c>
      <c r="B193" t="str">
        <f>IF(supplement!B196="","",supplement!B196)</f>
        <v/>
      </c>
    </row>
    <row r="194" spans="1:2" x14ac:dyDescent="0.2">
      <c r="A194" t="str">
        <f>IF('sample design'!B197="","",'sample design'!B197)</f>
        <v/>
      </c>
      <c r="B194" t="str">
        <f>IF(supplement!B197="","",supplement!B197)</f>
        <v/>
      </c>
    </row>
    <row r="195" spans="1:2" x14ac:dyDescent="0.2">
      <c r="A195" t="str">
        <f>IF('sample design'!B198="","",'sample design'!B198)</f>
        <v/>
      </c>
      <c r="B195" t="str">
        <f>IF(supplement!B198="","",supplement!B198)</f>
        <v/>
      </c>
    </row>
    <row r="196" spans="1:2" x14ac:dyDescent="0.2">
      <c r="A196" t="str">
        <f>IF('sample design'!B199="","",'sample design'!B199)</f>
        <v/>
      </c>
      <c r="B196" t="str">
        <f>IF(supplement!B199="","",supplement!B199)</f>
        <v/>
      </c>
    </row>
    <row r="197" spans="1:2" x14ac:dyDescent="0.2">
      <c r="A197" t="str">
        <f>IF('sample design'!B200="","",'sample design'!B200)</f>
        <v/>
      </c>
      <c r="B197" t="str">
        <f>IF(supplement!B200="","",supplement!B200)</f>
        <v/>
      </c>
    </row>
    <row r="198" spans="1:2" x14ac:dyDescent="0.2">
      <c r="A198" t="str">
        <f>IF('sample design'!B201="","",'sample design'!B201)</f>
        <v/>
      </c>
      <c r="B198" t="str">
        <f>IF(supplement!B201="","",supplement!B201)</f>
        <v/>
      </c>
    </row>
    <row r="199" spans="1:2" x14ac:dyDescent="0.2">
      <c r="A199" t="str">
        <f>IF('sample design'!B202="","",'sample design'!B202)</f>
        <v/>
      </c>
      <c r="B199" t="str">
        <f>IF(supplement!B202="","",supplement!B202)</f>
        <v/>
      </c>
    </row>
    <row r="200" spans="1:2" x14ac:dyDescent="0.2">
      <c r="A200" t="str">
        <f>IF('sample design'!B203="","",'sample design'!B203)</f>
        <v/>
      </c>
      <c r="B200" t="str">
        <f>IF(supplement!B203="","",supplement!B203)</f>
        <v/>
      </c>
    </row>
    <row r="201" spans="1:2" x14ac:dyDescent="0.2">
      <c r="A201" t="str">
        <f>IF('sample design'!B204="","",'sample design'!B204)</f>
        <v/>
      </c>
      <c r="B201" t="str">
        <f>IF(supplement!B204="","",supplement!B204)</f>
        <v/>
      </c>
    </row>
    <row r="202" spans="1:2" x14ac:dyDescent="0.2">
      <c r="A202" t="str">
        <f>IF('sample design'!B205="","",'sample design'!B205)</f>
        <v/>
      </c>
      <c r="B202" t="str">
        <f>IF(supplement!B205="","",supplement!B205)</f>
        <v/>
      </c>
    </row>
    <row r="203" spans="1:2" x14ac:dyDescent="0.2">
      <c r="A203" t="str">
        <f>IF('sample design'!B206="","",'sample design'!B206)</f>
        <v/>
      </c>
      <c r="B203" t="str">
        <f>IF(supplement!B206="","",supplement!B206)</f>
        <v/>
      </c>
    </row>
    <row r="204" spans="1:2" x14ac:dyDescent="0.2">
      <c r="A204" t="str">
        <f>IF('sample design'!B207="","",'sample design'!B207)</f>
        <v/>
      </c>
      <c r="B204" t="str">
        <f>IF(supplement!B207="","",supplement!B207)</f>
        <v/>
      </c>
    </row>
    <row r="205" spans="1:2" x14ac:dyDescent="0.2">
      <c r="A205" t="str">
        <f>IF('sample design'!B208="","",'sample design'!B208)</f>
        <v/>
      </c>
      <c r="B205" t="str">
        <f>IF(supplement!B208="","",supplement!B208)</f>
        <v/>
      </c>
    </row>
    <row r="206" spans="1:2" x14ac:dyDescent="0.2">
      <c r="A206" t="str">
        <f>IF('sample design'!B209="","",'sample design'!B209)</f>
        <v/>
      </c>
      <c r="B206" t="str">
        <f>IF(supplement!B209="","",supplement!B209)</f>
        <v/>
      </c>
    </row>
    <row r="207" spans="1:2" x14ac:dyDescent="0.2">
      <c r="A207" t="str">
        <f>IF('sample design'!B210="","",'sample design'!B210)</f>
        <v/>
      </c>
      <c r="B207" t="str">
        <f>IF(supplement!B210="","",supplement!B210)</f>
        <v/>
      </c>
    </row>
    <row r="208" spans="1:2" x14ac:dyDescent="0.2">
      <c r="A208" t="str">
        <f>IF('sample design'!B211="","",'sample design'!B211)</f>
        <v/>
      </c>
      <c r="B208" t="str">
        <f>IF(supplement!B211="","",supplement!B211)</f>
        <v/>
      </c>
    </row>
    <row r="209" spans="1:2" x14ac:dyDescent="0.2">
      <c r="A209" t="str">
        <f>IF('sample design'!B212="","",'sample design'!B212)</f>
        <v/>
      </c>
      <c r="B209" t="str">
        <f>IF(supplement!B212="","",supplement!B212)</f>
        <v/>
      </c>
    </row>
    <row r="210" spans="1:2" x14ac:dyDescent="0.2">
      <c r="A210" t="str">
        <f>IF('sample design'!B213="","",'sample design'!B213)</f>
        <v/>
      </c>
      <c r="B210" t="str">
        <f>IF(supplement!B213="","",supplement!B213)</f>
        <v/>
      </c>
    </row>
    <row r="211" spans="1:2" x14ac:dyDescent="0.2">
      <c r="A211" t="str">
        <f>IF('sample design'!B214="","",'sample design'!B214)</f>
        <v/>
      </c>
      <c r="B211" t="str">
        <f>IF(supplement!B214="","",supplement!B214)</f>
        <v/>
      </c>
    </row>
    <row r="212" spans="1:2" x14ac:dyDescent="0.2">
      <c r="A212" t="str">
        <f>IF('sample design'!B215="","",'sample design'!B215)</f>
        <v/>
      </c>
      <c r="B212" t="str">
        <f>IF(supplement!B215="","",supplement!B215)</f>
        <v/>
      </c>
    </row>
    <row r="213" spans="1:2" x14ac:dyDescent="0.2">
      <c r="A213" t="str">
        <f>IF('sample design'!B216="","",'sample design'!B216)</f>
        <v/>
      </c>
      <c r="B213" t="str">
        <f>IF(supplement!B216="","",supplement!B216)</f>
        <v/>
      </c>
    </row>
    <row r="214" spans="1:2" x14ac:dyDescent="0.2">
      <c r="A214" t="str">
        <f>IF('sample design'!B217="","",'sample design'!B217)</f>
        <v/>
      </c>
      <c r="B214" t="str">
        <f>IF(supplement!B217="","",supplement!B217)</f>
        <v/>
      </c>
    </row>
    <row r="215" spans="1:2" x14ac:dyDescent="0.2">
      <c r="A215" t="str">
        <f>IF('sample design'!B218="","",'sample design'!B218)</f>
        <v/>
      </c>
      <c r="B215" t="str">
        <f>IF(supplement!B218="","",supplement!B218)</f>
        <v/>
      </c>
    </row>
    <row r="216" spans="1:2" x14ac:dyDescent="0.2">
      <c r="A216" t="str">
        <f>IF('sample design'!B219="","",'sample design'!B219)</f>
        <v/>
      </c>
      <c r="B216" t="str">
        <f>IF(supplement!B219="","",supplement!B219)</f>
        <v/>
      </c>
    </row>
    <row r="217" spans="1:2" x14ac:dyDescent="0.2">
      <c r="A217" t="str">
        <f>IF('sample design'!B220="","",'sample design'!B220)</f>
        <v/>
      </c>
      <c r="B217" t="str">
        <f>IF(supplement!B220="","",supplement!B220)</f>
        <v/>
      </c>
    </row>
    <row r="218" spans="1:2" x14ac:dyDescent="0.2">
      <c r="A218" t="str">
        <f>IF('sample design'!B221="","",'sample design'!B221)</f>
        <v/>
      </c>
      <c r="B218" t="str">
        <f>IF(supplement!B221="","",supplement!B221)</f>
        <v/>
      </c>
    </row>
    <row r="219" spans="1:2" x14ac:dyDescent="0.2">
      <c r="A219" t="str">
        <f>IF('sample design'!B222="","",'sample design'!B222)</f>
        <v/>
      </c>
      <c r="B219" t="str">
        <f>IF(supplement!B222="","",supplement!B222)</f>
        <v/>
      </c>
    </row>
    <row r="220" spans="1:2" x14ac:dyDescent="0.2">
      <c r="A220" t="str">
        <f>IF('sample design'!B223="","",'sample design'!B223)</f>
        <v/>
      </c>
      <c r="B220" t="str">
        <f>IF(supplement!B223="","",supplement!B223)</f>
        <v/>
      </c>
    </row>
    <row r="221" spans="1:2" x14ac:dyDescent="0.2">
      <c r="A221" t="str">
        <f>IF('sample design'!B224="","",'sample design'!B224)</f>
        <v/>
      </c>
      <c r="B221" t="str">
        <f>IF(supplement!B224="","",supplement!B224)</f>
        <v/>
      </c>
    </row>
    <row r="222" spans="1:2" x14ac:dyDescent="0.2">
      <c r="A222" t="str">
        <f>IF('sample design'!B225="","",'sample design'!B225)</f>
        <v/>
      </c>
      <c r="B222" t="str">
        <f>IF(supplement!B225="","",supplement!B225)</f>
        <v/>
      </c>
    </row>
    <row r="223" spans="1:2" x14ac:dyDescent="0.2">
      <c r="A223" t="str">
        <f>IF('sample design'!B226="","",'sample design'!B226)</f>
        <v/>
      </c>
      <c r="B223" t="str">
        <f>IF(supplement!B226="","",supplement!B226)</f>
        <v/>
      </c>
    </row>
    <row r="224" spans="1:2" x14ac:dyDescent="0.2">
      <c r="A224" t="str">
        <f>IF('sample design'!B227="","",'sample design'!B227)</f>
        <v/>
      </c>
      <c r="B224" t="str">
        <f>IF(supplement!B227="","",supplement!B227)</f>
        <v/>
      </c>
    </row>
    <row r="225" spans="1:2" x14ac:dyDescent="0.2">
      <c r="A225" t="str">
        <f>IF('sample design'!B228="","",'sample design'!B228)</f>
        <v/>
      </c>
      <c r="B225" t="str">
        <f>IF(supplement!B228="","",supplement!B228)</f>
        <v/>
      </c>
    </row>
    <row r="226" spans="1:2" x14ac:dyDescent="0.2">
      <c r="A226" t="str">
        <f>IF('sample design'!B229="","",'sample design'!B229)</f>
        <v/>
      </c>
      <c r="B226" t="str">
        <f>IF(supplement!B229="","",supplement!B229)</f>
        <v/>
      </c>
    </row>
    <row r="227" spans="1:2" x14ac:dyDescent="0.2">
      <c r="A227" t="str">
        <f>IF('sample design'!B230="","",'sample design'!B230)</f>
        <v/>
      </c>
      <c r="B227" t="str">
        <f>IF(supplement!B230="","",supplement!B230)</f>
        <v/>
      </c>
    </row>
    <row r="228" spans="1:2" x14ac:dyDescent="0.2">
      <c r="A228" t="str">
        <f>IF('sample design'!B231="","",'sample design'!B231)</f>
        <v/>
      </c>
      <c r="B228" t="str">
        <f>IF(supplement!B231="","",supplement!B231)</f>
        <v/>
      </c>
    </row>
    <row r="229" spans="1:2" x14ac:dyDescent="0.2">
      <c r="A229" t="str">
        <f>IF('sample design'!B232="","",'sample design'!B232)</f>
        <v/>
      </c>
      <c r="B229" t="str">
        <f>IF(supplement!B232="","",supplement!B232)</f>
        <v/>
      </c>
    </row>
    <row r="230" spans="1:2" x14ac:dyDescent="0.2">
      <c r="A230" t="str">
        <f>IF('sample design'!B233="","",'sample design'!B233)</f>
        <v/>
      </c>
      <c r="B230" t="str">
        <f>IF(supplement!B233="","",supplement!B233)</f>
        <v/>
      </c>
    </row>
    <row r="231" spans="1:2" x14ac:dyDescent="0.2">
      <c r="A231" t="str">
        <f>IF('sample design'!B234="","",'sample design'!B234)</f>
        <v/>
      </c>
      <c r="B231" t="str">
        <f>IF(supplement!B234="","",supplement!B234)</f>
        <v/>
      </c>
    </row>
    <row r="232" spans="1:2" x14ac:dyDescent="0.2">
      <c r="A232" t="str">
        <f>IF('sample design'!B235="","",'sample design'!B235)</f>
        <v/>
      </c>
      <c r="B232" t="str">
        <f>IF(supplement!B235="","",supplement!B235)</f>
        <v/>
      </c>
    </row>
    <row r="233" spans="1:2" x14ac:dyDescent="0.2">
      <c r="A233" t="str">
        <f>IF('sample design'!B236="","",'sample design'!B236)</f>
        <v/>
      </c>
      <c r="B233" t="str">
        <f>IF(supplement!B236="","",supplement!B236)</f>
        <v/>
      </c>
    </row>
    <row r="234" spans="1:2" x14ac:dyDescent="0.2">
      <c r="A234" t="str">
        <f>IF('sample design'!B237="","",'sample design'!B237)</f>
        <v/>
      </c>
      <c r="B234" t="str">
        <f>IF(supplement!B237="","",supplement!B237)</f>
        <v/>
      </c>
    </row>
    <row r="235" spans="1:2" x14ac:dyDescent="0.2">
      <c r="A235" t="str">
        <f>IF('sample design'!B238="","",'sample design'!B238)</f>
        <v/>
      </c>
      <c r="B235" t="str">
        <f>IF(supplement!B238="","",supplement!B238)</f>
        <v/>
      </c>
    </row>
    <row r="236" spans="1:2" x14ac:dyDescent="0.2">
      <c r="A236" t="str">
        <f>IF('sample design'!B239="","",'sample design'!B239)</f>
        <v/>
      </c>
      <c r="B236" t="str">
        <f>IF(supplement!B239="","",supplement!B239)</f>
        <v/>
      </c>
    </row>
    <row r="237" spans="1:2" x14ac:dyDescent="0.2">
      <c r="A237" t="str">
        <f>IF('sample design'!B240="","",'sample design'!B240)</f>
        <v/>
      </c>
      <c r="B237" t="str">
        <f>IF(supplement!B240="","",supplement!B240)</f>
        <v/>
      </c>
    </row>
    <row r="238" spans="1:2" x14ac:dyDescent="0.2">
      <c r="A238" t="str">
        <f>IF('sample design'!B241="","",'sample design'!B241)</f>
        <v/>
      </c>
      <c r="B238" t="str">
        <f>IF(supplement!B241="","",supplement!B241)</f>
        <v/>
      </c>
    </row>
    <row r="239" spans="1:2" x14ac:dyDescent="0.2">
      <c r="A239" t="str">
        <f>IF('sample design'!B242="","",'sample design'!B242)</f>
        <v/>
      </c>
      <c r="B239" t="str">
        <f>IF(supplement!B242="","",supplement!B242)</f>
        <v/>
      </c>
    </row>
    <row r="240" spans="1:2" x14ac:dyDescent="0.2">
      <c r="A240" t="str">
        <f>IF('sample design'!B243="","",'sample design'!B243)</f>
        <v/>
      </c>
      <c r="B240" t="str">
        <f>IF(supplement!B243="","",supplement!B243)</f>
        <v/>
      </c>
    </row>
    <row r="241" spans="1:2" x14ac:dyDescent="0.2">
      <c r="A241" t="str">
        <f>IF('sample design'!B244="","",'sample design'!B244)</f>
        <v/>
      </c>
      <c r="B241" t="str">
        <f>IF(supplement!B244="","",supplement!B244)</f>
        <v/>
      </c>
    </row>
    <row r="242" spans="1:2" x14ac:dyDescent="0.2">
      <c r="A242" t="str">
        <f>IF('sample design'!B245="","",'sample design'!B245)</f>
        <v/>
      </c>
      <c r="B242" t="str">
        <f>IF(supplement!B245="","",supplement!B245)</f>
        <v/>
      </c>
    </row>
    <row r="243" spans="1:2" x14ac:dyDescent="0.2">
      <c r="A243" t="str">
        <f>IF('sample design'!B246="","",'sample design'!B246)</f>
        <v/>
      </c>
      <c r="B243" t="str">
        <f>IF(supplement!B246="","",supplement!B246)</f>
        <v/>
      </c>
    </row>
    <row r="244" spans="1:2" x14ac:dyDescent="0.2">
      <c r="A244" t="str">
        <f>IF('sample design'!B247="","",'sample design'!B247)</f>
        <v/>
      </c>
      <c r="B244" t="str">
        <f>IF(supplement!B247="","",supplement!B247)</f>
        <v/>
      </c>
    </row>
    <row r="245" spans="1:2" x14ac:dyDescent="0.2">
      <c r="A245" t="str">
        <f>IF('sample design'!B248="","",'sample design'!B248)</f>
        <v/>
      </c>
      <c r="B245" t="str">
        <f>IF(supplement!B248="","",supplement!B248)</f>
        <v/>
      </c>
    </row>
    <row r="246" spans="1:2" x14ac:dyDescent="0.2">
      <c r="A246" t="str">
        <f>IF('sample design'!B249="","",'sample design'!B249)</f>
        <v/>
      </c>
      <c r="B246" t="str">
        <f>IF(supplement!B249="","",supplement!B249)</f>
        <v/>
      </c>
    </row>
    <row r="247" spans="1:2" x14ac:dyDescent="0.2">
      <c r="A247" t="str">
        <f>IF('sample design'!B250="","",'sample design'!B250)</f>
        <v/>
      </c>
      <c r="B247" t="str">
        <f>IF(supplement!B250="","",supplement!B250)</f>
        <v/>
      </c>
    </row>
    <row r="248" spans="1:2" x14ac:dyDescent="0.2">
      <c r="A248" t="str">
        <f>IF('sample design'!B251="","",'sample design'!B251)</f>
        <v/>
      </c>
      <c r="B248" t="str">
        <f>IF(supplement!B251="","",supplement!B251)</f>
        <v/>
      </c>
    </row>
    <row r="249" spans="1:2" x14ac:dyDescent="0.2">
      <c r="A249" t="str">
        <f>IF('sample design'!B252="","",'sample design'!B252)</f>
        <v/>
      </c>
      <c r="B249" t="str">
        <f>IF(supplement!B252="","",supplement!B252)</f>
        <v/>
      </c>
    </row>
    <row r="250" spans="1:2" x14ac:dyDescent="0.2">
      <c r="A250" t="str">
        <f>IF('sample design'!B253="","",'sample design'!B253)</f>
        <v/>
      </c>
      <c r="B250" t="str">
        <f>IF(supplement!B253="","",supplement!B253)</f>
        <v/>
      </c>
    </row>
    <row r="251" spans="1:2" x14ac:dyDescent="0.2">
      <c r="A251" t="str">
        <f>IF('sample design'!B254="","",'sample design'!B254)</f>
        <v/>
      </c>
      <c r="B251" t="str">
        <f>IF(supplement!B254="","",supplement!B254)</f>
        <v/>
      </c>
    </row>
    <row r="252" spans="1:2" x14ac:dyDescent="0.2">
      <c r="A252" t="str">
        <f>IF('sample design'!B255="","",'sample design'!B255)</f>
        <v/>
      </c>
      <c r="B252" t="str">
        <f>IF(supplement!B255="","",supplement!B255)</f>
        <v/>
      </c>
    </row>
    <row r="253" spans="1:2" x14ac:dyDescent="0.2">
      <c r="A253" t="str">
        <f>IF('sample design'!B256="","",'sample design'!B256)</f>
        <v/>
      </c>
      <c r="B253" t="str">
        <f>IF(supplement!B256="","",supplement!B256)</f>
        <v/>
      </c>
    </row>
    <row r="254" spans="1:2" x14ac:dyDescent="0.2">
      <c r="A254" t="str">
        <f>IF('sample design'!B257="","",'sample design'!B257)</f>
        <v/>
      </c>
      <c r="B254" t="str">
        <f>IF(supplement!B257="","",supplement!B257)</f>
        <v/>
      </c>
    </row>
    <row r="255" spans="1:2" x14ac:dyDescent="0.2">
      <c r="A255" t="str">
        <f>IF('sample design'!B258="","",'sample design'!B258)</f>
        <v/>
      </c>
      <c r="B255" t="str">
        <f>IF(supplement!B258="","",supplement!B258)</f>
        <v/>
      </c>
    </row>
    <row r="256" spans="1:2" x14ac:dyDescent="0.2">
      <c r="A256" t="str">
        <f>IF('sample design'!B259="","",'sample design'!B259)</f>
        <v/>
      </c>
      <c r="B256" t="str">
        <f>IF(supplement!B259="","",supplement!B259)</f>
        <v/>
      </c>
    </row>
    <row r="257" spans="1:2" x14ac:dyDescent="0.2">
      <c r="A257" t="str">
        <f>IF('sample design'!B260="","",'sample design'!B260)</f>
        <v/>
      </c>
      <c r="B257" t="str">
        <f>IF(supplement!B260="","",supplement!B260)</f>
        <v/>
      </c>
    </row>
    <row r="258" spans="1:2" x14ac:dyDescent="0.2">
      <c r="A258" t="str">
        <f>IF('sample design'!B261="","",'sample design'!B261)</f>
        <v/>
      </c>
      <c r="B258" t="str">
        <f>IF(supplement!B261="","",supplement!B261)</f>
        <v/>
      </c>
    </row>
    <row r="259" spans="1:2" x14ac:dyDescent="0.2">
      <c r="A259" t="str">
        <f>IF('sample design'!B262="","",'sample design'!B262)</f>
        <v/>
      </c>
      <c r="B259" t="str">
        <f>IF(supplement!B262="","",supplement!B262)</f>
        <v/>
      </c>
    </row>
    <row r="260" spans="1:2" x14ac:dyDescent="0.2">
      <c r="A260" t="str">
        <f>IF('sample design'!B263="","",'sample design'!B263)</f>
        <v/>
      </c>
      <c r="B260" t="str">
        <f>IF(supplement!B263="","",supplement!B263)</f>
        <v/>
      </c>
    </row>
    <row r="261" spans="1:2" x14ac:dyDescent="0.2">
      <c r="A261" t="str">
        <f>IF('sample design'!B264="","",'sample design'!B264)</f>
        <v/>
      </c>
      <c r="B261" t="str">
        <f>IF(supplement!B264="","",supplement!B264)</f>
        <v/>
      </c>
    </row>
    <row r="262" spans="1:2" x14ac:dyDescent="0.2">
      <c r="A262" t="str">
        <f>IF('sample design'!B265="","",'sample design'!B265)</f>
        <v/>
      </c>
      <c r="B262" t="str">
        <f>IF(supplement!B265="","",supplement!B265)</f>
        <v/>
      </c>
    </row>
    <row r="263" spans="1:2" x14ac:dyDescent="0.2">
      <c r="A263" t="str">
        <f>IF('sample design'!B266="","",'sample design'!B266)</f>
        <v/>
      </c>
      <c r="B263" t="str">
        <f>IF(supplement!B266="","",supplement!B266)</f>
        <v/>
      </c>
    </row>
    <row r="264" spans="1:2" x14ac:dyDescent="0.2">
      <c r="A264" t="str">
        <f>IF('sample design'!B267="","",'sample design'!B267)</f>
        <v/>
      </c>
      <c r="B264" t="str">
        <f>IF(supplement!B267="","",supplement!B267)</f>
        <v/>
      </c>
    </row>
    <row r="265" spans="1:2" x14ac:dyDescent="0.2">
      <c r="A265" t="str">
        <f>IF('sample design'!B268="","",'sample design'!B268)</f>
        <v/>
      </c>
      <c r="B265" t="str">
        <f>IF(supplement!B268="","",supplement!B268)</f>
        <v/>
      </c>
    </row>
    <row r="266" spans="1:2" x14ac:dyDescent="0.2">
      <c r="A266" t="str">
        <f>IF('sample design'!B269="","",'sample design'!B269)</f>
        <v/>
      </c>
      <c r="B266" t="str">
        <f>IF(supplement!B269="","",supplement!B269)</f>
        <v/>
      </c>
    </row>
    <row r="267" spans="1:2" x14ac:dyDescent="0.2">
      <c r="A267" t="str">
        <f>IF('sample design'!B270="","",'sample design'!B270)</f>
        <v/>
      </c>
      <c r="B267" t="str">
        <f>IF(supplement!B270="","",supplement!B270)</f>
        <v/>
      </c>
    </row>
    <row r="268" spans="1:2" x14ac:dyDescent="0.2">
      <c r="A268" t="str">
        <f>IF('sample design'!B271="","",'sample design'!B271)</f>
        <v/>
      </c>
      <c r="B268" t="str">
        <f>IF(supplement!B271="","",supplement!B271)</f>
        <v/>
      </c>
    </row>
    <row r="269" spans="1:2" x14ac:dyDescent="0.2">
      <c r="A269" t="str">
        <f>IF('sample design'!B272="","",'sample design'!B272)</f>
        <v/>
      </c>
      <c r="B269" t="str">
        <f>IF(supplement!B272="","",supplement!B272)</f>
        <v/>
      </c>
    </row>
    <row r="270" spans="1:2" x14ac:dyDescent="0.2">
      <c r="A270" t="str">
        <f>IF('sample design'!B273="","",'sample design'!B273)</f>
        <v/>
      </c>
      <c r="B270" t="str">
        <f>IF(supplement!B273="","",supplement!B273)</f>
        <v/>
      </c>
    </row>
    <row r="271" spans="1:2" x14ac:dyDescent="0.2">
      <c r="A271" t="str">
        <f>IF('sample design'!B274="","",'sample design'!B274)</f>
        <v/>
      </c>
      <c r="B271" t="str">
        <f>IF(supplement!B274="","",supplement!B274)</f>
        <v/>
      </c>
    </row>
    <row r="272" spans="1:2" x14ac:dyDescent="0.2">
      <c r="A272" t="str">
        <f>IF('sample design'!B275="","",'sample design'!B275)</f>
        <v/>
      </c>
      <c r="B272" t="str">
        <f>IF(supplement!B275="","",supplement!B275)</f>
        <v/>
      </c>
    </row>
    <row r="273" spans="1:2" x14ac:dyDescent="0.2">
      <c r="A273" t="str">
        <f>IF('sample design'!B276="","",'sample design'!B276)</f>
        <v/>
      </c>
      <c r="B273" t="str">
        <f>IF(supplement!B276="","",supplement!B276)</f>
        <v/>
      </c>
    </row>
    <row r="274" spans="1:2" x14ac:dyDescent="0.2">
      <c r="A274" t="str">
        <f>IF('sample design'!B277="","",'sample design'!B277)</f>
        <v/>
      </c>
      <c r="B274" t="str">
        <f>IF(supplement!B277="","",supplement!B277)</f>
        <v/>
      </c>
    </row>
    <row r="275" spans="1:2" x14ac:dyDescent="0.2">
      <c r="A275" t="str">
        <f>IF('sample design'!B278="","",'sample design'!B278)</f>
        <v/>
      </c>
      <c r="B275" t="str">
        <f>IF(supplement!B278="","",supplement!B278)</f>
        <v/>
      </c>
    </row>
    <row r="276" spans="1:2" x14ac:dyDescent="0.2">
      <c r="A276" t="str">
        <f>IF('sample design'!B279="","",'sample design'!B279)</f>
        <v/>
      </c>
      <c r="B276" t="str">
        <f>IF(supplement!B279="","",supplement!B279)</f>
        <v/>
      </c>
    </row>
    <row r="277" spans="1:2" x14ac:dyDescent="0.2">
      <c r="A277" t="str">
        <f>IF('sample design'!B280="","",'sample design'!B280)</f>
        <v/>
      </c>
      <c r="B277" t="str">
        <f>IF(supplement!B280="","",supplement!B280)</f>
        <v/>
      </c>
    </row>
    <row r="278" spans="1:2" x14ac:dyDescent="0.2">
      <c r="A278" t="str">
        <f>IF('sample design'!B281="","",'sample design'!B281)</f>
        <v/>
      </c>
      <c r="B278" t="str">
        <f>IF(supplement!B281="","",supplement!B281)</f>
        <v/>
      </c>
    </row>
    <row r="279" spans="1:2" x14ac:dyDescent="0.2">
      <c r="A279" t="str">
        <f>IF('sample design'!B282="","",'sample design'!B282)</f>
        <v/>
      </c>
      <c r="B279" t="str">
        <f>IF(supplement!B282="","",supplement!B282)</f>
        <v/>
      </c>
    </row>
    <row r="280" spans="1:2" x14ac:dyDescent="0.2">
      <c r="A280" t="str">
        <f>IF('sample design'!B283="","",'sample design'!B283)</f>
        <v/>
      </c>
      <c r="B280" t="str">
        <f>IF(supplement!B283="","",supplement!B283)</f>
        <v/>
      </c>
    </row>
    <row r="281" spans="1:2" x14ac:dyDescent="0.2">
      <c r="A281" t="str">
        <f>IF('sample design'!B284="","",'sample design'!B284)</f>
        <v/>
      </c>
      <c r="B281" t="str">
        <f>IF(supplement!B284="","",supplement!B284)</f>
        <v/>
      </c>
    </row>
    <row r="282" spans="1:2" x14ac:dyDescent="0.2">
      <c r="A282" t="str">
        <f>IF('sample design'!B285="","",'sample design'!B285)</f>
        <v/>
      </c>
      <c r="B282" t="str">
        <f>IF(supplement!B285="","",supplement!B285)</f>
        <v/>
      </c>
    </row>
    <row r="283" spans="1:2" x14ac:dyDescent="0.2">
      <c r="A283" t="str">
        <f>IF('sample design'!B286="","",'sample design'!B286)</f>
        <v/>
      </c>
      <c r="B283" t="str">
        <f>IF(supplement!B286="","",supplement!B286)</f>
        <v/>
      </c>
    </row>
    <row r="284" spans="1:2" x14ac:dyDescent="0.2">
      <c r="A284" t="str">
        <f>IF('sample design'!B287="","",'sample design'!B287)</f>
        <v/>
      </c>
      <c r="B284" t="str">
        <f>IF(supplement!B287="","",supplement!B287)</f>
        <v/>
      </c>
    </row>
    <row r="285" spans="1:2" x14ac:dyDescent="0.2">
      <c r="A285" t="str">
        <f>IF('sample design'!B288="","",'sample design'!B288)</f>
        <v/>
      </c>
      <c r="B285" t="str">
        <f>IF(supplement!B288="","",supplement!B288)</f>
        <v/>
      </c>
    </row>
    <row r="286" spans="1:2" x14ac:dyDescent="0.2">
      <c r="A286" t="str">
        <f>IF('sample design'!B289="","",'sample design'!B289)</f>
        <v/>
      </c>
      <c r="B286" t="str">
        <f>IF(supplement!B289="","",supplement!B289)</f>
        <v/>
      </c>
    </row>
    <row r="287" spans="1:2" x14ac:dyDescent="0.2">
      <c r="A287" t="str">
        <f>IF('sample design'!B290="","",'sample design'!B290)</f>
        <v/>
      </c>
      <c r="B287" t="str">
        <f>IF(supplement!B290="","",supplement!B290)</f>
        <v/>
      </c>
    </row>
    <row r="288" spans="1:2" x14ac:dyDescent="0.2">
      <c r="A288" t="str">
        <f>IF('sample design'!B291="","",'sample design'!B291)</f>
        <v/>
      </c>
      <c r="B288" t="str">
        <f>IF(supplement!B291="","",supplement!B291)</f>
        <v/>
      </c>
    </row>
    <row r="289" spans="1:2" x14ac:dyDescent="0.2">
      <c r="A289" t="str">
        <f>IF('sample design'!B292="","",'sample design'!B292)</f>
        <v/>
      </c>
      <c r="B289" t="str">
        <f>IF(supplement!B292="","",supplement!B292)</f>
        <v/>
      </c>
    </row>
    <row r="290" spans="1:2" x14ac:dyDescent="0.2">
      <c r="A290" t="str">
        <f>IF('sample design'!B293="","",'sample design'!B293)</f>
        <v/>
      </c>
      <c r="B290" t="str">
        <f>IF(supplement!B293="","",supplement!B293)</f>
        <v/>
      </c>
    </row>
    <row r="291" spans="1:2" x14ac:dyDescent="0.2">
      <c r="A291" t="str">
        <f>IF('sample design'!B294="","",'sample design'!B294)</f>
        <v/>
      </c>
      <c r="B291" t="str">
        <f>IF(supplement!B294="","",supplement!B294)</f>
        <v/>
      </c>
    </row>
    <row r="292" spans="1:2" x14ac:dyDescent="0.2">
      <c r="A292" t="str">
        <f>IF('sample design'!B295="","",'sample design'!B295)</f>
        <v/>
      </c>
      <c r="B292" t="str">
        <f>IF(supplement!B295="","",supplement!B295)</f>
        <v/>
      </c>
    </row>
    <row r="293" spans="1:2" x14ac:dyDescent="0.2">
      <c r="A293" t="str">
        <f>IF('sample design'!B296="","",'sample design'!B296)</f>
        <v/>
      </c>
      <c r="B293" t="str">
        <f>IF(supplement!B296="","",supplement!B296)</f>
        <v/>
      </c>
    </row>
    <row r="294" spans="1:2" x14ac:dyDescent="0.2">
      <c r="A294" t="str">
        <f>IF('sample design'!B297="","",'sample design'!B297)</f>
        <v/>
      </c>
      <c r="B294" t="str">
        <f>IF(supplement!B297="","",supplement!B297)</f>
        <v/>
      </c>
    </row>
    <row r="295" spans="1:2" x14ac:dyDescent="0.2">
      <c r="A295" t="str">
        <f>IF('sample design'!B298="","",'sample design'!B298)</f>
        <v/>
      </c>
      <c r="B295" t="str">
        <f>IF(supplement!B298="","",supplement!B298)</f>
        <v/>
      </c>
    </row>
    <row r="296" spans="1:2" x14ac:dyDescent="0.2">
      <c r="A296" t="str">
        <f>IF('sample design'!B299="","",'sample design'!B299)</f>
        <v/>
      </c>
      <c r="B296" t="str">
        <f>IF(supplement!B299="","",supplement!B299)</f>
        <v/>
      </c>
    </row>
    <row r="297" spans="1:2" x14ac:dyDescent="0.2">
      <c r="A297" t="str">
        <f>IF('sample design'!B300="","",'sample design'!B300)</f>
        <v/>
      </c>
      <c r="B297" t="str">
        <f>IF(supplement!B300="","",supplement!B300)</f>
        <v/>
      </c>
    </row>
    <row r="298" spans="1:2" x14ac:dyDescent="0.2">
      <c r="A298" t="str">
        <f>IF('sample design'!B301="","",'sample design'!B301)</f>
        <v/>
      </c>
      <c r="B298" t="str">
        <f>IF(supplement!B301="","",supplement!B301)</f>
        <v/>
      </c>
    </row>
    <row r="299" spans="1:2" x14ac:dyDescent="0.2">
      <c r="A299" t="str">
        <f>IF('sample design'!B302="","",'sample design'!B302)</f>
        <v/>
      </c>
      <c r="B299" t="str">
        <f>IF(supplement!B302="","",supplement!B302)</f>
        <v/>
      </c>
    </row>
    <row r="300" spans="1:2" x14ac:dyDescent="0.2">
      <c r="A300" t="str">
        <f>IF('sample design'!B303="","",'sample design'!B303)</f>
        <v/>
      </c>
      <c r="B300" t="str">
        <f>IF(supplement!B303="","",supplement!B303)</f>
        <v/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436C-C7EB-1E4B-A456-A454047CE0C9}">
  <dimension ref="A1:B2"/>
  <sheetViews>
    <sheetView workbookViewId="0">
      <selection activeCell="H28" sqref="H28"/>
    </sheetView>
  </sheetViews>
  <sheetFormatPr baseColWidth="10" defaultRowHeight="15" x14ac:dyDescent="0.2"/>
  <cols>
    <col min="2" max="2" width="32.6640625" customWidth="1"/>
  </cols>
  <sheetData>
    <row r="1" spans="1:2" x14ac:dyDescent="0.2">
      <c r="A1" t="s">
        <v>127</v>
      </c>
      <c r="B1" t="s">
        <v>128</v>
      </c>
    </row>
    <row r="2" spans="1:2" x14ac:dyDescent="0.2">
      <c r="A2" t="s">
        <v>145</v>
      </c>
      <c r="B2" s="10" t="s">
        <v>146</v>
      </c>
    </row>
  </sheetData>
  <hyperlinks>
    <hyperlink ref="B2" r:id="rId1" xr:uid="{B2295069-B31A-1246-BEDD-8A7097F7FE72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21121-07EC-3A4F-866A-0CCAE180FB12}">
  <dimension ref="A1:B2"/>
  <sheetViews>
    <sheetView workbookViewId="0">
      <selection activeCell="E29" sqref="E29"/>
    </sheetView>
  </sheetViews>
  <sheetFormatPr baseColWidth="10" defaultRowHeight="15" x14ac:dyDescent="0.2"/>
  <cols>
    <col min="2" max="2" width="32.5" customWidth="1"/>
  </cols>
  <sheetData>
    <row r="1" spans="1:2" x14ac:dyDescent="0.2">
      <c r="A1" t="s">
        <v>129</v>
      </c>
      <c r="B1" t="s">
        <v>130</v>
      </c>
    </row>
    <row r="2" spans="1:2" x14ac:dyDescent="0.2">
      <c r="A2" t="s">
        <v>148</v>
      </c>
      <c r="B2" s="10" t="s">
        <v>146</v>
      </c>
    </row>
  </sheetData>
  <hyperlinks>
    <hyperlink ref="B2" r:id="rId1" xr:uid="{B0DAE283-47A5-534F-8C7F-1D372869413B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556D1-FCCD-CA41-8299-B3C1B5F16C78}">
  <dimension ref="A1:B3"/>
  <sheetViews>
    <sheetView workbookViewId="0">
      <selection activeCell="B17" sqref="B17"/>
    </sheetView>
  </sheetViews>
  <sheetFormatPr baseColWidth="10" defaultRowHeight="15" x14ac:dyDescent="0.2"/>
  <cols>
    <col min="2" max="2" width="43.33203125" customWidth="1"/>
  </cols>
  <sheetData>
    <row r="1" spans="1:2" x14ac:dyDescent="0.2">
      <c r="A1" t="s">
        <v>131</v>
      </c>
      <c r="B1" t="s">
        <v>132</v>
      </c>
    </row>
    <row r="2" spans="1:2" x14ac:dyDescent="0.2">
      <c r="A2" t="s">
        <v>147</v>
      </c>
      <c r="B2" s="10" t="s">
        <v>146</v>
      </c>
    </row>
    <row r="3" spans="1:2" x14ac:dyDescent="0.2">
      <c r="B3" s="10"/>
    </row>
  </sheetData>
  <hyperlinks>
    <hyperlink ref="B2" r:id="rId1" xr:uid="{CD4A34A9-C2CF-7341-B6EA-D87E16798DBA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4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Props1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4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welcome</vt:lpstr>
      <vt:lpstr>sample design</vt:lpstr>
      <vt:lpstr>supplement</vt:lpstr>
      <vt:lpstr>Init</vt:lpstr>
      <vt:lpstr>FlapjackCols</vt:lpstr>
      <vt:lpstr>column_definitions</vt:lpstr>
      <vt:lpstr>Ontology Terms</vt:lpstr>
      <vt:lpstr>molecule_types</vt:lpstr>
      <vt:lpstr>unique_values</vt:lpstr>
      <vt:lpstr>SBH_strains_collection</vt:lpstr>
      <vt:lpstr>SBH_medias_collection</vt:lpstr>
      <vt:lpstr>SBH_chemicals_collection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Peña (PGR)</cp:lastModifiedBy>
  <cp:revision/>
  <dcterms:created xsi:type="dcterms:W3CDTF">2022-06-30T21:03:14Z</dcterms:created>
  <dcterms:modified xsi:type="dcterms:W3CDTF">2026-06-11T12:43:38Z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