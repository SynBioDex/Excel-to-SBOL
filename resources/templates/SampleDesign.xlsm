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8_{01AFBA7B-2AEA-B74F-8C9C-09C0D1AE14B0}" xr6:coauthVersionLast="47" xr6:coauthVersionMax="47" xr10:uidLastSave="{00000000-0000-0000-0000-000000000000}"/>
  <bookViews>
    <workbookView xWindow="0" yWindow="500" windowWidth="21800" windowHeight="18800" tabRatio="745" activeTab="1" xr2:uid="{00000000-000D-0000-FFFF-FFFF00000000}"/>
  </bookViews>
  <sheets>
    <sheet name="welcome" sheetId="1" r:id="rId1"/>
    <sheet name="sample design" sheetId="11" r:id="rId2"/>
    <sheet name="supplement" sheetId="12" r:id="rId3"/>
    <sheet name="SBH_strains_collection" sheetId="13" state="hidden" r:id="rId4"/>
    <sheet name="SBH_media_collection" sheetId="14" state="hidden" r:id="rId5"/>
    <sheet name="ontology_terms" sheetId="2" state="hidden" r:id="rId6"/>
    <sheet name="organism_terms" sheetId="3" state="hidden" r:id="rId7"/>
    <sheet name="molecule_types" sheetId="4" state="hidden" r:id="rId8"/>
    <sheet name="nci_thesaurus" sheetId="5" state="hidden" r:id="rId9"/>
    <sheet name="flapjack_cols" sheetId="6" state="hidden" r:id="rId10"/>
    <sheet name="_DropdownState" sheetId="7" state="hidden" r:id="rId11"/>
    <sheet name="_DropdownLists" sheetId="8" state="hidden" r:id="rId12"/>
    <sheet name="Init" sheetId="9" state="hidden" r:id="rId13"/>
    <sheet name="column_definitions" sheetId="10" state="hidden" r:id="rId14"/>
    <sheet name="SBH_supplements_collection" sheetId="15" state="hidden" r:id="rId15"/>
    <sheet name="SBH_chemicals_collection" sheetId="16" state="hidden" r:id="rId16"/>
    <sheet name="_DropdownMap" sheetId="17" state="hidden" r:id="rId1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2" l="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A00-000007000000}">
      <text>
        <r>
          <rPr>
            <sz val="11"/>
            <color rgb="FF1E1E20"/>
            <rFont val="Helvetica"/>
            <family val="2"/>
          </rPr>
          <t>The supplements added to the media. Select from the SBH_supplements_collection dropdown.</t>
        </r>
      </text>
    </comment>
    <comment ref="H1" authorId="0" shapeId="0" xr:uid="{00000000-0006-0000-0A00-000008000000}">
      <text>
        <r>
          <rPr>
            <sz val="11"/>
            <color rgb="FF1E1E20"/>
            <rFont val="Helvetica"/>
            <family val="2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<sst xmlns="http://schemas.openxmlformats.org/spreadsheetml/2006/main" count="7788" uniqueCount="7577">
  <si>
    <t>Template Type</t>
  </si>
  <si>
    <t>SampleDesign</t>
  </si>
  <si>
    <t>Author</t>
  </si>
  <si>
    <t>Email</t>
  </si>
  <si>
    <t>Lab</t>
  </si>
  <si>
    <t>Institution</t>
  </si>
  <si>
    <t>Library Name</t>
  </si>
  <si>
    <t>Sample Design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</si>
  <si>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</si>
  <si>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</si>
  <si>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</si>
  <si>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</si>
  <si>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</si>
  <si>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</si>
  <si>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</si>
  <si>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</si>
  <si>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</si>
  <si>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</si>
  <si>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</si>
  <si>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</si>
  <si>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</si>
  <si>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</si>
  <si>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</si>
  <si>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</si>
  <si>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</si>
  <si>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</si>
  <si>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</si>
  <si>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</si>
  <si>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</si>
  <si>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</si>
  <si>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</si>
  <si>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</si>
  <si>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</si>
  <si>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</si>
  <si>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</si>
  <si>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</si>
  <si>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</si>
  <si>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</si>
  <si>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</si>
  <si>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</si>
  <si>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</si>
  <si>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</si>
  <si>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</si>
  <si>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</si>
  <si>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</si>
  <si>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</si>
  <si>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</si>
  <si>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</si>
  <si>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</si>
  <si>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</si>
  <si>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</si>
  <si>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</si>
  <si>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</si>
  <si>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</si>
  <si>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</si>
  <si>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</si>
  <si>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</si>
  <si>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</si>
  <si>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</si>
  <si>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</si>
  <si>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</si>
  <si>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</si>
  <si>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</si>
  <si>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</si>
  <si>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</si>
  <si>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</si>
  <si>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</si>
  <si>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</si>
  <si>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</si>
  <si>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</si>
  <si>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</si>
  <si>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</si>
  <si>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</si>
  <si>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</si>
  <si>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</si>
  <si>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</si>
  <si>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</si>
  <si>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</si>
  <si>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</si>
  <si>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</si>
  <si>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</si>
  <si>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</si>
  <si>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</si>
  <si>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</si>
  <si>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</si>
  <si>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</si>
  <si>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</si>
  <si>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</si>
  <si>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</si>
  <si>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</si>
  <si>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</si>
  <si>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</si>
  <si>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</si>
  <si>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</si>
  <si>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</si>
  <si>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</si>
  <si>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</si>
  <si>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</si>
  <si>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</si>
  <si>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</si>
  <si>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</si>
  <si>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</si>
  <si>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</si>
  <si>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</si>
  <si>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</si>
  <si>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</si>
  <si>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</si>
  <si>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</si>
  <si>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</si>
  <si>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</si>
  <si>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</si>
  <si>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</si>
  <si>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</si>
  <si>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</si>
  <si>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</si>
  <si>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</si>
  <si>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</si>
  <si>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</si>
  <si>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</si>
  <si>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</si>
  <si>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</si>
  <si>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</si>
  <si>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</si>
  <si>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</si>
  <si>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</si>
  <si>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</si>
  <si>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</si>
  <si>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</si>
  <si>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</si>
  <si>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</si>
  <si>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</si>
  <si>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</si>
  <si>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</si>
  <si>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</si>
  <si>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</si>
  <si>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</si>
  <si>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</si>
  <si>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</si>
  <si>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</si>
  <si>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</si>
  <si>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</si>
  <si>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</si>
  <si>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</si>
  <si>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</si>
  <si>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</si>
  <si>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</si>
  <si>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</si>
  <si>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</si>
  <si>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</si>
  <si>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</si>
  <si>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</si>
  <si>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</si>
  <si>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</si>
  <si>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</si>
  <si>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</si>
  <si>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</si>
  <si>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</si>
  <si>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</si>
  <si>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</si>
  <si>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</si>
  <si>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</si>
  <si>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</si>
  <si>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</si>
  <si>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</si>
  <si>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</si>
  <si>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</si>
  <si>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</si>
  <si>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</si>
  <si>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</si>
  <si>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</si>
  <si>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</si>
  <si>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</si>
  <si>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</si>
  <si>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</si>
  <si>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</si>
  <si>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</si>
  <si>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</si>
  <si>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</si>
  <si>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</si>
  <si>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</si>
  <si>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</si>
  <si>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</si>
  <si>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</si>
  <si>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</si>
  <si>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</si>
  <si>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</si>
  <si>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</si>
  <si>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</si>
  <si>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</si>
  <si>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</si>
  <si>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</si>
  <si>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</si>
  <si>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</si>
  <si>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</si>
  <si>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</si>
  <si>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</si>
  <si>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</si>
  <si>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</si>
  <si>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</si>
  <si>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</si>
  <si>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</si>
  <si>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</si>
  <si>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</si>
  <si>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</si>
  <si>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</si>
  <si>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</si>
  <si>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</si>
  <si>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</si>
  <si>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</si>
  <si>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</si>
  <si>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</si>
  <si>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</si>
  <si>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</si>
  <si>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</si>
  <si>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</si>
  <si>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</si>
  <si>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</si>
  <si>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</si>
  <si>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</si>
  <si>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</si>
  <si>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</si>
  <si>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</si>
  <si>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</si>
  <si>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</si>
  <si>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</si>
  <si>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</si>
  <si>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</si>
  <si>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</si>
  <si>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</si>
  <si>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</si>
  <si>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</si>
  <si>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</si>
  <si>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</si>
  <si>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</si>
  <si>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</si>
  <si>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</si>
  <si>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</si>
  <si>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</si>
  <si>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</si>
  <si>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</si>
  <si>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</si>
  <si>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</si>
  <si>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</si>
  <si>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</si>
  <si>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</si>
  <si>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</si>
  <si>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</si>
  <si>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</si>
  <si>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</si>
  <si>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</si>
  <si>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</si>
  <si>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</si>
  <si>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</si>
  <si>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</si>
  <si>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</si>
  <si>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</si>
  <si>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</si>
  <si>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</si>
  <si>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</si>
  <si>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</si>
  <si>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</si>
  <si>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</si>
  <si>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</si>
  <si>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</si>
  <si>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</si>
  <si>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</si>
  <si>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</si>
  <si>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</si>
  <si>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</si>
  <si>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</si>
  <si>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</si>
  <si>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</si>
  <si>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</si>
  <si>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</si>
  <si>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</si>
  <si>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</si>
  <si>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</si>
  <si>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</si>
  <si>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</si>
  <si>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</si>
  <si>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</si>
  <si>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</si>
  <si>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</si>
  <si>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</si>
  <si>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</si>
  <si>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</si>
  <si>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</si>
  <si>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</si>
  <si>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</si>
  <si>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</si>
  <si>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</si>
  <si>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</si>
  <si>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</si>
  <si>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</si>
  <si>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</si>
  <si>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</si>
  <si>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</si>
  <si>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</si>
  <si>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</si>
  <si>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</si>
  <si>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</si>
  <si>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</si>
  <si>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</si>
  <si>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</si>
  <si>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</si>
  <si>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</si>
  <si>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</si>
  <si>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</si>
  <si>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</si>
  <si>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</si>
  <si>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</si>
  <si>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</si>
  <si>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</si>
  <si>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</si>
  <si>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</si>
  <si>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</si>
  <si>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</si>
  <si>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</si>
  <si>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</si>
  <si>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</si>
  <si>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</si>
  <si>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</si>
  <si>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</si>
  <si>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</si>
  <si>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</si>
  <si>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</si>
  <si>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</si>
  <si>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</si>
  <si>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</si>
  <si>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</si>
  <si>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</si>
  <si>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</si>
  <si>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</si>
  <si>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</si>
  <si>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</si>
  <si>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</si>
  <si>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</si>
  <si>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</si>
  <si>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</si>
  <si>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</si>
  <si>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</si>
  <si>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</si>
  <si>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</si>
  <si>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</si>
  <si>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</si>
  <si>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</si>
  <si>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</si>
  <si>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</si>
  <si>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</si>
  <si>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</si>
  <si>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</si>
  <si>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</si>
  <si>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</si>
  <si>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</si>
  <si>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</si>
  <si>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</si>
  <si>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</si>
  <si>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</si>
  <si>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</si>
  <si>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</si>
  <si>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</si>
  <si>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</si>
  <si>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</si>
  <si>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</si>
  <si>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</si>
  <si>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</si>
  <si>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</si>
  <si>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</si>
  <si>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</si>
  <si>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</si>
  <si>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</si>
  <si>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</si>
  <si>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</si>
  <si>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</si>
  <si>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</si>
  <si>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</si>
  <si>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</si>
  <si>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</si>
  <si>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</si>
  <si>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</si>
  <si>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</si>
  <si>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</si>
  <si>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</si>
  <si>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</si>
  <si>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</si>
  <si>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</si>
  <si>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</si>
  <si>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</si>
  <si>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</si>
  <si>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</si>
  <si>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</si>
  <si>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</si>
  <si>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</si>
  <si>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</si>
  <si>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</si>
  <si>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</si>
  <si>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</si>
  <si>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</si>
  <si>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</si>
  <si>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</si>
  <si>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</si>
  <si>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</si>
  <si>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</si>
  <si>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</si>
  <si>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</si>
  <si>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</si>
  <si>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</si>
  <si>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</si>
  <si>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</si>
  <si>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</si>
  <si>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</si>
  <si>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</si>
  <si>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</si>
  <si>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</si>
  <si>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</si>
  <si>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</si>
  <si>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</si>
  <si>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</si>
  <si>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</si>
  <si>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</si>
  <si>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</si>
  <si>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</si>
  <si>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</si>
  <si>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</si>
  <si>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</si>
  <si>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</si>
  <si>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</si>
  <si>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</si>
  <si>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</si>
  <si>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</si>
  <si>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</si>
  <si>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</si>
  <si>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</si>
  <si>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</si>
  <si>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</si>
  <si>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</si>
  <si>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</si>
  <si>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</si>
  <si>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</si>
  <si>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</si>
  <si>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</si>
  <si>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</si>
  <si>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</si>
  <si>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</si>
  <si>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</si>
  <si>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</si>
  <si>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</si>
  <si>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</si>
  <si>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</si>
  <si>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</si>
  <si>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</si>
  <si>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</si>
  <si>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</si>
  <si>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</si>
  <si>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</si>
  <si>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</si>
  <si>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</si>
  <si>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</si>
  <si>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</si>
  <si>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</si>
  <si>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</si>
  <si>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</si>
  <si>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</si>
  <si>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</si>
  <si>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</si>
  <si>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</si>
  <si>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</si>
  <si>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</si>
  <si>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</si>
  <si>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</si>
  <si>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</si>
  <si>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</si>
  <si>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</si>
  <si>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</si>
  <si>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</si>
  <si>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</si>
  <si>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</si>
  <si>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</si>
  <si>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</si>
  <si>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</si>
  <si>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</si>
  <si>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</si>
  <si>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</si>
  <si>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</si>
  <si>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</si>
  <si>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</si>
  <si>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</si>
  <si>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</si>
  <si>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</si>
  <si>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</si>
  <si>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</si>
  <si>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</si>
  <si>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</si>
  <si>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</si>
  <si>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</si>
  <si>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</si>
  <si>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</si>
  <si>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</si>
  <si>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</si>
  <si>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</si>
  <si>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</si>
  <si>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</si>
  <si>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</si>
  <si>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</si>
  <si>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</si>
  <si>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</si>
  <si>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</si>
  <si>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</si>
  <si>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</si>
  <si>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</si>
  <si>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</si>
  <si>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</si>
  <si>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</si>
  <si>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</si>
  <si>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</si>
  <si>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</si>
  <si>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</si>
  <si>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</si>
  <si>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</si>
  <si>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</si>
  <si>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</si>
  <si>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</si>
  <si>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</si>
  <si>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</si>
  <si>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</si>
  <si>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</si>
  <si>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</si>
  <si>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</si>
  <si>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</si>
  <si>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</si>
  <si>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</si>
  <si>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</si>
  <si>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</si>
  <si>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</si>
  <si>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</si>
  <si>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</si>
  <si>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</si>
  <si>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</si>
  <si>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</si>
  <si>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</si>
  <si>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</si>
  <si>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</si>
  <si>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</si>
  <si>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</si>
  <si>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</si>
  <si>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</si>
  <si>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</si>
  <si>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</si>
  <si>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</si>
  <si>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</si>
  <si>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</si>
  <si>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</si>
  <si>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</si>
  <si>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</si>
  <si>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</si>
  <si>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</si>
  <si>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</si>
  <si>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</si>
  <si>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</si>
  <si>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</si>
  <si>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</si>
  <si>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</si>
  <si>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</si>
  <si>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</si>
  <si>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</si>
  <si>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</si>
  <si>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</si>
  <si>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</si>
  <si>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</si>
  <si>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</si>
  <si>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</si>
  <si>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</si>
  <si>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</si>
  <si>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</si>
  <si>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</si>
  <si>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</si>
  <si>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</si>
  <si>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</si>
  <si>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</si>
  <si>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</si>
  <si>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</si>
  <si>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</si>
  <si>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</si>
  <si>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</si>
  <si>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</si>
  <si>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</si>
  <si>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</si>
  <si>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</si>
  <si>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</si>
  <si>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</si>
  <si>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</si>
  <si>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</si>
  <si>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</si>
  <si>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</si>
  <si>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</si>
  <si>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</si>
  <si>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</si>
  <si>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</si>
  <si>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</si>
  <si>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</si>
  <si>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</si>
  <si>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</si>
  <si>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</si>
  <si>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</si>
  <si>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</si>
  <si>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</si>
  <si>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</si>
  <si>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</si>
  <si>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</si>
  <si>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</si>
  <si>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</si>
  <si>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</si>
  <si>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</si>
  <si>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</si>
  <si>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</si>
  <si>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</si>
  <si>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</si>
  <si>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</si>
  <si>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</si>
  <si>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</si>
  <si>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</si>
  <si>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</si>
  <si>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</si>
  <si>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</si>
  <si>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</si>
  <si>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</si>
  <si>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</si>
  <si>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</si>
  <si>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</si>
  <si>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</si>
  <si>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</si>
  <si>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</si>
  <si>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</si>
  <si>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</si>
  <si>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</si>
  <si>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</si>
  <si>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</si>
  <si>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</si>
  <si>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</si>
  <si>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</si>
  <si>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</si>
  <si>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</si>
  <si>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</si>
  <si>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</si>
  <si>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</si>
  <si>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</si>
  <si>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</si>
  <si>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</si>
  <si>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</si>
  <si>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</si>
  <si>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</si>
  <si>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</si>
  <si>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</si>
  <si>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</si>
  <si>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</si>
  <si>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</si>
  <si>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</si>
  <si>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</si>
  <si>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</si>
  <si>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</si>
  <si>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</si>
  <si>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</si>
  <si>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</si>
  <si>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</si>
  <si>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</si>
  <si>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</si>
  <si>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</si>
  <si>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</si>
  <si>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</si>
  <si>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</si>
  <si>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</si>
  <si>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</si>
  <si>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</si>
  <si>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</si>
  <si>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</si>
  <si>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</si>
  <si>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</si>
  <si>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</si>
  <si>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</si>
  <si>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</si>
  <si>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</si>
  <si>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</si>
  <si>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</si>
  <si>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</si>
  <si>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</si>
  <si>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</si>
  <si>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</si>
  <si>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</si>
  <si>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</si>
  <si>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</si>
  <si>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</si>
  <si>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</si>
  <si>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</si>
  <si>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</si>
  <si>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</si>
  <si>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</si>
  <si>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</si>
  <si>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</si>
  <si>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</si>
  <si>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</si>
  <si>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</si>
  <si>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</si>
  <si>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</si>
  <si>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</si>
  <si>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</si>
  <si>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</si>
  <si>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</si>
  <si>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</si>
  <si>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</si>
  <si>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</si>
  <si>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</si>
  <si>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</si>
  <si>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</si>
  <si>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</si>
  <si>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</si>
  <si>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</si>
  <si>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</si>
  <si>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</si>
  <si>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</si>
  <si>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</si>
  <si>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</si>
  <si>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</si>
  <si>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</si>
  <si>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</si>
  <si>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</si>
  <si>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</si>
  <si>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</si>
  <si>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</si>
  <si>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</si>
  <si>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</si>
  <si>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</si>
  <si>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</si>
  <si>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</si>
  <si>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</si>
  <si>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</si>
  <si>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</si>
  <si>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</si>
  <si>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</si>
  <si>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</si>
  <si>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</si>
  <si>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</si>
  <si>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</si>
  <si>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</si>
  <si>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</si>
  <si>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</si>
  <si>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</si>
  <si>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</si>
  <si>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</si>
  <si>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</si>
  <si>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</si>
  <si>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</si>
  <si>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</si>
  <si>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</si>
  <si>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</si>
  <si>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</si>
  <si>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</si>
  <si>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</si>
  <si>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</si>
  <si>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</si>
  <si>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</si>
  <si>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</si>
  <si>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</si>
  <si>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</si>
  <si>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</si>
  <si>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</si>
  <si>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</si>
  <si>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</si>
  <si>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</si>
  <si>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</si>
  <si>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</si>
  <si>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</si>
  <si>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</si>
  <si>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</si>
  <si>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</si>
  <si>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</si>
  <si>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</si>
  <si>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</si>
  <si>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</si>
  <si>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</si>
  <si>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</si>
  <si>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</si>
  <si>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</si>
  <si>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</si>
  <si>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</si>
  <si>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</si>
  <si>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</si>
  <si>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</si>
  <si>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</si>
  <si>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</si>
  <si>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</si>
  <si>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</si>
  <si>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</si>
  <si>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</si>
  <si>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</si>
  <si>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</si>
  <si>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</si>
  <si>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</si>
  <si>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</si>
  <si>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</si>
  <si>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</si>
  <si>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</si>
  <si>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</si>
  <si>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</si>
  <si>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</si>
  <si>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</si>
  <si>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</si>
  <si>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</si>
  <si>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</si>
  <si>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</si>
  <si>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</si>
  <si>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</si>
  <si>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</si>
  <si>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</si>
  <si>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</si>
  <si>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</si>
  <si>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</si>
  <si>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</si>
  <si>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</si>
  <si>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</si>
  <si>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</si>
  <si>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</si>
  <si>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</si>
  <si>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</si>
  <si>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</si>
  <si>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</si>
  <si>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</si>
  <si>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</si>
  <si>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</si>
  <si>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</si>
  <si>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</si>
  <si>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</si>
  <si>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</si>
  <si>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</si>
  <si>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</si>
  <si>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</si>
  <si>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</si>
  <si>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</si>
  <si>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</si>
  <si>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</si>
  <si>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</si>
  <si>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</si>
  <si>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</si>
  <si>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</si>
  <si>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</si>
  <si>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</si>
  <si>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</si>
  <si>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</si>
  <si>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</si>
  <si>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</si>
  <si>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</si>
  <si>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</si>
  <si>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</si>
  <si>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</si>
  <si>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</si>
  <si>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</si>
  <si>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</si>
  <si>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</si>
  <si>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</si>
  <si>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</si>
  <si>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</si>
  <si>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</si>
  <si>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</si>
  <si>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</si>
  <si>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</si>
  <si>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</si>
  <si>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</si>
  <si>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</si>
  <si>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</si>
  <si>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</si>
  <si>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</si>
  <si>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</si>
  <si>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</si>
  <si>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</si>
  <si>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</si>
  <si>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</si>
  <si>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</si>
  <si>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</si>
  <si>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</si>
  <si>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</si>
  <si>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</si>
  <si>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</si>
  <si>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</si>
  <si>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</si>
  <si>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</si>
  <si>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</si>
  <si>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</si>
  <si>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</si>
  <si>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</si>
  <si>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</si>
  <si>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</si>
  <si>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</si>
  <si>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</si>
  <si>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</si>
  <si>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</si>
  <si>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</si>
  <si>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</si>
  <si>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</si>
  <si>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</si>
  <si>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</si>
  <si>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</si>
  <si>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</si>
  <si>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</si>
  <si>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</si>
  <si>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</si>
  <si>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</si>
  <si>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</si>
  <si>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</si>
  <si>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</si>
  <si>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</si>
  <si>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</si>
  <si>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</si>
  <si>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</si>
  <si>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</si>
  <si>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</si>
  <si>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</si>
  <si>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</si>
  <si>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</si>
  <si>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</si>
  <si>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</si>
  <si>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</si>
  <si>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</si>
  <si>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</si>
  <si>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</si>
  <si>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</si>
  <si>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</si>
  <si>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</si>
  <si>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</si>
  <si>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</si>
  <si>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</si>
  <si>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</si>
  <si>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</si>
  <si>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</si>
  <si>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</si>
  <si>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</si>
  <si>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</si>
  <si>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</si>
  <si>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</si>
  <si>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</si>
  <si>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</si>
  <si>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</si>
  <si>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</si>
  <si>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</si>
  <si>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</si>
  <si>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</si>
  <si>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</si>
  <si>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</si>
  <si>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</si>
  <si>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</si>
  <si>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</si>
  <si>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</si>
  <si>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</si>
  <si>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</si>
  <si>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</si>
  <si>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</si>
  <si>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</si>
  <si>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</si>
  <si>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</si>
  <si>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</si>
  <si>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</si>
  <si>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</si>
  <si>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</si>
  <si>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</si>
  <si>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</si>
  <si>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</si>
  <si>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</si>
  <si>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</si>
  <si>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</si>
  <si>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</si>
  <si>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</si>
  <si>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</si>
  <si>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</si>
  <si>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</si>
  <si>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</si>
  <si>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</si>
  <si>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</si>
  <si>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</si>
  <si>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</si>
  <si>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</si>
  <si>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</si>
  <si>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</si>
  <si>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</si>
  <si>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</si>
  <si>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</si>
  <si>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</si>
  <si>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</si>
  <si>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</si>
  <si>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</si>
  <si>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</si>
  <si>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</si>
  <si>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</si>
  <si>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</si>
  <si>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</si>
  <si>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</si>
  <si>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</si>
  <si>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</si>
  <si>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</si>
  <si>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</si>
  <si>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</si>
  <si>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</si>
  <si>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</si>
  <si>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</si>
  <si>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</si>
  <si>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</si>
  <si>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</si>
  <si>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</si>
  <si>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</si>
  <si>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</si>
  <si>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</si>
  <si>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</si>
  <si>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</si>
  <si>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</si>
  <si>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</si>
  <si>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</si>
  <si>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</si>
  <si>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</si>
  <si>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</si>
  <si>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</si>
  <si>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</si>
  <si>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</si>
  <si>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</si>
  <si>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</si>
  <si>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</si>
  <si>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</si>
  <si>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</si>
  <si>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</si>
  <si>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</si>
  <si>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</si>
  <si>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</si>
  <si>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</si>
  <si>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</si>
  <si>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</si>
  <si>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</si>
  <si>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</si>
  <si>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</si>
  <si>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</si>
  <si>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</si>
  <si>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</si>
  <si>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</si>
  <si>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</si>
  <si>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</si>
  <si>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</si>
  <si>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</si>
  <si>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</si>
  <si>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</si>
  <si>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</si>
  <si>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</si>
  <si>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</si>
  <si>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</si>
  <si>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</si>
  <si>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</si>
  <si>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</si>
  <si>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</si>
  <si>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</si>
  <si>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</si>
  <si>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</si>
  <si>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</si>
  <si>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</si>
  <si>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</si>
  <si>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</si>
  <si>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</si>
  <si>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</si>
  <si>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</si>
  <si>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</si>
  <si>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</si>
  <si>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</si>
  <si>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</si>
  <si>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</si>
  <si>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</si>
  <si>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</si>
  <si>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</si>
  <si>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</si>
  <si>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</si>
  <si>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</si>
  <si>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</si>
  <si>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</si>
  <si>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</si>
  <si>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</si>
  <si>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</si>
  <si>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</si>
  <si>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</si>
  <si>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</si>
  <si>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</si>
  <si>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</si>
  <si>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</si>
  <si>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</si>
  <si>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</si>
  <si>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</si>
  <si>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</si>
  <si>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</si>
  <si>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</si>
  <si>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</si>
  <si>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</si>
  <si>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</si>
  <si>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</si>
  <si>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</si>
  <si>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</si>
  <si>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</si>
  <si>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</si>
  <si>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</si>
  <si>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</si>
  <si>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</si>
  <si>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</si>
  <si>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</si>
  <si>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</si>
  <si>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</si>
  <si>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</si>
  <si>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</si>
  <si>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</si>
  <si>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</si>
  <si>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</si>
  <si>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</si>
  <si>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</si>
  <si>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</si>
  <si>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</si>
  <si>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</si>
  <si>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</si>
  <si>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</si>
  <si>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</si>
  <si>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</si>
  <si>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</si>
  <si>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</si>
  <si>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</si>
  <si>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</si>
  <si>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</si>
  <si>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</si>
  <si>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</si>
  <si>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</si>
  <si>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</si>
  <si>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</si>
  <si>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</si>
  <si>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</si>
  <si>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</si>
  <si>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</si>
  <si>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</si>
  <si>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</si>
  <si>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</si>
  <si>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</si>
  <si>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</si>
  <si>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</si>
  <si>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</si>
  <si>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</si>
  <si>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</si>
  <si>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</si>
  <si>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</si>
  <si>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</si>
  <si>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</si>
  <si>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</si>
  <si>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</si>
  <si>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</si>
  <si>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</si>
  <si>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</si>
  <si>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</si>
  <si>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</si>
  <si>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</si>
  <si>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</si>
  <si>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</si>
  <si>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</si>
  <si>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</si>
  <si>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</si>
  <si>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</si>
  <si>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</si>
  <si>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</si>
  <si>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</si>
  <si>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</si>
  <si>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</si>
  <si>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</si>
  <si>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</si>
  <si>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</si>
  <si>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</si>
  <si>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</si>
  <si>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</si>
  <si>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</si>
  <si>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</si>
  <si>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</si>
  <si>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</si>
  <si>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</si>
  <si>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</si>
  <si>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</si>
  <si>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</si>
  <si>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</si>
  <si>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</si>
  <si>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</si>
  <si>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</si>
  <si>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</si>
  <si>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</si>
  <si>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</si>
  <si>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</si>
  <si>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</si>
  <si>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</si>
  <si>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</si>
  <si>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</si>
  <si>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</si>
  <si>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</si>
  <si>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</si>
  <si>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</si>
  <si>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</si>
  <si>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</si>
  <si>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</si>
  <si>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</si>
  <si>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</si>
  <si>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</si>
  <si>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</si>
  <si>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</si>
  <si>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</si>
  <si>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</si>
  <si>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</si>
  <si>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</si>
  <si>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</si>
  <si>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</si>
  <si>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</si>
  <si>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</si>
  <si>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</si>
  <si>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</si>
  <si>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</si>
  <si>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</si>
  <si>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</si>
  <si>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</si>
  <si>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</si>
  <si>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</si>
  <si>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</si>
  <si>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</si>
  <si>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</si>
  <si>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</si>
  <si>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</si>
  <si>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</si>
  <si>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</si>
  <si>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</si>
  <si>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</si>
  <si>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</si>
  <si>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</si>
  <si>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</si>
  <si>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</si>
  <si>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</si>
  <si>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</si>
  <si>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</si>
  <si>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</si>
  <si>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</si>
  <si>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</si>
  <si>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</si>
  <si>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</si>
  <si>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</si>
  <si>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</si>
  <si>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</si>
  <si>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</si>
  <si>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</si>
  <si>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</si>
  <si>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</si>
  <si>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</si>
  <si>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</si>
  <si>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</si>
  <si>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</si>
  <si>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</si>
  <si>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</si>
  <si>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</si>
  <si>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</si>
  <si>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</si>
  <si>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</si>
  <si>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</si>
  <si>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</si>
  <si>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</si>
  <si>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</si>
  <si>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</si>
  <si>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</si>
  <si>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</si>
  <si>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</si>
  <si>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</si>
  <si>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</si>
  <si>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</si>
  <si>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</si>
  <si>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</si>
  <si>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</si>
  <si>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</si>
  <si>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</si>
  <si>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</si>
  <si>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</si>
  <si>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</si>
  <si>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</si>
  <si>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</si>
  <si>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</si>
  <si>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</si>
  <si>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</si>
  <si>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</si>
  <si>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</si>
  <si>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</si>
  <si>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</si>
  <si>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</si>
  <si>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</si>
  <si>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</si>
  <si>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</si>
  <si>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</si>
  <si>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</si>
  <si>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</si>
  <si>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</si>
  <si>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</si>
  <si>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</si>
  <si>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</si>
  <si>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</si>
  <si>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</si>
  <si>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</si>
  <si>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</si>
  <si>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</si>
  <si>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</si>
  <si>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</si>
  <si>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</si>
  <si>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</si>
  <si>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</si>
  <si>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</si>
  <si>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</si>
  <si>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</si>
  <si>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</si>
  <si>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</si>
  <si>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</si>
  <si>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</si>
  <si>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</si>
  <si>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</si>
  <si>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</si>
  <si>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</si>
  <si>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</si>
  <si>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</si>
  <si>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</si>
  <si>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</si>
  <si>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</si>
  <si>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</si>
  <si>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</si>
  <si>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</si>
  <si>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</si>
  <si>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</si>
  <si>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</si>
  <si>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</si>
  <si>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</si>
  <si>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</si>
  <si>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</si>
  <si>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</si>
  <si>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</si>
  <si>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</si>
  <si>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</si>
  <si>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</si>
  <si>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</si>
  <si>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</si>
  <si>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</si>
  <si>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</si>
  <si>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</si>
  <si>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</si>
  <si>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</si>
  <si>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</si>
  <si>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</si>
  <si>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</si>
  <si>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</si>
  <si>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</si>
  <si>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</si>
  <si>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</si>
  <si>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</si>
  <si>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</si>
  <si>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</si>
  <si>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</si>
  <si>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</si>
  <si>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</si>
  <si>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</si>
  <si>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</si>
  <si>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</si>
  <si>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</si>
  <si>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</si>
  <si>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</si>
  <si>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</si>
  <si>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</si>
  <si>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</si>
  <si>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</si>
  <si>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</si>
  <si>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</si>
  <si>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</si>
  <si>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</si>
  <si>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</si>
  <si>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</si>
  <si>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</si>
  <si>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</si>
  <si>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</si>
  <si>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</si>
  <si>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</si>
  <si>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</si>
  <si>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</si>
  <si>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</si>
  <si>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</si>
  <si>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</si>
  <si>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</si>
  <si>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</si>
  <si>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</si>
  <si>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</si>
  <si>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</si>
  <si>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</si>
  <si>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</si>
  <si>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</si>
  <si>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</si>
  <si>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</si>
  <si>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</si>
  <si>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</si>
  <si>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</si>
  <si>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</si>
  <si>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</si>
  <si>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</si>
  <si>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</si>
  <si>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</si>
  <si>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</si>
  <si>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</si>
  <si>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</si>
  <si>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</si>
  <si>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</si>
  <si>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</si>
  <si>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</si>
  <si>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</si>
  <si>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</si>
  <si>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</si>
  <si>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</si>
  <si>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</si>
  <si>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</si>
  <si>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</si>
  <si>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</si>
  <si>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</si>
  <si>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</si>
  <si>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</si>
  <si>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</si>
  <si>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</si>
  <si>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</si>
  <si>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</si>
  <si>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</si>
  <si>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</si>
  <si>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</si>
  <si>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</si>
  <si>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</si>
  <si>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</si>
  <si>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</si>
  <si>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</si>
  <si>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</si>
  <si>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</si>
  <si>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</si>
  <si>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</si>
  <si>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</si>
  <si>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</si>
  <si>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</si>
  <si>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</si>
  <si>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</si>
  <si>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</si>
  <si>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</si>
  <si>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</si>
  <si>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</si>
  <si>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</si>
  <si>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</si>
  <si>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</si>
  <si>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</si>
  <si>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</si>
  <si>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</si>
  <si>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</si>
  <si>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</si>
  <si>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</si>
  <si>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</si>
  <si>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</si>
  <si>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</si>
  <si>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</si>
  <si>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</si>
  <si>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</si>
  <si>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</si>
  <si>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</si>
  <si>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</si>
  <si>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</si>
  <si>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</si>
  <si>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</si>
  <si>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</si>
  <si>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</si>
  <si>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</si>
  <si>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</si>
  <si>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</si>
  <si>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</si>
  <si>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</si>
  <si>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</si>
  <si>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</si>
  <si>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</si>
  <si>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</si>
  <si>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</si>
  <si>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</si>
  <si>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</si>
  <si>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</si>
  <si>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</si>
  <si>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</si>
  <si>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</si>
  <si>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</si>
  <si>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</si>
  <si>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</si>
  <si>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</si>
  <si>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</si>
  <si>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</si>
  <si>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</si>
  <si>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</si>
  <si>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</si>
  <si>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</si>
  <si>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</si>
  <si>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</si>
  <si>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</si>
  <si>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</si>
  <si>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</si>
  <si>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</si>
  <si>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</si>
  <si>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</si>
  <si>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</si>
  <si>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</si>
  <si>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</si>
  <si>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</si>
  <si>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</si>
  <si>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</si>
  <si>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</si>
  <si>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</si>
  <si>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</si>
  <si>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</si>
  <si>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</si>
  <si>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</si>
  <si>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</si>
  <si>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</si>
  <si>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</si>
  <si>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</si>
  <si>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</si>
  <si>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</si>
  <si>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</si>
  <si>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</si>
  <si>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</si>
  <si>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</si>
  <si>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</si>
  <si>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</si>
  <si>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</si>
  <si>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</si>
  <si>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</si>
  <si>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</si>
  <si>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</si>
  <si>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</si>
  <si>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</si>
  <si>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</si>
  <si>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</si>
  <si>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</si>
  <si>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</si>
  <si>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</si>
  <si>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</si>
  <si>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</si>
  <si>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</si>
  <si>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</si>
  <si>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</si>
  <si>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</si>
  <si>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</si>
  <si>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</si>
  <si>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</si>
  <si>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</si>
  <si>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</si>
  <si>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</si>
  <si>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</si>
  <si>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</si>
  <si>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</si>
  <si>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</si>
  <si>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</si>
  <si>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</si>
  <si>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</si>
  <si>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</si>
  <si>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</si>
  <si>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</si>
  <si>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</si>
  <si>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</si>
  <si>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</si>
  <si>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</si>
  <si>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</si>
  <si>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</si>
  <si>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</si>
  <si>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</si>
  <si>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</si>
  <si>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</si>
  <si>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</si>
  <si>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</si>
  <si>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</si>
  <si>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</si>
  <si>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</si>
  <si>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</si>
  <si>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</si>
  <si>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</si>
  <si>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</si>
  <si>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</si>
  <si>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</si>
  <si>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</si>
  <si>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</si>
  <si>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</si>
  <si>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</si>
  <si>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</si>
  <si>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</si>
  <si>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</si>
  <si>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</si>
  <si>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</si>
  <si>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</si>
  <si>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</si>
  <si>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</si>
  <si>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</si>
  <si>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</si>
  <si>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</si>
  <si>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</si>
  <si>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</si>
  <si>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</si>
  <si>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</si>
  <si>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</si>
  <si>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</si>
  <si>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</si>
  <si>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</si>
  <si>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</si>
  <si>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</si>
  <si>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</si>
  <si>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</si>
  <si>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</si>
  <si>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</si>
  <si>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</si>
  <si>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</si>
  <si>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</si>
  <si>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</si>
  <si>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</si>
  <si>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</si>
  <si>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</si>
  <si>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</si>
  <si>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</si>
  <si>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</si>
  <si>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</si>
  <si>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</si>
  <si>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</si>
  <si>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</si>
  <si>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</si>
  <si>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</si>
  <si>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</si>
  <si>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</si>
  <si>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</si>
  <si>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</si>
  <si>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</si>
  <si>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</si>
  <si>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</si>
  <si>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</si>
  <si>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</si>
  <si>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</si>
  <si>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</si>
  <si>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</si>
  <si>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</si>
  <si>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</si>
  <si>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</si>
  <si>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</si>
  <si>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</si>
  <si>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</si>
  <si>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</si>
  <si>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</si>
  <si>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</si>
  <si>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</si>
  <si>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</si>
  <si>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</si>
  <si>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</si>
  <si>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</si>
  <si>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</si>
  <si>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</si>
  <si>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</si>
  <si>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</si>
  <si>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</si>
  <si>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</si>
  <si>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</si>
  <si>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</si>
  <si>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</si>
  <si>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</si>
  <si>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</si>
  <si>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</si>
  <si>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</si>
  <si>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</si>
  <si>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</si>
  <si>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</si>
  <si>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</si>
  <si>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</si>
  <si>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</si>
  <si>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</si>
  <si>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</si>
  <si>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</si>
  <si>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</si>
  <si>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</si>
  <si>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</si>
  <si>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</si>
  <si>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</si>
  <si>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</si>
  <si>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</si>
  <si>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</si>
  <si>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</si>
  <si>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</si>
  <si>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</si>
  <si>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</si>
  <si>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</si>
  <si>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</si>
  <si>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</si>
  <si>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</si>
  <si>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</si>
  <si>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</si>
  <si>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</si>
  <si>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</si>
  <si>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</si>
  <si>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</si>
  <si>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</si>
  <si>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</si>
  <si>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</si>
  <si>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</si>
  <si>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</si>
  <si>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</si>
  <si>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</si>
  <si>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</si>
  <si>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</si>
  <si>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</si>
  <si>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</si>
  <si>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</si>
  <si>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</si>
  <si>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</si>
  <si>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</si>
  <si>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</si>
  <si>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</si>
  <si>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</si>
  <si>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</si>
  <si>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</si>
  <si>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</si>
  <si>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</si>
  <si>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</si>
  <si>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</si>
  <si>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</si>
  <si>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</si>
  <si>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</si>
  <si>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</si>
  <si>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</si>
  <si>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</si>
  <si>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</si>
  <si>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</si>
  <si>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</si>
  <si>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</si>
  <si>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</si>
  <si>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</si>
  <si>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</si>
  <si>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</si>
  <si>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</si>
  <si>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</si>
  <si>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</si>
  <si>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</si>
  <si>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</si>
  <si>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</si>
  <si>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</si>
  <si>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</si>
  <si>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</si>
  <si>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</si>
  <si>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</si>
  <si>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</si>
  <si>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</si>
  <si>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</si>
  <si>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</si>
  <si>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</si>
  <si>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</si>
  <si>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</si>
  <si>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</si>
  <si>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</si>
  <si>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</si>
  <si>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</si>
  <si>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</si>
  <si>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</si>
  <si>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</si>
  <si>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</si>
  <si>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</si>
  <si>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</si>
  <si>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</si>
  <si>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</si>
  <si>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</si>
  <si>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</si>
  <si>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</si>
  <si>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</si>
  <si>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</si>
  <si>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</si>
  <si>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</si>
  <si>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</si>
  <si>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</si>
  <si>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</si>
  <si>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</si>
  <si>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</si>
  <si>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</si>
  <si>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</si>
  <si>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</si>
  <si>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</si>
  <si>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</si>
  <si>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</si>
  <si>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</si>
  <si>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</si>
  <si>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</si>
  <si>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</si>
  <si>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</si>
  <si>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</si>
  <si>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</si>
  <si>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</si>
  <si>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</si>
  <si>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</si>
  <si>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</si>
  <si>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</si>
  <si>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</si>
  <si>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</si>
  <si>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</si>
  <si>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</si>
  <si>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</si>
  <si>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</si>
  <si>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</si>
  <si>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</si>
  <si>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</si>
  <si>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</si>
  <si>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</si>
  <si>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</si>
  <si>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</si>
  <si>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</si>
  <si>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</si>
  <si>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</si>
  <si>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</si>
  <si>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</si>
  <si>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</si>
  <si>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</si>
  <si>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</si>
  <si>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</si>
  <si>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</si>
  <si>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</si>
  <si>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</si>
  <si>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</si>
  <si>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</si>
  <si>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</si>
  <si>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</si>
  <si>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</si>
  <si>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</si>
  <si>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</si>
  <si>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</si>
  <si>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</si>
  <si>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</si>
  <si>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</si>
  <si>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</si>
  <si>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</si>
  <si>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</si>
  <si>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</si>
  <si>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</si>
  <si>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</si>
  <si>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</si>
  <si>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</si>
  <si>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</si>
  <si>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</si>
  <si>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</si>
  <si>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</si>
  <si>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</si>
  <si>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</si>
  <si>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</si>
  <si>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</si>
  <si>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</si>
  <si>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</si>
  <si>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</si>
  <si>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</si>
  <si>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</si>
  <si>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</si>
  <si>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</si>
  <si>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</si>
  <si>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</si>
  <si>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</si>
  <si>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</si>
  <si>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</si>
  <si>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</si>
  <si>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</si>
  <si>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</si>
  <si>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</si>
  <si>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</si>
  <si>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</si>
  <si>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</si>
  <si>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</si>
  <si>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</si>
  <si>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</si>
  <si>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</si>
  <si>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</si>
  <si>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</si>
  <si>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</si>
  <si>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</si>
  <si>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</si>
  <si>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</si>
  <si>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</si>
  <si>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</si>
  <si>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</si>
  <si>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</si>
  <si>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</si>
  <si>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</si>
  <si>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</si>
  <si>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</si>
  <si>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</si>
  <si>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</si>
  <si>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</si>
  <si>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</si>
  <si>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</si>
  <si>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</si>
  <si>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</si>
  <si>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</si>
  <si>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</si>
  <si>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</si>
  <si>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</si>
  <si>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</si>
  <si>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</si>
  <si>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</si>
  <si>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</si>
  <si>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</si>
  <si>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</si>
  <si>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</si>
  <si>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</si>
  <si>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</si>
  <si>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</si>
  <si>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</si>
  <si>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</si>
  <si>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</si>
  <si>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</si>
  <si>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</si>
  <si>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</si>
  <si>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</si>
  <si>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</si>
  <si>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</si>
  <si>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</si>
  <si>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</si>
  <si>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</si>
  <si>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</si>
  <si>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</si>
  <si>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</si>
  <si>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</si>
  <si>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</si>
  <si>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</si>
  <si>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</si>
  <si>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</si>
  <si>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</si>
  <si>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</si>
  <si>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</si>
  <si>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</si>
  <si>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</si>
  <si>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</si>
  <si>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</si>
  <si>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</si>
  <si>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</si>
  <si>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</si>
  <si>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</si>
  <si>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</si>
  <si>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</si>
  <si>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</si>
  <si>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</si>
  <si>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</si>
  <si>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</si>
  <si>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</si>
  <si>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</si>
  <si>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</si>
  <si>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</si>
  <si>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</si>
  <si>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</si>
  <si>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</si>
  <si>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</si>
  <si>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</si>
  <si>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</si>
  <si>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</si>
  <si>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</si>
  <si>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</si>
  <si>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</si>
  <si>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</si>
  <si>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</si>
  <si>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</si>
  <si>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</si>
  <si>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</si>
  <si>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</si>
  <si>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</si>
  <si>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</si>
  <si>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</si>
  <si>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</si>
  <si>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</si>
  <si>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</si>
  <si>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</si>
  <si>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</si>
  <si>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</si>
  <si>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</si>
  <si>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</si>
  <si>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</si>
  <si>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</si>
  <si>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</si>
  <si>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</si>
  <si>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</si>
  <si>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</si>
  <si>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</si>
  <si>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</si>
  <si>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</si>
  <si>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</si>
  <si>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</si>
  <si>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</si>
  <si>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</si>
  <si>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</si>
  <si>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</si>
  <si>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</si>
  <si>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</si>
  <si>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</si>
  <si>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</si>
  <si>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</si>
  <si>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</si>
  <si>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</si>
  <si>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</si>
  <si>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</si>
  <si>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</si>
  <si>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</si>
  <si>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</si>
  <si>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</si>
  <si>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</si>
  <si>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</si>
  <si>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</si>
  <si>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</si>
  <si>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</si>
  <si>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</si>
  <si>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</si>
  <si>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</si>
  <si>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</si>
  <si>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</si>
  <si>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</si>
  <si>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</si>
  <si>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</si>
  <si>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</si>
  <si>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</si>
  <si>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</si>
  <si>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</si>
  <si>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</si>
  <si>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</si>
  <si>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</si>
  <si>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</si>
  <si>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</si>
  <si>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</si>
  <si>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</si>
  <si>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</si>
  <si>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</si>
  <si>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</si>
  <si>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</si>
  <si>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</si>
  <si>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</si>
  <si>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</si>
  <si>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</si>
  <si>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</si>
  <si>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</si>
  <si>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</si>
  <si>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</si>
  <si>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</si>
  <si>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</si>
  <si>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</si>
  <si>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</si>
  <si>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</si>
  <si>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</si>
  <si>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</si>
  <si>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</si>
  <si>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</si>
  <si>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</si>
  <si>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</si>
  <si>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</si>
  <si>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</si>
  <si>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</si>
  <si>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</si>
  <si>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</si>
  <si>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</si>
  <si>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</si>
  <si>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</si>
  <si>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</si>
  <si>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</si>
  <si>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</si>
  <si>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</si>
  <si>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</si>
  <si>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</si>
  <si>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</si>
  <si>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</si>
  <si>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</si>
  <si>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</si>
  <si>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</si>
  <si>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</si>
  <si>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</si>
  <si>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</si>
  <si>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</si>
  <si>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</si>
  <si>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</si>
  <si>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</si>
  <si>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</si>
  <si>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</si>
  <si>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</si>
  <si>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</si>
  <si>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</si>
  <si>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</si>
  <si>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</si>
  <si>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</si>
  <si>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</si>
  <si>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</si>
  <si>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</si>
  <si>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</si>
  <si>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</si>
  <si>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</si>
  <si>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</si>
  <si>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</si>
  <si>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</si>
  <si>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</si>
  <si>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</si>
  <si>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</si>
  <si>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</si>
  <si>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</si>
  <si>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</si>
  <si>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</si>
  <si>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</si>
  <si>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</si>
  <si>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</si>
  <si>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</si>
  <si>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</si>
  <si>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</si>
  <si>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</si>
  <si>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</si>
  <si>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</si>
  <si>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</si>
  <si>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</si>
  <si>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</si>
  <si>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</si>
  <si>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</si>
  <si>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</si>
  <si>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</si>
  <si>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</si>
  <si>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</si>
  <si>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</si>
  <si>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</si>
  <si>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</si>
  <si>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</si>
  <si>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</si>
  <si>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</si>
  <si>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</si>
  <si>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</si>
  <si>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</si>
  <si>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</si>
  <si>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</si>
  <si>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</si>
  <si>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</si>
  <si>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</si>
  <si>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</si>
  <si>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</si>
  <si>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</si>
  <si>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</si>
  <si>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</si>
  <si>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</si>
  <si>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</si>
  <si>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</si>
  <si>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</si>
  <si>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</si>
  <si>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</si>
  <si>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</si>
  <si>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</si>
  <si>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</si>
  <si>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</si>
  <si>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</si>
  <si>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</si>
  <si>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</si>
  <si>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</si>
  <si>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</si>
  <si>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</si>
  <si>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</si>
  <si>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</si>
  <si>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</si>
  <si>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</si>
  <si>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</si>
  <si>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</si>
  <si>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</si>
  <si>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</si>
  <si>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</si>
  <si>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</si>
  <si>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</si>
  <si>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</si>
  <si>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</si>
  <si>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</si>
  <si>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</si>
  <si>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</si>
  <si>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</si>
  <si>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</si>
  <si>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</si>
  <si>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</si>
  <si>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</si>
  <si>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</si>
  <si>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</si>
  <si>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</si>
  <si>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</si>
  <si>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</si>
  <si>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</si>
  <si>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</si>
  <si>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</si>
  <si>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</si>
  <si>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</si>
  <si>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</si>
  <si>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</si>
  <si>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</si>
  <si>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</si>
  <si>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</si>
  <si>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</si>
  <si>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</si>
  <si>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</si>
  <si>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</si>
  <si>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</si>
  <si>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</si>
  <si>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</si>
  <si>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</si>
  <si>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</si>
  <si>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</si>
  <si>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</si>
  <si>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</si>
  <si>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</si>
  <si>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</si>
  <si>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</si>
  <si>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</si>
  <si>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</si>
  <si>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</si>
  <si>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</si>
  <si>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</si>
  <si>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</si>
  <si>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</si>
  <si>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</si>
  <si>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</si>
  <si>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</si>
  <si>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</si>
  <si>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</si>
  <si>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</si>
  <si>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</si>
  <si>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</si>
  <si>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</si>
  <si>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</si>
  <si>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</si>
  <si>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</si>
  <si>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</si>
  <si>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</si>
  <si>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</si>
  <si>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</si>
  <si>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</si>
  <si>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</si>
  <si>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</si>
  <si>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</si>
  <si>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</si>
  <si>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</si>
  <si>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</si>
  <si>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</si>
  <si>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</si>
  <si>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</si>
  <si>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</si>
  <si>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</si>
  <si>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</si>
  <si>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</si>
  <si>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</si>
  <si>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</si>
  <si>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</si>
  <si>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</si>
  <si>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</si>
  <si>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</si>
  <si>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</si>
  <si>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</si>
  <si>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</si>
  <si>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</si>
  <si>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</si>
  <si>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</si>
  <si>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</si>
  <si>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</si>
  <si>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</si>
  <si>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</si>
  <si>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</si>
  <si>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</si>
  <si>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</si>
  <si>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</si>
  <si>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</si>
  <si>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</si>
  <si>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</si>
  <si>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</si>
  <si>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</si>
  <si>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</si>
  <si>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</si>
  <si>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</si>
  <si>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</si>
  <si>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</si>
  <si>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</si>
  <si>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</si>
  <si>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</si>
  <si>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</si>
  <si>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</si>
  <si>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</si>
  <si>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</si>
  <si>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</si>
  <si>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</si>
  <si>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</si>
  <si>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</si>
  <si>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</si>
  <si>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</si>
  <si>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</si>
  <si>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</si>
  <si>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</si>
  <si>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</si>
  <si>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</si>
  <si>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</si>
  <si>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</si>
  <si>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</si>
  <si>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</si>
  <si>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</si>
  <si>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</si>
  <si>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</si>
  <si>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</si>
  <si>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</si>
  <si>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</si>
  <si>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</si>
  <si>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</si>
  <si>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</si>
  <si>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</si>
  <si>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</si>
  <si>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</si>
  <si>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</si>
  <si>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</si>
  <si>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</si>
  <si>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</si>
  <si>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</si>
  <si>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</si>
  <si>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</si>
  <si>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</si>
  <si>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</si>
  <si>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</si>
  <si>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</si>
  <si>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</si>
  <si>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</si>
  <si>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</si>
  <si>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</si>
  <si>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</si>
  <si>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</si>
  <si>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</si>
  <si>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</si>
  <si>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</si>
  <si>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</si>
  <si>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</si>
  <si>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</si>
  <si>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</si>
  <si>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</si>
  <si>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</si>
  <si>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</si>
  <si>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</si>
  <si>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</si>
  <si>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</si>
  <si>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</si>
  <si>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</si>
  <si>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</si>
  <si>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</si>
  <si>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</si>
  <si>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</si>
  <si>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</si>
  <si>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</si>
  <si>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</si>
  <si>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</si>
  <si>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</si>
  <si>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</si>
  <si>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</si>
  <si>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</si>
  <si>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</si>
  <si>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</si>
  <si>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</si>
  <si>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</si>
  <si>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</si>
  <si>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</si>
  <si>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</si>
  <si>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</si>
  <si>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</si>
  <si>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</si>
  <si>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</si>
  <si>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</si>
  <si>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</si>
  <si>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</si>
  <si>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</si>
  <si>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</si>
  <si>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</si>
  <si>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</si>
  <si>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</si>
  <si>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</si>
  <si>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</si>
  <si>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</si>
  <si>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</si>
  <si>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</si>
  <si>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</si>
  <si>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</si>
  <si>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</si>
  <si>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</si>
  <si>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</si>
  <si>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</si>
  <si>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</si>
  <si>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</si>
  <si>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</si>
  <si>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</si>
  <si>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</si>
  <si>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</si>
  <si>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</si>
  <si>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</si>
  <si>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</si>
  <si>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</si>
  <si>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</si>
  <si>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</si>
  <si>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</si>
  <si>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</si>
  <si>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</si>
  <si>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</si>
  <si>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</si>
  <si>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</si>
  <si>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</si>
  <si>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</si>
  <si>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</si>
  <si>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</si>
  <si>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</si>
  <si>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</si>
  <si>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</si>
  <si>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</si>
  <si>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</si>
  <si>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</si>
  <si>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</si>
  <si>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</si>
  <si>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</si>
  <si>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</si>
  <si>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</si>
  <si>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</si>
  <si>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</si>
  <si>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</si>
  <si>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</si>
  <si>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</si>
  <si>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</si>
  <si>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</si>
  <si>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</si>
  <si>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</si>
  <si>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</si>
  <si>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</si>
  <si>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</si>
  <si>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</si>
  <si>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</si>
  <si>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</si>
  <si>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</si>
  <si>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</si>
  <si>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</si>
  <si>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</si>
  <si>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</si>
  <si>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</si>
  <si>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</si>
  <si>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</si>
  <si>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</si>
  <si>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</si>
  <si>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</si>
  <si>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</si>
  <si>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</si>
  <si>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</si>
  <si>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</si>
  <si>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</si>
  <si>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</si>
  <si>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</si>
  <si>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</si>
  <si>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</si>
  <si>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</si>
  <si>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</si>
  <si>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</si>
  <si>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</si>
  <si>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</si>
  <si>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</si>
  <si>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</si>
  <si>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</si>
  <si>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</si>
  <si>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</si>
  <si>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</si>
  <si>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</si>
  <si>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</si>
  <si>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</si>
  <si>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</si>
  <si>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</si>
  <si>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</si>
  <si>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</si>
  <si>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</si>
  <si>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</si>
  <si>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</si>
  <si>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</si>
  <si>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</si>
  <si>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</si>
  <si>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</si>
  <si>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</si>
  <si>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</si>
  <si>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</si>
  <si>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</si>
  <si>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</si>
  <si>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</si>
  <si>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</si>
  <si>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</si>
  <si>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</si>
  <si>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</si>
  <si>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</si>
  <si>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</si>
  <si>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</si>
  <si>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</si>
  <si>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</si>
  <si>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</si>
  <si>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</si>
  <si>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</si>
  <si>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</si>
  <si>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</si>
  <si>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</si>
  <si>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</si>
  <si>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</si>
  <si>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</si>
  <si>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</si>
  <si>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</si>
  <si>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</si>
  <si>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</si>
  <si>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</si>
  <si>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</si>
  <si>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</si>
  <si>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</si>
  <si>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</si>
  <si>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</si>
  <si>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</si>
  <si>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</si>
  <si>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</si>
  <si>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</si>
  <si>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</si>
  <si>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</si>
  <si>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</si>
  <si>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</si>
  <si>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</si>
  <si>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</si>
  <si>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</si>
  <si>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</si>
  <si>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</si>
  <si>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</si>
  <si>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</si>
  <si>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</si>
  <si>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</si>
  <si>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</si>
  <si>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</si>
  <si>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</si>
  <si>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</si>
  <si>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</si>
  <si>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</si>
  <si>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</si>
  <si>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</si>
  <si>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</si>
  <si>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</si>
  <si>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</si>
  <si>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</si>
  <si>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</si>
  <si>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</si>
  <si>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</si>
  <si>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</si>
  <si>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</si>
  <si>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</si>
  <si>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</si>
  <si>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</si>
  <si>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</si>
  <si>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</si>
  <si>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</si>
  <si>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</si>
  <si>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</si>
  <si>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</si>
  <si>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</si>
  <si>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</si>
  <si>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</si>
  <si>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</si>
  <si>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</si>
  <si>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</si>
  <si>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</si>
  <si>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</si>
  <si>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</si>
  <si>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</si>
  <si>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</si>
  <si>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</si>
  <si>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</si>
  <si>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</si>
  <si>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</si>
  <si>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</si>
  <si>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</si>
  <si>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</si>
  <si>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</si>
  <si>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</si>
  <si>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</si>
  <si>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</si>
  <si>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</si>
  <si>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</si>
  <si>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</si>
  <si>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</si>
  <si>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</si>
  <si>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</si>
  <si>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</si>
  <si>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</si>
  <si>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</si>
  <si>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</si>
  <si>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</si>
  <si>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</si>
  <si>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</si>
  <si>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</si>
  <si>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</si>
  <si>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</si>
  <si>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</si>
  <si>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</si>
  <si>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</si>
  <si>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</si>
  <si>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</si>
  <si>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</si>
  <si>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</si>
  <si>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</si>
  <si>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</si>
  <si>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</si>
  <si>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</si>
  <si>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</si>
  <si>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</si>
  <si>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</si>
  <si>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</si>
  <si>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</si>
  <si>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</si>
  <si>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</si>
  <si>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</si>
  <si>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</si>
  <si>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</si>
  <si>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</si>
  <si>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</si>
  <si>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</si>
  <si>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</si>
  <si>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</si>
  <si>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</si>
  <si>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</si>
  <si>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</si>
  <si>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</si>
  <si>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</si>
  <si>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</si>
  <si>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</si>
  <si>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</si>
  <si>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</si>
  <si>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</si>
  <si>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</si>
  <si>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</si>
  <si>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</si>
  <si>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</si>
  <si>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</si>
  <si>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</si>
  <si>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</si>
  <si>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</si>
  <si>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</si>
  <si>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</si>
  <si>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</si>
  <si>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</si>
  <si>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</si>
  <si>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</si>
  <si>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</si>
  <si>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</si>
  <si>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</si>
  <si>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</si>
  <si>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</si>
  <si>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</si>
  <si>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</si>
  <si>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</si>
  <si>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</si>
  <si>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</si>
  <si>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</si>
  <si>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</si>
  <si>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</si>
  <si>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</si>
  <si>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</si>
  <si>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</si>
  <si>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</si>
  <si>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</si>
  <si>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</si>
  <si>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</si>
  <si>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</si>
  <si>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</si>
  <si>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</si>
  <si>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</si>
  <si>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</si>
  <si>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</si>
  <si>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</si>
  <si>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</si>
  <si>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</si>
  <si>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</si>
  <si>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</si>
  <si>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</si>
  <si>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</si>
  <si>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</si>
  <si>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</si>
  <si>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</si>
  <si>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</si>
  <si>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</si>
  <si>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</si>
  <si>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</si>
  <si>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</si>
  <si>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</si>
  <si>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</si>
  <si>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</si>
  <si>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</si>
  <si>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</si>
  <si>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</si>
  <si>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</si>
  <si>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</si>
  <si>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</si>
  <si>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</si>
  <si>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</si>
  <si>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</si>
  <si>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</si>
  <si>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</si>
  <si>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</si>
  <si>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</si>
  <si>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</si>
  <si>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</si>
  <si>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</si>
  <si>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</si>
  <si>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</si>
  <si>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</si>
  <si>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</si>
  <si>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</si>
  <si>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</si>
  <si>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</si>
  <si>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</si>
  <si>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</si>
  <si>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</si>
  <si>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</si>
  <si>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</si>
  <si>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</si>
  <si>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</si>
  <si>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</si>
  <si>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</si>
  <si>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</si>
  <si>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</si>
  <si>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</si>
  <si>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</si>
  <si>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</si>
  <si>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</si>
  <si>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</si>
  <si>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</si>
  <si>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</si>
  <si>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</si>
  <si>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</si>
  <si>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</si>
  <si>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</si>
  <si>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</si>
  <si>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</si>
  <si>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</si>
  <si>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</si>
  <si>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</si>
  <si>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</si>
  <si>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</si>
  <si>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</si>
  <si>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</si>
  <si>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</si>
  <si>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</si>
  <si>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</si>
  <si>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</si>
  <si>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</si>
  <si>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</si>
  <si>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</si>
  <si>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</si>
  <si>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</si>
  <si>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</si>
  <si>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</si>
  <si>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</si>
  <si>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</si>
  <si>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</si>
  <si>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</si>
  <si>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</si>
  <si>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</si>
  <si>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</si>
  <si>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</si>
  <si>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</si>
  <si>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</si>
  <si>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</si>
  <si>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</si>
  <si>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</si>
  <si>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</si>
  <si>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</si>
  <si>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</si>
  <si>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</si>
  <si>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</si>
  <si>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</si>
  <si>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</si>
  <si>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</si>
  <si>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</si>
  <si>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</si>
  <si>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</si>
  <si>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</si>
  <si>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</si>
  <si>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</si>
  <si>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</si>
  <si>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</si>
  <si>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</si>
  <si>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</si>
  <si>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</si>
  <si>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</si>
  <si>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</si>
  <si>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</si>
  <si>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</si>
  <si>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</si>
  <si>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</si>
  <si>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</si>
  <si>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</si>
  <si>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</si>
  <si>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</si>
  <si>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</si>
  <si>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</si>
  <si>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</si>
  <si>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</si>
  <si>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</si>
  <si>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</si>
  <si>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</si>
  <si>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</si>
  <si>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</si>
  <si>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</si>
  <si>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</si>
  <si>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</si>
  <si>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</si>
  <si>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</si>
  <si>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</si>
  <si>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</si>
  <si>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</si>
  <si>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</si>
  <si>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</si>
  <si>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</si>
  <si>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</si>
  <si>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</si>
  <si>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</si>
  <si>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</si>
  <si>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</si>
  <si>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</si>
  <si>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</si>
  <si>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</si>
  <si>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</si>
  <si>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</si>
  <si>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</si>
  <si>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</si>
  <si>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</si>
  <si>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</si>
  <si>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</si>
  <si>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</si>
  <si>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</si>
  <si>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</si>
  <si>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</si>
  <si>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</si>
  <si>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</si>
  <si>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</si>
  <si>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</si>
  <si>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</si>
  <si>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</si>
  <si>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</si>
  <si>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</si>
  <si>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</si>
  <si>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</si>
  <si>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</si>
  <si>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</si>
  <si>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</si>
  <si>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</si>
  <si>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</si>
  <si>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</si>
  <si>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</si>
  <si>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</si>
  <si>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</si>
  <si>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</si>
  <si>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</si>
  <si>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</si>
  <si>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</si>
  <si>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</si>
  <si>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</si>
  <si>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</si>
  <si>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</si>
  <si>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</si>
  <si>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</si>
  <si>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</si>
  <si>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</si>
  <si>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</si>
  <si>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</si>
  <si>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</si>
  <si>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</si>
  <si>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</si>
  <si>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</si>
  <si>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</si>
  <si>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</si>
  <si>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</si>
  <si>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</si>
  <si>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</si>
  <si>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</si>
  <si>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</si>
  <si>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</si>
  <si>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</si>
  <si>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</si>
  <si>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</si>
  <si>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</si>
  <si>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</si>
  <si>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</si>
  <si>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</si>
  <si>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</si>
  <si>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</si>
  <si>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</si>
  <si>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</si>
  <si>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</si>
  <si>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</si>
  <si>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</si>
  <si>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</si>
  <si>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</si>
  <si>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</si>
  <si>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</si>
  <si>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</si>
  <si>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</si>
  <si>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</si>
  <si>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</si>
  <si>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</si>
  <si>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</si>
  <si>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</si>
  <si>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</si>
  <si>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</si>
  <si>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</si>
  <si>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</si>
  <si>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</si>
  <si>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</si>
  <si>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</si>
  <si>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</si>
  <si>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</si>
  <si>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</si>
  <si>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</si>
  <si>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</si>
  <si>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</si>
  <si>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</si>
  <si>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</si>
  <si>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</si>
  <si>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</si>
  <si>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</si>
  <si>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</si>
  <si>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</si>
  <si>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</si>
  <si>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</si>
  <si>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</si>
  <si>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</si>
  <si>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</si>
  <si>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</si>
  <si>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</si>
  <si>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</si>
  <si>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</si>
  <si>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</si>
  <si>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</si>
  <si>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</si>
  <si>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</si>
  <si>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</si>
  <si>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</si>
  <si>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</si>
  <si>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</si>
  <si>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</si>
  <si>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</si>
  <si>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</si>
  <si>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</si>
  <si>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</si>
  <si>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</si>
  <si>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</si>
  <si>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</si>
  <si>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</si>
  <si>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</si>
  <si>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</si>
  <si>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</si>
  <si>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</si>
  <si>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</si>
  <si>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</si>
  <si>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</si>
  <si>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</si>
  <si>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</si>
  <si>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</si>
  <si>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</si>
  <si>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</si>
  <si>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</si>
  <si>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</si>
  <si>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</si>
  <si>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</si>
  <si>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</si>
  <si>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</si>
  <si>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</si>
  <si>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</si>
  <si>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</si>
  <si>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</si>
  <si>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</si>
  <si>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</si>
  <si>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</si>
  <si>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</si>
  <si>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</si>
  <si>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</si>
  <si>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</si>
  <si>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</si>
  <si>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</si>
  <si>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</si>
  <si>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</si>
  <si>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</si>
  <si>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</si>
  <si>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</si>
  <si>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</si>
  <si>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</si>
  <si>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</si>
  <si>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</si>
  <si>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</si>
  <si>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</si>
  <si>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</si>
  <si>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</si>
  <si>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</si>
  <si>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</si>
  <si>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</si>
  <si>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</si>
  <si>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</si>
  <si>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</si>
  <si>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</si>
  <si>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</si>
  <si>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</si>
  <si>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</si>
  <si>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</si>
  <si>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</si>
  <si>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</si>
  <si>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</si>
  <si>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</si>
  <si>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</si>
  <si>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</si>
  <si>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</si>
  <si>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</si>
  <si>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</si>
  <si>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</si>
  <si>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</si>
  <si>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</si>
  <si>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</si>
  <si>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</si>
  <si>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</si>
  <si>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</si>
  <si>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</si>
  <si>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</si>
  <si>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</si>
  <si>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</si>
  <si>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</si>
  <si>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</si>
  <si>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</si>
  <si>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</si>
  <si>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</si>
  <si>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</si>
  <si>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</si>
  <si>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</si>
  <si>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</si>
  <si>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</si>
  <si>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</si>
  <si>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</si>
  <si>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</si>
  <si>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</si>
  <si>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</si>
  <si>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</si>
  <si>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</si>
  <si>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</si>
  <si>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</si>
  <si>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</si>
  <si>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</si>
  <si>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</si>
  <si>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</si>
  <si>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</si>
  <si>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</si>
  <si>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</si>
  <si>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</si>
  <si>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</si>
  <si>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</si>
  <si>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</si>
  <si>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</si>
  <si>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</si>
  <si>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</si>
  <si>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</si>
  <si>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</si>
  <si>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</si>
  <si>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</si>
  <si>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</si>
  <si>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</si>
  <si>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</si>
  <si>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</si>
  <si>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</si>
  <si>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</si>
  <si>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</si>
  <si>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</si>
  <si>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</si>
  <si>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</si>
  <si>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</si>
  <si>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</si>
  <si>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</si>
  <si>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</si>
  <si>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</si>
  <si>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</si>
  <si>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</si>
  <si>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</si>
  <si>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</si>
  <si>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</si>
  <si>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</si>
  <si>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</si>
  <si>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</si>
  <si>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</si>
  <si>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</si>
  <si>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</si>
  <si>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</si>
  <si>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</si>
  <si>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</si>
  <si>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</si>
  <si>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</si>
  <si>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</si>
  <si>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</si>
  <si>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</si>
  <si>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</si>
  <si>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</si>
  <si>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</si>
  <si>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</si>
  <si>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</si>
  <si>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</si>
  <si>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</si>
  <si>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</si>
  <si>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</si>
  <si>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</si>
  <si>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</si>
  <si>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</si>
  <si>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</si>
  <si>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</si>
  <si>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</si>
  <si>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</si>
  <si>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</si>
  <si>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</si>
  <si>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</si>
  <si>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</si>
  <si>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</si>
  <si>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</si>
  <si>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</si>
  <si>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</si>
  <si>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</si>
  <si>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</si>
  <si>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</si>
  <si>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</si>
  <si>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</si>
  <si>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</si>
  <si>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</si>
  <si>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</si>
  <si>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</si>
  <si>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</si>
  <si>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</si>
  <si>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</si>
  <si>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</si>
  <si>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</si>
  <si>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</si>
  <si>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</si>
  <si>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</si>
  <si>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</si>
  <si>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</si>
  <si>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</si>
  <si>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</si>
  <si>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</si>
  <si>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</si>
  <si>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</si>
  <si>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</si>
  <si>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</si>
  <si>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</si>
  <si>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</si>
  <si>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</si>
  <si>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</si>
  <si>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</si>
  <si>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</si>
  <si>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</si>
  <si>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</si>
  <si>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</si>
  <si>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</si>
  <si>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</si>
  <si>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</si>
  <si>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</si>
  <si>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</si>
  <si>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</si>
  <si>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</si>
  <si>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</si>
  <si>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</si>
  <si>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</si>
  <si>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</si>
  <si>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</si>
  <si>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</si>
  <si>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</si>
  <si>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</si>
  <si>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</si>
  <si>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</si>
  <si>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</si>
  <si>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</si>
  <si>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</si>
  <si>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</si>
  <si>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</si>
  <si>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</si>
  <si>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</si>
  <si>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</si>
  <si>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</si>
  <si>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</si>
  <si>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</si>
  <si>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</si>
  <si>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</si>
  <si>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</si>
  <si>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</si>
  <si>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</si>
  <si>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</si>
  <si>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</si>
  <si>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</si>
  <si>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</si>
  <si>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</si>
  <si>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</si>
  <si>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</si>
  <si>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</si>
  <si>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</si>
  <si>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</si>
  <si>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</si>
  <si>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</si>
  <si>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</si>
  <si>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</si>
  <si>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</si>
  <si>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</si>
  <si>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</si>
  <si>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</si>
  <si>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</si>
  <si>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</si>
  <si>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</si>
  <si>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</si>
  <si>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</si>
  <si>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</si>
  <si>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</si>
  <si>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</si>
  <si>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</si>
  <si>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</si>
  <si>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</si>
  <si>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</si>
  <si>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</si>
  <si>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</si>
  <si>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</si>
  <si>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</si>
  <si>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</si>
  <si>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</si>
  <si>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</si>
  <si>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</si>
  <si>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</si>
  <si>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</si>
  <si>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</si>
  <si>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</si>
  <si>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</si>
  <si>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</si>
  <si>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</si>
  <si>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</si>
  <si>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</si>
  <si>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</si>
  <si>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</si>
  <si>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</si>
  <si>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</si>
  <si>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</si>
  <si>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</si>
  <si>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</si>
  <si>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</si>
  <si>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</si>
  <si>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</si>
  <si>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</si>
  <si>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</si>
  <si>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</si>
  <si>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</si>
  <si>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</si>
  <si>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</si>
  <si>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</si>
  <si>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</si>
  <si>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</si>
  <si>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</si>
  <si>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</si>
  <si>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</si>
  <si>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</si>
  <si>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</si>
  <si>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</si>
  <si>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</si>
  <si>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</si>
  <si>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</si>
  <si>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</si>
  <si>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</si>
  <si>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</si>
  <si>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</si>
  <si>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</si>
  <si>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</si>
  <si>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</si>
  <si>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</si>
  <si>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</si>
  <si>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</si>
  <si>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</si>
  <si>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</si>
  <si>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</si>
  <si>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</si>
  <si>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</si>
  <si>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</si>
  <si>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</si>
  <si>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</si>
  <si>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</si>
  <si>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</si>
  <si>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</si>
  <si>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</si>
  <si>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</si>
  <si>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</si>
  <si>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</si>
  <si>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</si>
  <si>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</si>
  <si>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</si>
  <si>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</si>
  <si>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</si>
  <si>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</si>
  <si>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</si>
  <si>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</si>
  <si>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</si>
  <si>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</si>
  <si>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</si>
  <si>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</si>
  <si>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</si>
  <si>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</si>
  <si>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</si>
  <si>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</si>
  <si>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</si>
  <si>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</si>
  <si>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</si>
  <si>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</si>
  <si>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</si>
  <si>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</si>
  <si>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</si>
  <si>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</si>
  <si>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</si>
  <si>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</si>
  <si>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</si>
  <si>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</si>
  <si>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</si>
  <si>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</si>
  <si>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</si>
  <si>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</si>
  <si>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</si>
  <si>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</si>
  <si>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</si>
  <si>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</si>
  <si>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</si>
  <si>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</si>
  <si>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</si>
  <si>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</si>
  <si>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</si>
  <si>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</si>
  <si>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</si>
  <si>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</si>
  <si>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</si>
  <si>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</si>
  <si>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</si>
  <si>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</si>
  <si>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</si>
  <si>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</si>
  <si>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</si>
  <si>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</si>
  <si>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</si>
  <si>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</si>
  <si>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</si>
  <si>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</si>
  <si>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</si>
  <si>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</si>
  <si>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</si>
  <si>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</si>
  <si>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</si>
  <si>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</si>
  <si>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</si>
  <si>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</si>
  <si>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</si>
  <si>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</si>
  <si>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</si>
  <si>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</si>
  <si>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</si>
  <si>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</si>
  <si>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</si>
  <si>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</si>
  <si>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</si>
  <si>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</si>
  <si>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</si>
  <si>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</si>
  <si>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</si>
  <si>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</si>
  <si>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</si>
  <si>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</si>
  <si>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</si>
  <si>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</si>
  <si>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</si>
  <si>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</si>
  <si>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</si>
  <si>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</si>
  <si>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</si>
  <si>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</si>
  <si>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</si>
  <si>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</si>
  <si>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</si>
  <si>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</si>
  <si>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</si>
  <si>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</si>
  <si>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</si>
  <si>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</si>
  <si>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</si>
  <si>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</si>
  <si>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</si>
  <si>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</si>
  <si>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</si>
  <si>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</si>
  <si>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</si>
  <si>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</si>
  <si>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</si>
  <si>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</si>
  <si>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</si>
  <si>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</si>
  <si>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</si>
  <si>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</si>
  <si>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</si>
  <si>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</si>
  <si>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</si>
  <si>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</si>
  <si>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</si>
  <si>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</si>
  <si>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</si>
  <si>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</si>
  <si>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</si>
  <si>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</si>
  <si>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</si>
  <si>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</si>
  <si>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</si>
  <si>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</si>
  <si>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</si>
  <si>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</si>
  <si>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</si>
  <si>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</si>
  <si>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</si>
  <si>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</si>
  <si>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</si>
  <si>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</si>
  <si>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</si>
  <si>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</si>
  <si>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</si>
  <si>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</si>
  <si>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</si>
  <si>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</si>
  <si>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</si>
  <si>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</si>
  <si>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</si>
  <si>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</si>
  <si>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</si>
  <si>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</si>
  <si>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</si>
  <si>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</si>
  <si>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</si>
  <si>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</si>
  <si>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</si>
  <si>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</si>
  <si>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</si>
  <si>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</si>
  <si>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</si>
  <si>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</si>
  <si>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</si>
  <si>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</si>
  <si>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</si>
  <si>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</si>
  <si>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</si>
  <si>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</si>
  <si>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</si>
  <si>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</si>
  <si>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</si>
  <si>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</si>
  <si>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</si>
  <si>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</si>
  <si>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</si>
  <si>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</si>
  <si>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</si>
  <si>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</si>
  <si>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</si>
  <si>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</si>
  <si>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</si>
  <si>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</si>
  <si>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</si>
  <si>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</si>
  <si>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</si>
  <si>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</si>
  <si>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</si>
  <si>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</si>
  <si>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</si>
  <si>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</si>
  <si>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</si>
  <si>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</si>
  <si>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</si>
  <si>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</si>
  <si>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</si>
  <si>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</si>
  <si>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</si>
  <si>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</si>
  <si>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</si>
  <si>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</si>
  <si>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</si>
  <si>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</si>
  <si>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</si>
  <si>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</si>
  <si>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</si>
  <si>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</si>
  <si>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</si>
  <si>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</si>
  <si>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</si>
  <si>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</si>
  <si>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</si>
  <si>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</si>
  <si>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</si>
  <si>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</si>
  <si>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</si>
  <si>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</si>
  <si>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</si>
  <si>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</si>
  <si>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</si>
  <si>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</si>
  <si>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</si>
  <si>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</si>
  <si>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</si>
  <si>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</si>
  <si>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</si>
  <si>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</si>
  <si>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</si>
  <si>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</si>
  <si>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</si>
  <si>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</si>
  <si>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</si>
  <si>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</si>
  <si>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</si>
  <si>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</si>
  <si>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</si>
  <si>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</si>
  <si>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</si>
  <si>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</si>
  <si>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</si>
  <si>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</si>
  <si>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</si>
  <si>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</si>
  <si>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</si>
  <si>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</si>
  <si>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</si>
  <si>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</si>
  <si>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</si>
  <si>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</si>
  <si>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</si>
  <si>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</si>
  <si>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</si>
  <si>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</si>
  <si>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</si>
  <si>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</si>
  <si>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</si>
  <si>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</si>
  <si>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</si>
  <si>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</si>
  <si>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</si>
  <si>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</si>
  <si>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</si>
  <si>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</si>
  <si>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</si>
  <si>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</si>
  <si>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</si>
  <si>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</si>
  <si>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</si>
  <si>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</si>
  <si>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</si>
  <si>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</si>
  <si>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</si>
  <si>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</si>
  <si>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</si>
  <si>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</si>
  <si>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</si>
  <si>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</si>
  <si>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</si>
  <si>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</si>
  <si>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</si>
  <si>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</si>
  <si>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</si>
  <si>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</si>
  <si>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</si>
  <si>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</si>
  <si>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</si>
  <si>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</si>
  <si>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</si>
  <si>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</si>
  <si>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</si>
  <si>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</si>
  <si>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</si>
  <si>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</si>
  <si>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</si>
  <si>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</si>
  <si>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</si>
  <si>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</si>
  <si>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</si>
  <si>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</si>
  <si>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</si>
  <si>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</si>
  <si>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</si>
  <si>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</si>
  <si>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</si>
  <si>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</si>
  <si>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</si>
  <si>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</si>
  <si>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</si>
  <si>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</si>
  <si>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</si>
  <si>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</si>
  <si>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</si>
  <si>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</si>
  <si>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</si>
  <si>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</si>
  <si>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</si>
  <si>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</si>
  <si>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</si>
  <si>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</si>
  <si>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</si>
  <si>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</si>
  <si>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</si>
  <si>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</si>
  <si>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</si>
  <si>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</si>
  <si>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</si>
  <si>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</si>
  <si>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</si>
  <si>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</si>
  <si>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</si>
  <si>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</si>
  <si>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</si>
  <si>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</si>
  <si>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</si>
  <si>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</si>
  <si>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</si>
  <si>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</si>
  <si>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</si>
  <si>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</si>
  <si>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</si>
  <si>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</si>
  <si>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</si>
  <si>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</si>
  <si>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</si>
  <si>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</si>
  <si>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</si>
  <si>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</si>
  <si>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</si>
  <si>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</si>
  <si>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</si>
  <si>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</si>
  <si>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</si>
  <si>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</si>
  <si>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</si>
  <si>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</si>
  <si>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</si>
  <si>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</si>
  <si>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</si>
  <si>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</si>
  <si>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</si>
  <si>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</si>
  <si>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</si>
  <si>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</si>
  <si>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</si>
  <si>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</si>
  <si>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</si>
  <si>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</si>
  <si>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</si>
  <si>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</si>
  <si>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</si>
  <si>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</si>
  <si>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</si>
  <si>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</si>
  <si>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</si>
  <si>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</si>
  <si>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</si>
  <si>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</si>
  <si>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</si>
  <si>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</si>
  <si>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</si>
  <si>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</si>
  <si>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</si>
  <si>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</si>
  <si>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</si>
  <si>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</si>
  <si>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</si>
  <si>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</si>
  <si>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</si>
  <si>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</si>
  <si>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</si>
  <si>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</si>
  <si>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</si>
  <si>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</si>
  <si>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</si>
  <si>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</si>
  <si>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</si>
  <si>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</si>
  <si>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</si>
  <si>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</si>
  <si>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</si>
  <si>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</si>
  <si>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</si>
  <si>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</si>
  <si>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</si>
  <si>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</si>
  <si>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</si>
  <si>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</si>
  <si>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</si>
  <si>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</si>
  <si>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</si>
  <si>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</si>
  <si>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</si>
  <si>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</si>
  <si>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</si>
  <si>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</si>
  <si>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</si>
  <si>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</si>
  <si>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</si>
  <si>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</si>
  <si>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</si>
  <si>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</si>
  <si>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</si>
  <si>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</si>
  <si>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</si>
  <si>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</si>
  <si>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</si>
  <si>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</si>
  <si>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</si>
  <si>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</si>
  <si>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</si>
  <si>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</si>
  <si>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</si>
  <si>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</si>
  <si>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</si>
  <si>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</si>
  <si>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</si>
  <si>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</si>
  <si>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</si>
  <si>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</si>
  <si>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</si>
  <si>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</si>
  <si>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</si>
  <si>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</si>
  <si>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</si>
  <si>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</si>
  <si>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</si>
  <si>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</si>
  <si>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</si>
  <si>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</si>
  <si>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</si>
  <si>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</si>
  <si>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</si>
  <si>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</si>
  <si>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</si>
  <si>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</si>
  <si>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</si>
  <si>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</si>
  <si>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</si>
  <si>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</si>
  <si>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</si>
  <si>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</si>
  <si>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</si>
  <si>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</si>
  <si>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</si>
  <si>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</si>
  <si>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</si>
  <si>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</si>
  <si>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</si>
  <si>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</si>
  <si>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</si>
  <si>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</si>
  <si>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</si>
  <si>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</si>
  <si>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</si>
  <si>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</si>
  <si>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</si>
  <si>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</si>
  <si>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</si>
  <si>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</si>
  <si>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</si>
  <si>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</si>
  <si>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</si>
  <si>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</si>
  <si>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</si>
  <si>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</si>
  <si>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</si>
  <si>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</si>
  <si>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</si>
  <si>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</si>
  <si>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</si>
  <si>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</si>
  <si>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</si>
  <si>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</si>
  <si>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</si>
  <si>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</si>
  <si>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</si>
  <si>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</si>
  <si>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</si>
  <si>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</si>
  <si>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</si>
  <si>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</si>
  <si>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</si>
  <si>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</si>
  <si>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</si>
  <si>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</si>
  <si>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</si>
  <si>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</si>
  <si>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</si>
  <si>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</si>
  <si>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</si>
  <si>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</si>
  <si>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</si>
  <si>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</si>
  <si>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</si>
  <si>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</si>
  <si>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</si>
  <si>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</si>
  <si>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</si>
  <si>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</si>
  <si>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</si>
  <si>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</si>
  <si>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</si>
  <si>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</si>
  <si>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</si>
  <si>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</si>
  <si>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</si>
  <si>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</si>
  <si>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</si>
  <si>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</si>
  <si>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</si>
  <si>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</si>
  <si>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</si>
  <si>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</si>
  <si>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</si>
  <si>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</si>
  <si>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</si>
  <si>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</si>
  <si>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</si>
  <si>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</si>
  <si>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</si>
  <si>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</si>
  <si>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</si>
  <si>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</si>
  <si>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</si>
  <si>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</si>
  <si>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</si>
  <si>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</si>
  <si>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</si>
  <si>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</si>
  <si>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</si>
  <si>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</si>
  <si>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</si>
  <si>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</si>
  <si>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</si>
  <si>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</si>
  <si>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</si>
  <si>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</si>
  <si>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</si>
  <si>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</si>
  <si>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</si>
  <si>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</si>
  <si>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</si>
  <si>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</si>
  <si>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</si>
  <si>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</si>
  <si>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</si>
  <si>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</si>
  <si>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</si>
  <si>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</si>
  <si>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</si>
  <si>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</si>
  <si>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</si>
  <si>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</si>
  <si>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</si>
  <si>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</si>
  <si>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</si>
  <si>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</si>
  <si>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</si>
  <si>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</si>
  <si>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</si>
  <si>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</si>
  <si>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</si>
  <si>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</si>
  <si>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</si>
  <si>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</si>
  <si>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</si>
  <si>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</si>
  <si>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</si>
  <si>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</si>
  <si>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</si>
  <si>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</si>
  <si>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</si>
  <si>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</si>
  <si>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</si>
  <si>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</si>
  <si>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</si>
  <si>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</si>
  <si>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</si>
  <si>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</si>
  <si>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</si>
  <si>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</si>
  <si>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</si>
  <si>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</si>
  <si>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</si>
  <si>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</si>
  <si>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</si>
  <si>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</si>
  <si>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</si>
  <si>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</si>
  <si>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</si>
  <si>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</si>
  <si>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</si>
  <si>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</si>
  <si>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</si>
  <si>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</si>
  <si>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</si>
  <si>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</si>
  <si>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</si>
  <si>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</si>
  <si>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</si>
  <si>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</si>
  <si>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</si>
  <si>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</si>
  <si>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</si>
  <si>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</si>
  <si>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</si>
  <si>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</si>
  <si>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</si>
  <si>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</si>
  <si>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</si>
  <si>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</si>
  <si>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</si>
  <si>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</si>
  <si>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</si>
  <si>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</si>
  <si>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</si>
  <si>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</si>
  <si>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</si>
  <si>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</si>
  <si>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</si>
  <si>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</si>
  <si>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</si>
  <si>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</si>
  <si>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</si>
  <si>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</si>
  <si>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</si>
  <si>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</si>
  <si>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</si>
  <si>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</si>
  <si>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</si>
  <si>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</si>
  <si>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</si>
  <si>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</si>
  <si>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</si>
  <si>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</si>
  <si>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</si>
  <si>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</si>
  <si>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</si>
  <si>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</si>
  <si>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</si>
  <si>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</si>
  <si>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</si>
  <si>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</si>
  <si>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</si>
  <si>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</si>
  <si>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</si>
  <si>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</si>
  <si>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</si>
  <si>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</si>
  <si>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</si>
  <si>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</si>
  <si>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</si>
  <si>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</si>
  <si>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</si>
  <si>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</si>
  <si>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</si>
  <si>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</si>
  <si>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</si>
  <si>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</si>
  <si>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</si>
  <si>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</si>
  <si>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</si>
  <si>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</si>
  <si>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</si>
  <si>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</si>
  <si>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</si>
  <si>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</si>
  <si>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</si>
  <si>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</si>
  <si>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</si>
  <si>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</si>
  <si>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</si>
  <si>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</si>
  <si>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</si>
  <si>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</si>
  <si>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</si>
  <si>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</si>
  <si>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</si>
  <si>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</si>
  <si>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</si>
  <si>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</si>
  <si>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</si>
  <si>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</si>
  <si>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</si>
  <si>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</si>
  <si>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</si>
  <si>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</si>
  <si>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</si>
  <si>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</si>
  <si>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</si>
  <si>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</si>
  <si>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</si>
  <si>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</si>
  <si>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</si>
  <si>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</si>
  <si>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</si>
  <si>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</si>
  <si>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</si>
  <si>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</si>
  <si>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</si>
  <si>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</si>
  <si>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</si>
  <si>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</si>
  <si>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</si>
  <si>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</si>
  <si>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</si>
  <si>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</si>
  <si>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</si>
  <si>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</si>
  <si>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</si>
  <si>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</si>
  <si>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</si>
  <si>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</si>
  <si>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</si>
  <si>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</si>
  <si>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</si>
  <si>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</si>
  <si>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</si>
  <si>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</si>
  <si>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</si>
  <si>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</si>
  <si>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</si>
  <si>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</si>
  <si>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</si>
  <si>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</si>
  <si>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</si>
  <si>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</si>
  <si>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</si>
  <si>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</si>
  <si>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</si>
  <si>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</si>
  <si>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</si>
  <si>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</si>
  <si>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</si>
  <si>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</si>
  <si>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</si>
  <si>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</si>
  <si>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</si>
  <si>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</si>
  <si>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</si>
  <si>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</si>
  <si>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</si>
  <si>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</si>
  <si>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</si>
  <si>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</si>
  <si>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</si>
  <si>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</si>
  <si>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</si>
  <si>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</si>
  <si>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</si>
  <si>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</si>
  <si>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</si>
  <si>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</si>
  <si>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</si>
  <si>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</si>
  <si>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</si>
  <si>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</si>
  <si>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</si>
  <si>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</si>
  <si>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</si>
  <si>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</si>
  <si>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</si>
  <si>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</si>
  <si>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</si>
  <si>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</si>
  <si>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</si>
  <si>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</si>
  <si>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</si>
  <si>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</si>
  <si>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</si>
  <si>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</si>
  <si>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</si>
  <si>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</si>
  <si>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</si>
  <si>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</si>
  <si>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</si>
  <si>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</si>
  <si>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</si>
  <si>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</si>
  <si>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</si>
  <si>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</si>
  <si>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</si>
  <si>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</si>
  <si>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</si>
  <si>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</si>
  <si>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</si>
  <si>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</si>
  <si>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</si>
  <si>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</si>
  <si>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</si>
  <si>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</si>
  <si>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</si>
  <si>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</si>
  <si>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</si>
  <si>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</si>
  <si>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</si>
  <si>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</si>
  <si>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</si>
  <si>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</si>
  <si>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</si>
  <si>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</si>
  <si>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</si>
  <si>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</si>
  <si>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</si>
  <si>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</si>
  <si>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</si>
  <si>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</si>
  <si>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</si>
  <si>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</si>
  <si>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</si>
  <si>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</si>
  <si>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</si>
  <si>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</si>
  <si>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</si>
  <si>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</si>
  <si>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</si>
  <si>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</si>
  <si>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</si>
  <si>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</si>
  <si>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</si>
  <si>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</si>
  <si>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</si>
  <si>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</si>
  <si>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</si>
  <si>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</si>
  <si>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</si>
  <si>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</si>
  <si>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</si>
  <si>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</si>
  <si>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</si>
  <si>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</si>
  <si>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</si>
  <si>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</si>
  <si>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</si>
  <si>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</si>
  <si>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</si>
  <si>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</si>
  <si>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</si>
  <si>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</si>
  <si>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</si>
  <si>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</si>
  <si>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</si>
  <si>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</si>
  <si>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</si>
  <si>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</si>
  <si>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</si>
  <si>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</si>
  <si>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</si>
  <si>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</si>
  <si>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</si>
  <si>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</si>
  <si>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</si>
  <si>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</si>
  <si>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</si>
  <si>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</si>
  <si>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</si>
  <si>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</si>
  <si>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</si>
  <si>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</si>
  <si>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</si>
  <si>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</si>
  <si>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</si>
  <si>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</si>
  <si>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</si>
  <si>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</si>
  <si>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</si>
  <si>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</si>
  <si>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</si>
  <si>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</si>
  <si>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</si>
  <si>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</si>
  <si>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</si>
  <si>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</si>
  <si>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</si>
  <si>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</si>
  <si>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</si>
  <si>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</si>
  <si>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</si>
  <si>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</si>
  <si>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</si>
  <si>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</si>
  <si>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</si>
  <si>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</si>
  <si>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</si>
  <si>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</si>
  <si>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</si>
  <si>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</si>
  <si>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</si>
  <si>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</si>
  <si>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</si>
  <si>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</si>
  <si>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</si>
  <si>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</si>
  <si>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</si>
  <si>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</si>
  <si>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</si>
  <si>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</si>
  <si>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</si>
  <si>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</si>
  <si>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</si>
  <si>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</si>
  <si>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</si>
  <si>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</si>
  <si>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</si>
  <si>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</si>
  <si>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</si>
  <si>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</si>
  <si>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</si>
  <si>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</si>
  <si>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</si>
  <si>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</si>
  <si>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</si>
  <si>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</si>
  <si>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</si>
  <si>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</si>
  <si>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</si>
  <si>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</si>
  <si>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</si>
  <si>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</si>
  <si>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</si>
  <si>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</si>
  <si>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</si>
  <si>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</si>
  <si>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</si>
  <si>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</si>
  <si>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</si>
  <si>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</si>
  <si>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</si>
  <si>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</si>
  <si>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</si>
  <si>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</si>
  <si>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</si>
  <si>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</si>
  <si>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</si>
  <si>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</si>
  <si>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</si>
  <si>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</si>
  <si>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</si>
  <si>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</si>
  <si>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</si>
  <si>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</si>
  <si>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</si>
  <si>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</si>
  <si>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</si>
  <si>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</si>
  <si>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</si>
  <si>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</si>
  <si>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</si>
  <si>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</si>
  <si>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</si>
  <si>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</si>
  <si>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</si>
  <si>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</si>
  <si>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</si>
  <si>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</si>
  <si>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</si>
  <si>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</si>
  <si>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</si>
  <si>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</si>
  <si>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</si>
  <si>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</si>
  <si>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</si>
  <si>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</si>
  <si>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</si>
  <si>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</si>
  <si>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</si>
  <si>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</si>
  <si>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</si>
  <si>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</si>
  <si>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</si>
  <si>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</si>
  <si>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</si>
  <si>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</si>
  <si>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</si>
  <si>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</si>
  <si>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</si>
  <si>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</si>
  <si>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</si>
  <si>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</si>
  <si>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</si>
  <si>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</si>
  <si>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</si>
  <si>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</si>
  <si>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</si>
  <si>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</si>
  <si>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</si>
  <si>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</si>
  <si>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</si>
  <si>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</si>
  <si>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</si>
  <si>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</si>
  <si>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</si>
  <si>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</si>
  <si>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</si>
  <si>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</si>
  <si>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</si>
  <si>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</si>
  <si>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</si>
  <si>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</si>
  <si>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</si>
  <si>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</si>
  <si>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</si>
  <si>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</si>
  <si>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</si>
  <si>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</si>
  <si>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</si>
  <si>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</si>
  <si>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</si>
  <si>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</si>
  <si>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</si>
  <si>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</si>
  <si>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</si>
  <si>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</si>
  <si>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</si>
  <si>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</si>
  <si>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</si>
  <si>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</si>
  <si>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</si>
  <si>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</si>
  <si>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</si>
  <si>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</si>
  <si>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</si>
  <si>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</si>
  <si>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</si>
  <si>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</si>
  <si>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</si>
  <si>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</si>
  <si>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</si>
  <si>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</si>
  <si>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</si>
  <si>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</si>
  <si>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</si>
  <si>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</si>
  <si>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</si>
  <si>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</si>
  <si>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</si>
  <si>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</si>
  <si>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</si>
  <si>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</si>
  <si>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</si>
  <si>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</si>
  <si>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</si>
  <si>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</si>
  <si>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</si>
  <si>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</si>
  <si>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</si>
  <si>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</si>
  <si>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</si>
  <si>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</si>
  <si>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</si>
  <si>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</si>
  <si>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</si>
  <si>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</si>
  <si>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</si>
  <si>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</si>
  <si>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</si>
  <si>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</si>
  <si>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</si>
  <si>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</si>
  <si>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</si>
  <si>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</si>
  <si>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</si>
  <si>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</si>
  <si>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</si>
  <si>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</si>
  <si>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</si>
  <si>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</si>
  <si>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</si>
  <si>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</si>
  <si>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</si>
  <si>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</si>
  <si>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</si>
  <si>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</si>
  <si>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</si>
  <si>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</si>
  <si>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</si>
  <si>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</si>
  <si>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</si>
  <si>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</si>
  <si>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</si>
  <si>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</si>
  <si>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</si>
  <si>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</si>
  <si>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</si>
  <si>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</si>
  <si>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</si>
  <si>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</si>
  <si>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</si>
  <si>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</si>
  <si>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</si>
  <si>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</si>
  <si>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</si>
  <si>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</si>
  <si>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</si>
  <si>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</si>
  <si>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</si>
  <si>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</si>
  <si>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</si>
  <si>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</si>
  <si>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</si>
  <si>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</si>
  <si>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</si>
  <si>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</si>
  <si>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</si>
  <si>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</si>
  <si>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</si>
  <si>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</si>
  <si>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</si>
  <si>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</si>
  <si>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</si>
  <si>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</si>
  <si>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</si>
  <si>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</si>
  <si>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</si>
  <si>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</si>
  <si>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</si>
  <si>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</si>
  <si>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</si>
  <si>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</si>
  <si>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</si>
  <si>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</si>
  <si>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</si>
  <si>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</si>
  <si>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</si>
  <si>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</si>
  <si>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</si>
  <si>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</si>
  <si>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</si>
  <si>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</si>
  <si>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</si>
  <si>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</si>
  <si>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</si>
  <si>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</si>
  <si>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</si>
  <si>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</si>
  <si>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</si>
  <si>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</si>
  <si>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</si>
  <si>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</si>
  <si>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</si>
  <si>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</si>
  <si>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</si>
  <si>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</si>
  <si>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</si>
  <si>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</si>
  <si>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</si>
  <si>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</si>
  <si>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</si>
  <si>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</si>
  <si>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</si>
  <si>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</si>
  <si>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</si>
  <si>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</si>
  <si>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</si>
  <si>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</si>
  <si>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</si>
  <si>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</si>
  <si>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</si>
  <si>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</si>
  <si>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</si>
  <si>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</si>
  <si>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</si>
  <si>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</si>
  <si>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</si>
  <si>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</si>
  <si>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</si>
  <si>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</si>
  <si>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</si>
  <si>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</si>
  <si>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</si>
  <si>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</si>
  <si>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</si>
  <si>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</si>
  <si>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</si>
  <si>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</si>
  <si>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</si>
  <si>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</si>
  <si>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</si>
  <si>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</si>
  <si>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</si>
  <si>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</si>
  <si>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</si>
  <si>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</si>
  <si>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</si>
  <si>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</si>
  <si>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</si>
  <si>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</si>
  <si>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</si>
  <si>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</si>
  <si>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</si>
  <si>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</si>
  <si>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</si>
  <si>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</si>
  <si>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</si>
  <si>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</si>
  <si>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</si>
  <si>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</si>
  <si>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</si>
  <si>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</si>
  <si>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</si>
  <si>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</si>
  <si>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</si>
  <si>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</si>
  <si>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</si>
  <si>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</si>
  <si>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</si>
  <si>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</si>
  <si>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</si>
  <si>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</si>
  <si>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</si>
  <si>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</si>
  <si>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</si>
  <si>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</si>
  <si>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</si>
  <si>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</si>
  <si>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</si>
  <si>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</si>
  <si>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</si>
  <si>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</si>
  <si>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</si>
  <si>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</si>
  <si>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</si>
  <si>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</si>
  <si>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</si>
  <si>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</si>
  <si>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</si>
  <si>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</si>
  <si>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</si>
  <si>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</si>
  <si>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</si>
  <si>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</si>
  <si>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</si>
  <si>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</si>
  <si>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</si>
  <si>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</si>
  <si>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</si>
  <si>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</si>
  <si>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</si>
  <si>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</si>
  <si>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</si>
  <si>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</si>
  <si>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</si>
  <si>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</si>
  <si>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</si>
  <si>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</si>
  <si>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</si>
  <si>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</si>
  <si>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</si>
  <si>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</si>
  <si>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</si>
  <si>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</si>
  <si>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</si>
  <si>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</si>
  <si>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</si>
  <si>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</si>
  <si>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</si>
  <si>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</si>
  <si>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</si>
  <si>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</si>
  <si>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</si>
  <si>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</si>
  <si>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</si>
  <si>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</si>
  <si>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</si>
  <si>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</si>
  <si>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</si>
  <si>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</si>
  <si>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</si>
  <si>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</si>
  <si>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</si>
  <si>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</si>
  <si>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</si>
  <si>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</si>
  <si>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</si>
  <si>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</si>
  <si>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</si>
  <si>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</si>
  <si>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</si>
  <si>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</si>
  <si>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</si>
  <si>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</si>
  <si>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</si>
  <si>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</si>
  <si>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</si>
  <si>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</si>
  <si>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</si>
  <si>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</si>
  <si>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</si>
  <si>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</si>
  <si>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</si>
  <si>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</si>
  <si>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</si>
  <si>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</si>
  <si>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</si>
  <si>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</si>
  <si>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</si>
  <si>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</si>
  <si>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</si>
  <si>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</si>
  <si>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</si>
  <si>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</si>
  <si>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</si>
  <si>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</si>
  <si>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</si>
  <si>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</si>
  <si>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</si>
  <si>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</si>
  <si>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</si>
  <si>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</si>
  <si>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</si>
  <si>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</si>
  <si>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</si>
  <si>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</si>
  <si>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</si>
  <si>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</si>
  <si>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</si>
  <si>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</si>
  <si>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</si>
  <si>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</si>
  <si>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</si>
  <si>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</si>
  <si>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</si>
  <si>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</si>
  <si>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</si>
  <si>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</si>
  <si>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</si>
  <si>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</si>
  <si>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</si>
  <si>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</si>
  <si>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</si>
  <si>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</si>
  <si>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</si>
  <si>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</si>
  <si>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</si>
  <si>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</si>
  <si>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</si>
  <si>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</si>
  <si>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</si>
  <si>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</si>
  <si>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</si>
  <si>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</si>
  <si>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</si>
  <si>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</si>
  <si>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</si>
  <si>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</si>
  <si>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</si>
  <si>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</si>
  <si>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</si>
  <si>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</si>
  <si>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</si>
  <si>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</si>
  <si>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</si>
  <si>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</si>
  <si>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</si>
  <si>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</si>
  <si>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</si>
  <si>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</si>
  <si>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</si>
  <si>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</si>
  <si>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</si>
  <si>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</si>
  <si>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</si>
  <si>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</si>
  <si>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</si>
  <si>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</si>
  <si>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</si>
  <si>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</si>
  <si>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</si>
  <si>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</si>
  <si>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</si>
  <si>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</si>
  <si>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</si>
  <si>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</si>
  <si>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</si>
  <si>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</si>
  <si>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</si>
  <si>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</si>
  <si>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</si>
  <si>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</si>
  <si>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</si>
  <si>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</si>
  <si>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</si>
  <si>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</si>
  <si>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</si>
  <si>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</si>
  <si>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</si>
  <si>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</si>
  <si>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</si>
  <si>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</si>
  <si>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</si>
  <si>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</si>
  <si>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</si>
  <si>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</si>
  <si>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</si>
  <si>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</si>
  <si>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</si>
  <si>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</si>
  <si>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</si>
  <si>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</si>
  <si>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</si>
  <si>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</si>
  <si>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</si>
  <si>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</si>
  <si>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</si>
  <si>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</si>
  <si>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</si>
  <si>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</si>
  <si>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</si>
  <si>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</si>
  <si>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</si>
  <si>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</si>
  <si>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</si>
  <si>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</si>
  <si>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</si>
  <si>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</si>
  <si>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</si>
  <si>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</si>
  <si>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</si>
  <si>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</si>
  <si>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</si>
  <si>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</si>
  <si>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</si>
  <si>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</si>
  <si>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</si>
  <si>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</si>
  <si>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</si>
  <si>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</si>
  <si>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</si>
  <si>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</si>
  <si>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</si>
  <si>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</si>
  <si>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</si>
  <si>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</si>
  <si>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</si>
  <si>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</si>
  <si>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</si>
  <si>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</si>
  <si>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</si>
  <si>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</si>
  <si>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</si>
  <si>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</si>
  <si>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</si>
  <si>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</si>
  <si>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</si>
  <si>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</si>
  <si>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</si>
  <si>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</si>
  <si>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</si>
  <si>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</si>
  <si>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</si>
  <si>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</si>
  <si>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</si>
  <si>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</si>
  <si>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</si>
  <si>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</si>
  <si>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</si>
  <si>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</si>
  <si>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</si>
  <si>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</si>
  <si>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</si>
  <si>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</si>
  <si>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</si>
  <si>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</si>
  <si>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</si>
  <si>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</si>
  <si>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</si>
  <si>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</si>
  <si>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</si>
  <si>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</si>
  <si>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</si>
  <si>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</si>
  <si>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</si>
  <si>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</si>
  <si>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</si>
  <si>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</si>
  <si>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</si>
  <si>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</si>
  <si>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</si>
  <si>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</si>
  <si>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</si>
  <si>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</si>
  <si>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</si>
  <si>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</si>
  <si>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</si>
  <si>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</si>
  <si>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</si>
  <si>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</si>
  <si>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</si>
  <si>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</si>
  <si>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</si>
  <si>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</si>
  <si>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</si>
  <si>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</si>
  <si>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</si>
  <si>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</si>
  <si>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</si>
  <si>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</si>
  <si>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</si>
  <si>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</si>
  <si>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</si>
  <si>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</si>
  <si>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</si>
  <si>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</si>
  <si>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</si>
  <si>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</si>
  <si>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</si>
  <si>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</si>
  <si>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</si>
  <si>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</si>
  <si>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</si>
  <si>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</si>
  <si>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</si>
  <si>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</si>
  <si>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</si>
  <si>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</si>
  <si>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</si>
  <si>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</si>
  <si>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</si>
  <si>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</si>
  <si>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</si>
  <si>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</si>
  <si>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</si>
  <si>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</si>
  <si>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</si>
  <si>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</si>
  <si>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</si>
  <si>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</si>
  <si>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</si>
  <si>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</si>
  <si>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</si>
  <si>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</si>
  <si>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</si>
  <si>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</si>
  <si>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</si>
  <si>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</si>
  <si>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</si>
  <si>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</si>
  <si>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</si>
  <si>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</si>
  <si>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</si>
  <si>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</si>
  <si>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</si>
  <si>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</si>
  <si>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</si>
  <si>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</si>
  <si>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</si>
  <si>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</si>
  <si>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</si>
  <si>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</si>
  <si>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</si>
  <si>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</si>
  <si>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</si>
  <si>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</si>
  <si>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</si>
  <si>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</si>
  <si>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</si>
  <si>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</si>
  <si>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</si>
  <si>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</si>
  <si>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</si>
  <si>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</si>
  <si>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</si>
  <si>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</si>
  <si>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</si>
  <si>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</si>
  <si>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</si>
  <si>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</si>
  <si>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</si>
  <si>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</si>
  <si>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</si>
  <si>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</si>
  <si>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</si>
  <si>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</si>
  <si>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</si>
  <si>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</si>
  <si>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</si>
  <si>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</si>
  <si>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</si>
  <si>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</si>
  <si>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</si>
  <si>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</si>
  <si>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</si>
  <si>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</si>
  <si>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</si>
  <si>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</si>
  <si>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</si>
  <si>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</si>
  <si>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</si>
  <si>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</si>
  <si>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</si>
  <si>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</si>
  <si>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</si>
  <si>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</si>
  <si>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</si>
  <si>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</si>
  <si>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</si>
  <si>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</si>
  <si>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</si>
  <si>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</si>
  <si>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</si>
  <si>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</si>
  <si>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</si>
  <si>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</si>
  <si>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</si>
  <si>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</si>
  <si>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</si>
  <si>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</si>
  <si>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</si>
  <si>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</si>
  <si>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</si>
  <si>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</si>
  <si>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</si>
  <si>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</si>
  <si>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</si>
  <si>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</si>
  <si>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</si>
  <si>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</si>
  <si>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</si>
  <si>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</si>
  <si>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</si>
  <si>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</si>
  <si>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</si>
  <si>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</si>
  <si>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</si>
  <si>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</si>
  <si>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</si>
  <si>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</si>
  <si>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</si>
  <si>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</si>
  <si>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</si>
  <si>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</si>
  <si>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</si>
  <si>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</si>
  <si>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</si>
  <si>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</si>
  <si>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</si>
  <si>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</si>
  <si>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</si>
  <si>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</si>
  <si>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</si>
  <si>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</si>
  <si>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</si>
  <si>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</si>
  <si>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</si>
  <si>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</si>
  <si>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</si>
  <si>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</si>
  <si>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</si>
  <si>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</si>
  <si>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</si>
  <si>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</si>
  <si>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</si>
  <si>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</si>
  <si>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</si>
  <si>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</si>
  <si>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</si>
  <si>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</si>
  <si>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</si>
  <si>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</si>
  <si>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</si>
  <si>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</si>
  <si>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</si>
  <si>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</si>
  <si>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</si>
  <si>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</si>
  <si>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</si>
  <si>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</si>
  <si>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</si>
  <si>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</si>
  <si>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</si>
  <si>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</si>
  <si>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</si>
  <si>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</si>
  <si>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</si>
  <si>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</si>
  <si>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</si>
  <si>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</si>
  <si>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</si>
  <si>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</si>
  <si>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</si>
  <si>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</si>
  <si>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</si>
  <si>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</si>
  <si>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</si>
  <si>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</si>
  <si>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</si>
  <si>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</si>
  <si>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</si>
  <si>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</si>
  <si>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</si>
  <si>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</si>
  <si>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</si>
  <si>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</si>
  <si>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</si>
  <si>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</si>
  <si>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</si>
  <si>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</si>
  <si>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</si>
  <si>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</si>
  <si>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</si>
  <si>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</si>
  <si>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</si>
  <si>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</si>
  <si>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</si>
  <si>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</si>
  <si>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</si>
  <si>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</si>
  <si>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</si>
  <si>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</si>
  <si>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</si>
  <si>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</si>
  <si>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</si>
  <si>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</si>
  <si>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</si>
  <si>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</si>
  <si>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</si>
  <si>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</si>
  <si>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</si>
  <si>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</si>
  <si>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</si>
  <si>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</si>
  <si>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</si>
  <si>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</si>
  <si>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</si>
  <si>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</si>
  <si>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</si>
  <si>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</si>
  <si>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</si>
  <si>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</si>
  <si>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</si>
  <si>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</si>
  <si>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</si>
  <si>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</si>
  <si>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</si>
  <si>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</si>
  <si>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</si>
  <si>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</si>
  <si>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</si>
  <si>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</si>
  <si>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</si>
  <si>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</si>
  <si>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</si>
  <si>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</si>
  <si>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</si>
  <si>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</si>
  <si>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</si>
  <si>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</si>
  <si>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</si>
  <si>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</si>
  <si>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</si>
  <si>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</si>
  <si>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</si>
  <si>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</si>
  <si>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</si>
  <si>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</si>
  <si>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</si>
  <si>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</si>
  <si>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</si>
  <si>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</si>
  <si>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</si>
  <si>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</si>
  <si>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</si>
  <si>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</si>
  <si>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</si>
  <si>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</si>
  <si>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</si>
  <si>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</si>
  <si>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</si>
  <si>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</si>
  <si>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</si>
  <si>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</si>
  <si>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</si>
  <si>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</si>
  <si>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</si>
  <si>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</si>
  <si>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</si>
  <si>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</si>
  <si>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</si>
  <si>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</si>
  <si>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</si>
  <si>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</si>
  <si>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</si>
  <si>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</si>
  <si>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</si>
  <si>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</si>
  <si>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</si>
  <si>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</si>
  <si>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</si>
  <si>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</si>
  <si>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</si>
  <si>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</si>
  <si>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</si>
  <si>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</si>
  <si>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</si>
  <si>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</si>
  <si>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</si>
  <si>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</si>
  <si>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</si>
  <si>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</si>
  <si>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</si>
  <si>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</si>
  <si>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</si>
  <si>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</si>
  <si>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</si>
  <si>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</si>
  <si>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</si>
  <si>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</si>
  <si>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</si>
  <si>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</si>
  <si>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</si>
  <si>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</si>
  <si>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</si>
  <si>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</si>
  <si>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</si>
  <si>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</si>
  <si>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</si>
  <si>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</si>
  <si>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</si>
  <si>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</si>
  <si>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</si>
  <si>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</si>
  <si>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</si>
  <si>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</si>
  <si>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</si>
  <si>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</si>
  <si>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</si>
  <si>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</si>
  <si>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</si>
  <si>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</si>
  <si>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</si>
  <si>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</si>
  <si>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</si>
  <si>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</si>
  <si>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</si>
  <si>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</si>
  <si>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</si>
  <si>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</si>
  <si>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</si>
  <si>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</si>
  <si>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</si>
  <si>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</si>
  <si>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</si>
  <si>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</si>
  <si>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</si>
  <si>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</si>
  <si>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</si>
  <si>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</si>
  <si>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</si>
  <si>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</si>
  <si>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</si>
  <si>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</si>
  <si>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</si>
  <si>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</si>
  <si>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</si>
  <si>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</si>
  <si>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</si>
  <si>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</si>
  <si>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</si>
  <si>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</si>
  <si>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</si>
  <si>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</si>
  <si>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</si>
  <si>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</si>
  <si>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</si>
  <si>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</si>
  <si>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</si>
  <si>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</si>
  <si>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</si>
  <si>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</si>
  <si>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</si>
  <si>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</si>
  <si>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</si>
  <si>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</si>
  <si>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</si>
  <si>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</si>
  <si>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</si>
  <si>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</si>
  <si>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</si>
  <si>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</si>
  <si>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</si>
  <si>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</si>
  <si>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</si>
  <si>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</si>
  <si>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</si>
  <si>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</si>
  <si>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</si>
  <si>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</si>
  <si>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</si>
  <si>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</si>
  <si>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</si>
  <si>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</si>
  <si>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</si>
  <si>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</si>
  <si>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</si>
  <si>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</si>
  <si>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</si>
  <si>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</si>
  <si>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</si>
  <si>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</si>
  <si>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</si>
  <si>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</si>
  <si>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</si>
  <si>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</si>
  <si>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</si>
  <si>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</si>
  <si>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</si>
  <si>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</si>
  <si>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</si>
  <si>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</si>
  <si>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</si>
  <si>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</si>
  <si>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</si>
  <si>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</si>
  <si>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</si>
  <si>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</si>
  <si>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</si>
  <si>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</si>
  <si>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</si>
  <si>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</si>
  <si>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</si>
  <si>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</si>
  <si>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</si>
  <si>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</si>
  <si>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</si>
  <si>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</si>
  <si>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</si>
  <si>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</si>
  <si>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</si>
  <si>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</si>
  <si>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</si>
  <si>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</si>
  <si>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</si>
  <si>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</si>
  <si>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</si>
  <si>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</si>
  <si>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</si>
  <si>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</si>
  <si>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</si>
  <si>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</si>
  <si>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</si>
  <si>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</si>
  <si>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</si>
  <si>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</si>
  <si>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</si>
  <si>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</si>
  <si>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</si>
  <si>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</si>
  <si>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</si>
  <si>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</si>
  <si>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</si>
  <si>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</si>
  <si>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</si>
  <si>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</si>
  <si>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</si>
  <si>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</si>
  <si>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</si>
  <si>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</si>
  <si>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</si>
  <si>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</si>
  <si>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</si>
  <si>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</si>
  <si>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</si>
  <si>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</si>
  <si>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</si>
  <si>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</si>
  <si>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</si>
  <si>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</si>
  <si>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</si>
  <si>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</si>
  <si>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</si>
  <si>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</si>
  <si>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</si>
  <si>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</si>
  <si>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</si>
  <si>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</si>
  <si>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</si>
  <si>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</si>
  <si>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</si>
  <si>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</si>
  <si>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</si>
  <si>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</si>
  <si>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</si>
  <si>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</si>
  <si>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</si>
  <si>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</si>
  <si>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</si>
  <si>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</si>
  <si>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</si>
  <si>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</si>
  <si>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</si>
  <si>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</si>
  <si>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</si>
  <si>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</si>
  <si>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</si>
  <si>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</si>
  <si>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</si>
  <si>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</si>
  <si>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</si>
  <si>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</si>
  <si>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</si>
  <si>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</si>
  <si>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</si>
  <si>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</si>
  <si>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</si>
  <si>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</si>
  <si>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</si>
  <si>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</si>
  <si>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</si>
  <si>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</si>
  <si>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</si>
  <si>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</si>
  <si>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</si>
  <si>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</si>
  <si>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</si>
  <si>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</si>
  <si>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</si>
  <si>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</si>
  <si>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</si>
  <si>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</si>
  <si>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</si>
  <si>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</si>
  <si>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</si>
  <si>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</si>
  <si>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</si>
  <si>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</si>
  <si>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</si>
  <si>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</si>
  <si>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</si>
  <si>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</si>
  <si>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</si>
  <si>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</si>
  <si>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</si>
  <si>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</si>
  <si>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</si>
  <si>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</si>
  <si>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</si>
  <si>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</si>
  <si>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</si>
  <si>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</si>
  <si>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</si>
  <si>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</si>
  <si>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</si>
  <si>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</si>
  <si>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</si>
  <si>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</si>
  <si>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</si>
  <si>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</si>
  <si>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</si>
  <si>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</si>
  <si>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</si>
  <si>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</si>
  <si>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</si>
  <si>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</si>
  <si>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</si>
  <si>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</si>
  <si>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</si>
  <si>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</si>
  <si>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</si>
  <si>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</si>
  <si>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</si>
  <si>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</si>
  <si>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</si>
  <si>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</si>
  <si>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</si>
  <si>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</si>
  <si>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</si>
  <si>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</si>
  <si>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</si>
  <si>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</si>
  <si>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</si>
  <si>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</si>
  <si>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</si>
  <si>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</si>
  <si>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</si>
  <si>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</si>
  <si>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</si>
  <si>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</si>
  <si>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</si>
  <si>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</si>
  <si>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</si>
  <si>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</si>
  <si>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</si>
  <si>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</si>
  <si>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</si>
  <si>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</si>
  <si>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</si>
  <si>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</si>
  <si>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</si>
  <si>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</si>
  <si>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</si>
  <si>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</si>
  <si>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</si>
  <si>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</si>
  <si>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</si>
  <si>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</si>
  <si>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</si>
  <si>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</si>
  <si>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</si>
  <si>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</si>
  <si>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</si>
  <si>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</si>
  <si>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</si>
  <si>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</si>
  <si>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</si>
  <si>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</si>
  <si>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</si>
  <si>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</si>
  <si>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</si>
  <si>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</si>
  <si>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</si>
  <si>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</si>
  <si>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</si>
  <si>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</si>
  <si>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</si>
  <si>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</si>
  <si>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</si>
  <si>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</si>
  <si>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</si>
  <si>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</si>
  <si>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</si>
  <si>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</si>
  <si>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</si>
  <si>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</si>
  <si>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</si>
  <si>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</si>
  <si>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</si>
  <si>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</si>
  <si>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</si>
  <si>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</si>
  <si>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</si>
  <si>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</si>
  <si>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</si>
  <si>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</si>
  <si>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</si>
  <si>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</si>
  <si>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</si>
  <si>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</si>
  <si>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</si>
  <si>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</si>
  <si>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</si>
  <si>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</si>
  <si>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</si>
  <si>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</si>
  <si>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</si>
  <si>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</si>
  <si>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</si>
  <si>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</si>
  <si>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</si>
  <si>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</si>
  <si>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</si>
  <si>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</si>
  <si>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</si>
  <si>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</si>
  <si>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</si>
  <si>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</si>
  <si>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</si>
  <si>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</si>
  <si>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</si>
  <si>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</si>
  <si>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</si>
  <si>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</si>
  <si>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</si>
  <si>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</si>
  <si>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</si>
  <si>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</si>
  <si>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</si>
  <si>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</si>
  <si>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</si>
  <si>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</si>
  <si>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</si>
  <si>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</si>
  <si>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</si>
  <si>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</si>
  <si>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</si>
  <si>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</si>
  <si>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</si>
  <si>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</si>
  <si>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</si>
  <si>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</si>
  <si>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</si>
  <si>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</si>
  <si>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</si>
  <si>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</si>
  <si>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</si>
  <si>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</si>
  <si>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</si>
  <si>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</si>
  <si>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</si>
  <si>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</si>
  <si>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</si>
  <si>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</si>
  <si>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</si>
  <si>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</si>
  <si>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</si>
  <si>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</si>
  <si>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</si>
  <si>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</si>
  <si>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</si>
  <si>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</si>
  <si>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</si>
  <si>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</si>
  <si>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</si>
  <si>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</si>
  <si>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</si>
  <si>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</si>
  <si>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</si>
  <si>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</si>
  <si>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</si>
  <si>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</si>
  <si>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</si>
  <si>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</si>
  <si>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</si>
  <si>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</si>
  <si>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</si>
  <si>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</si>
  <si>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</si>
  <si>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</si>
  <si>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</si>
  <si>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</si>
  <si>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</si>
  <si>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</si>
  <si>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</si>
  <si>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</si>
  <si>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</si>
  <si>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</si>
  <si>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</si>
  <si>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</si>
  <si>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</si>
  <si>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</si>
  <si>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</si>
  <si>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</si>
  <si>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</si>
  <si>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</si>
  <si>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</si>
  <si>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</si>
  <si>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</si>
  <si>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</si>
  <si>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</si>
  <si>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</si>
  <si>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</si>
  <si>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</si>
  <si>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</si>
  <si>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</si>
  <si>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</si>
  <si>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</si>
  <si>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</si>
  <si>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</si>
  <si>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</si>
  <si>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</si>
  <si>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</si>
  <si>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</si>
  <si>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</si>
  <si>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</si>
  <si>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</si>
  <si>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</si>
  <si>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</si>
  <si>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</si>
  <si>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</si>
  <si>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</si>
  <si>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</si>
  <si>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</si>
  <si>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</si>
  <si>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</si>
  <si>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</si>
  <si>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</si>
  <si>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</si>
  <si>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</si>
  <si>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</si>
  <si>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</si>
  <si>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</si>
  <si>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</si>
  <si>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</si>
  <si>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</si>
  <si>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</si>
  <si>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</si>
  <si>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</si>
  <si>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</si>
  <si>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</si>
  <si>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</si>
  <si>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</si>
  <si>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</si>
  <si>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</si>
  <si>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</si>
  <si>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</si>
  <si>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</si>
  <si>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</si>
  <si>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</si>
  <si>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</si>
  <si>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</si>
  <si>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</si>
  <si>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</si>
  <si>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</si>
  <si>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</si>
  <si>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</si>
  <si>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</si>
  <si>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</si>
  <si>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</si>
  <si>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</si>
  <si>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</si>
  <si>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</si>
  <si>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</si>
  <si>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</si>
  <si>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</si>
  <si>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</si>
  <si>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</si>
  <si>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</si>
  <si>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</si>
  <si>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</si>
  <si>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</si>
  <si>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</si>
  <si>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</si>
  <si>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</si>
  <si>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</si>
  <si>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</si>
  <si>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</si>
  <si>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</si>
  <si>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</si>
  <si>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</si>
  <si>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</si>
  <si>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</si>
  <si>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</si>
  <si>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</si>
  <si>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</si>
  <si>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</si>
  <si>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</si>
  <si>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</si>
  <si>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</si>
  <si>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</si>
  <si>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</si>
  <si>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</si>
  <si>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</si>
  <si>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</si>
  <si>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</si>
  <si>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</si>
  <si>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</si>
  <si>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</si>
  <si>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</si>
  <si>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</si>
  <si>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</si>
  <si>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</si>
  <si>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</si>
  <si>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</si>
  <si>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</si>
  <si>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</si>
  <si>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</si>
  <si>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</si>
  <si>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</si>
  <si>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</si>
  <si>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</si>
  <si>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</si>
  <si>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</si>
  <si>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</si>
  <si>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</si>
  <si>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</si>
  <si>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</si>
  <si>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</si>
  <si>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</si>
  <si>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</si>
  <si>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</si>
  <si>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</si>
  <si>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</si>
  <si>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</si>
  <si>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</si>
  <si>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</si>
  <si>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</si>
  <si>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</si>
  <si>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</si>
  <si>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</si>
  <si>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</si>
  <si>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</si>
  <si>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</si>
  <si>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</si>
  <si>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</si>
  <si>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</si>
  <si>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</si>
  <si>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</si>
  <si>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</si>
  <si>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</si>
  <si>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</si>
  <si>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</si>
  <si>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</si>
  <si>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</si>
  <si>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</si>
  <si>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</si>
  <si>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</si>
  <si>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</si>
  <si>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</si>
  <si>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</si>
  <si>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</si>
  <si>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</si>
  <si>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</si>
  <si>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</si>
  <si>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</si>
  <si>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</si>
  <si>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</si>
  <si>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</si>
  <si>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</si>
  <si>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</si>
  <si>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</si>
  <si>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</si>
  <si>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</si>
  <si>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</si>
  <si>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</si>
  <si>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</si>
  <si>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</si>
  <si>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</si>
  <si>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</si>
  <si>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</si>
  <si>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</si>
  <si>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</si>
  <si>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</si>
  <si>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</si>
  <si>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</si>
  <si>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</si>
  <si>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</si>
  <si>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</si>
  <si>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</si>
  <si>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</si>
  <si>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</si>
  <si>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</si>
  <si>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</si>
  <si>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</si>
  <si>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</si>
  <si>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</si>
  <si>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</si>
  <si>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</si>
  <si>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</si>
  <si>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</si>
  <si>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</si>
  <si>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</si>
  <si>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</si>
  <si>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</si>
  <si>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</si>
  <si>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</si>
  <si>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</si>
  <si>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</si>
  <si>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</si>
  <si>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</si>
  <si>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</si>
  <si>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</si>
  <si>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</si>
  <si>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</si>
  <si>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</si>
  <si>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</si>
  <si>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</si>
  <si>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</si>
  <si>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</si>
  <si>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</si>
  <si>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</si>
  <si>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</si>
  <si>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</si>
  <si>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</si>
  <si>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</si>
  <si>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</si>
  <si>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</si>
  <si>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</si>
  <si>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</si>
  <si>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</si>
  <si>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</si>
  <si>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</si>
  <si>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</si>
  <si>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</si>
  <si>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</si>
  <si>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</si>
  <si>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</si>
  <si>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</si>
  <si>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</si>
  <si>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</si>
  <si>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</si>
  <si>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</si>
  <si>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</si>
  <si>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</si>
  <si>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</si>
  <si>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</si>
  <si>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</si>
  <si>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</si>
  <si>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</si>
  <si>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</si>
  <si>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</si>
  <si>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</si>
  <si>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</si>
  <si>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</si>
  <si>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</si>
  <si>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</si>
  <si>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</si>
  <si>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</si>
  <si>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</si>
  <si>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</si>
  <si>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</si>
  <si>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</si>
  <si>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</si>
  <si>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</si>
  <si>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</si>
  <si>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</si>
  <si>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</si>
  <si>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</si>
  <si>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</si>
  <si>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</si>
  <si>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</si>
  <si>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</si>
  <si>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</si>
  <si>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</si>
  <si>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</si>
  <si>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</si>
  <si>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</si>
  <si>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</si>
  <si>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</si>
  <si>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</si>
  <si>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</si>
  <si>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</si>
  <si>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</si>
  <si>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</si>
  <si>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</si>
  <si>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</si>
  <si>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</si>
  <si>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</si>
  <si>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</si>
  <si>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</si>
  <si>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</si>
  <si>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</si>
  <si>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</si>
  <si>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</si>
  <si>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</si>
  <si>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</si>
  <si>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</si>
  <si>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</si>
  <si>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</si>
  <si>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</si>
  <si>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</si>
  <si>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</si>
  <si>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</si>
  <si>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</si>
  <si>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</si>
  <si>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</si>
  <si>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</si>
  <si>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</si>
  <si>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</si>
  <si>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</si>
  <si>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</si>
  <si>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</si>
  <si>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</si>
  <si>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</si>
  <si>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</si>
  <si>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</si>
  <si>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</si>
  <si>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</si>
  <si>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</si>
  <si>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</si>
  <si>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</si>
  <si>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</si>
  <si>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</si>
  <si>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</si>
  <si>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</si>
  <si>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</si>
  <si>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</si>
  <si>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</si>
  <si>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</si>
  <si>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</si>
  <si>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</si>
  <si>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</si>
  <si>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</si>
  <si>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</si>
  <si>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</si>
  <si>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</si>
  <si>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</si>
  <si>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</si>
  <si>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</si>
  <si>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</si>
  <si>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</si>
  <si>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</si>
  <si>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</si>
  <si>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</si>
  <si>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</si>
  <si>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</si>
  <si>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</si>
  <si>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</si>
  <si>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</si>
  <si>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</si>
  <si>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</si>
  <si>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</si>
  <si>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</si>
  <si>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</si>
  <si>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</si>
  <si>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</si>
  <si>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</si>
  <si>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</si>
  <si>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</si>
  <si>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</si>
  <si>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</si>
  <si>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</si>
  <si>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</si>
  <si>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</si>
  <si>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</si>
  <si>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</si>
  <si>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</si>
  <si>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</si>
  <si>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</si>
  <si>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</si>
  <si>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</si>
  <si>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</si>
  <si>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</si>
  <si>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</si>
  <si>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</si>
  <si>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</si>
  <si>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</si>
  <si>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</si>
  <si>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</si>
  <si>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</si>
  <si>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</si>
  <si>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</si>
  <si>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</si>
  <si>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</si>
  <si>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</si>
  <si>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</si>
  <si>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</si>
  <si>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</si>
  <si>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</si>
  <si>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</si>
  <si>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</si>
  <si>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</si>
  <si>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</si>
  <si>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</si>
  <si>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</si>
  <si>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</si>
  <si>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</si>
  <si>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</si>
  <si>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</si>
  <si>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</si>
  <si>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</si>
  <si>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</si>
  <si>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</si>
  <si>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</si>
  <si>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</si>
  <si>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</si>
  <si>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</si>
  <si>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</si>
  <si>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</si>
  <si>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</si>
  <si>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</si>
  <si>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</si>
  <si>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</si>
  <si>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</si>
  <si>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</si>
  <si>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</si>
  <si>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</si>
  <si>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</si>
  <si>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</si>
  <si>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</si>
  <si>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</si>
  <si>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</si>
  <si>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</si>
  <si>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</si>
  <si>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</si>
  <si>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</si>
  <si>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</si>
  <si>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</si>
  <si>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</si>
  <si>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</si>
  <si>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</si>
  <si>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</si>
  <si>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</si>
  <si>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</si>
  <si>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</si>
  <si>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</si>
  <si>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</si>
  <si>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</si>
  <si>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</si>
  <si>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</si>
  <si>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</si>
  <si>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</si>
  <si>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</si>
  <si>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</si>
  <si>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</si>
  <si>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</si>
  <si>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</si>
  <si>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</si>
  <si>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</si>
  <si>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</si>
  <si>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</si>
  <si>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</si>
  <si>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</si>
  <si>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</si>
  <si>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</si>
  <si>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</si>
  <si>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</si>
  <si>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</si>
  <si>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</si>
  <si>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</si>
  <si>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</si>
  <si>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</si>
  <si>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</si>
  <si>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</si>
  <si>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</si>
  <si>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</si>
  <si>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</si>
  <si>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</si>
  <si>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</si>
  <si>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</si>
  <si>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</si>
  <si>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</si>
  <si>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</si>
  <si>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</si>
  <si>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</si>
  <si>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</si>
  <si>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</si>
  <si>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</si>
  <si>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</si>
  <si>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</si>
  <si>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</si>
  <si>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</si>
  <si>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</si>
  <si>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</si>
  <si>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</si>
  <si>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</si>
  <si>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</si>
  <si>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</si>
  <si>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</si>
  <si>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</si>
  <si>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</si>
  <si>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</si>
  <si>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</si>
  <si>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</si>
  <si>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</si>
  <si>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</si>
  <si>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</si>
  <si>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</si>
  <si>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</si>
  <si>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</si>
  <si>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</si>
  <si>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</si>
  <si>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</si>
  <si>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</si>
  <si>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</si>
  <si>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</si>
  <si>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</si>
  <si>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</si>
  <si>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</si>
  <si>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</si>
  <si>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</si>
  <si>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</si>
  <si>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</si>
  <si>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</si>
  <si>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</si>
  <si>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</si>
  <si>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</si>
  <si>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</si>
  <si>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</si>
  <si>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</si>
  <si>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</si>
  <si>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</si>
  <si>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</si>
  <si>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</si>
  <si>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</si>
  <si>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</si>
  <si>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</si>
  <si>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</si>
  <si>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</si>
  <si>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</si>
  <si>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</si>
  <si>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</si>
  <si>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</si>
  <si>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</si>
  <si>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</si>
  <si>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</si>
  <si>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</si>
  <si>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</si>
  <si>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</si>
  <si>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</si>
  <si>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</si>
  <si>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</si>
  <si>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</si>
  <si>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</si>
  <si>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</si>
  <si>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</si>
  <si>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</si>
  <si>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</si>
  <si>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</si>
  <si>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</si>
  <si>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</si>
  <si>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</si>
  <si>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</si>
  <si>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</si>
  <si>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</si>
  <si>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</si>
  <si>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</si>
  <si>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</si>
  <si>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</si>
  <si>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</si>
  <si>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</si>
  <si>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</si>
  <si>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</si>
  <si>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</si>
  <si>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</si>
  <si>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</si>
  <si>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</si>
  <si>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</si>
  <si>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</si>
  <si>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</si>
  <si>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</si>
  <si>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</si>
  <si>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</si>
  <si>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</si>
  <si>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</si>
  <si>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</si>
  <si>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</si>
  <si>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</si>
  <si>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</si>
  <si>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</si>
  <si>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</si>
  <si>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</si>
  <si>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</si>
  <si>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</si>
  <si>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</si>
  <si>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</si>
  <si>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</si>
  <si>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</si>
  <si>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</si>
  <si>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</si>
  <si>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</si>
  <si>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</si>
  <si>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</si>
  <si>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</si>
  <si>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</si>
  <si>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</si>
  <si>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</si>
  <si>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</si>
  <si>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</si>
  <si>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</si>
  <si>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</si>
  <si>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</si>
  <si>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</si>
  <si>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</si>
  <si>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</si>
  <si>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</si>
  <si>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</si>
  <si>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</si>
  <si>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</si>
  <si>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</si>
  <si>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</si>
  <si>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</si>
  <si>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</si>
  <si>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</si>
  <si>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</si>
  <si>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</si>
  <si>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</si>
  <si>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</si>
  <si>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</si>
  <si>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</si>
  <si>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</si>
  <si>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</si>
  <si>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</si>
  <si>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</si>
  <si>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</si>
  <si>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</si>
  <si>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</si>
  <si>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</si>
  <si>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</si>
  <si>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</si>
  <si>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</si>
  <si>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</si>
  <si>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</si>
  <si>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</si>
  <si>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</si>
  <si>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</si>
  <si>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</si>
  <si>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</si>
  <si>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</si>
  <si>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</si>
  <si>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</si>
  <si>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</si>
  <si>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</si>
  <si>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</si>
  <si>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</si>
  <si>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</si>
  <si>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</si>
  <si>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</si>
  <si>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</si>
  <si>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</si>
  <si>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</si>
  <si>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</si>
  <si>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</si>
  <si>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</si>
  <si>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</si>
  <si>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</si>
  <si>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</si>
  <si>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</si>
  <si>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</si>
  <si>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</si>
  <si>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</si>
  <si>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</si>
  <si>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</si>
  <si>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</si>
  <si>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</si>
  <si>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</si>
  <si>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</si>
  <si>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</si>
  <si>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</si>
  <si>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</si>
  <si>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</si>
  <si>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</si>
  <si>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</si>
  <si>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</si>
  <si>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</si>
  <si>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</si>
  <si>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</si>
  <si>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</si>
  <si>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</si>
  <si>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</si>
  <si>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</si>
  <si>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</si>
  <si>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</si>
  <si>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</si>
  <si>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</si>
  <si>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</si>
  <si>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</si>
  <si>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</si>
  <si>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</si>
  <si>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</si>
  <si>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</si>
  <si>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</si>
  <si>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</si>
  <si>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</si>
  <si>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</si>
  <si>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</si>
  <si>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</si>
  <si>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</si>
  <si>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</si>
  <si>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</si>
  <si>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</si>
  <si>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</si>
  <si>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</si>
  <si>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</si>
  <si>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</si>
  <si>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</si>
  <si>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</si>
  <si>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</si>
  <si>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</si>
  <si>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</si>
  <si>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</si>
  <si>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</si>
  <si>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</si>
  <si>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</si>
  <si>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</si>
  <si>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</si>
  <si>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</si>
  <si>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</si>
  <si>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</si>
  <si>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</si>
  <si>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</si>
  <si>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</si>
  <si>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</si>
  <si>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</si>
  <si>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</si>
  <si>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</si>
  <si>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</si>
  <si>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</si>
  <si>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</si>
  <si>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</si>
  <si>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</si>
  <si>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</si>
  <si>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</si>
  <si>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</si>
  <si>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</si>
  <si>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</si>
  <si>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</si>
  <si>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</si>
  <si>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</si>
  <si>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</si>
  <si>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</si>
  <si>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</si>
  <si>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</si>
  <si>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</si>
  <si>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</si>
  <si>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</si>
  <si>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</si>
  <si>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</si>
  <si>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</si>
  <si>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</si>
  <si>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</si>
  <si>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</si>
  <si>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</si>
  <si>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</si>
  <si>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</si>
  <si>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</si>
  <si>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</si>
  <si>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</si>
  <si>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</si>
  <si>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</si>
  <si>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</si>
  <si>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</si>
  <si>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</si>
  <si>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</si>
  <si>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</si>
  <si>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</si>
  <si>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</si>
  <si>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</si>
  <si>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</si>
  <si>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</si>
  <si>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</si>
  <si>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</si>
  <si>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</si>
  <si>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</si>
  <si>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</si>
  <si>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</si>
  <si>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</si>
  <si>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</si>
  <si>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</si>
  <si>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</si>
  <si>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</si>
  <si>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</si>
  <si>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</si>
  <si>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</si>
  <si>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</si>
  <si>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</si>
  <si>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</si>
  <si>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</si>
  <si>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</si>
  <si>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</si>
  <si>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</si>
  <si>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</si>
  <si>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</si>
  <si>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</si>
  <si>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</si>
  <si>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</si>
  <si>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</si>
  <si>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</si>
  <si>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</si>
  <si>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</si>
  <si>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</si>
  <si>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</si>
  <si>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</si>
  <si>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</si>
  <si>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</si>
  <si>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</si>
  <si>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</si>
  <si>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</si>
  <si>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</si>
  <si>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</si>
  <si>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</si>
  <si>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</si>
  <si>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</si>
  <si>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</si>
  <si>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</si>
  <si>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</si>
  <si>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</si>
  <si>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</si>
  <si>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</si>
  <si>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</si>
  <si>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</si>
  <si>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</si>
  <si>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</si>
  <si>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</si>
  <si>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</si>
  <si>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</si>
  <si>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</si>
  <si>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</si>
  <si>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</si>
  <si>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</si>
  <si>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</si>
  <si>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</si>
  <si>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</si>
  <si>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</si>
  <si>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</si>
  <si>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</si>
  <si>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</si>
  <si>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</si>
  <si>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</si>
  <si>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</si>
  <si>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</si>
  <si>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</si>
  <si>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</si>
  <si>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</si>
  <si>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</si>
  <si>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</si>
  <si>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</si>
  <si>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</si>
  <si>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</si>
  <si>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</si>
  <si>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</si>
  <si>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</si>
  <si>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</si>
  <si>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</si>
  <si>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</si>
  <si>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</si>
  <si>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</si>
  <si>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</si>
  <si>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</si>
  <si>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</si>
  <si>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</si>
  <si>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</si>
  <si>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</si>
  <si>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</si>
  <si>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</si>
  <si>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</si>
  <si>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</si>
  <si>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</si>
  <si>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</si>
  <si>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</si>
  <si>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</si>
  <si>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</si>
  <si>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</si>
  <si>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</si>
  <si>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</si>
  <si>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</si>
  <si>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</si>
  <si>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</si>
  <si>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</si>
  <si>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</si>
  <si>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</si>
  <si>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</si>
  <si>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</si>
  <si>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</si>
  <si>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</si>
  <si>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</si>
  <si>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</si>
  <si>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</si>
  <si>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</si>
  <si>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</si>
  <si>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</si>
  <si>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</si>
  <si>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</si>
  <si>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</si>
  <si>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</si>
  <si>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</si>
  <si>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</si>
  <si>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</si>
  <si>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</si>
  <si>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</si>
  <si>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</si>
  <si>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</si>
  <si>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</si>
  <si>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</si>
  <si>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</si>
  <si>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</si>
  <si>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</si>
  <si>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</si>
  <si>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</si>
  <si>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</si>
  <si>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</si>
  <si>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</si>
  <si>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</si>
  <si>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</si>
  <si>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</si>
  <si>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</si>
  <si>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</si>
  <si>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</si>
  <si>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</si>
  <si>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</si>
  <si>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</si>
  <si>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</si>
  <si>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</si>
  <si>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</si>
  <si>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</si>
  <si>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</si>
  <si>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</si>
  <si>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</si>
  <si>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</si>
  <si>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</si>
  <si>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</si>
  <si>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</si>
  <si>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</si>
  <si>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</si>
  <si>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</si>
  <si>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</si>
  <si>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</si>
  <si>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</si>
  <si>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</si>
  <si>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</si>
  <si>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</si>
  <si>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</si>
  <si>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</si>
  <si>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</si>
  <si>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</si>
  <si>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</si>
  <si>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</si>
  <si>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</si>
  <si>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</si>
  <si>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</si>
  <si>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</si>
  <si>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</si>
  <si>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</si>
  <si>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</si>
  <si>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</si>
  <si>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</si>
  <si>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</si>
  <si>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</si>
  <si>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</si>
  <si>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</si>
  <si>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</si>
  <si>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</si>
  <si>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</si>
  <si>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</si>
  <si>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</si>
  <si>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</si>
  <si>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</si>
  <si>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</si>
  <si>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</si>
  <si>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</si>
  <si>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</si>
  <si>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</si>
  <si>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</si>
  <si>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</si>
  <si>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</si>
  <si>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</si>
  <si>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</si>
  <si>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</si>
  <si>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</si>
  <si>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</si>
  <si>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</si>
  <si>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</si>
  <si>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</si>
  <si>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</si>
  <si>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</si>
  <si>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</si>
  <si>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</si>
  <si>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</si>
  <si>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</si>
  <si>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</si>
  <si>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</si>
  <si>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</si>
  <si>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</si>
  <si>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</si>
  <si>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</si>
  <si>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</si>
  <si>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</si>
  <si>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</si>
  <si>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</si>
  <si>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</si>
  <si>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</si>
  <si>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</si>
  <si>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</si>
  <si>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</si>
  <si>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</si>
  <si>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</si>
  <si>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</si>
  <si>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</si>
  <si>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</si>
  <si>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</si>
  <si>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</si>
  <si>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</si>
  <si>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</si>
  <si>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</si>
  <si>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</si>
  <si>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</si>
  <si>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</si>
  <si>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</si>
  <si>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</si>
  <si>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</si>
  <si>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</si>
  <si>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</si>
  <si>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</si>
  <si>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</si>
  <si>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</si>
  <si>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</si>
  <si>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</si>
  <si>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</si>
  <si>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</si>
  <si>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</si>
  <si>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</si>
  <si>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</si>
  <si>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</si>
  <si>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</si>
  <si>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</si>
  <si>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</si>
  <si>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</si>
  <si>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</si>
  <si>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</si>
  <si>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</si>
  <si>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</si>
  <si>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</si>
  <si>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</si>
  <si>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</si>
  <si>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</si>
  <si>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</si>
  <si>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</si>
  <si>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</si>
  <si>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</si>
  <si>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</si>
  <si>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</si>
  <si>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</si>
  <si>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</si>
  <si>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</si>
  <si>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</si>
  <si>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</si>
  <si>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</si>
  <si>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</si>
  <si>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</si>
  <si>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</si>
  <si>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</si>
  <si>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</si>
  <si>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</si>
  <si>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</si>
  <si>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</si>
  <si>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</si>
  <si>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</si>
  <si>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</si>
  <si>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</si>
  <si>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</si>
  <si>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</si>
  <si>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</si>
  <si>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</si>
  <si>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</si>
  <si>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</si>
  <si>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</si>
  <si>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</si>
  <si>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</si>
  <si>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</si>
  <si>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</si>
  <si>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</si>
  <si>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</si>
  <si>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</si>
  <si>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</si>
  <si>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</si>
  <si>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</si>
  <si>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</si>
  <si>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</si>
  <si>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</si>
  <si>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</si>
  <si>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</si>
  <si>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</si>
  <si>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</si>
  <si>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</si>
  <si>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</si>
  <si>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</si>
  <si>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</si>
  <si>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</si>
  <si>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</si>
  <si>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</si>
  <si>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</si>
  <si>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</si>
  <si>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</si>
  <si>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</si>
  <si>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</si>
  <si>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</si>
  <si>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</si>
  <si>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</si>
  <si>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</si>
  <si>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</si>
  <si>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</si>
  <si>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</si>
  <si>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</si>
  <si>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</si>
  <si>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</si>
  <si>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</si>
  <si>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</si>
  <si>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</si>
  <si>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</si>
  <si>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</si>
  <si>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</si>
  <si>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</si>
  <si>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</si>
  <si>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</si>
  <si>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</si>
  <si>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</si>
  <si>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</si>
  <si>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</si>
  <si>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</si>
  <si>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</si>
  <si>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</si>
  <si>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</si>
  <si>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</si>
  <si>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</si>
  <si>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</si>
  <si>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</si>
  <si>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</si>
  <si>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</si>
  <si>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</si>
  <si>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</si>
  <si>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</si>
  <si>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</si>
  <si>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</si>
  <si>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</si>
  <si>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</si>
  <si>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</si>
  <si>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</si>
  <si>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</si>
  <si>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</si>
  <si>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</si>
  <si>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</si>
  <si>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</si>
  <si>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</si>
  <si>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</si>
  <si>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</si>
  <si>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</si>
  <si>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</si>
  <si>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</si>
  <si>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</si>
  <si>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</si>
  <si>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</si>
  <si>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</si>
  <si>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</si>
  <si>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</si>
  <si>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</si>
  <si>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</si>
  <si>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</si>
  <si>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</si>
  <si>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</si>
  <si>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</si>
  <si>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</si>
  <si>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</si>
  <si>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</si>
  <si>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</si>
  <si>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</si>
  <si>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</si>
  <si>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</si>
  <si>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</si>
  <si>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</si>
  <si>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</si>
  <si>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</si>
  <si>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</si>
  <si>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</si>
  <si>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</si>
  <si>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</si>
  <si>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</si>
  <si>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</si>
  <si>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</si>
  <si>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</si>
  <si>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</si>
  <si>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</si>
  <si>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</si>
  <si>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</si>
  <si>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</si>
  <si>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</si>
  <si>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</si>
  <si>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</si>
  <si>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</si>
  <si>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</si>
  <si>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</si>
  <si>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</si>
  <si>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</si>
  <si>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</si>
  <si>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</si>
  <si>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</si>
  <si>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</si>
  <si>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</si>
  <si>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</si>
  <si>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</si>
  <si>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</si>
  <si>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</si>
  <si>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</si>
  <si>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</si>
  <si>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</si>
  <si>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</si>
  <si>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</si>
  <si>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</si>
  <si>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</si>
  <si>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</si>
  <si>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</si>
  <si>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</si>
  <si>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</si>
  <si>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</si>
  <si>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</si>
  <si>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</si>
  <si>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</si>
  <si>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</si>
  <si>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</si>
  <si>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</si>
  <si>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</si>
  <si>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</si>
  <si>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</si>
  <si>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</si>
  <si>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</si>
  <si>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</si>
  <si>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</si>
  <si>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</si>
  <si>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</si>
  <si>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</si>
  <si>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</si>
  <si>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</si>
  <si>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</si>
  <si>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</si>
  <si>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</si>
  <si>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</si>
  <si>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</si>
  <si>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</si>
  <si>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</si>
  <si>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</si>
  <si>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</si>
  <si>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</si>
  <si>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</si>
  <si>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</si>
  <si>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</si>
  <si>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</si>
  <si>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</si>
  <si>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</si>
  <si>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</si>
  <si>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</si>
  <si>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</si>
  <si>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</si>
  <si>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</si>
  <si>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</si>
  <si>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</si>
  <si>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</si>
  <si>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</si>
  <si>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</si>
  <si>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</si>
  <si>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</si>
  <si>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</si>
  <si>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</si>
  <si>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</si>
  <si>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</si>
  <si>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</si>
  <si>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</si>
  <si>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</si>
  <si>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</si>
  <si>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</si>
  <si>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</si>
  <si>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</si>
  <si>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</si>
  <si>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</si>
  <si>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</si>
  <si>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</si>
  <si>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</si>
  <si>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</si>
  <si>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</si>
  <si>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</si>
  <si>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</si>
  <si>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</si>
  <si>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</si>
  <si>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</si>
  <si>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</si>
  <si>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</si>
  <si>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</si>
  <si>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</si>
  <si>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</si>
  <si>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</si>
  <si>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</si>
  <si>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</si>
  <si>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</si>
  <si>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</si>
  <si>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</si>
  <si>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</si>
  <si>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</si>
  <si>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</si>
  <si>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</si>
  <si>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</si>
  <si>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</si>
  <si>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</si>
  <si>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</si>
  <si>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</si>
  <si>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</si>
  <si>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</si>
  <si>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</si>
  <si>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</si>
  <si>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</si>
  <si>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</si>
  <si>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</si>
  <si>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</si>
  <si>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</si>
  <si>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</si>
  <si>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</si>
  <si>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</si>
  <si>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</si>
  <si>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</si>
  <si>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</si>
  <si>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</si>
  <si>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</si>
  <si>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</si>
  <si>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</si>
  <si>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</si>
  <si>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</si>
  <si>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</si>
  <si>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</si>
  <si>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</si>
  <si>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</si>
  <si>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</si>
  <si>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</si>
  <si>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</si>
  <si>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</si>
  <si>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</si>
  <si>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</si>
  <si>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</si>
  <si>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</si>
  <si>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</si>
  <si>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</si>
  <si>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</si>
  <si>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</si>
  <si>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</si>
  <si>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</si>
  <si>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</si>
  <si>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</si>
  <si>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</si>
  <si>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</si>
  <si>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</si>
  <si>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</si>
  <si>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</si>
  <si>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</si>
  <si>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</si>
  <si>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</si>
  <si>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</si>
  <si>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</si>
  <si>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</si>
  <si>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</si>
  <si>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</si>
  <si>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</si>
  <si>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</si>
  <si>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</si>
  <si>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</si>
  <si>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</si>
  <si>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</si>
  <si>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</si>
  <si>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</si>
  <si>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</si>
  <si>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</si>
  <si>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</si>
  <si>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</si>
  <si>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</si>
  <si>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</si>
  <si>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</si>
  <si>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</si>
  <si>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</si>
  <si>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</si>
  <si>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</si>
  <si>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</si>
  <si>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</si>
  <si>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</si>
  <si>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</si>
  <si>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</si>
  <si>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</si>
  <si>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</si>
  <si>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</si>
  <si>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</si>
  <si>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</si>
  <si>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</si>
  <si>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</si>
  <si>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</si>
  <si>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</si>
  <si>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</si>
  <si>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</si>
  <si>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</si>
  <si>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</si>
  <si>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</si>
  <si>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</si>
  <si>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</si>
  <si>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</si>
  <si>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</si>
  <si>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</si>
  <si>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</si>
  <si>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</si>
  <si>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</si>
  <si>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</si>
  <si>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</si>
  <si>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</si>
  <si>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</si>
  <si>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</si>
  <si>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</si>
  <si>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</si>
  <si>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</si>
  <si>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</si>
  <si>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</si>
  <si>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</si>
  <si>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</si>
  <si>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</si>
  <si>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</si>
  <si>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</si>
  <si>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</si>
  <si>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</si>
  <si>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</si>
  <si>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</si>
  <si>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</si>
  <si>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</si>
  <si>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</si>
  <si>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</si>
  <si>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</si>
  <si>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</si>
  <si>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</si>
  <si>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</si>
  <si>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</si>
  <si>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</si>
  <si>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</si>
  <si>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</si>
  <si>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</si>
  <si>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</si>
  <si>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</si>
  <si>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</si>
  <si>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</si>
  <si>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</si>
  <si>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</si>
  <si>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</si>
  <si>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</si>
  <si>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</si>
  <si>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</si>
  <si>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</si>
  <si>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</si>
  <si>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</si>
  <si>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</si>
  <si>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</si>
  <si>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</si>
  <si>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</si>
  <si>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</si>
  <si>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</si>
  <si>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</si>
  <si>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</si>
  <si>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</si>
  <si>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</si>
  <si>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</si>
  <si>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</si>
  <si>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</si>
  <si>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</si>
  <si>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</si>
  <si>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</si>
  <si>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</si>
  <si>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</si>
  <si>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</si>
  <si>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</si>
  <si>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</si>
  <si>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</si>
  <si>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</si>
  <si>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</si>
  <si>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</si>
  <si>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</si>
  <si>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</si>
  <si>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</si>
  <si>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</si>
  <si>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</si>
  <si>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</si>
  <si>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</si>
  <si>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</si>
  <si>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</si>
  <si>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</si>
  <si>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</si>
  <si>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</si>
  <si>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</si>
  <si>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</si>
  <si>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</si>
  <si>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</si>
  <si>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</si>
  <si>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</si>
  <si>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</si>
  <si>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</si>
  <si>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</si>
  <si>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</si>
  <si>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</si>
  <si>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</si>
  <si>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</si>
  <si>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</si>
  <si>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</si>
  <si>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</si>
  <si>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</si>
  <si>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</si>
  <si>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</si>
  <si>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</si>
  <si>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</si>
  <si>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</si>
  <si>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</si>
  <si>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</si>
  <si>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</si>
  <si>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</si>
  <si>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</si>
  <si>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</si>
  <si>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</si>
  <si>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</si>
  <si>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</si>
  <si>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</si>
  <si>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</si>
  <si>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</si>
  <si>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</si>
  <si>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</si>
  <si>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</si>
  <si>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</si>
  <si>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</si>
  <si>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</si>
  <si>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</si>
  <si>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</si>
  <si>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</si>
  <si>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</si>
  <si>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</si>
  <si>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</si>
  <si>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</si>
  <si>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</si>
  <si>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</si>
  <si>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</si>
  <si>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</si>
  <si>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</si>
  <si>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</si>
  <si>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</si>
  <si>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</si>
  <si>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</si>
  <si>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</si>
  <si>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</si>
  <si>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</si>
  <si>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</si>
  <si>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</si>
  <si>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</si>
  <si>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</si>
  <si>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</si>
  <si>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</si>
  <si>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</si>
  <si>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</si>
  <si>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</si>
  <si>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</si>
  <si>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</si>
  <si>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</si>
  <si>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</si>
  <si>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</si>
  <si>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</si>
  <si>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</si>
  <si>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</si>
  <si>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</si>
  <si>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</si>
  <si>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</si>
  <si>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</si>
  <si>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</si>
  <si>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</si>
  <si>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</si>
  <si>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</si>
  <si>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</si>
  <si>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</si>
  <si>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</si>
  <si>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</si>
  <si>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</si>
  <si>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</si>
  <si>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</si>
  <si>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</si>
  <si>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</si>
  <si>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</si>
  <si>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</si>
  <si>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</si>
  <si>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</si>
  <si>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</si>
  <si>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</si>
  <si>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</si>
  <si>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</si>
  <si>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</si>
  <si>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</si>
  <si>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</si>
  <si>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</si>
  <si>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</si>
  <si>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</si>
  <si>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</si>
  <si>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</si>
  <si>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</si>
  <si>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</si>
  <si>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</si>
  <si>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</si>
  <si>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</si>
  <si>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</si>
  <si>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</si>
  <si>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</si>
  <si>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</si>
  <si>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</si>
  <si>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</si>
  <si>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</si>
  <si>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</si>
  <si>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</si>
  <si>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</si>
  <si>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</si>
  <si>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</si>
  <si>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</si>
  <si>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</si>
  <si>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</si>
  <si>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</si>
  <si>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</si>
  <si>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</si>
  <si>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</si>
  <si>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</si>
  <si>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</si>
  <si>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</si>
  <si>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</si>
  <si>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</si>
  <si>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</si>
  <si>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</si>
  <si>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</si>
  <si>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</si>
  <si>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</si>
  <si>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</si>
  <si>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</si>
  <si>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</si>
  <si>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</si>
  <si>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</si>
  <si>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</si>
  <si>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</si>
  <si>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</si>
  <si>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</si>
  <si>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</si>
  <si>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</si>
  <si>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</si>
  <si>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</si>
  <si>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</si>
  <si>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</si>
  <si>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</si>
  <si>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</si>
  <si>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</si>
  <si>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</si>
  <si>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</si>
  <si>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</si>
  <si>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</si>
  <si>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</si>
  <si>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</si>
  <si>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</si>
  <si>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</si>
  <si>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</si>
  <si>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</si>
  <si>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</si>
  <si>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</si>
  <si>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</si>
  <si>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</si>
  <si>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</si>
  <si>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</si>
  <si>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</si>
  <si>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</si>
  <si>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</si>
  <si>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</si>
  <si>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</si>
  <si>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</si>
  <si>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</si>
  <si>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</si>
  <si>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</si>
  <si>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</si>
  <si>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</si>
  <si>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</si>
  <si>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</si>
  <si>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</si>
  <si>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</si>
  <si>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</si>
  <si>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</si>
  <si>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</si>
  <si>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</si>
  <si>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</si>
  <si>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</si>
  <si>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</si>
  <si>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</si>
  <si>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</si>
  <si>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</si>
  <si>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</si>
  <si>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</si>
  <si>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</si>
  <si>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</si>
  <si>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</si>
  <si>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</si>
  <si>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</si>
  <si>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</si>
  <si>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</si>
  <si>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</si>
  <si>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</si>
  <si>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</si>
  <si>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</si>
  <si>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</si>
  <si>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</si>
  <si>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</si>
  <si>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</si>
  <si>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</si>
  <si>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</si>
  <si>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</si>
  <si>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</si>
  <si>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</si>
  <si>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</si>
  <si>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</si>
  <si>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</si>
  <si>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</si>
  <si>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</si>
  <si>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</si>
  <si>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</si>
  <si>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</si>
  <si>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</si>
  <si>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</si>
  <si>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</si>
  <si>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</si>
  <si>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</si>
  <si>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</si>
  <si>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</si>
  <si>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</si>
  <si>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</si>
  <si>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</si>
  <si>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</si>
  <si>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</si>
  <si>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</si>
  <si>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</si>
  <si>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</si>
  <si>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</si>
  <si>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</si>
  <si>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</si>
  <si>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</si>
  <si>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</si>
  <si>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</si>
  <si>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</si>
  <si>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</si>
  <si>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</si>
  <si>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</si>
  <si>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</si>
  <si>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</si>
  <si>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</si>
  <si>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</si>
  <si>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</si>
  <si>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</si>
  <si>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</si>
  <si>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</si>
  <si>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</si>
  <si>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</si>
  <si>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</si>
  <si>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</si>
  <si>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</si>
  <si>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</si>
  <si>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</si>
  <si>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</si>
  <si>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</si>
  <si>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</si>
  <si>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</si>
  <si>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</si>
  <si>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</si>
  <si>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</si>
  <si>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</si>
  <si>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</si>
  <si>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</si>
  <si>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</si>
  <si>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</si>
  <si>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</si>
  <si>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</si>
  <si>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</si>
  <si>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</si>
  <si>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</si>
  <si>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</si>
  <si>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</si>
  <si>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</si>
  <si>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</si>
  <si>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</si>
  <si>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</si>
  <si>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</si>
  <si>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</si>
  <si>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</si>
  <si>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</si>
  <si>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</si>
  <si>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</si>
  <si>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</si>
  <si>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</si>
  <si>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</si>
  <si>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</si>
  <si>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</si>
  <si>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</si>
  <si>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</si>
  <si>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</si>
  <si>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</si>
  <si>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</si>
  <si>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</si>
  <si>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</si>
  <si>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</si>
  <si>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</si>
  <si>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</si>
  <si>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</si>
  <si>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</si>
  <si>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</si>
  <si>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</si>
  <si>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</si>
  <si>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</si>
  <si>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</si>
  <si>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</si>
  <si>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</si>
  <si>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</si>
  <si>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</si>
  <si>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</si>
  <si>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</si>
  <si>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</si>
  <si>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</si>
  <si>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</si>
  <si>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</si>
  <si>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</si>
  <si>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</si>
  <si>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</si>
  <si>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</si>
  <si>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</si>
  <si>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</si>
  <si>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</si>
  <si>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</si>
  <si>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</si>
  <si>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</si>
  <si>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</si>
  <si>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</si>
  <si>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</si>
  <si>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</si>
  <si>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</si>
  <si>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</si>
  <si>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</si>
  <si>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</si>
  <si>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</si>
  <si>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</si>
  <si>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</si>
  <si>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</si>
  <si>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</si>
  <si>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</si>
  <si>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</si>
  <si>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</si>
  <si>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</si>
  <si>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</si>
  <si>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</si>
  <si>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</si>
  <si>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</si>
  <si>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</si>
  <si>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</si>
  <si>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</si>
  <si>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</si>
  <si>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</si>
  <si>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</si>
  <si>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</si>
  <si>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</si>
  <si>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</si>
  <si>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</si>
  <si>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</si>
  <si>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</si>
  <si>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</si>
  <si>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</si>
  <si>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</si>
  <si>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</si>
  <si>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</si>
  <si>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</si>
  <si>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</si>
  <si>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</si>
  <si>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</si>
  <si>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</si>
  <si>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</si>
  <si>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</si>
  <si>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</si>
  <si>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</si>
  <si>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</si>
  <si>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</si>
  <si>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</si>
  <si>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</si>
  <si>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</si>
  <si>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</si>
  <si>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</si>
  <si>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</si>
  <si>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</si>
  <si>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</si>
  <si>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</si>
  <si>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</si>
  <si>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</si>
  <si>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</si>
  <si>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</si>
  <si>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</si>
  <si>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</si>
  <si>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</si>
  <si>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</si>
  <si>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</si>
  <si>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</si>
  <si>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</si>
  <si>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</si>
  <si>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</si>
  <si>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</si>
  <si>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</si>
  <si>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</si>
  <si>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</si>
  <si>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</si>
  <si>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</si>
  <si>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</si>
  <si>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</si>
  <si>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</si>
  <si>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</si>
  <si>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</si>
  <si>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</si>
  <si>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</si>
  <si>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</si>
  <si>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</si>
  <si>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</si>
  <si>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</si>
  <si>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</si>
  <si>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</si>
  <si>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</si>
  <si>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</si>
  <si>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</si>
  <si>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</si>
  <si>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</si>
  <si>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</si>
  <si>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</si>
  <si>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</si>
  <si>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</si>
  <si>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</si>
  <si>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</si>
  <si>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</si>
  <si>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</si>
  <si>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</si>
  <si>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</si>
  <si>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</si>
  <si>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</si>
  <si>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</si>
  <si>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</si>
  <si>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</si>
  <si>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</si>
  <si>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</si>
  <si>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</si>
  <si>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</si>
  <si>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</si>
  <si>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</si>
  <si>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</si>
  <si>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</si>
  <si>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</si>
  <si>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</si>
  <si>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</si>
  <si>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</si>
  <si>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</si>
  <si>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</si>
  <si>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</si>
  <si>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</si>
  <si>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</si>
  <si>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</si>
  <si>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</si>
  <si>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</si>
  <si>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sample design</t>
  </si>
  <si>
    <t>Study</t>
  </si>
  <si>
    <t>Sample Design Name</t>
  </si>
  <si>
    <t>name</t>
  </si>
  <si>
    <t>Sample Design Description</t>
  </si>
  <si>
    <t>description</t>
  </si>
  <si>
    <t>Supplement ID</t>
  </si>
  <si>
    <t>supplement</t>
  </si>
  <si>
    <t>Strain ID</t>
  </si>
  <si>
    <t>strain</t>
  </si>
  <si>
    <t>Media ID</t>
  </si>
  <si>
    <t>media</t>
  </si>
  <si>
    <t>Supplement</t>
  </si>
  <si>
    <t>Supplement Name</t>
  </si>
  <si>
    <t>Chemical ID</t>
  </si>
  <si>
    <t>chemical</t>
  </si>
  <si>
    <t>Concentration</t>
  </si>
  <si>
    <t>concentration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</si>
  <si>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</si>
  <si>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</si>
  <si>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</si>
  <si>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</si>
  <si>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</si>
  <si>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</si>
  <si>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</si>
  <si>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</si>
  <si>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</si>
  <si>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</si>
  <si>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</si>
  <si>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</si>
  <si>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</si>
  <si>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</si>
  <si>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</si>
  <si>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SBH_strains_collection</t>
  </si>
  <si>
    <t>SBH_media_collection</t>
  </si>
  <si>
    <t>SBH_supplements_collection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</si>
  <si>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</si>
  <si>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</si>
  <si>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</si>
  <si>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</si>
  <si>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</si>
  <si>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</si>
  <si>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</si>
  <si>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</si>
  <si>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</si>
  <si>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</si>
  <si>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</si>
  <si>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</si>
  <si>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</si>
  <si>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</si>
  <si>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</si>
  <si>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</si>
  <si>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</si>
  <si>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</si>
  <si>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</si>
  <si>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</si>
  <si>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</si>
  <si>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</si>
  <si>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</si>
  <si>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</si>
  <si>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</si>
  <si>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</si>
  <si>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</si>
  <si>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</si>
  <si>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</si>
  <si>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</si>
  <si>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</si>
  <si>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Sample Design ID</t>
  </si>
  <si>
    <t>sbol_displayId</t>
  </si>
  <si>
    <t>Previous Version (URI)</t>
  </si>
  <si>
    <t>sbol_wasDerivedFrom</t>
  </si>
  <si>
    <t>sbol_description</t>
  </si>
  <si>
    <t>http://purl.org/dc/terms/#</t>
  </si>
  <si>
    <t>Strains</t>
  </si>
  <si>
    <t>sbol_module</t>
  </si>
  <si>
    <t>Medias</t>
  </si>
  <si>
    <t>Supplements</t>
  </si>
  <si>
    <t>Data Source</t>
  </si>
  <si>
    <t>PubMed ID</t>
  </si>
  <si>
    <t>obo_OBI_0001617</t>
  </si>
  <si>
    <t>http://purl.obolibrary.org/obo/</t>
  </si>
  <si>
    <t>DOI</t>
  </si>
  <si>
    <t>Supplement Description</t>
  </si>
  <si>
    <t>Chemical</t>
  </si>
  <si>
    <t>sbol_funcComp</t>
  </si>
  <si>
    <t>fj_concentration</t>
  </si>
  <si>
    <t>https://wiki.synbiohub.org/wiki/Terms/Flapjack#</t>
  </si>
  <si>
    <t>Target Sheet</t>
  </si>
  <si>
    <t>Target Header</t>
  </si>
  <si>
    <t>Source Sheet</t>
  </si>
  <si>
    <t>Source Header</t>
  </si>
  <si>
    <t>","</t>
  </si>
  <si>
    <t>m9</t>
  </si>
  <si>
    <t>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</si>
</sst>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11"/>
      <color rgb="FF1E1E20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2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10" fillId="0" borderId="0" xfId="0" applyFont="1" applyFill="1" applyBorder="1"/>
    <xf numFmtId="0" fontId="5" fillId="0" borderId="0" xfId="0" applyFont="1" applyBorder="1"/>
    <xf numFmtId="0" fontId="0" fillId="0" borderId="1" xfId="0"/>
    <xf numFmtId="0" fontId="3" fillId="0" borderId="1" xfId="2"/>
    <xf numFmtId="0" fontId="8" fillId="3" borderId="0" xfId="0" applyFont="1" applyFill="1" applyBorder="1" applyAlignment="1">
      <alignment vertical="center"/>
    </xf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3.xml><?xml version="1.0" encoding="utf-8"?>
<formControlPr xmlns="http://schemas.microsoft.com/office/spreadsheetml/2009/9/main" objectType="Drop" dropLines="12" dropStyle="combo" dx="15" fmlaLink="_DropdownState!$A$1" fmlaRange="_DropdownLists!$A$1:$A$2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5B8335-BA43-5648-D261-748EAE16D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7179" name="cvHeaderDropdown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9F4AAF38-6997-792D-90F3-DB9851B2A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202" name="cvHeaderDropdown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6A246C34-7815-1B64-2384-18223EF78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65" name="cvHeaderDropdow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F541638-6BDC-44E5-CE33-91C08BEB3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F4723C2D-360F-A1CA-201E-BF6976E6C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C3BDB79-B3B8-9552-E17D-6B1E4C419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350FE54-E76A-E4EF-9671-8C4424E3A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2A8B7DE-631A-2590-8C47-C653B7F8D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8E9986A-AB49-8DE3-5B40-F05558BCF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AB53B0F-6334-C8C0-77AF-F74906178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17" name="cvHeaderDropdow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A5A1C02B-B4F9-664F-38A8-C8C282B85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1" name="cvHeaderDropdow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510D20F4-4E10-1ACA-EF30-81CF3EA3C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2A3F646E-C4DD-82EA-1339-9C747A1C4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5FB56ACB-353D-51EA-AEE5-DBADC536B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2">
  <autoFilter ref="A1:J2" xr:uid="{00000000-0009-0000-0100-000001000000}"/>
  <tableColumns count="10">
    <tableColumn id="1" xr3:uid="{00000000-0010-0000-0000-000001000000}" name="Sample Design Name"/>
    <tableColumn id="2" xr3:uid="{00000000-0010-0000-0000-000002000000}" name="Sample Design ID" dataDxfId="1">
      <calculatedColumnFormula>IF(sample_design[[#This Row],[Sample Design Name]]="","",SUBSTITUTE(SUBSTITUTE(TRIM(LOWER(sample_design[[#This Row],[Sample Design Name]]))," ","_"),"-","_"))</calculatedColumnFormula>
    </tableColumn>
    <tableColumn id="3" xr3:uid="{00000000-0010-0000-0000-000003000000}" name="Previous Version (URI)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/>
    <tableColumn id="9" xr3:uid="{00000000-0010-0000-0000-000009000000}" name="PubMed ID"/>
    <tableColumn id="10" xr3:uid="{00000000-0010-0000-0000-00000A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2">
  <autoFilter ref="A1:I2" xr:uid="{00000000-0009-0000-0100-000002000000}"/>
  <tableColumns count="9">
    <tableColumn id="1" xr3:uid="{00000000-0010-0000-0100-000001000000}" name="Supplement Name"/>
    <tableColumn id="2" xr3:uid="{00000000-0010-0000-0100-000002000000}" name="Supplement ID" dataDxfId="0">
      <calculatedColumnFormula>IF(supplement[[#This Row],[Supplement Name]]="","",SUBSTITUTE(SUBSTITUTE(TRIM(LOWER(supplement[[#This Row],[Supplement Name]]))," ","_"),"-","_"))</calculatedColumnFormula>
    </tableColumn>
    <tableColumn id="3" xr3:uid="{00000000-0010-0000-0100-000003000000}" name="Previous Version (URI)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/>
    <tableColumn id="8" xr3:uid="{00000000-0010-0000-0100-000008000000}" name="PubMed ID"/>
    <tableColumn id="9" xr3:uid="{00000000-0010-0000-0100-000009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15" sqref="C1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>
        <v>46186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28.5" customWidth="1"/>
    <col min="2" max="10" width="25" customWidth="1"/>
  </cols>
  <sheetData>
    <row r="1" spans="1:10" ht="20" customHeight="1" x14ac:dyDescent="0.2">
      <c r="A1" s="21" t="s">
        <v>7485</v>
      </c>
      <c r="B1" s="13" t="s">
        <v>7550</v>
      </c>
      <c r="C1" s="13" t="s">
        <v>7552</v>
      </c>
      <c r="D1" s="13" t="s">
        <v>7487</v>
      </c>
      <c r="E1" s="13" t="s">
        <v>7556</v>
      </c>
      <c r="F1" s="13" t="s">
        <v>7558</v>
      </c>
      <c r="G1" s="13" t="s">
        <v>7559</v>
      </c>
      <c r="H1" s="13" t="s">
        <v>7560</v>
      </c>
      <c r="I1" s="13" t="s">
        <v>7561</v>
      </c>
      <c r="J1" s="13" t="s">
        <v>7564</v>
      </c>
    </row>
    <row r="2" spans="1:10" x14ac:dyDescent="0.2">
      <c r="A2" s="18"/>
      <c r="B2" s="17" t="str">
        <f>IF(sample_design[[#This Row],[Sample Design Name]]="","",SUBSTITUTE(SUBSTITUTE(TRIM(LOWER(sample_design[[#This Row],[Sample Design Name]]))," ","_"),"-","_"))</f>
        <v/>
      </c>
      <c r="C2" s="14"/>
      <c r="D2" s="14"/>
      <c r="E2" s="14"/>
      <c r="F2" s="14"/>
      <c r="G2" s="14"/>
      <c r="H2" s="14"/>
      <c r="I2" s="14"/>
      <c r="J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3" name="cvHeaderDropdown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2000000}">
          <x14:formula1>
            <xm:f>SBH_supplements_collection!$A$2:$A$10000</xm:f>
          </x14:formula1>
          <xm:sqref>G3:G4996</xm:sqref>
        </x14:dataValidation>
        <x14:dataValidation type="list" allowBlank="1" showInputMessage="1" showErrorMessage="1" xr:uid="{00000000-0002-0000-0A00-000000000000}">
          <x14:formula1>
            <xm:f>SBH_strains_collection!$A$2:$A$10000</xm:f>
          </x14:formula1>
          <xm:sqref>E2:E4996</xm:sqref>
        </x14:dataValidation>
        <x14:dataValidation type="list" allowBlank="1" showInputMessage="1" showErrorMessage="1" xr:uid="{00000000-0002-0000-0A00-000001000000}">
          <x14:formula1>
            <xm:f>SBH_media_collection!$A$2:$A$10000</xm:f>
          </x14:formula1>
          <xm:sqref>F2:F4996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3" t="s">
        <v>7496</v>
      </c>
      <c r="B1" s="13" t="s">
        <v>7489</v>
      </c>
      <c r="C1" s="13" t="s">
        <v>7552</v>
      </c>
      <c r="D1" s="13" t="s">
        <v>7565</v>
      </c>
      <c r="E1" s="13" t="s">
        <v>7566</v>
      </c>
      <c r="F1" s="13" t="s">
        <v>7499</v>
      </c>
      <c r="G1" s="13" t="s">
        <v>7560</v>
      </c>
      <c r="H1" s="13" t="s">
        <v>7561</v>
      </c>
      <c r="I1" s="13" t="s">
        <v>7564</v>
      </c>
    </row>
    <row r="2" spans="1:9" x14ac:dyDescent="0.2">
      <c r="A2" s="18"/>
      <c r="B2" s="17" t="str">
        <f>IF(supplement[[#This Row],[Supplement Name]]="","",SUBSTITUTE(SUBSTITUTE(TRIM(LOWER(supplement[[#This Row],[Supplement Name]]))," ","_"),"-","_"))</f>
        <v/>
      </c>
      <c r="C2" s="14"/>
      <c r="D2" s="14"/>
      <c r="E2" s="14"/>
      <c r="F2" s="18"/>
      <c r="G2" s="14"/>
      <c r="H2" s="14"/>
      <c r="I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cvHeaderDropdown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SBH_chemicals_collection!$A$2:$A$10000</xm:f>
          </x14:formula1>
          <xm:sqref>E2:E4999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  <row r="2" spans="1:2" x14ac:dyDescent="0.2">
      <c r="A2" s="19"/>
      <c r="B2" s="20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  <row r="2" spans="1:2" x14ac:dyDescent="0.2">
      <c r="A2" s="19"/>
      <c r="B2" s="20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7484</v>
      </c>
      <c r="C2" s="2" t="s">
        <v>7485</v>
      </c>
      <c r="D2" s="2" t="s">
        <v>7486</v>
      </c>
    </row>
    <row r="3" spans="1:4" x14ac:dyDescent="0.2">
      <c r="A3" s="2" t="s">
        <v>7483</v>
      </c>
      <c r="B3" s="2" t="s">
        <v>7484</v>
      </c>
      <c r="C3" s="2" t="s">
        <v>7487</v>
      </c>
      <c r="D3" s="2" t="s">
        <v>7488</v>
      </c>
    </row>
    <row r="4" spans="1:4" x14ac:dyDescent="0.2">
      <c r="A4" s="2" t="s">
        <v>7483</v>
      </c>
      <c r="B4" s="2" t="s">
        <v>1</v>
      </c>
      <c r="C4" s="2" t="s">
        <v>7489</v>
      </c>
      <c r="D4" s="2" t="s">
        <v>7490</v>
      </c>
    </row>
    <row r="5" spans="1:4" x14ac:dyDescent="0.2">
      <c r="A5" s="2" t="s">
        <v>7483</v>
      </c>
      <c r="B5" s="2" t="s">
        <v>1</v>
      </c>
      <c r="C5" s="2" t="s">
        <v>7491</v>
      </c>
      <c r="D5" s="2" t="s">
        <v>7492</v>
      </c>
    </row>
    <row r="6" spans="1:4" x14ac:dyDescent="0.2">
      <c r="A6" s="2" t="s">
        <v>7483</v>
      </c>
      <c r="B6" s="2" t="s">
        <v>1</v>
      </c>
      <c r="C6" s="2" t="s">
        <v>7493</v>
      </c>
      <c r="D6" s="2" t="s">
        <v>7494</v>
      </c>
    </row>
    <row r="7" spans="1:4" x14ac:dyDescent="0.2">
      <c r="A7" s="2" t="s">
        <v>7490</v>
      </c>
      <c r="B7" s="2" t="s">
        <v>7495</v>
      </c>
      <c r="C7" s="2" t="s">
        <v>7496</v>
      </c>
      <c r="D7" s="2" t="s">
        <v>7486</v>
      </c>
    </row>
    <row r="8" spans="1:4" x14ac:dyDescent="0.2">
      <c r="A8" s="2" t="s">
        <v>7490</v>
      </c>
      <c r="B8" s="2" t="s">
        <v>7495</v>
      </c>
      <c r="C8" s="2" t="s">
        <v>7497</v>
      </c>
      <c r="D8" s="2" t="s">
        <v>7498</v>
      </c>
    </row>
    <row r="9" spans="1:4" x14ac:dyDescent="0.2">
      <c r="A9" s="2" t="s">
        <v>7490</v>
      </c>
      <c r="B9" s="2" t="s">
        <v>7495</v>
      </c>
      <c r="C9" s="2" t="s">
        <v>7499</v>
      </c>
      <c r="D9" s="2" t="s">
        <v>7500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7483</v>
      </c>
      <c r="C1" t="s">
        <v>7576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7575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J12" sqref="J1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7501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7502</v>
      </c>
      <c r="C10" s="14" t="s">
        <v>7503</v>
      </c>
      <c r="D10" s="14" t="s">
        <v>7504</v>
      </c>
      <c r="E10" s="14" t="s">
        <v>7505</v>
      </c>
      <c r="F10" s="14" t="s">
        <v>7506</v>
      </c>
      <c r="G10" s="14" t="s">
        <v>7507</v>
      </c>
      <c r="H10" s="14" t="s">
        <v>7508</v>
      </c>
      <c r="I10" s="14" t="s">
        <v>7509</v>
      </c>
      <c r="J10" s="14" t="s">
        <v>7510</v>
      </c>
      <c r="K10" s="14" t="s">
        <v>7511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7512</v>
      </c>
      <c r="K11" s="14"/>
      <c r="L11" s="14"/>
    </row>
    <row r="12" spans="1:12" x14ac:dyDescent="0.2">
      <c r="A12" s="14" t="s">
        <v>7490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8" t="s">
        <v>7512</v>
      </c>
      <c r="K12" s="14"/>
      <c r="L12" s="14"/>
    </row>
    <row r="13" spans="1:12" x14ac:dyDescent="0.2">
      <c r="A13" s="14" t="s">
        <v>7513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7514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7515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7516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7517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7518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s="14" t="s">
        <v>7519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  <c r="J19" s="14"/>
      <c r="K19" s="14"/>
      <c r="L19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23"/>
  <sheetViews>
    <sheetView workbookViewId="0">
      <pane ySplit="1" topLeftCell="A2" activePane="bottomLeft" state="frozen"/>
      <selection pane="bottomLeft" activeCell="A11" sqref="A11:XFD11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7520</v>
      </c>
      <c r="C1" s="13" t="s">
        <v>7521</v>
      </c>
      <c r="D1" s="13" t="s">
        <v>7522</v>
      </c>
      <c r="E1" s="13" t="s">
        <v>7523</v>
      </c>
      <c r="F1" s="13" t="s">
        <v>7524</v>
      </c>
      <c r="G1" s="13" t="s">
        <v>7525</v>
      </c>
      <c r="H1" s="13" t="s">
        <v>7526</v>
      </c>
      <c r="I1" s="13" t="s">
        <v>7527</v>
      </c>
      <c r="J1" s="13" t="s">
        <v>7528</v>
      </c>
      <c r="K1" s="13" t="s">
        <v>7529</v>
      </c>
      <c r="L1" s="13" t="s">
        <v>7530</v>
      </c>
      <c r="M1" s="13" t="s">
        <v>7531</v>
      </c>
      <c r="N1" s="13" t="s">
        <v>7532</v>
      </c>
      <c r="O1" s="13" t="s">
        <v>7533</v>
      </c>
      <c r="P1" s="13" t="s">
        <v>7534</v>
      </c>
      <c r="Q1" s="13" t="s">
        <v>7535</v>
      </c>
      <c r="R1" s="13" t="s">
        <v>7536</v>
      </c>
      <c r="S1" s="13" t="s">
        <v>7537</v>
      </c>
    </row>
    <row r="2" spans="1:19" x14ac:dyDescent="0.2">
      <c r="A2" s="14" t="s">
        <v>7538</v>
      </c>
      <c r="B2" s="14" t="s">
        <v>7510</v>
      </c>
      <c r="C2" s="14" t="s">
        <v>7539</v>
      </c>
      <c r="D2" s="14" t="s">
        <v>7540</v>
      </c>
      <c r="E2" s="14" t="s">
        <v>7541</v>
      </c>
      <c r="F2" s="14" t="s">
        <v>7542</v>
      </c>
      <c r="G2" s="14" t="s">
        <v>7542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7538</v>
      </c>
      <c r="B3" s="14" t="s">
        <v>7511</v>
      </c>
      <c r="C3" s="14" t="s">
        <v>7543</v>
      </c>
      <c r="D3" s="14" t="s">
        <v>7540</v>
      </c>
      <c r="E3" s="14" t="s">
        <v>7541</v>
      </c>
      <c r="F3" s="14" t="s">
        <v>7542</v>
      </c>
      <c r="G3" s="14" t="s">
        <v>7542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7544</v>
      </c>
      <c r="O3" s="14" t="s">
        <v>7515</v>
      </c>
      <c r="P3" s="14" t="s">
        <v>7545</v>
      </c>
      <c r="Q3" s="14" t="s">
        <v>7546</v>
      </c>
      <c r="R3" s="14" t="b">
        <v>0</v>
      </c>
      <c r="S3" s="14"/>
    </row>
    <row r="4" spans="1:19" x14ac:dyDescent="0.2">
      <c r="A4" s="14" t="s">
        <v>7538</v>
      </c>
      <c r="B4" s="14" t="s">
        <v>14</v>
      </c>
      <c r="C4" s="14" t="s">
        <v>7547</v>
      </c>
      <c r="D4" s="14" t="s">
        <v>7540</v>
      </c>
      <c r="E4" s="14" t="s">
        <v>15</v>
      </c>
      <c r="F4" s="14" t="s">
        <v>7542</v>
      </c>
      <c r="G4" s="14" t="s">
        <v>7542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7548</v>
      </c>
      <c r="O4" s="14" t="s">
        <v>7513</v>
      </c>
      <c r="P4" s="14" t="s">
        <v>7545</v>
      </c>
      <c r="Q4" s="14" t="s">
        <v>7546</v>
      </c>
      <c r="R4" s="14" t="b">
        <v>0</v>
      </c>
      <c r="S4" s="14"/>
    </row>
    <row r="5" spans="1:19" x14ac:dyDescent="0.2">
      <c r="A5" s="14" t="s">
        <v>7483</v>
      </c>
      <c r="B5" s="14" t="s">
        <v>7485</v>
      </c>
      <c r="C5" s="14" t="s">
        <v>7549</v>
      </c>
      <c r="D5" s="14" t="s">
        <v>7540</v>
      </c>
      <c r="E5" s="14" t="s">
        <v>7541</v>
      </c>
      <c r="F5" s="14" t="s">
        <v>7542</v>
      </c>
      <c r="G5" s="14" t="s">
        <v>7542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7550</v>
      </c>
      <c r="C6" s="14" t="s">
        <v>7551</v>
      </c>
      <c r="D6" s="14" t="s">
        <v>7540</v>
      </c>
      <c r="E6" s="14" t="s">
        <v>7541</v>
      </c>
      <c r="F6" s="14" t="s">
        <v>7542</v>
      </c>
      <c r="G6" s="14" t="s">
        <v>7542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7552</v>
      </c>
      <c r="C7" s="14" t="s">
        <v>7553</v>
      </c>
      <c r="D7" s="14" t="s">
        <v>7540</v>
      </c>
      <c r="E7" s="14" t="s">
        <v>15</v>
      </c>
      <c r="F7" s="14" t="s">
        <v>7542</v>
      </c>
      <c r="G7" s="14" t="s">
        <v>7542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7487</v>
      </c>
      <c r="C8" s="14" t="s">
        <v>7554</v>
      </c>
      <c r="D8" s="14" t="s">
        <v>7555</v>
      </c>
      <c r="E8" s="14" t="s">
        <v>7541</v>
      </c>
      <c r="F8" s="14" t="s">
        <v>7542</v>
      </c>
      <c r="G8" s="14" t="s">
        <v>7542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7556</v>
      </c>
      <c r="C9" s="14" t="s">
        <v>7557</v>
      </c>
      <c r="D9" s="14" t="s">
        <v>7540</v>
      </c>
      <c r="E9" s="14" t="s">
        <v>15</v>
      </c>
      <c r="F9" s="14" t="s">
        <v>7542</v>
      </c>
      <c r="G9" s="14" t="s">
        <v>7542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7516</v>
      </c>
      <c r="P9" s="14" t="s">
        <v>7545</v>
      </c>
      <c r="Q9" s="14" t="s">
        <v>7546</v>
      </c>
      <c r="R9" s="14" t="b">
        <v>0</v>
      </c>
      <c r="S9" s="14"/>
    </row>
    <row r="10" spans="1:19" x14ac:dyDescent="0.2">
      <c r="A10" s="14" t="s">
        <v>7483</v>
      </c>
      <c r="B10" s="14" t="s">
        <v>7558</v>
      </c>
      <c r="C10" s="14" t="s">
        <v>7557</v>
      </c>
      <c r="D10" s="14" t="s">
        <v>7540</v>
      </c>
      <c r="E10" s="14" t="s">
        <v>15</v>
      </c>
      <c r="F10" s="14" t="s">
        <v>7542</v>
      </c>
      <c r="G10" s="14" t="s">
        <v>7542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7517</v>
      </c>
      <c r="P10" s="14" t="s">
        <v>7545</v>
      </c>
      <c r="Q10" s="14" t="s">
        <v>7546</v>
      </c>
      <c r="R10" s="14" t="b">
        <v>0</v>
      </c>
      <c r="S10" s="14"/>
    </row>
    <row r="11" spans="1:19" x14ac:dyDescent="0.2">
      <c r="A11" s="14" t="s">
        <v>7483</v>
      </c>
      <c r="B11" s="14" t="s">
        <v>7559</v>
      </c>
      <c r="C11" s="14" t="s">
        <v>7557</v>
      </c>
      <c r="D11" s="14" t="s">
        <v>7540</v>
      </c>
      <c r="E11" s="14" t="s">
        <v>15</v>
      </c>
      <c r="F11" s="18" t="s">
        <v>7574</v>
      </c>
      <c r="G11" s="14" t="s">
        <v>7542</v>
      </c>
      <c r="H11" s="14"/>
      <c r="I11" s="14" t="b">
        <v>0</v>
      </c>
      <c r="J11" s="14" t="b">
        <v>0</v>
      </c>
      <c r="K11" s="14" t="b">
        <v>0</v>
      </c>
      <c r="L11" s="14" t="b">
        <v>1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7483</v>
      </c>
      <c r="B12" s="14" t="s">
        <v>7560</v>
      </c>
      <c r="C12" s="14" t="s">
        <v>7553</v>
      </c>
      <c r="D12" s="14" t="s">
        <v>7540</v>
      </c>
      <c r="E12" s="14" t="s">
        <v>15</v>
      </c>
      <c r="F12" s="14" t="s">
        <v>7542</v>
      </c>
      <c r="G12" s="14" t="s">
        <v>7542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7483</v>
      </c>
      <c r="B13" s="14" t="s">
        <v>7561</v>
      </c>
      <c r="C13" s="14" t="s">
        <v>7562</v>
      </c>
      <c r="D13" s="14" t="s">
        <v>7563</v>
      </c>
      <c r="E13" s="14" t="s">
        <v>7541</v>
      </c>
      <c r="F13" s="14" t="s">
        <v>7542</v>
      </c>
      <c r="G13" s="14" t="s">
        <v>7542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7564</v>
      </c>
      <c r="C14" s="14" t="s">
        <v>7553</v>
      </c>
      <c r="D14" s="14" t="s">
        <v>7540</v>
      </c>
      <c r="E14" s="14" t="s">
        <v>15</v>
      </c>
      <c r="F14" s="14" t="s">
        <v>7542</v>
      </c>
      <c r="G14" s="14" t="s">
        <v>7542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7490</v>
      </c>
      <c r="B15" s="14" t="s">
        <v>7496</v>
      </c>
      <c r="C15" s="14" t="s">
        <v>7549</v>
      </c>
      <c r="D15" s="14" t="s">
        <v>7540</v>
      </c>
      <c r="E15" s="14" t="s">
        <v>7541</v>
      </c>
      <c r="F15" s="14" t="s">
        <v>7542</v>
      </c>
      <c r="G15" s="14" t="s">
        <v>7542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7490</v>
      </c>
      <c r="B16" s="14" t="s">
        <v>7489</v>
      </c>
      <c r="C16" s="14" t="s">
        <v>7551</v>
      </c>
      <c r="D16" s="14" t="s">
        <v>7540</v>
      </c>
      <c r="E16" s="14" t="s">
        <v>7541</v>
      </c>
      <c r="F16" s="14" t="s">
        <v>7542</v>
      </c>
      <c r="G16" s="14" t="s">
        <v>7542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7490</v>
      </c>
      <c r="B17" s="14" t="s">
        <v>7552</v>
      </c>
      <c r="C17" s="14" t="s">
        <v>7553</v>
      </c>
      <c r="D17" s="14" t="s">
        <v>7540</v>
      </c>
      <c r="E17" s="14" t="s">
        <v>15</v>
      </c>
      <c r="F17" s="14" t="s">
        <v>7542</v>
      </c>
      <c r="G17" s="14" t="s">
        <v>7542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7490</v>
      </c>
      <c r="B18" s="14" t="s">
        <v>7565</v>
      </c>
      <c r="C18" s="14" t="s">
        <v>7554</v>
      </c>
      <c r="D18" s="14" t="s">
        <v>7555</v>
      </c>
      <c r="E18" s="14" t="s">
        <v>7541</v>
      </c>
      <c r="F18" s="14" t="s">
        <v>7542</v>
      </c>
      <c r="G18" s="14" t="s">
        <v>7542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7490</v>
      </c>
      <c r="B19" s="14" t="s">
        <v>7566</v>
      </c>
      <c r="C19" s="14" t="s">
        <v>7567</v>
      </c>
      <c r="D19" s="14" t="s">
        <v>7540</v>
      </c>
      <c r="E19" s="14" t="s">
        <v>15</v>
      </c>
      <c r="F19" s="14" t="s">
        <v>7542</v>
      </c>
      <c r="G19" s="14" t="s">
        <v>7542</v>
      </c>
      <c r="H19" s="14"/>
      <c r="I19" s="14" t="b">
        <v>0</v>
      </c>
      <c r="J19" s="14" t="b">
        <v>1</v>
      </c>
      <c r="K19" s="14" t="b">
        <v>0</v>
      </c>
      <c r="L19" s="14" t="b">
        <v>0</v>
      </c>
      <c r="M19" s="14" t="b">
        <v>0</v>
      </c>
      <c r="N19" s="14"/>
      <c r="O19" s="14" t="s">
        <v>7519</v>
      </c>
      <c r="P19" s="14" t="s">
        <v>7545</v>
      </c>
      <c r="Q19" s="14" t="s">
        <v>7546</v>
      </c>
      <c r="R19" s="14" t="b">
        <v>0</v>
      </c>
      <c r="S19" s="14"/>
    </row>
    <row r="20" spans="1:19" x14ac:dyDescent="0.2">
      <c r="A20" s="14" t="s">
        <v>7490</v>
      </c>
      <c r="B20" s="14" t="s">
        <v>7499</v>
      </c>
      <c r="C20" s="14" t="s">
        <v>7568</v>
      </c>
      <c r="D20" s="14" t="s">
        <v>7569</v>
      </c>
      <c r="E20" s="14" t="s">
        <v>7541</v>
      </c>
      <c r="F20" s="14" t="s">
        <v>7542</v>
      </c>
      <c r="G20" s="14" t="s">
        <v>7542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7490</v>
      </c>
      <c r="B21" s="14" t="s">
        <v>7560</v>
      </c>
      <c r="C21" s="14" t="s">
        <v>7553</v>
      </c>
      <c r="D21" s="14" t="s">
        <v>7540</v>
      </c>
      <c r="E21" s="14" t="s">
        <v>15</v>
      </c>
      <c r="F21" s="14" t="s">
        <v>7542</v>
      </c>
      <c r="G21" s="14" t="s">
        <v>7542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7490</v>
      </c>
      <c r="B22" s="14" t="s">
        <v>7561</v>
      </c>
      <c r="C22" s="14" t="s">
        <v>7562</v>
      </c>
      <c r="D22" s="14" t="s">
        <v>7563</v>
      </c>
      <c r="E22" s="14" t="s">
        <v>7541</v>
      </c>
      <c r="F22" s="14" t="s">
        <v>7542</v>
      </c>
      <c r="G22" s="14" t="s">
        <v>7542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7490</v>
      </c>
      <c r="B23" s="14" t="s">
        <v>7564</v>
      </c>
      <c r="C23" s="14" t="s">
        <v>7553</v>
      </c>
      <c r="D23" s="14" t="s">
        <v>7540</v>
      </c>
      <c r="E23" s="14" t="s">
        <v>15</v>
      </c>
      <c r="F23" s="14" t="s">
        <v>7542</v>
      </c>
      <c r="G23" s="14" t="s">
        <v>7542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B3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  <row r="2" spans="1:2" x14ac:dyDescent="0.2">
      <c r="A2" s="19"/>
      <c r="B2" s="20"/>
    </row>
    <row r="3" spans="1:2" x14ac:dyDescent="0.2">
      <c r="A3" s="19"/>
      <c r="B3" s="20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48A9AE"/>
  </sheetPr>
  <dimension ref="A1:D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7570</v>
      </c>
      <c r="B1" s="13" t="s">
        <v>7571</v>
      </c>
      <c r="C1" s="13" t="s">
        <v>7572</v>
      </c>
      <c r="D1" s="13" t="s">
        <v>7573</v>
      </c>
    </row>
    <row r="2" spans="1:4" x14ac:dyDescent="0.2">
      <c r="A2" s="14" t="s">
        <v>7483</v>
      </c>
      <c r="B2" s="14" t="s">
        <v>7556</v>
      </c>
      <c r="C2" s="14" t="s">
        <v>7516</v>
      </c>
      <c r="D2" s="14" t="s">
        <v>7486</v>
      </c>
    </row>
    <row r="3" spans="1:4" x14ac:dyDescent="0.2">
      <c r="A3" s="14" t="s">
        <v>7483</v>
      </c>
      <c r="B3" s="14" t="s">
        <v>7558</v>
      </c>
      <c r="C3" s="14" t="s">
        <v>7517</v>
      </c>
      <c r="D3" s="14" t="s">
        <v>7486</v>
      </c>
    </row>
    <row r="4" spans="1:4" x14ac:dyDescent="0.2">
      <c r="A4" s="14" t="s">
        <v>7483</v>
      </c>
      <c r="B4" s="14" t="s">
        <v>7559</v>
      </c>
      <c r="C4" s="14" t="s">
        <v>7518</v>
      </c>
      <c r="D4" s="14" t="s">
        <v>7486</v>
      </c>
    </row>
    <row r="5" spans="1:4" x14ac:dyDescent="0.2">
      <c r="A5" s="14" t="s">
        <v>7490</v>
      </c>
      <c r="B5" s="14" t="s">
        <v>7566</v>
      </c>
      <c r="C5" s="14" t="s">
        <v>7519</v>
      </c>
      <c r="D5" s="14" t="s">
        <v>7486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sample design</vt:lpstr>
      <vt:lpstr>supplement</vt:lpstr>
      <vt:lpstr>SBH_strains_collection</vt:lpstr>
      <vt:lpstr>SBH_media_collection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SBH_supplements_collection</vt:lpstr>
      <vt:lpstr>SBH_chemicals_collection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2026-06-13T15:35:15Z</dcterms:modified>
</cp:coreProperties>
</file>