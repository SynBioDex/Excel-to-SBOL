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comments/comment2.xml" ContentType="application/vnd.openxmlformats-officedocument.spreadsheetml.comments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comments/comment3.xml" ContentType="application/vnd.openxmlformats-officedocument.spreadsheetml.comments+xml"/>
  <Override PartName="/xl/tables/table3.xml" ContentType="application/vnd.openxmlformats-officedocument.spreadsheetml.table+xml"/>
  <Override PartName="/xl/worksheets/sheet11.xml" ContentType="application/vnd.openxmlformats-officedocument.spreadsheetml.worksheet+xml"/>
  <Override PartName="/xl/comments/comment4.xml" ContentType="application/vnd.openxmlformats-officedocument.spreadsheetml.comments+xml"/>
  <Override PartName="/xl/tables/table4.xml" ContentType="application/vnd.openxmlformats-officedocument.spreadsheetml.table+xml"/>
  <Override PartName="/xl/worksheets/sheet12.xml" ContentType="application/vnd.openxmlformats-officedocument.spreadsheetml.worksheet+xml"/>
  <Override PartName="/xl/comments/comment5.xml" ContentType="application/vnd.openxmlformats-officedocument.spreadsheetml.comments+xml"/>
  <Override PartName="/xl/tables/table5.xml" ContentType="application/vnd.openxmlformats-officedocument.spreadsheetml.table+xml"/>
  <Override PartName="/xl/worksheets/sheet13.xml" ContentType="application/vnd.openxmlformats-officedocument.spreadsheetml.worksheet+xml"/>
  <Override PartName="/xl/comments/comment6.xml" ContentType="application/vnd.openxmlformats-officedocument.spreadsheetml.comments+xml"/>
  <Override PartName="/xl/tables/table6.xml" ContentType="application/vnd.openxmlformats-officedocument.spreadsheetml.table+xml"/>
  <Override PartName="/xl/worksheets/sheet14.xml" ContentType="application/vnd.openxmlformats-officedocument.spreadsheetml.worksheet+xml"/>
  <Override PartName="/xl/comments/comment7.xml" ContentType="application/vnd.openxmlformats-officedocument.spreadsheetml.comments+xml"/>
  <Override PartName="/xl/tables/table7.xml" ContentType="application/vnd.openxmlformats-officedocument.spreadsheetml.table+xml"/>
  <Override PartName="/xl/worksheets/sheet15.xml" ContentType="application/vnd.openxmlformats-officedocument.spreadsheetml.worksheet+xml"/>
  <Override PartName="/xl/comments/comment8.xml" ContentType="application/vnd.openxmlformats-officedocument.spreadsheetml.comments+xml"/>
  <Override PartName="/xl/tables/table8.xml" ContentType="application/vnd.openxmlformats-officedocument.spreadsheetml.table+xml"/>
  <Override PartName="/xl/worksheets/sheet16.xml" ContentType="application/vnd.openxmlformats-officedocument.spreadsheetml.worksheet+xml"/>
  <Override PartName="/xl/comments/comment9.xml" ContentType="application/vnd.openxmlformats-officedocument.spreadsheetml.comments+xml"/>
  <Override PartName="/xl/tables/table9.xml" ContentType="application/vnd.openxmlformats-officedocument.spreadsheetml.table+xml"/>
  <Override PartName="/xl/worksheets/sheet17.xml" ContentType="application/vnd.openxmlformats-officedocument.spreadsheetml.worksheet+xml"/>
  <Override PartName="/xl/comments/comment10.xml" ContentType="application/vnd.openxmlformats-officedocument.spreadsheetml.comments+xml"/>
  <Override PartName="/xl/tables/table10.xml" ContentType="application/vnd.openxmlformats-officedocument.spreadsheetml.table+xml"/>
  <Override PartName="/xl/worksheets/sheet18.xml" ContentType="application/vnd.openxmlformats-officedocument.spreadsheetml.worksheet+xml"/>
  <Override PartName="/xl/comments/comment11.xml" ContentType="application/vnd.openxmlformats-officedocument.spreadsheetml.comments+xml"/>
  <Override PartName="/xl/tables/table11.xml" ContentType="application/vnd.openxmlformats-officedocument.spreadsheetml.table+xml"/>
  <Override PartName="/xl/worksheets/sheet19.xml" ContentType="application/vnd.openxmlformats-officedocument.spreadsheetml.worksheet+xml"/>
  <Override PartName="/xl/comments/comment12.xml" ContentType="application/vnd.openxmlformats-officedocument.spreadsheetml.comments+xml"/>
  <Override PartName="/xl/tables/table12.xml" ContentType="application/vnd.openxmlformats-officedocument.spreadsheetml.table+xml"/>
  <Override PartName="/xl/workbook.xml" ContentType="application/vnd.ms-excel.sheet.macroEnabled.main+xml"/>
  <Override PartName="/xl/featurePropertyBag/featurePropertyBag.xml" ContentType="application/vnd.ms-excel.featurepropertyba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32767" windowHeight="32767" tabRatio="745" firstSheet="0" activeTab="0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ontology_terms" sheetId="2" state="hidden" r:id="rId2"/>
    <sheet xmlns:r="http://schemas.openxmlformats.org/officeDocument/2006/relationships" name="organism_terms" sheetId="3" state="hidden" r:id="rId3"/>
    <sheet xmlns:r="http://schemas.openxmlformats.org/officeDocument/2006/relationships" name="molecule_types" sheetId="4" state="hidden" r:id="rId4"/>
    <sheet xmlns:r="http://schemas.openxmlformats.org/officeDocument/2006/relationships" name="flapjack_cols" sheetId="5" state="hidden" r:id="rId5"/>
    <sheet xmlns:r="http://schemas.openxmlformats.org/officeDocument/2006/relationships" name="Init" sheetId="6" state="hidden" r:id="rId6"/>
    <sheet xmlns:r="http://schemas.openxmlformats.org/officeDocument/2006/relationships" name="column_definitions" sheetId="7" state="hidden" r:id="rId7"/>
    <sheet xmlns:r="http://schemas.openxmlformats.org/officeDocument/2006/relationships" name="promoter" sheetId="8" state="visible" r:id="rId8"/>
    <sheet xmlns:r="http://schemas.openxmlformats.org/officeDocument/2006/relationships" name="rbs" sheetId="9" state="visible" r:id="rId9"/>
    <sheet xmlns:r="http://schemas.openxmlformats.org/officeDocument/2006/relationships" name="cds" sheetId="10" state="visible" r:id="rId10"/>
    <sheet xmlns:r="http://schemas.openxmlformats.org/officeDocument/2006/relationships" name="terminator" sheetId="11" state="visible" r:id="rId11"/>
    <sheet xmlns:r="http://schemas.openxmlformats.org/officeDocument/2006/relationships" name="other" sheetId="12" state="visible" r:id="rId12"/>
    <sheet xmlns:r="http://schemas.openxmlformats.org/officeDocument/2006/relationships" name="ncrna" sheetId="13" state="visible" r:id="rId13"/>
    <sheet xmlns:r="http://schemas.openxmlformats.org/officeDocument/2006/relationships" name="rna" sheetId="14" state="visible" r:id="rId14"/>
    <sheet xmlns:r="http://schemas.openxmlformats.org/officeDocument/2006/relationships" name="protein" sheetId="15" state="visible" r:id="rId15"/>
    <sheet xmlns:r="http://schemas.openxmlformats.org/officeDocument/2006/relationships" name="complex" sheetId="16" state="visible" r:id="rId16"/>
    <sheet xmlns:r="http://schemas.openxmlformats.org/officeDocument/2006/relationships" name="chassis" sheetId="17" state="visible" r:id="rId17"/>
    <sheet xmlns:r="http://schemas.openxmlformats.org/officeDocument/2006/relationships" name="media" sheetId="18" state="visible" r:id="rId18"/>
    <sheet xmlns:r="http://schemas.openxmlformats.org/officeDocument/2006/relationships" name="chemicals" sheetId="19" state="visible" r:id="rId19"/>
  </sheets>
  <definedNames>
    <definedName name="dv_protein_Protein_ID">protein[Protein ID]</definedName>
    <definedName name="dv_rna_RNA_ID">rna[RNA ID]</definedName>
  </definedNames>
  <calcPr calcId="0" fullCalcOnLoad="1"/>
</workbook>
</file>

<file path=xl/styles.xml><?xml version="1.0" encoding="utf-8"?>
<styleSheet xmlns="http://schemas.openxmlformats.org/spreadsheetml/2006/main">
  <numFmts count="0"/>
  <fonts count="15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theme="1"/>
      <sz val="11"/>
      <scheme val="minor"/>
    </font>
    <font>
      <name val="Helvetica"/>
      <family val="2"/>
      <color rgb="FF1D1D1F"/>
      <sz val="11"/>
      <scheme val="minor"/>
    </font>
    <font>
      <name val="Helvetica"/>
      <family val="2"/>
      <b val="1"/>
      <color rgb="FF1A6468"/>
      <sz val="13"/>
      <scheme val="major"/>
    </font>
    <font>
      <name val="Helvetica"/>
      <family val="2"/>
      <b val="1"/>
      <color rgb="FF1D1D1F"/>
      <sz val="11"/>
      <scheme val="minor"/>
    </font>
    <font>
      <name val="Helvetica"/>
      <family val="2"/>
      <b val="1"/>
      <color rgb="FFFFFFFF"/>
      <sz val="11"/>
      <scheme val="minor"/>
    </font>
    <font>
      <name val="Helvetica"/>
      <b val="1"/>
      <color rgb="FFFFFFFF"/>
      <sz val="11"/>
      <scheme val="minor"/>
    </font>
    <font>
      <name val="Helvetica"/>
      <color rgb="FF1D1D1F"/>
      <sz val="11"/>
      <scheme val="minor"/>
    </font>
    <font>
      <b val="1"/>
      <color rgb="00FFFFFF"/>
      <sz val="12"/>
      <scheme val="minor"/>
    </font>
    <font>
      <b val="1"/>
      <color rgb="001D1D1F"/>
      <sz val="11"/>
      <scheme val="minor"/>
    </font>
    <font>
      <color rgb="001D1D1F"/>
      <sz val="11"/>
      <scheme val="minor"/>
    </font>
    <font>
      <b val="1"/>
      <color rgb="00FFFFFF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001A6468"/>
      </patternFill>
    </fill>
    <fill>
      <patternFill patternType="solid">
        <fgColor rgb="00FFFFF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/>
    <border>
      <left style="thin">
        <color rgb="00C7C7CC"/>
      </left>
      <right style="thin">
        <color rgb="00C7C7CC"/>
      </right>
      <top style="thin">
        <color rgb="00C7C7CC"/>
      </top>
      <bottom style="thin">
        <color rgb="00C7C7CC"/>
      </bottom>
    </border>
  </borders>
  <cellStyleXfs count="5">
    <xf numFmtId="0" fontId="4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6">
    <xf numFmtId="0" fontId="0" fillId="0" borderId="0" pivotButton="0" quotePrefix="0" xfId="0"/>
    <xf numFmtId="0" fontId="2" fillId="0" borderId="0" pivotButton="0" quotePrefix="0" xfId="0"/>
    <xf numFmtId="0" fontId="5" fillId="0" borderId="1" pivotButton="0" quotePrefix="0" xfId="0"/>
    <xf numFmtId="0" fontId="7" fillId="0" borderId="1" pivotButton="0" quotePrefix="0" xfId="0"/>
    <xf numFmtId="0" fontId="8" fillId="2" borderId="1" applyAlignment="1" pivotButton="0" quotePrefix="0" xfId="0">
      <alignment vertical="center"/>
    </xf>
    <xf numFmtId="0" fontId="5" fillId="0" borderId="2" pivotButton="0" quotePrefix="0" xfId="0"/>
    <xf numFmtId="0" fontId="0" fillId="0" borderId="2" pivotButton="0" quotePrefix="0" xfId="0"/>
    <xf numFmtId="0" fontId="6" fillId="0" borderId="2" pivotButton="0" quotePrefix="0" xfId="0"/>
    <xf numFmtId="0" fontId="5" fillId="0" borderId="3" pivotButton="0" quotePrefix="0" xfId="0"/>
    <xf numFmtId="0" fontId="5" fillId="0" borderId="4" pivotButton="0" quotePrefix="0" xfId="0"/>
    <xf numFmtId="0" fontId="6" fillId="0" borderId="5" pivotButton="0" quotePrefix="0" xfId="0"/>
    <xf numFmtId="0" fontId="9" fillId="3" borderId="1" applyAlignment="1" pivotButton="0" quotePrefix="0" xfId="0">
      <alignment vertical="center"/>
    </xf>
    <xf numFmtId="0" fontId="10" fillId="0" borderId="1" pivotButton="0" quotePrefix="0" xfId="0"/>
    <xf numFmtId="0" fontId="10" fillId="0" borderId="1" pivotButton="0" quotePrefix="0" xfId="2"/>
    <xf numFmtId="0" fontId="10" fillId="0" borderId="0" pivotButton="0" quotePrefix="0" xfId="0"/>
    <xf numFmtId="0" fontId="5" fillId="0" borderId="6" pivotButton="0" quotePrefix="0" xfId="0"/>
    <xf numFmtId="0" fontId="0" fillId="0" borderId="6" pivotButton="0" quotePrefix="0" xfId="0"/>
    <xf numFmtId="0" fontId="11" fillId="4" borderId="6" applyAlignment="1" pivotButton="0" quotePrefix="0" xfId="0">
      <alignment vertical="center"/>
    </xf>
    <xf numFmtId="0" fontId="6" fillId="0" borderId="6" pivotButton="0" quotePrefix="0" xfId="0"/>
    <xf numFmtId="0" fontId="12" fillId="0" borderId="6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0" fontId="13" fillId="0" borderId="6" applyAlignment="1" pivotButton="0" quotePrefix="0" xfId="0">
      <alignment horizontal="left" vertical="center"/>
    </xf>
    <xf numFmtId="0" fontId="14" fillId="4" borderId="0" applyAlignment="1" pivotButton="0" quotePrefix="0" xfId="0">
      <alignment vertical="center"/>
    </xf>
    <xf numFmtId="0" fontId="13" fillId="0" borderId="0" pivotButton="0" quotePrefix="0" xfId="0"/>
    <xf numFmtId="0" fontId="13" fillId="0" borderId="0" applyAlignment="1" pivotButton="0" quotePrefix="0" xfId="0">
      <alignment horizontal="center"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5">
    <cellStyle name="Normal" xfId="0" builtinId="0"/>
    <cellStyle name="Normal 2" xfId="1"/>
    <cellStyle name="Hyperlink" xfId="2" builtinId="8"/>
    <cellStyle name="Normal 3" xfId="3"/>
    <cellStyle name="Hyperlink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Relationship Id="rId23" Type="http://schemas.microsoft.com/office/2022/11/relationships/FeaturePropertyBag" Target="featurePropertyBag/featurePropertyBag.xml"/></Relationships>
</file>

<file path=xl/comments/comment1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promoter entry.</t>
      </text>
    </comment>
    <comment ref="B1" authorId="0" shapeId="0">
      <text>
        <t>Unique identifier for this promoter entry. This ID is used to reference the Promoter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promoter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The organism from which this part was derived. Select from the dropdown (populated from the organism_terms sheet) or enter an NCBI Taxonomy URI.</t>
      </text>
    </comment>
    <comment ref="I1" authorId="0" shapeId="0">
      <text>
        <t>The ID(s) of the components activated by this promoter. Double-click the cell to open the selector and choose one or more values.</t>
      </text>
    </comment>
    <comment ref="J1" authorId="0" shapeId="0">
      <text>
        <t>The ID(s) of the components repressed by this promoter. Double-click the cell to open the selector and choose one or more values.</t>
      </text>
    </comment>
    <comment ref="K1" authorId="0" shapeId="0">
      <text>
        <t>Length of the sequence in bp. Calculated automatically from the Sequence column.</t>
      </text>
    </comment>
    <comment ref="L1" authorId="0" shapeId="0">
      <text>
        <t>The DNA sequence of this part in IUPAC notation (A, T, C, G). Only include the coding strand.</t>
      </text>
    </comment>
  </commentList>
</comments>
</file>

<file path=xl/comments/comment2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rbs entry.</t>
      </text>
    </comment>
    <comment ref="B1" authorId="0" shapeId="0">
      <text>
        <t>Unique identifier for this rbs entry. This ID is used to reference the RBS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rbs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The organism from which this part was derived. Select from the dropdown (populated from the organism_terms sheet) or enter an NCBI Taxonomy URI.</t>
      </text>
    </comment>
    <comment ref="I1" authorId="0" shapeId="0">
      <text>
        <t>Length of the sequence in bp. Calculated automatically from the Sequence column.</t>
      </text>
    </comment>
    <comment ref="J1" authorId="0" shapeId="0">
      <text>
        <t>The DNA sequence of this part in IUPAC notation (A, T, C, G). Only include the coding strand.</t>
      </text>
    </comment>
  </commentList>
</comments>
</file>

<file path=xl/comments/comment3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cds entry.</t>
      </text>
    </comment>
    <comment ref="B1" authorId="0" shapeId="0">
      <text>
        <t>Unique identifier for this cds entry. This ID is used to reference the CDS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cds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The organism from which this part was derived. Select from the dropdown (populated from the organism_terms sheet) or enter an NCBI Taxonomy URI.</t>
      </text>
    </comment>
    <comment ref="I1" authorId="0" shapeId="0">
      <text>
        <t>The protein encoded by this CDS. Enter the Protein ID of the corresponding protein entry, or use the 'Translate to Protein' button to populate automatically.</t>
      </text>
    </comment>
    <comment ref="J1" authorId="0" shapeId="0">
      <text>
        <t>Length of the sequence in bp. Calculated automatically from the Sequence column.</t>
      </text>
    </comment>
    <comment ref="K1" authorId="0" shapeId="0">
      <text>
        <t>The DNA sequence of this part in IUPAC notation (A, T, C, G). Only include the coding strand.</t>
      </text>
    </comment>
    <comment ref="L1" authorId="0" shapeId="0">
      <text>
        <t>Check this box to automatically translate this CDS DNA sequence to a protein sequence using the longest open reading frame (forward strand) and add the result to the Protein sheet.</t>
      </text>
    </comment>
  </commentList>
</comments>
</file>

<file path=xl/comments/comment4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terminator entry.</t>
      </text>
    </comment>
    <comment ref="B1" authorId="0" shapeId="0">
      <text>
        <t>Unique identifier for this terminator entry. This ID is used to reference the Terminator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terminator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The organism from which this part was derived. Select from the dropdown (populated from the organism_terms sheet) or enter an NCBI Taxonomy URI.</t>
      </text>
    </comment>
    <comment ref="I1" authorId="0" shapeId="0">
      <text>
        <t>Length of the sequence in bp. Calculated automatically from the Sequence column.</t>
      </text>
    </comment>
    <comment ref="J1" authorId="0" shapeId="0">
      <text>
        <t>The DNA sequence of this part in IUPAC notation (A, T, C, G). Only include the coding strand.</t>
      </text>
    </comment>
  </commentList>
</comments>
</file>

<file path=xl/comments/comment5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part entry.</t>
      </text>
    </comment>
    <comment ref="B1" authorId="0" shapeId="0">
      <text>
        <t>Unique identifier for this part entry. This ID is used to reference the Part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part entry.</t>
      </text>
    </comment>
    <comment ref="E1" authorId="0" shapeId="0">
      <text>
        <t>Sequence Ontology (SO) role for this part. Select from the dropdown (populated from the ontology_terms sheet).</t>
      </text>
    </comment>
    <comment ref="F1" authorId="0" shapeId="0">
      <text>
        <t>URL of the external database or publication where this part's sequence was originally obtained (e.g. iGEM Registry, NCBI, literature).</t>
      </text>
    </comment>
    <comment ref="G1" authorId="0" shapeId="0">
      <text>
        <t>PubMed identifier of the publication describing this part. Enter only the numeric ID (e.g. 12345678).</t>
      </text>
    </comment>
    <comment ref="H1" authorId="0" shapeId="0">
      <text>
        <t>Digital Object Identifier of the publication describing this part (e.g. https://doi.org/10.1000/xyz123).</t>
      </text>
    </comment>
    <comment ref="I1" authorId="0" shapeId="0">
      <text>
        <t>The organism from which this part was derived. Select from the dropdown (populated from the organism_terms sheet) or enter an NCBI Taxonomy URI.</t>
      </text>
    </comment>
    <comment ref="J1" authorId="0" shapeId="0">
      <text>
        <t>Length of the sequence in bp. Calculated automatically from the Sequence column.</t>
      </text>
    </comment>
    <comment ref="K1" authorId="0" shapeId="0">
      <text>
        <t>The DNA sequence of this part in IUPAC notation (A, T, C, G). Only include the coding strand.</t>
      </text>
    </comment>
  </commentList>
</comments>
</file>

<file path=xl/comments/comment6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ncrna entry.</t>
      </text>
    </comment>
    <comment ref="B1" authorId="0" shapeId="0">
      <text>
        <t>Unique identifier for this ncrna entry. This ID is used to reference the ncRNA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ncrna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The organism from which this part was derived. Select from the dropdown (populated from the organism_terms sheet) or enter an NCBI Taxonomy URI.</t>
      </text>
    </comment>
    <comment ref="I1" authorId="0" shapeId="0">
      <text>
        <t>The RNA transcribed from this ncRNA. Enter the RNA ID of the corresponding RNA entry, or use the 'Translate to RNA' button to populate automatically.</t>
      </text>
    </comment>
    <comment ref="J1" authorId="0" shapeId="0">
      <text>
        <t>Length of the sequence in nt. Calculated automatically from the Sequence column.</t>
      </text>
    </comment>
    <comment ref="K1" authorId="0" shapeId="0">
      <text>
        <t>The RNA sequence (A, U, C, G). Enter using DNA notation (T instead of U); T→U conversion is applied automatically.</t>
      </text>
    </comment>
    <comment ref="L1" authorId="0" shapeId="0">
      <text>
        <t>Check this box to automatically convert this ncRNA DNA sequence to an RNA sequence (T→U substitution) and add the result to the RNA sheet.</t>
      </text>
    </comment>
  </commentList>
</comments>
</file>

<file path=xl/comments/comment7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rna entry.</t>
      </text>
    </comment>
    <comment ref="B1" authorId="0" shapeId="0">
      <text>
        <t>Unique identifier for this rna entry. This ID is used to reference the RNA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rna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Length of the sequence in nt. Calculated automatically from the Sequence column.</t>
      </text>
    </comment>
    <comment ref="I1" authorId="0" shapeId="0">
      <text>
        <t>The RNA sequence (A, U, C, G). Enter using DNA notation (T instead of U); T→U conversion is applied automatically.</t>
      </text>
    </comment>
  </commentList>
</comments>
</file>

<file path=xl/comments/comment8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protein entry.</t>
      </text>
    </comment>
    <comment ref="B1" authorId="0" shapeId="0">
      <text>
        <t>Unique identifier for this protein entry. This ID is used to reference the Protein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protein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Length of the sequence in aa. Calculated automatically from the Sequence column.</t>
      </text>
    </comment>
    <comment ref="I1" authorId="0" shapeId="0">
      <text>
        <t>The amino acid sequence of this protein in single-letter IUPAC notation.</t>
      </text>
    </comment>
  </commentList>
</comments>
</file>

<file path=xl/comments/comment9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complex entry.</t>
      </text>
    </comment>
    <comment ref="B1" authorId="0" shapeId="0">
      <text>
        <t>Unique identifier for this complex entry. This ID is used to reference the Complex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complex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  <comment ref="H1" authorId="0" shapeId="0">
      <text>
        <t>The ID(s) of the sub-components that make up this complex. Double-click the cell to open the selector and choose one or more values.</t>
      </text>
    </comment>
  </commentList>
</comments>
</file>

<file path=xl/comments/comment10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chassis entry.</t>
      </text>
    </comment>
    <comment ref="B1" authorId="0" shapeId="0">
      <text>
        <t>Unique identifier for this chassis entry. This ID is used to reference the Chassis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chassis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</commentList>
</comments>
</file>

<file path=xl/comments/comment11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media entry.</t>
      </text>
    </comment>
    <comment ref="B1" authorId="0" shapeId="0">
      <text>
        <t>Unique identifier for this media entry. This ID is used to reference the Media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media entry.</t>
      </text>
    </comment>
    <comment ref="E1" authorId="0" shapeId="0">
      <text>
        <t>URL of the external database or publication where this part's sequence was originally obtained (e.g. iGEM Registry, NCBI, literature).</t>
      </text>
    </comment>
    <comment ref="F1" authorId="0" shapeId="0">
      <text>
        <t>PubMed identifier of the publication describing this part. Enter only the numeric ID (e.g. 12345678).</t>
      </text>
    </comment>
    <comment ref="G1" authorId="0" shapeId="0">
      <text>
        <t>Digital Object Identifier of the publication describing this part (e.g. https://doi.org/10.1000/xyz123).</t>
      </text>
    </comment>
  </commentList>
</comments>
</file>

<file path=xl/comments/comment12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chemical entry.</t>
      </text>
    </comment>
    <comment ref="B1" authorId="0" shapeId="0">
      <text>
        <t>Unique identifier for this chemical entry. This ID is used to reference the Chemical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chemical entry.</t>
      </text>
    </comment>
    <comment ref="E1" authorId="0" shapeId="0">
      <text>
        <t>The PubChem Compound ID (CID) for this chemical.</t>
      </text>
    </comment>
    <comment ref="F1" authorId="0" shapeId="0">
      <text>
        <t>URL of the external database or publication where this part's sequence was originally obtained (e.g. iGEM Registry, NCBI, literature).</t>
      </text>
    </comment>
    <comment ref="G1" authorId="0" shapeId="0">
      <text>
        <t>PubMed identifier of the publication describing this part. Enter only the numeric ID (e.g. 12345678).</t>
      </text>
    </comment>
    <comment ref="H1" authorId="0" shapeId="0">
      <text>
        <t>Digital Object Identifier of the publication describing this part (e.g. https://doi.org/10.1000/xyz123).</t>
      </text>
    </comment>
  </commentList>
</comment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id="1" name="promoter" displayName="promoter" ref="A1:L2" headerRowCount="1">
  <tableColumns count="12">
    <tableColumn id="1" name="Promoter Name"/>
    <tableColumn id="2" name="Promoter ID">
      <calculatedColumnFormula>IF(promoter[[#This Row],[Promoter Name]]="","",SUBSTITUTE(SUBSTITUTE(TRIM(promoter[[#This Row],[Promoter Name]])," ","_"),"-","_"))</calculatedColumnFormula>
    </tableColumn>
    <tableColumn id="3" name="Previous Version (URI)"/>
    <tableColumn id="4" name="Promoter Description"/>
    <tableColumn id="5" name="Data Source"/>
    <tableColumn id="6" name="PubMed ID"/>
    <tableColumn id="7" name="DOI"/>
    <tableColumn id="8" name="Source Organism"/>
    <tableColumn id="9" name="Activators"/>
    <tableColumn id="10" name="Repressors"/>
    <tableColumn id="11" name="Length (bp)">
      <calculatedColumnFormula>IF(promoter[[#This Row],[Sequence]]="","",LEN(TRIM(CLEAN(SUBSTITUTE(promoter[[#This Row],[Sequence]]," ","")))))</calculatedColumnFormula>
    </tableColumn>
    <tableColumn id="12" name="Seque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bs" displayName="rbs" ref="A1:J2" headerRowCount="1">
  <tableColumns count="10">
    <tableColumn id="1" name="RBS Name"/>
    <tableColumn id="2" name="RBS ID">
      <calculatedColumnFormula>IF(rbs[[#This Row],[RBS Name]]="","",SUBSTITUTE(SUBSTITUTE(TRIM(rbs[[#This Row],[RBS Name]])," ","_"),"-","_"))</calculatedColumnFormula>
    </tableColumn>
    <tableColumn id="3" name="Previous Version (URI)"/>
    <tableColumn id="4" name="RBS Description"/>
    <tableColumn id="5" name="Data Source"/>
    <tableColumn id="6" name="PubMed ID"/>
    <tableColumn id="7" name="DOI"/>
    <tableColumn id="8" name="Source Organism"/>
    <tableColumn id="9" name="Length (bp)">
      <calculatedColumnFormula>IF(rbs[[#This Row],[Sequence]]="","",LEN(TRIM(CLEAN(SUBSTITUTE(rbs[[#This Row],[Sequence]]," ","")))))</calculatedColumnFormula>
    </tableColumn>
    <tableColumn id="10" name="Sequ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cds" displayName="cds" ref="A1:L2" headerRowCount="1">
  <tableColumns count="12">
    <tableColumn id="1" name="CDS Name"/>
    <tableColumn id="2" name="CDS ID">
      <calculatedColumnFormula>IF(cds[[#This Row],[CDS Name]]="","",SUBSTITUTE(SUBSTITUTE(TRIM(cds[[#This Row],[CDS Name]])," ","_"),"-","_"))</calculatedColumnFormula>
    </tableColumn>
    <tableColumn id="3" name="Previous Version (URI)"/>
    <tableColumn id="4" name="CDS Description"/>
    <tableColumn id="5" name="Data Source"/>
    <tableColumn id="6" name="PubMed ID"/>
    <tableColumn id="7" name="DOI"/>
    <tableColumn id="8" name="Source Organism"/>
    <tableColumn id="9" name="Encodes for"/>
    <tableColumn id="10" name="Length (bp)">
      <calculatedColumnFormula>IF(cds[[#This Row],[Sequence]]="","",LEN(TRIM(CLEAN(SUBSTITUTE(cds[[#This Row],[Sequence]]," ","")))))</calculatedColumnFormula>
    </tableColumn>
    <tableColumn id="11" name="Sequence"/>
    <tableColumn id="12" name="Translate to Protei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erminator" displayName="terminator" ref="A1:J2" headerRowCount="1">
  <tableColumns count="10">
    <tableColumn id="1" name="Terminator Name"/>
    <tableColumn id="2" name="Terminator ID">
      <calculatedColumnFormula>IF(terminator[[#This Row],[Terminator Name]]="","",SUBSTITUTE(SUBSTITUTE(TRIM(terminator[[#This Row],[Terminator Name]])," ","_"),"-","_"))</calculatedColumnFormula>
    </tableColumn>
    <tableColumn id="3" name="Previous Version (URI)"/>
    <tableColumn id="4" name="Terminator Description"/>
    <tableColumn id="5" name="Data Source"/>
    <tableColumn id="6" name="PubMed ID"/>
    <tableColumn id="7" name="DOI"/>
    <tableColumn id="8" name="Source Organism"/>
    <tableColumn id="9" name="Length (bp)">
      <calculatedColumnFormula>IF(terminator[[#This Row],[Sequence]]="","",LEN(TRIM(CLEAN(SUBSTITUTE(terminator[[#This Row],[Sequence]]," ","")))))</calculatedColumnFormula>
    </tableColumn>
    <tableColumn id="10" name="Sequ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other" displayName="other" ref="A1:K2" headerRowCount="1">
  <tableColumns count="11">
    <tableColumn id="1" name="Part Name"/>
    <tableColumn id="2" name="Part ID">
      <calculatedColumnFormula>IF(other[[#This Row],[Part Name]]="","",SUBSTITUTE(SUBSTITUTE(TRIM(other[[#This Row],[Part Name]])," ","_"),"-","_"))</calculatedColumnFormula>
    </tableColumn>
    <tableColumn id="3" name="Previous Version (URI)"/>
    <tableColumn id="4" name="Part Description"/>
    <tableColumn id="5" name="Role"/>
    <tableColumn id="6" name="Data Source"/>
    <tableColumn id="7" name="PubMed ID"/>
    <tableColumn id="8" name="DOI"/>
    <tableColumn id="9" name="Source Organism"/>
    <tableColumn id="10" name="Length (bp)">
      <calculatedColumnFormula>IF(other[[#This Row],[Sequence]]="","",LEN(TRIM(CLEAN(SUBSTITUTE(other[[#This Row],[Sequence]]," ","")))))</calculatedColumnFormula>
    </tableColumn>
    <tableColumn id="11" name="Sequ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ncrna" displayName="ncrna" ref="A1:L2" headerRowCount="1">
  <tableColumns count="12">
    <tableColumn id="1" name="ncRNA Name"/>
    <tableColumn id="2" name="ncRNA ID">
      <calculatedColumnFormula>IF(ncrna[[#This Row],[ncRNA Name]]="","",SUBSTITUTE(SUBSTITUTE(TRIM(ncrna[[#This Row],[ncRNA Name]])," ","_"),"-","_"))</calculatedColumnFormula>
    </tableColumn>
    <tableColumn id="3" name="Previous Version (URI)"/>
    <tableColumn id="4" name="ncRNA Description"/>
    <tableColumn id="5" name="Data Source"/>
    <tableColumn id="6" name="PubMed ID"/>
    <tableColumn id="7" name="DOI"/>
    <tableColumn id="8" name="Source Organism"/>
    <tableColumn id="9" name="Encodes for"/>
    <tableColumn id="10" name="Length (nt)">
      <calculatedColumnFormula>IF(ncrna[[#This Row],[Sequence]]="","",LEN(TRIM(CLEAN(SUBSTITUTE(ncrna[[#This Row],[Sequence]]," ","")))))</calculatedColumnFormula>
    </tableColumn>
    <tableColumn id="11" name="Sequence"/>
    <tableColumn id="12" name="Translate to RN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rna" displayName="rna" ref="A1:I2" headerRowCount="1">
  <tableColumns count="9">
    <tableColumn id="1" name="RNA Name"/>
    <tableColumn id="2" name="RNA ID">
      <calculatedColumnFormula>IF(rna[[#This Row],[RNA Name]]="","",SUBSTITUTE(SUBSTITUTE(TRIM(rna[[#This Row],[RNA Name]])," ","_"),"-","_"))</calculatedColumnFormula>
    </tableColumn>
    <tableColumn id="3" name="Previous Version (URI)"/>
    <tableColumn id="4" name="RNA Description"/>
    <tableColumn id="5" name="Data Source"/>
    <tableColumn id="6" name="PubMed ID"/>
    <tableColumn id="7" name="DOI"/>
    <tableColumn id="8" name="Length (nt)">
      <calculatedColumnFormula>IF(rna[[#This Row],[Sequence]]="","",LEN(TRIM(CLEAN(SUBSTITUTE(rna[[#This Row],[Sequence]]," ","")))))</calculatedColumnFormula>
    </tableColumn>
    <tableColumn id="9" name="Sequ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protein" displayName="protein" ref="A1:I2" headerRowCount="1">
  <tableColumns count="9">
    <tableColumn id="1" name="Protein Name"/>
    <tableColumn id="2" name="Protein ID">
      <calculatedColumnFormula>IF(protein[[#This Row],[Protein Name]]="","",SUBSTITUTE(SUBSTITUTE(TRIM(protein[[#This Row],[Protein Name]])," ","_"),"-","_"))</calculatedColumnFormula>
    </tableColumn>
    <tableColumn id="3" name="Previous Version (URI)"/>
    <tableColumn id="4" name="Protein Description"/>
    <tableColumn id="5" name="Data Source"/>
    <tableColumn id="6" name="PubMed ID"/>
    <tableColumn id="7" name="DOI"/>
    <tableColumn id="8" name="Length (aa)">
      <calculatedColumnFormula>IF(protein[[#This Row],[Sequence]]="","",LEN(TRIM(CLEAN(SUBSTITUTE(protein[[#This Row],[Sequence]]," ","")))))</calculatedColumnFormula>
    </tableColumn>
    <tableColumn id="9" name="Sequ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omplex" displayName="complex" ref="A1:H2" headerRowCount="1">
  <tableColumns count="8">
    <tableColumn id="1" name="Complex Name"/>
    <tableColumn id="2" name="Complex ID">
      <calculatedColumnFormula>IF(complex[[#This Row],[Complex Name]]="","",SUBSTITUTE(SUBSTITUTE(TRIM(complex[[#This Row],[Complex Name]])," ","_"),"-","_"))</calculatedColumnFormula>
    </tableColumn>
    <tableColumn id="3" name="Previous Version (URI)"/>
    <tableColumn id="4" name="Complex Description"/>
    <tableColumn id="5" name="Data Source"/>
    <tableColumn id="6" name="PubMed ID"/>
    <tableColumn id="7" name="DOI"/>
    <tableColumn id="8" name="Components ID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chassis" displayName="chassis" ref="A1:G2" headerRowCount="1">
  <tableColumns count="7">
    <tableColumn id="1" name="Chassis Name"/>
    <tableColumn id="2" name="Chassis ID">
      <calculatedColumnFormula>IF(chassis[[#This Row],[Chassis Name]]="","",SUBSTITUTE(SUBSTITUTE(TRIM(chassis[[#This Row],[Chassis Name]])," ","_"),"-","_"))</calculatedColumnFormula>
    </tableColumn>
    <tableColumn id="3" name="Previous Version (URI)"/>
    <tableColumn id="4" name="Chassis Description"/>
    <tableColumn id="5" name="Data Source"/>
    <tableColumn id="6" name="PubMed ID"/>
    <tableColumn id="7" name="DOI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media" displayName="media" ref="A1:G2" headerRowCount="1">
  <tableColumns count="7">
    <tableColumn id="1" name="Media Name"/>
    <tableColumn id="2" name="Media ID">
      <calculatedColumnFormula>IF(media[[#This Row],[Media Name]]="","",SUBSTITUTE(SUBSTITUTE(TRIM(media[[#This Row],[Media Name]])," ","_"),"-","_"))</calculatedColumnFormula>
    </tableColumn>
    <tableColumn id="3" name="Previous Version (URI)"/>
    <tableColumn id="4" name="Media Description"/>
    <tableColumn id="5" name="Data Source"/>
    <tableColumn id="6" name="PubMed ID"/>
    <tableColumn id="7" name="DOI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chemicals" displayName="chemicals" ref="A1:H2" headerRowCount="1">
  <tableColumns count="8">
    <tableColumn id="1" name="Chemical Name"/>
    <tableColumn id="2" name="Chemical ID">
      <calculatedColumnFormula>IF(chemicals[[#This Row],[Chemical Name]]="","",SUBSTITUTE(SUBSTITUTE(TRIM(chemicals[[#This Row],[Chemical Name]])," ","_"),"-","_"))</calculatedColumnFormula>
    </tableColumn>
    <tableColumn id="3" name="Previous Version (URI)"/>
    <tableColumn id="4" name="Chemical Description"/>
    <tableColumn id="5" name="PubChem ID"/>
    <tableColumn id="6" name="Data Source"/>
    <tableColumn id="7" name="PubMed ID"/>
    <tableColumn id="8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hyperlink" Target="http://identifiers.org/so/SO:0000316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://purl.obolibrary.org/obo/NCBITaxon_272943" TargetMode="External" Id="rId1"/><Relationship Type="http://schemas.openxmlformats.org/officeDocument/2006/relationships/hyperlink" Target="http://purl.obolibrary.org/obo/NCBITaxon_70779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9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4.xml" Id="rId1"/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5.xml" Id="rId1"/><Relationship Type="http://schemas.openxmlformats.org/officeDocument/2006/relationships/comments" Target="/xl/comments/comment5.xml" Id="comments"/><Relationship Type="http://schemas.openxmlformats.org/officeDocument/2006/relationships/vmlDrawing" Target="/xl/drawings/commentsDrawing5.vml" Id="anysvml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comments" Target="/xl/comments/comment6.xml" Id="comments"/><Relationship Type="http://schemas.openxmlformats.org/officeDocument/2006/relationships/vmlDrawing" Target="/xl/drawings/commentsDrawing6.vml" Id="anysvml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comments" Target="/xl/comments/comment7.xml" Id="comments"/><Relationship Type="http://schemas.openxmlformats.org/officeDocument/2006/relationships/vmlDrawing" Target="/xl/drawings/commentsDrawing7.vml" Id="anysvml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8.xml" Id="rId1"/><Relationship Type="http://schemas.openxmlformats.org/officeDocument/2006/relationships/comments" Target="/xl/comments/comment8.xml" Id="comments"/><Relationship Type="http://schemas.openxmlformats.org/officeDocument/2006/relationships/vmlDrawing" Target="/xl/drawings/commentsDrawing8.vml" Id="anysvml"/></Relationships>
</file>

<file path=xl/worksheets/_rels/sheet16.xml.rels><Relationships xmlns="http://schemas.openxmlformats.org/package/2006/relationships"><Relationship Type="http://schemas.openxmlformats.org/officeDocument/2006/relationships/table" Target="/xl/tables/table9.xml" Id="rId1"/><Relationship Type="http://schemas.openxmlformats.org/officeDocument/2006/relationships/comments" Target="/xl/comments/comment9.xml" Id="comments"/><Relationship Type="http://schemas.openxmlformats.org/officeDocument/2006/relationships/vmlDrawing" Target="/xl/drawings/commentsDrawing9.vml" Id="anysvml"/></Relationships>
</file>

<file path=xl/worksheets/_rels/sheet17.xml.rels><Relationships xmlns="http://schemas.openxmlformats.org/package/2006/relationships"><Relationship Type="http://schemas.openxmlformats.org/officeDocument/2006/relationships/table" Target="/xl/tables/table10.xml" Id="rId1"/><Relationship Type="http://schemas.openxmlformats.org/officeDocument/2006/relationships/comments" Target="/xl/comments/comment10.xml" Id="comments"/><Relationship Type="http://schemas.openxmlformats.org/officeDocument/2006/relationships/vmlDrawing" Target="/xl/drawings/commentsDrawing10.vml" Id="anysvml"/></Relationships>
</file>

<file path=xl/worksheets/_rels/sheet18.xml.rels><Relationships xmlns="http://schemas.openxmlformats.org/package/2006/relationships"><Relationship Type="http://schemas.openxmlformats.org/officeDocument/2006/relationships/table" Target="/xl/tables/table11.xml" Id="rId1"/><Relationship Type="http://schemas.openxmlformats.org/officeDocument/2006/relationships/comments" Target="/xl/comments/comment11.xml" Id="comments"/><Relationship Type="http://schemas.openxmlformats.org/officeDocument/2006/relationships/vmlDrawing" Target="/xl/drawings/commentsDrawing11.vml" Id="anysvml"/></Relationships>
</file>

<file path=xl/worksheets/_rels/sheet19.xml.rels><Relationships xmlns="http://schemas.openxmlformats.org/package/2006/relationships"><Relationship Type="http://schemas.openxmlformats.org/officeDocument/2006/relationships/table" Target="/xl/tables/table12.xml" Id="rId1"/><Relationship Type="http://schemas.openxmlformats.org/officeDocument/2006/relationships/comments" Target="/xl/comments/comment12.xml" Id="comments"/><Relationship Type="http://schemas.openxmlformats.org/officeDocument/2006/relationships/vmlDrawing" Target="/xl/drawings/commentsDrawing12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N45"/>
  <sheetViews>
    <sheetView showGridLines="0" tabSelected="1" workbookViewId="0">
      <selection activeCell="A1" sqref="A1"/>
    </sheetView>
  </sheetViews>
  <sheetFormatPr baseColWidth="8" defaultColWidth="10.625" defaultRowHeight="14.25"/>
  <cols>
    <col width="25" customWidth="1" style="6" min="1" max="1"/>
    <col width="25" customWidth="1" style="6" min="2" max="2"/>
    <col width="25" customWidth="1" style="6" min="3" max="3"/>
    <col width="25" customWidth="1" style="6" min="4" max="15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10.625" customWidth="1" style="6" min="16" max="16384"/>
  </cols>
  <sheetData>
    <row r="1">
      <c r="A1" s="15" t="n"/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6" t="n"/>
      <c r="M1" s="16" t="n"/>
      <c r="N1" s="16" t="n"/>
    </row>
    <row r="2">
      <c r="A2" s="15" t="n"/>
      <c r="B2" s="15" t="n"/>
      <c r="C2" s="15" t="n"/>
      <c r="D2" s="15" t="n"/>
      <c r="E2" s="15" t="n"/>
      <c r="F2" s="15" t="n"/>
      <c r="G2" s="15" t="n"/>
      <c r="H2" s="15" t="n"/>
      <c r="I2" s="15" t="n"/>
      <c r="J2" s="15" t="n"/>
      <c r="K2" s="15" t="n"/>
      <c r="L2" s="16" t="n"/>
      <c r="M2" s="16" t="n"/>
      <c r="N2" s="16" t="n"/>
    </row>
    <row r="3" ht="22" customHeight="1">
      <c r="A3" s="15" t="n"/>
      <c r="B3" s="17" t="inlineStr">
        <is>
          <t>Library Information</t>
        </is>
      </c>
      <c r="C3" s="17" t="n"/>
      <c r="D3" s="15" t="n"/>
      <c r="E3" s="15" t="n"/>
      <c r="F3" s="15" t="n"/>
      <c r="G3" s="15" t="n"/>
      <c r="H3" s="15" t="n"/>
      <c r="I3" s="15" t="n"/>
      <c r="J3" s="15" t="n"/>
      <c r="K3" s="15" t="n"/>
      <c r="L3" s="16" t="n"/>
      <c r="M3" s="16" t="n"/>
      <c r="N3" s="16" t="n"/>
    </row>
    <row r="4" ht="17.1" customHeight="1">
      <c r="A4" s="18" t="n"/>
      <c r="B4" s="19" t="inlineStr">
        <is>
          <t>Template Type</t>
        </is>
      </c>
      <c r="C4" s="20" t="inlineStr">
        <is>
          <t>Resources</t>
        </is>
      </c>
      <c r="D4" s="18" t="n"/>
      <c r="E4" s="18" t="n"/>
      <c r="F4" s="18" t="n"/>
      <c r="G4" s="18" t="n"/>
      <c r="H4" s="18" t="n"/>
      <c r="I4" s="18" t="n"/>
      <c r="J4" s="18" t="n"/>
      <c r="K4" s="18" t="n"/>
      <c r="L4" s="16" t="n"/>
      <c r="M4" s="16" t="n"/>
      <c r="N4" s="16" t="n"/>
    </row>
    <row r="5" ht="15" customHeight="1">
      <c r="A5" s="15" t="n"/>
      <c r="B5" s="19" t="inlineStr">
        <is>
          <t>Name</t>
        </is>
      </c>
      <c r="C5" s="20" t="inlineStr">
        <is>
          <t>Resources</t>
        </is>
      </c>
      <c r="D5" s="15" t="n"/>
      <c r="E5" s="15" t="n"/>
      <c r="F5" s="15" t="n"/>
      <c r="G5" s="15" t="n"/>
      <c r="H5" s="15" t="n"/>
      <c r="I5" s="15" t="n"/>
      <c r="J5" s="15" t="n"/>
      <c r="K5" s="15" t="n"/>
      <c r="L5" s="16" t="n"/>
      <c r="M5" s="16" t="n"/>
      <c r="N5" s="16" t="n"/>
    </row>
    <row r="6" ht="15" customHeight="1">
      <c r="A6" s="15" t="n"/>
      <c r="B6" s="19" t="inlineStr">
        <is>
          <t>ID</t>
        </is>
      </c>
      <c r="C6" s="20">
        <f>IF($C$5="","",SUBSTITUTE(SUBSTITUTE(TRIM($C$5)," ","_"),"-","_"))</f>
        <v/>
      </c>
      <c r="D6" s="15" t="n"/>
      <c r="E6" s="15" t="n"/>
      <c r="F6" s="15" t="n"/>
      <c r="G6" s="15" t="n"/>
      <c r="H6" s="15" t="n"/>
      <c r="I6" s="15" t="n"/>
      <c r="J6" s="15" t="n"/>
      <c r="K6" s="15" t="n"/>
      <c r="L6" s="16" t="n"/>
      <c r="M6" s="16" t="n"/>
      <c r="N6" s="16" t="n"/>
    </row>
    <row r="7" ht="15" customHeight="1">
      <c r="A7" s="15" t="n"/>
      <c r="B7" s="19" t="inlineStr">
        <is>
          <t>Version</t>
        </is>
      </c>
      <c r="C7" s="20" t="inlineStr">
        <is>
          <t>1</t>
        </is>
      </c>
      <c r="D7" s="15" t="n"/>
      <c r="E7" s="15" t="n"/>
      <c r="F7" s="15" t="n"/>
      <c r="G7" s="15" t="n"/>
      <c r="H7" s="15" t="n"/>
      <c r="I7" s="15" t="n"/>
      <c r="J7" s="15" t="n"/>
      <c r="K7" s="15" t="n"/>
      <c r="L7" s="16" t="n"/>
      <c r="M7" s="16" t="n"/>
      <c r="N7" s="16" t="n"/>
    </row>
    <row r="8" ht="15" customHeight="1">
      <c r="A8" s="15" t="n"/>
      <c r="B8" s="19" t="inlineStr">
        <is>
          <t>Description</t>
        </is>
      </c>
      <c r="C8" s="20" t="inlineStr"/>
      <c r="D8" s="15" t="n"/>
      <c r="E8" s="15" t="n"/>
      <c r="F8" s="15" t="n"/>
      <c r="G8" s="15" t="n"/>
      <c r="H8" s="15" t="n"/>
      <c r="I8" s="15" t="n"/>
      <c r="J8" s="15" t="n"/>
      <c r="K8" s="15" t="n"/>
      <c r="L8" s="16" t="n"/>
      <c r="M8" s="16" t="n"/>
      <c r="N8" s="16" t="n"/>
    </row>
    <row r="9" ht="15" customHeight="1">
      <c r="A9" s="15" t="n"/>
      <c r="B9" s="19" t="inlineStr">
        <is>
          <t>Author</t>
        </is>
      </c>
      <c r="C9" s="20" t="inlineStr"/>
      <c r="D9" s="15" t="n"/>
      <c r="E9" s="15" t="n"/>
      <c r="F9" s="15" t="n"/>
      <c r="G9" s="15" t="n"/>
      <c r="H9" s="15" t="n"/>
      <c r="I9" s="15" t="n"/>
      <c r="J9" s="15" t="n"/>
      <c r="K9" s="15" t="n"/>
      <c r="L9" s="16" t="n"/>
      <c r="M9" s="16" t="n"/>
      <c r="N9" s="16" t="n"/>
    </row>
    <row r="10" ht="15" customHeight="1">
      <c r="A10" s="15" t="n"/>
      <c r="B10" s="19" t="inlineStr">
        <is>
          <t>Email</t>
        </is>
      </c>
      <c r="C10" s="20" t="inlineStr"/>
      <c r="D10" s="15" t="n"/>
      <c r="E10" s="15" t="n"/>
      <c r="F10" s="15" t="n"/>
      <c r="G10" s="15" t="n"/>
      <c r="H10" s="15" t="n"/>
      <c r="I10" s="15" t="n"/>
      <c r="J10" s="15" t="n"/>
      <c r="K10" s="15" t="n"/>
      <c r="L10" s="16" t="n"/>
      <c r="M10" s="16" t="n"/>
      <c r="N10" s="16" t="n"/>
    </row>
    <row r="11" ht="15" customHeight="1">
      <c r="A11" s="15" t="n"/>
      <c r="B11" s="19" t="inlineStr">
        <is>
          <t>Laboratory</t>
        </is>
      </c>
      <c r="C11" s="20" t="inlineStr"/>
      <c r="D11" s="15" t="n"/>
      <c r="E11" s="15" t="n"/>
      <c r="F11" s="15" t="n"/>
      <c r="G11" s="15" t="n"/>
      <c r="H11" s="15" t="n"/>
      <c r="I11" s="15" t="n"/>
      <c r="J11" s="15" t="n"/>
      <c r="K11" s="15" t="n"/>
      <c r="L11" s="16" t="n"/>
      <c r="M11" s="16" t="n"/>
      <c r="N11" s="16" t="n"/>
    </row>
    <row r="12" ht="15" customHeight="1">
      <c r="A12" s="15" t="n"/>
      <c r="B12" s="19" t="inlineStr">
        <is>
          <t>Institution</t>
        </is>
      </c>
      <c r="C12" s="20" t="inlineStr"/>
      <c r="D12" s="15" t="n"/>
      <c r="E12" s="15" t="n"/>
      <c r="F12" s="15" t="n"/>
      <c r="G12" s="15" t="n"/>
      <c r="H12" s="15" t="n"/>
      <c r="I12" s="15" t="n"/>
      <c r="J12" s="15" t="n"/>
      <c r="K12" s="15" t="n"/>
      <c r="L12" s="16" t="n"/>
      <c r="M12" s="16" t="n"/>
      <c r="N12" s="16" t="n"/>
    </row>
    <row r="13" ht="15" customHeight="1">
      <c r="A13" s="15" t="n"/>
      <c r="B13" s="19" t="inlineStr">
        <is>
          <t>PubMed IDs</t>
        </is>
      </c>
      <c r="C13" s="20" t="inlineStr"/>
      <c r="D13" s="15" t="n"/>
      <c r="E13" s="15" t="n"/>
      <c r="F13" s="15" t="n"/>
      <c r="G13" s="15" t="n"/>
      <c r="H13" s="15" t="n"/>
      <c r="I13" s="15" t="n"/>
      <c r="J13" s="15" t="n"/>
      <c r="K13" s="15" t="n"/>
      <c r="L13" s="16" t="n"/>
      <c r="M13" s="16" t="n"/>
      <c r="N13" s="16" t="n"/>
    </row>
    <row r="14" ht="15" customHeight="1">
      <c r="A14" s="15" t="n"/>
      <c r="B14" s="19" t="inlineStr">
        <is>
          <t>Domain</t>
        </is>
      </c>
      <c r="C14" s="20" t="inlineStr"/>
      <c r="D14" s="15" t="n"/>
      <c r="E14" s="15" t="n"/>
      <c r="F14" s="15" t="n"/>
      <c r="G14" s="15" t="n"/>
      <c r="H14" s="15" t="n"/>
      <c r="I14" s="15" t="n"/>
      <c r="J14" s="15" t="n"/>
      <c r="K14" s="15" t="n"/>
      <c r="L14" s="16" t="n"/>
      <c r="M14" s="16" t="n"/>
      <c r="N14" s="16" t="n"/>
    </row>
    <row r="15" ht="15" customHeight="1">
      <c r="A15" s="15" t="n"/>
      <c r="B15" s="19" t="inlineStr">
        <is>
          <t>Master Collection</t>
        </is>
      </c>
      <c r="C15" s="20" t="inlineStr"/>
      <c r="D15" s="15" t="n"/>
      <c r="E15" s="15" t="n"/>
      <c r="F15" s="15" t="n"/>
      <c r="G15" s="15" t="n"/>
      <c r="H15" s="15" t="n"/>
      <c r="I15" s="15" t="n"/>
      <c r="J15" s="15" t="n"/>
      <c r="K15" s="15" t="n"/>
      <c r="L15" s="16" t="n"/>
      <c r="M15" s="16" t="n"/>
      <c r="N15" s="16" t="n"/>
    </row>
    <row r="16" ht="15" customHeight="1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</row>
    <row r="17" ht="15" customHeight="1">
      <c r="A17" s="16" t="n"/>
      <c r="B17" s="19" t="inlineStr">
        <is>
          <t>Show Common Sheets</t>
        </is>
      </c>
      <c r="C17" s="25" t="b">
        <v>0</v>
      </c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</row>
    <row r="18" ht="15" customHeight="1">
      <c r="A18" s="15" t="n"/>
      <c r="B18" s="19" t="inlineStr">
        <is>
          <t>Show Advanced Sheets</t>
        </is>
      </c>
      <c r="C18" s="25" t="b">
        <v>0</v>
      </c>
      <c r="D18" s="15" t="n"/>
      <c r="E18" s="15" t="n"/>
      <c r="F18" s="15" t="n"/>
      <c r="G18" s="15" t="n"/>
      <c r="H18" s="15" t="n"/>
      <c r="I18" s="15" t="n"/>
      <c r="J18" s="15" t="n"/>
      <c r="K18" s="15" t="n"/>
      <c r="L18" s="16" t="n"/>
      <c r="M18" s="16" t="n"/>
      <c r="N18" s="16" t="n"/>
    </row>
    <row r="19">
      <c r="A19" s="15" t="n"/>
      <c r="B19" s="15" t="n"/>
      <c r="C19" s="15" t="n"/>
      <c r="D19" s="15" t="n"/>
      <c r="E19" s="15" t="n"/>
      <c r="F19" s="15" t="n"/>
      <c r="G19" s="15" t="n"/>
      <c r="H19" s="15" t="n"/>
      <c r="I19" s="15" t="n"/>
      <c r="J19" s="15" t="n"/>
      <c r="K19" s="15" t="n"/>
      <c r="L19" s="16" t="n"/>
      <c r="M19" s="16" t="n"/>
      <c r="N19" s="16" t="n"/>
    </row>
    <row r="20">
      <c r="A20" s="15" t="n"/>
      <c r="B20" s="15" t="n"/>
      <c r="C20" s="15" t="n"/>
      <c r="D20" s="15" t="n"/>
      <c r="E20" s="15" t="n"/>
      <c r="F20" s="15" t="n"/>
      <c r="G20" s="15" t="n"/>
      <c r="H20" s="15" t="n"/>
      <c r="I20" s="15" t="n"/>
      <c r="J20" s="15" t="n"/>
      <c r="K20" s="15" t="n"/>
      <c r="L20" s="16" t="n"/>
      <c r="M20" s="16" t="n"/>
      <c r="N20" s="16" t="n"/>
    </row>
    <row r="21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</row>
    <row r="22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</row>
    <row r="23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</row>
    <row r="24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</row>
    <row r="25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</row>
    <row r="26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</row>
    <row r="27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</row>
    <row r="2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</row>
    <row r="29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</row>
    <row r="30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</row>
    <row r="31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</row>
    <row r="32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</row>
    <row r="33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</row>
    <row r="34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</row>
    <row r="35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</row>
    <row r="36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</row>
    <row r="37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</row>
    <row r="3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</row>
    <row r="39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</row>
    <row r="40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</row>
    <row r="41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</row>
    <row r="42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</row>
    <row r="43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</row>
    <row r="44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</row>
    <row r="45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  <c r="M45" s="16" t="n"/>
      <c r="N45" s="16" t="n"/>
    </row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12">
    <tabColor rgb="0048A9AE"/>
    <outlinePr summaryBelow="0"/>
    <pageSetUpPr/>
  </sheetPr>
  <dimension ref="A1:E2517"/>
  <sheetViews>
    <sheetView zoomScaleNormal="100" workbookViewId="0">
      <pane ySplit="1" topLeftCell="A2" activePane="bottomLeft" state="frozen"/>
      <selection pane="bottomLeft" activeCell="A1" sqref="A1"/>
    </sheetView>
  </sheetViews>
  <sheetFormatPr baseColWidth="8" defaultColWidth="8.625" defaultRowHeight="14.25"/>
  <cols>
    <col width="25" customWidth="1" min="1" max="5"/>
    <col width="25" customWidth="1" min="2" max="2"/>
    <col width="25" customWidth="1" min="3" max="3"/>
    <col width="25" customWidth="1" min="4" max="4"/>
    <col width="25" customWidth="1" min="5" max="5"/>
    <col width="41" customWidth="1" min="6" max="6"/>
    <col width="12.5" bestFit="1" customWidth="1" min="7" max="12"/>
  </cols>
  <sheetData>
    <row r="1" ht="20.1" customFormat="1" customHeight="1" s="1">
      <c r="A1" s="11" t="inlineStr">
        <is>
          <t>Role</t>
        </is>
      </c>
      <c r="B1" s="11" t="inlineStr">
        <is>
          <t>URI</t>
        </is>
      </c>
      <c r="C1" s="11" t="inlineStr">
        <is>
          <t>Synonyms</t>
        </is>
      </c>
      <c r="D1" s="4" t="n"/>
      <c r="E1" s="11" t="inlineStr">
        <is>
          <t>Circular Drop down</t>
        </is>
      </c>
    </row>
    <row r="2" ht="15.75" customHeight="1">
      <c r="A2" s="12" t="inlineStr">
        <is>
          <t>CDS</t>
        </is>
      </c>
      <c r="B2" s="13" t="inlineStr">
        <is>
          <t>http://identifiers.org/so/SO:0000316</t>
        </is>
      </c>
      <c r="C2" s="12" t="inlineStr">
        <is>
          <t>['INSDC_feature:CDS', 'coding_sequence', 'coding sequence']</t>
        </is>
      </c>
      <c r="D2" s="12" t="n"/>
      <c r="E2" s="12" t="inlineStr">
        <is>
          <t>true</t>
        </is>
      </c>
    </row>
    <row r="3" ht="15.75" customHeight="1">
      <c r="A3" s="12" t="inlineStr">
        <is>
          <t>promoter</t>
        </is>
      </c>
      <c r="B3" s="12" t="inlineStr">
        <is>
          <t>http://identifiers.org/so/SO:0000167</t>
        </is>
      </c>
      <c r="C3" s="12" t="inlineStr">
        <is>
          <t>['INSDC_feature:regulatory', 'promoter sequence', 'INSDC_qualifier:promoter']</t>
        </is>
      </c>
      <c r="D3" s="12" t="n"/>
      <c r="E3" s="12" t="inlineStr">
        <is>
          <t>false</t>
        </is>
      </c>
    </row>
    <row r="4" ht="15.75" customHeight="1">
      <c r="A4" s="12" t="inlineStr">
        <is>
          <t>ribosome_entry_site</t>
        </is>
      </c>
      <c r="B4" s="12" t="inlineStr">
        <is>
          <t>http://identifiers.org/so/SO:0000139</t>
        </is>
      </c>
      <c r="C4" s="12" t="inlineStr">
        <is>
          <t>['INSDC_feature:regulatory', 'INSDC_qualifier:ribosome_binding_site', 'ribosome entry site']</t>
        </is>
      </c>
      <c r="D4" s="12" t="n"/>
      <c r="E4" s="12" t="n"/>
    </row>
    <row r="5" ht="15.75" customHeight="1">
      <c r="A5" s="12" t="inlineStr">
        <is>
          <t>terminator</t>
        </is>
      </c>
      <c r="B5" s="12" t="inlineStr">
        <is>
          <t>http://identifiers.org/so/SO:0000141</t>
        </is>
      </c>
      <c r="C5" s="12" t="inlineStr">
        <is>
          <t>['INSDC_qualifier:terminator', 'terminator sequence', 'INSDC_feature:regulatory']</t>
        </is>
      </c>
      <c r="D5" s="12" t="n"/>
      <c r="E5" s="12" t="n"/>
    </row>
    <row r="6" ht="15.75" customHeight="1">
      <c r="A6" s="12" t="inlineStr">
        <is>
          <t>origin_of_replication</t>
        </is>
      </c>
      <c r="B6" s="12" t="inlineStr">
        <is>
          <t>http://identifiers.org/so/SO:0000296</t>
        </is>
      </c>
      <c r="C6" s="12" t="inlineStr">
        <is>
          <t>['ori', 'INSDC_feature:rep_origin', 'origin of replication']</t>
        </is>
      </c>
      <c r="D6" s="12" t="n"/>
      <c r="E6" s="12" t="n"/>
    </row>
    <row r="7" ht="15.75" customHeight="1">
      <c r="A7" s="12" t="inlineStr">
        <is>
          <t>oriT</t>
        </is>
      </c>
      <c r="B7" s="12" t="inlineStr">
        <is>
          <t>http://identifiers.org/so/SO:0000724</t>
        </is>
      </c>
      <c r="C7" s="12" t="inlineStr">
        <is>
          <t>['INSDC_feature:oriT', 'origin of transfer']</t>
        </is>
      </c>
      <c r="D7" s="12" t="n"/>
      <c r="E7" s="12" t="n"/>
    </row>
    <row r="8" ht="15.75" customHeight="1">
      <c r="A8" s="12" t="inlineStr">
        <is>
          <t>oriV</t>
        </is>
      </c>
      <c r="B8" s="12" t="inlineStr">
        <is>
          <t>http://identifiers.org/so/SO:0000952</t>
        </is>
      </c>
      <c r="C8" s="12" t="inlineStr">
        <is>
          <t>['origin of vegetative replication']</t>
        </is>
      </c>
      <c r="D8" s="12" t="n"/>
      <c r="E8" s="12" t="n"/>
    </row>
    <row r="9" ht="15.75" customHeight="1">
      <c r="A9" s="12" t="inlineStr">
        <is>
          <t>signal_peptide_region_of_CDS</t>
        </is>
      </c>
      <c r="B9" s="12" t="inlineStr">
        <is>
          <t>http://identifiers.org/so/SO:0002251</t>
        </is>
      </c>
      <c r="C9" s="12" t="inlineStr">
        <is>
          <t>['INSDC_feature:sig_peptide', 'Signal peptide region of CDS']</t>
        </is>
      </c>
      <c r="D9" s="12" t="n"/>
      <c r="E9" s="12" t="n"/>
    </row>
    <row r="10" ht="15.75" customHeight="1">
      <c r="A10" s="12" t="inlineStr">
        <is>
          <t>site_specific_recombination_target_region</t>
        </is>
      </c>
      <c r="B10" s="12" t="inlineStr">
        <is>
          <t>http://identifiers.org/so/SO:0000342</t>
        </is>
      </c>
      <c r="C10" s="12" t="inlineStr">
        <is>
          <t>['site specific recombination target region']</t>
        </is>
      </c>
      <c r="D10" s="12" t="n"/>
      <c r="E10" s="12" t="n"/>
    </row>
    <row r="11" ht="15.75" customHeight="1">
      <c r="A11" s="12" t="inlineStr">
        <is>
          <t>2A_self_cleaving_peptide_region</t>
        </is>
      </c>
      <c r="B11" s="12" t="inlineStr">
        <is>
          <t>http://identifiers.org/so/SO:0002224</t>
        </is>
      </c>
      <c r="C11" s="12" t="inlineStr">
        <is>
          <t>['2A polypeptide region', '2A self-cleaving polypeptide region']</t>
        </is>
      </c>
      <c r="D11" s="12" t="n"/>
      <c r="E11" s="12" t="n"/>
    </row>
    <row r="12" ht="15.75" customHeight="1">
      <c r="A12" s="12" t="inlineStr">
        <is>
          <t>2KB_downstream_variant</t>
        </is>
      </c>
      <c r="B12" s="12" t="inlineStr">
        <is>
          <t>http://identifiers.org/so/SO:0002083</t>
        </is>
      </c>
      <c r="C12" s="12" t="inlineStr">
        <is>
          <t>['Seattleseq:near-gene-3']</t>
        </is>
      </c>
      <c r="D12" s="12" t="n"/>
      <c r="E12" s="12" t="n"/>
    </row>
    <row r="13" ht="15.75" customHeight="1">
      <c r="A13" s="12" t="inlineStr">
        <is>
          <t>2KB_upstream_variant</t>
        </is>
      </c>
      <c r="B13" s="12" t="inlineStr">
        <is>
          <t>http://identifiers.org/so/SO:0001636</t>
        </is>
      </c>
      <c r="C13" s="12" t="inlineStr">
        <is>
          <t>['near-gene-5', '2KB upstream variant']</t>
        </is>
      </c>
      <c r="D13" s="12" t="n"/>
      <c r="E13" s="12" t="n"/>
    </row>
    <row r="14" ht="15.75" customHeight="1">
      <c r="A14" s="12" t="inlineStr">
        <is>
          <t>3_prime_UTR_elongation</t>
        </is>
      </c>
      <c r="B14" s="12" t="inlineStr">
        <is>
          <t>http://identifiers.org/so/SO:0002016</t>
        </is>
      </c>
      <c r="C14" s="12" t="inlineStr">
        <is>
          <t>['3 prime UTR elongation']</t>
        </is>
      </c>
      <c r="D14" s="12" t="n"/>
      <c r="E14" s="12" t="n"/>
    </row>
    <row r="15" ht="15.75" customHeight="1">
      <c r="A15" s="12" t="inlineStr">
        <is>
          <t>3_prime_UTR_exon_variant</t>
        </is>
      </c>
      <c r="B15" s="12" t="inlineStr">
        <is>
          <t>http://identifiers.org/so/SO:0002089</t>
        </is>
      </c>
      <c r="C15" s="12" t="inlineStr">
        <is>
          <t>['3 prime UTR exon variant']</t>
        </is>
      </c>
      <c r="D15" s="12" t="n"/>
      <c r="E15" s="12" t="n"/>
    </row>
    <row r="16" ht="15.75" customHeight="1">
      <c r="A16" s="12" t="inlineStr">
        <is>
          <t>3_prime_UTR_intron_variant</t>
        </is>
      </c>
      <c r="B16" s="12" t="inlineStr">
        <is>
          <t>http://identifiers.org/so/SO:0002090</t>
        </is>
      </c>
      <c r="C16" s="12" t="inlineStr">
        <is>
          <t>['3 prime UTR intron variant']</t>
        </is>
      </c>
      <c r="D16" s="12" t="n"/>
      <c r="E16" s="12" t="n"/>
    </row>
    <row r="17" ht="15.75" customHeight="1">
      <c r="A17" s="12" t="inlineStr">
        <is>
          <t>3_prime_UTR_truncation</t>
        </is>
      </c>
      <c r="B17" s="12" t="inlineStr">
        <is>
          <t>http://identifiers.org/so/SO:0002015</t>
        </is>
      </c>
      <c r="C17" s="12" t="inlineStr">
        <is>
          <t>['Jannovar:3_prime_utr_truncation', 'snpEff:UTR_3_DELETED', '3 prime UTR truncation']</t>
        </is>
      </c>
      <c r="D17" s="12" t="n"/>
      <c r="E17" s="12" t="n"/>
    </row>
    <row r="18" ht="15.75" customHeight="1">
      <c r="A18" s="12" t="inlineStr">
        <is>
          <t>3_prime_UTR_variant</t>
        </is>
      </c>
      <c r="B18" s="12" t="inlineStr">
        <is>
          <t>http://identifiers.org/so/SO:0001624</t>
        </is>
      </c>
      <c r="C18" s="12" t="inlineStr">
        <is>
          <t>["3'UTR variant", 'three prime UTR variant', 'untranslated-3', 'VEP:3_prime_UTR_variant', 'VAAST:3_prime_UTR_variant', 'Seattleseq:3-prime-UTR', 'ANNOVAR:UTR3', 'snpEff:UTR_3_PRIME', '3PRIME_UTR', 'Jannovar:3_prime_utr_variant', 'VAAST:three_prime_UTR_variant']</t>
        </is>
      </c>
      <c r="D18" s="12" t="n"/>
      <c r="E18" s="12" t="n"/>
    </row>
    <row r="19" ht="15.75" customHeight="1">
      <c r="A19" s="12" t="inlineStr">
        <is>
          <t>3D_polypeptide_structure_variant</t>
        </is>
      </c>
      <c r="B19" s="12" t="inlineStr">
        <is>
          <t>http://identifiers.org/so/SO:0001599</t>
        </is>
      </c>
      <c r="C19" s="12" t="inlineStr">
        <is>
          <t>['3D polypeptide structure variant']</t>
        </is>
      </c>
      <c r="D19" s="12" t="n"/>
      <c r="E19" s="12" t="n"/>
    </row>
    <row r="20" ht="15.75" customHeight="1">
      <c r="A20" s="12" t="inlineStr">
        <is>
          <t>4_methylcytosine</t>
        </is>
      </c>
      <c r="B20" s="12" t="inlineStr">
        <is>
          <t>http://identifiers.org/so/SO:0001919</t>
        </is>
      </c>
      <c r="C20" s="12" t="inlineStr">
        <is>
          <t>['4-methylcytosine', 'N4 methylcytosine', 'm-4C', 'N4_methylcytosine', '4-mC', 'm4c', 'N4-methylcytosine']</t>
        </is>
      </c>
      <c r="D20" s="12" t="n"/>
      <c r="E20" s="12" t="n"/>
    </row>
    <row r="21" ht="15.75" customHeight="1">
      <c r="A21" s="12" t="inlineStr">
        <is>
          <t>5_carboxylcytosine</t>
        </is>
      </c>
      <c r="B21" s="12" t="inlineStr">
        <is>
          <t>http://identifiers.org/so/SO:0001966</t>
        </is>
      </c>
      <c r="C21" s="12" t="inlineStr">
        <is>
          <t>['5-caC', '5-carboxycytosine']</t>
        </is>
      </c>
      <c r="D21" s="12" t="n"/>
      <c r="E21" s="12" t="n"/>
    </row>
    <row r="22" ht="15.75" customHeight="1">
      <c r="A22" s="12" t="inlineStr">
        <is>
          <t>5_formylcytosine</t>
        </is>
      </c>
      <c r="B22" s="12" t="inlineStr">
        <is>
          <t>http://identifiers.org/so/SO:0001961</t>
        </is>
      </c>
      <c r="C22" s="12" t="inlineStr">
        <is>
          <t>['5-fC', '5-formylcytosine']</t>
        </is>
      </c>
      <c r="D22" s="12" t="n"/>
      <c r="E22" s="12" t="n"/>
    </row>
    <row r="23" ht="15.75" customHeight="1">
      <c r="A23" s="12" t="inlineStr">
        <is>
          <t>5_hydroxymethylcytosine</t>
        </is>
      </c>
      <c r="B23" s="12" t="inlineStr">
        <is>
          <t>http://identifiers.org/so/SO:0001960</t>
        </is>
      </c>
      <c r="C23" s="12" t="inlineStr">
        <is>
          <t>['5-hmC', '5-hydroxymethylcytosine']</t>
        </is>
      </c>
      <c r="D23" s="12" t="n"/>
      <c r="E23" s="12" t="n"/>
    </row>
    <row r="24" ht="15.75" customHeight="1">
      <c r="A24" s="12" t="inlineStr">
        <is>
          <t>5_methylcytosine</t>
        </is>
      </c>
      <c r="B24" s="12" t="inlineStr">
        <is>
          <t>http://identifiers.org/so/SO:0001918</t>
        </is>
      </c>
      <c r="C24" s="12" t="inlineStr">
        <is>
          <t>['m-5C', '5 methylcytosine', 'm5c', '5-mC']</t>
        </is>
      </c>
      <c r="D24" s="12" t="n"/>
      <c r="E24" s="12" t="n"/>
    </row>
    <row r="25" ht="15.75" customHeight="1">
      <c r="A25" s="12" t="inlineStr">
        <is>
          <t>5_prime_UTR_elongation</t>
        </is>
      </c>
      <c r="B25" s="12" t="inlineStr">
        <is>
          <t>http://identifiers.org/so/SO:0002014</t>
        </is>
      </c>
      <c r="C25" s="12" t="inlineStr">
        <is>
          <t>['5 prime UTR elongation']</t>
        </is>
      </c>
      <c r="D25" s="12" t="n"/>
      <c r="E25" s="12" t="n"/>
    </row>
    <row r="26" ht="15.75" customHeight="1">
      <c r="A26" s="12" t="inlineStr">
        <is>
          <t>5_prime_UTR_exon_variant</t>
        </is>
      </c>
      <c r="B26" s="12" t="inlineStr">
        <is>
          <t>http://identifiers.org/so/SO:0002092</t>
        </is>
      </c>
      <c r="C26" s="12" t="inlineStr">
        <is>
          <t>['5 prime UTR exon variant']</t>
        </is>
      </c>
      <c r="D26" s="12" t="n"/>
      <c r="E26" s="12" t="n"/>
    </row>
    <row r="27" ht="15.75" customHeight="1">
      <c r="A27" s="12" t="inlineStr">
        <is>
          <t>5_prime_UTR_intron_variant</t>
        </is>
      </c>
      <c r="B27" s="12" t="inlineStr">
        <is>
          <t>http://identifiers.org/so/SO:0002091</t>
        </is>
      </c>
      <c r="C27" s="12" t="inlineStr">
        <is>
          <t>['5 prime UTR intron variant']</t>
        </is>
      </c>
      <c r="D27" s="12" t="n"/>
      <c r="E27" s="12" t="n"/>
    </row>
    <row r="28" ht="15.75" customHeight="1">
      <c r="A28" s="12" t="inlineStr">
        <is>
          <t>5_prime_UTR_premature_start_codon_gain_variant</t>
        </is>
      </c>
      <c r="B28" s="12" t="inlineStr">
        <is>
          <t>http://identifiers.org/so/SO:0001988</t>
        </is>
      </c>
      <c r="C28" s="12" t="inlineStr">
        <is>
          <t>['Jannovar:5_prime_UTR_premature_start_codon_gain_variant', '5 prime UTR premature start codon gain variant', 'snpEff:START_GAINED']</t>
        </is>
      </c>
      <c r="D28" s="12" t="n"/>
      <c r="E28" s="12" t="n"/>
    </row>
    <row r="29" ht="15.75" customHeight="1">
      <c r="A29" s="12" t="inlineStr">
        <is>
          <t>5_prime_UTR_premature_start_codon_loss_variant</t>
        </is>
      </c>
      <c r="B29" s="12" t="inlineStr">
        <is>
          <t>http://identifiers.org/so/SO:0001989</t>
        </is>
      </c>
      <c r="C29" s="12" t="n"/>
      <c r="D29" s="12" t="n"/>
      <c r="E29" s="12" t="n"/>
    </row>
    <row r="30" ht="15.75" customHeight="1">
      <c r="A30" s="12" t="inlineStr">
        <is>
          <t>5_prime_UTR_premature_start_codon_variant</t>
        </is>
      </c>
      <c r="B30" s="12" t="inlineStr">
        <is>
          <t>http://identifiers.org/so/SO:0001983</t>
        </is>
      </c>
      <c r="C30" s="12" t="inlineStr">
        <is>
          <t>["5' UTR premature start codon variant"]</t>
        </is>
      </c>
      <c r="D30" s="12" t="n"/>
      <c r="E30" s="12" t="n"/>
    </row>
    <row r="31" ht="15.75" customHeight="1">
      <c r="A31" s="12" t="inlineStr">
        <is>
          <t>5_prime_UTR_truncation</t>
        </is>
      </c>
      <c r="B31" s="12" t="inlineStr">
        <is>
          <t>http://identifiers.org/so/SO:0002013</t>
        </is>
      </c>
      <c r="C31" s="12" t="inlineStr">
        <is>
          <t>['snpEff:UTR_5_DELETED', '5 prime UTR truncation', 'Jannovar:5_prime_utr_truncation']</t>
        </is>
      </c>
      <c r="D31" s="12" t="n"/>
      <c r="E31" s="12" t="n"/>
    </row>
    <row r="32" ht="15.75" customHeight="1">
      <c r="A32" s="12" t="inlineStr">
        <is>
          <t>5_prime_UTR_variant</t>
        </is>
      </c>
      <c r="B32" s="12" t="inlineStr">
        <is>
          <t>http://identifiers.org/so/SO:0001623</t>
        </is>
      </c>
      <c r="C32" s="12" t="inlineStr">
        <is>
          <t>['snpEff:UTR_5_PRIME', '5PRIME_UTR', 'untranslated-5', 'Seattleseq:5-prime-UTR', 'VAAST:five_prime_UTR_variant', "5'UTR variant", 'Jannovar:5_prime_utr_variant', 'ANNOVAR:UTR5', 'VEP:5_prime_UTR_variant', 'five prime UTR variant', 'VAAST:5_prime_UTR_variant']</t>
        </is>
      </c>
      <c r="D32" s="12" t="n"/>
      <c r="E32" s="12" t="n"/>
    </row>
    <row r="33" ht="15.75" customHeight="1">
      <c r="A33" s="12" t="inlineStr">
        <is>
          <t>500B_downstream_variant</t>
        </is>
      </c>
      <c r="B33" s="12" t="inlineStr">
        <is>
          <t>http://identifiers.org/so/SO:0001634</t>
        </is>
      </c>
      <c r="C33" s="12" t="inlineStr">
        <is>
          <t>['near-gene-3', '500B downstream variant']</t>
        </is>
      </c>
      <c r="D33" s="12" t="n"/>
      <c r="E33" s="12" t="n"/>
    </row>
    <row r="34" ht="15.75" customHeight="1">
      <c r="A34" s="12" t="inlineStr">
        <is>
          <t>5KB_downstream_variant</t>
        </is>
      </c>
      <c r="B34" s="12" t="inlineStr">
        <is>
          <t>http://identifiers.org/so/SO:0001633</t>
        </is>
      </c>
      <c r="C34" s="12" t="inlineStr">
        <is>
          <t>['Seattleseq:downstream-gene', '5KB downstream variant', 'within 5KB downstream', 'downstream']</t>
        </is>
      </c>
      <c r="D34" s="12" t="n"/>
      <c r="E34" s="12" t="n"/>
    </row>
    <row r="35" ht="15.75" customHeight="1">
      <c r="A35" s="12" t="inlineStr">
        <is>
          <t>5KB_upstream_variant</t>
        </is>
      </c>
      <c r="B35" s="12" t="inlineStr">
        <is>
          <t>http://identifiers.org/so/SO:0001635</t>
        </is>
      </c>
      <c r="C35" s="12" t="inlineStr">
        <is>
          <t>['Seattleseq:upstream-gene', '5kb upstream variant', 'upstream']</t>
        </is>
      </c>
      <c r="D35" s="12" t="n"/>
      <c r="E35" s="12" t="n"/>
    </row>
    <row r="36" ht="15.75" customHeight="1">
      <c r="A36" s="12" t="inlineStr">
        <is>
          <t>5S_SINE_retrotransposon</t>
        </is>
      </c>
      <c r="B36" s="12" t="inlineStr">
        <is>
          <t>http://identifiers.org/so/SO:0002276</t>
        </is>
      </c>
      <c r="C36" s="12" t="inlineStr">
        <is>
          <t>['5S SINE element', '5S SINE retrotransposon', 'RSS retrotransposon']</t>
        </is>
      </c>
      <c r="D36" s="12" t="n"/>
      <c r="E36" s="12" t="n"/>
    </row>
    <row r="37" ht="15.75" customHeight="1">
      <c r="A37" s="12" t="inlineStr">
        <is>
          <t>7SL_SINE_retrotransposon</t>
        </is>
      </c>
      <c r="B37" s="12" t="inlineStr">
        <is>
          <t>http://identifiers.org/so/SO:0002275</t>
        </is>
      </c>
      <c r="C37" s="12" t="inlineStr">
        <is>
          <t>['7SL SINE element', 'RSL retrotransposon', '7SL SINE retrotransposon']</t>
        </is>
      </c>
      <c r="D37" s="12" t="n"/>
      <c r="E37" s="12" t="n"/>
    </row>
    <row r="38" ht="15.75" customHeight="1">
      <c r="A38" s="12" t="inlineStr">
        <is>
          <t>8_oxoadenine</t>
        </is>
      </c>
      <c r="B38" s="12" t="inlineStr">
        <is>
          <t>http://identifiers.org/so/SO:0001967</t>
        </is>
      </c>
      <c r="C38" s="12" t="inlineStr">
        <is>
          <t>['8-oxoadenine', '8-oxoA']</t>
        </is>
      </c>
      <c r="D38" s="12" t="n"/>
      <c r="E38" s="12" t="n"/>
    </row>
    <row r="39" ht="15.75" customHeight="1">
      <c r="A39" s="12" t="inlineStr">
        <is>
          <t>8_oxoguanine</t>
        </is>
      </c>
      <c r="B39" s="12" t="inlineStr">
        <is>
          <t>http://identifiers.org/so/SO:0001965</t>
        </is>
      </c>
      <c r="C39" s="12" t="inlineStr">
        <is>
          <t>['8-oxoG', '8-oxoguanine']</t>
        </is>
      </c>
      <c r="D39" s="12" t="n"/>
      <c r="E39" s="12" t="n"/>
    </row>
    <row r="40" ht="15.75" customHeight="1">
      <c r="A40" s="12" t="inlineStr">
        <is>
          <t>A_box</t>
        </is>
      </c>
      <c r="B40" s="12" t="inlineStr">
        <is>
          <t>http://identifiers.org/so/SO:0000619</t>
        </is>
      </c>
      <c r="C40" s="12" t="inlineStr">
        <is>
          <t>['A-box']</t>
        </is>
      </c>
      <c r="D40" s="12" t="n"/>
      <c r="E40" s="12" t="n"/>
    </row>
    <row r="41" ht="15.75" customHeight="1">
      <c r="A41" s="12" t="inlineStr">
        <is>
          <t>A_box_type_1</t>
        </is>
      </c>
      <c r="B41" s="12" t="inlineStr">
        <is>
          <t>http://identifiers.org/so/SO:0001675</t>
        </is>
      </c>
      <c r="C41" s="12" t="inlineStr">
        <is>
          <t>['A box type 1']</t>
        </is>
      </c>
      <c r="D41" s="12" t="n"/>
      <c r="E41" s="12" t="n"/>
    </row>
    <row r="42" ht="15.75" customHeight="1">
      <c r="A42" s="12" t="inlineStr">
        <is>
          <t>A_box_type_2</t>
        </is>
      </c>
      <c r="B42" s="12" t="inlineStr">
        <is>
          <t>http://identifiers.org/so/SO:0001676</t>
        </is>
      </c>
      <c r="C42" s="12" t="inlineStr">
        <is>
          <t>['A box type 2']</t>
        </is>
      </c>
      <c r="D42" s="12" t="n"/>
      <c r="E42" s="12" t="n"/>
    </row>
    <row r="43" ht="15.75" customHeight="1">
      <c r="A43" s="12" t="inlineStr">
        <is>
          <t>A_minor_RNA_motif</t>
        </is>
      </c>
      <c r="B43" s="12" t="inlineStr">
        <is>
          <t>http://identifiers.org/so/SO:0000022</t>
        </is>
      </c>
      <c r="C43" s="12" t="inlineStr">
        <is>
          <t>['A minor RNA motif']</t>
        </is>
      </c>
      <c r="D43" s="12" t="n"/>
      <c r="E43" s="12" t="n"/>
    </row>
    <row r="44" ht="15.75" customHeight="1">
      <c r="A44" s="12" t="inlineStr">
        <is>
          <t>A_to_C_transversion</t>
        </is>
      </c>
      <c r="B44" s="12" t="inlineStr">
        <is>
          <t>http://identifiers.org/so/SO:1000024</t>
        </is>
      </c>
      <c r="C44" s="12" t="inlineStr">
        <is>
          <t>['A to C transversion']</t>
        </is>
      </c>
      <c r="D44" s="12" t="n"/>
      <c r="E44" s="12" t="n"/>
    </row>
    <row r="45" ht="15.75" customHeight="1">
      <c r="A45" s="12" t="inlineStr">
        <is>
          <t>A_to_G_transition</t>
        </is>
      </c>
      <c r="B45" s="12" t="inlineStr">
        <is>
          <t>http://identifiers.org/so/SO:1000015</t>
        </is>
      </c>
      <c r="C45" s="12" t="inlineStr">
        <is>
          <t>['A to G transition']</t>
        </is>
      </c>
      <c r="D45" s="12" t="n"/>
      <c r="E45" s="12" t="n"/>
    </row>
    <row r="46" ht="15.75" customHeight="1">
      <c r="A46" s="12" t="inlineStr">
        <is>
          <t>A_to_T_transversion</t>
        </is>
      </c>
      <c r="B46" s="12" t="inlineStr">
        <is>
          <t>http://identifiers.org/so/SO:1000025</t>
        </is>
      </c>
      <c r="C46" s="12" t="inlineStr">
        <is>
          <t>['A to T transversion']</t>
        </is>
      </c>
      <c r="D46" s="12" t="n"/>
      <c r="E46" s="12" t="n"/>
    </row>
    <row r="47" ht="15.75" customHeight="1">
      <c r="A47" s="12" t="inlineStr">
        <is>
          <t>AACCCT_box</t>
        </is>
      </c>
      <c r="B47" s="12" t="inlineStr">
        <is>
          <t>http://identifiers.org/so/SO:0001901</t>
        </is>
      </c>
      <c r="C47" s="12" t="inlineStr">
        <is>
          <t>['AACCCT box']</t>
        </is>
      </c>
      <c r="D47" s="12" t="n"/>
      <c r="E47" s="12" t="n"/>
    </row>
    <row r="48" ht="15.75" customHeight="1">
      <c r="A48" s="12" t="inlineStr">
        <is>
          <t>aberrant_processed_transcript</t>
        </is>
      </c>
      <c r="B48" s="12" t="inlineStr">
        <is>
          <t>http://identifiers.org/so/SO:0000681</t>
        </is>
      </c>
      <c r="C48" s="12" t="inlineStr">
        <is>
          <t>['aberrant processed transcript']</t>
        </is>
      </c>
      <c r="D48" s="12" t="n"/>
      <c r="E48" s="12" t="n"/>
    </row>
    <row r="49" ht="15.75" customHeight="1">
      <c r="A49" s="12" t="inlineStr">
        <is>
          <t>Ace2_UAS</t>
        </is>
      </c>
      <c r="B49" s="12" t="inlineStr">
        <is>
          <t>http://identifiers.org/so/SO:0001857</t>
        </is>
      </c>
      <c r="C49" s="12" t="inlineStr">
        <is>
          <t>['Ace2 upstream activating sequence']</t>
        </is>
      </c>
      <c r="D49" s="12" t="n"/>
      <c r="E49" s="12" t="n"/>
    </row>
    <row r="50" ht="15.75" customHeight="1">
      <c r="A50" s="12" t="inlineStr">
        <is>
          <t>active_peptide</t>
        </is>
      </c>
      <c r="B50" s="12" t="inlineStr">
        <is>
          <t>http://identifiers.org/so/SO:0001064</t>
        </is>
      </c>
      <c r="C50" s="12" t="inlineStr">
        <is>
          <t>['active peptide', 'peptide']</t>
        </is>
      </c>
      <c r="D50" s="12" t="n"/>
      <c r="E50" s="12" t="n"/>
    </row>
    <row r="51" ht="15.75" customHeight="1">
      <c r="A51" s="12" t="inlineStr">
        <is>
          <t>adaptive_island</t>
        </is>
      </c>
      <c r="B51" s="12" t="inlineStr">
        <is>
          <t>http://identifiers.org/so/SO:0000775</t>
        </is>
      </c>
      <c r="C51" s="12" t="inlineStr">
        <is>
          <t>['adaptive island']</t>
        </is>
      </c>
      <c r="D51" s="12" t="n"/>
      <c r="E51" s="12" t="n"/>
    </row>
    <row r="52" ht="15.75" customHeight="1">
      <c r="A52" s="12" t="inlineStr">
        <is>
          <t>AFLP_fragment</t>
        </is>
      </c>
      <c r="B52" s="12" t="inlineStr">
        <is>
          <t>http://identifiers.org/so/SO:0001830</t>
        </is>
      </c>
      <c r="C52" s="12" t="inlineStr">
        <is>
          <t>['AFLP fragment', 'AFLP', 'amplified fragment length polymorphism', 'amplified fragment length polymorphism PCR', 'AFLP-PCR']</t>
        </is>
      </c>
      <c r="D52" s="12" t="n"/>
      <c r="E52" s="12" t="n"/>
    </row>
    <row r="53" ht="15.75" customHeight="1">
      <c r="A53" s="12" t="inlineStr">
        <is>
          <t>alanine</t>
        </is>
      </c>
      <c r="B53" s="12" t="inlineStr">
        <is>
          <t>http://identifiers.org/so/SO:0001435</t>
        </is>
      </c>
      <c r="C53" s="12" t="inlineStr">
        <is>
          <t>['Ala', 'A']</t>
        </is>
      </c>
      <c r="D53" s="12" t="n"/>
      <c r="E53" s="12" t="n"/>
    </row>
    <row r="54" ht="15.75" customHeight="1">
      <c r="A54" s="12" t="inlineStr">
        <is>
          <t>alanine_tRNA_primary_transcript</t>
        </is>
      </c>
      <c r="B54" s="12" t="inlineStr">
        <is>
          <t>http://identifiers.org/so/SO:0000211</t>
        </is>
      </c>
      <c r="C54" s="12" t="inlineStr">
        <is>
          <t>['alanine tRNA primary transcript']</t>
        </is>
      </c>
      <c r="D54" s="12" t="n"/>
      <c r="E54" s="12" t="n"/>
    </row>
    <row r="55" ht="15.75" customHeight="1">
      <c r="A55" s="12" t="inlineStr">
        <is>
          <t>alanyl_tRNA</t>
        </is>
      </c>
      <c r="B55" s="12" t="inlineStr">
        <is>
          <t>http://identifiers.org/so/SO:0000254</t>
        </is>
      </c>
      <c r="C55" s="12" t="inlineStr">
        <is>
          <t>['alanyl-transfer ribonucleic acid', 'alanyl-transfer RNA', 'alanyl tRNA']</t>
        </is>
      </c>
      <c r="D55" s="12" t="n"/>
      <c r="E55" s="12" t="n"/>
    </row>
    <row r="56" ht="15.75" customHeight="1">
      <c r="A56" s="12" t="inlineStr">
        <is>
          <t>allele</t>
        </is>
      </c>
      <c r="B56" s="12" t="inlineStr">
        <is>
          <t>http://identifiers.org/so/SO:0001023</t>
        </is>
      </c>
      <c r="C56" s="12" t="inlineStr">
        <is>
          <t>['allelomorph']</t>
        </is>
      </c>
      <c r="D56" s="12" t="n"/>
      <c r="E56" s="12" t="n"/>
    </row>
    <row r="57" ht="15.75" customHeight="1">
      <c r="A57" s="12" t="inlineStr">
        <is>
          <t>allelic_frequency</t>
        </is>
      </c>
      <c r="B57" s="12" t="inlineStr">
        <is>
          <t>http://identifiers.org/so/SO:0002119</t>
        </is>
      </c>
      <c r="C57" s="12" t="n"/>
      <c r="D57" s="12" t="n"/>
      <c r="E57" s="12" t="n"/>
    </row>
    <row r="58" ht="15.75" customHeight="1">
      <c r="A58" s="12" t="inlineStr">
        <is>
          <t>allelic_pseudogene</t>
        </is>
      </c>
      <c r="B58" s="12" t="inlineStr">
        <is>
          <t>http://identifiers.org/so/SO:0002189</t>
        </is>
      </c>
      <c r="C58" s="12" t="inlineStr">
        <is>
          <t>['INSDC_feature:gene', 'allelic pseudogene', 'INSDC_qualifier:allelic']</t>
        </is>
      </c>
      <c r="D58" s="12" t="n"/>
      <c r="E58" s="12" t="n"/>
    </row>
    <row r="59" ht="15.75" customHeight="1">
      <c r="A59" s="12" t="inlineStr">
        <is>
          <t>allelic_pseudogenic_rRNA</t>
        </is>
      </c>
      <c r="B59" s="12" t="inlineStr">
        <is>
          <t>http://identifiers.org/so/SO:0002196</t>
        </is>
      </c>
      <c r="C59" s="12" t="inlineStr">
        <is>
          <t>['INSDC_qualifier:allelic', 'INSDC_feature:rRNA', 'allelic pseudogenic rRNA']</t>
        </is>
      </c>
      <c r="D59" s="12" t="n"/>
      <c r="E59" s="12" t="n"/>
    </row>
    <row r="60" ht="15.75" customHeight="1">
      <c r="A60" s="12" t="inlineStr">
        <is>
          <t>allelic_pseudogenic_tRNA</t>
        </is>
      </c>
      <c r="B60" s="12" t="inlineStr">
        <is>
          <t>http://identifiers.org/so/SO:0002200</t>
        </is>
      </c>
      <c r="C60" s="12" t="inlineStr">
        <is>
          <t>['INSDC_feature:tRNA', 'allelic pseudogenic tRNA', 'INSDC_qualifier:allelic']</t>
        </is>
      </c>
      <c r="D60" s="12" t="n"/>
      <c r="E60" s="12" t="n"/>
    </row>
    <row r="61" ht="15.75" customHeight="1">
      <c r="A61" s="12" t="inlineStr">
        <is>
          <t>allelically_excluded</t>
        </is>
      </c>
      <c r="B61" s="12" t="inlineStr">
        <is>
          <t>http://identifiers.org/so/SO:0000137</t>
        </is>
      </c>
      <c r="C61" s="12" t="inlineStr">
        <is>
          <t>['allelically excluded']</t>
        </is>
      </c>
      <c r="D61" s="12" t="n"/>
      <c r="E61" s="12" t="n"/>
    </row>
    <row r="62" ht="15.75" customHeight="1">
      <c r="A62" s="12" t="inlineStr">
        <is>
          <t>allelically_excluded_gene</t>
        </is>
      </c>
      <c r="B62" s="12" t="inlineStr">
        <is>
          <t>http://identifiers.org/so/SO:0000897</t>
        </is>
      </c>
      <c r="C62" s="12" t="inlineStr">
        <is>
          <t>['allelically excluded gene']</t>
        </is>
      </c>
      <c r="D62" s="12" t="n"/>
      <c r="E62" s="12" t="n"/>
    </row>
    <row r="63" ht="15.75" customHeight="1">
      <c r="A63" s="12" t="inlineStr">
        <is>
          <t>allopolyploid</t>
        </is>
      </c>
      <c r="B63" s="12" t="inlineStr">
        <is>
          <t>http://identifiers.org/so/SO:0001256</t>
        </is>
      </c>
      <c r="C63" s="12" t="n"/>
      <c r="D63" s="12" t="n"/>
      <c r="E63" s="12" t="n"/>
    </row>
    <row r="64" ht="15.75" customHeight="1">
      <c r="A64" s="12" t="inlineStr">
        <is>
          <t>alpha_beta_motif</t>
        </is>
      </c>
      <c r="B64" s="12" t="inlineStr">
        <is>
          <t>http://identifiers.org/so/SO:0100008</t>
        </is>
      </c>
      <c r="C64" s="12" t="inlineStr">
        <is>
          <t>['alpha beta motif']</t>
        </is>
      </c>
      <c r="D64" s="12" t="n"/>
      <c r="E64" s="12" t="n"/>
    </row>
    <row r="65" ht="15.75" customHeight="1">
      <c r="A65" s="12" t="inlineStr">
        <is>
          <t>alpha_helix</t>
        </is>
      </c>
      <c r="B65" s="12" t="inlineStr">
        <is>
          <t>http://identifiers.org/so/SO:0001117</t>
        </is>
      </c>
      <c r="C65" s="12" t="inlineStr">
        <is>
          <t>['a-helix', 'helix']</t>
        </is>
      </c>
      <c r="D65" s="12" t="n"/>
      <c r="E65" s="12" t="n"/>
    </row>
    <row r="66" ht="15.75" customHeight="1">
      <c r="A66" s="12" t="inlineStr">
        <is>
          <t>alteration_attribute</t>
        </is>
      </c>
      <c r="B66" s="12" t="inlineStr">
        <is>
          <t>http://identifiers.org/so/SO:0001508</t>
        </is>
      </c>
      <c r="C66" s="12" t="inlineStr">
        <is>
          <t>['alteration attribute']</t>
        </is>
      </c>
      <c r="D66" s="12" t="n"/>
      <c r="E66" s="12" t="n"/>
    </row>
    <row r="67" ht="15.75" customHeight="1">
      <c r="A67" s="12" t="inlineStr">
        <is>
          <t>alternate_sequence_site</t>
        </is>
      </c>
      <c r="B67" s="12" t="inlineStr">
        <is>
          <t>http://identifiers.org/so/SO:0001149</t>
        </is>
      </c>
      <c r="C67" s="12" t="inlineStr">
        <is>
          <t>['alternative_sequence', 'varsplic', 'sequence variation', 'isoform', 'var_seq']</t>
        </is>
      </c>
      <c r="D67" s="12" t="n"/>
      <c r="E67" s="12" t="n"/>
    </row>
    <row r="68" ht="15.75" customHeight="1">
      <c r="A68" s="12" t="inlineStr">
        <is>
          <t>alternately_spliced_gene_encodeing_one_transcript</t>
        </is>
      </c>
      <c r="B68" s="12" t="inlineStr">
        <is>
          <t>http://identifiers.org/so/SO:0000503</t>
        </is>
      </c>
      <c r="C68" s="12" t="n"/>
      <c r="D68" s="12" t="n"/>
      <c r="E68" s="12" t="n"/>
    </row>
    <row r="69" ht="15.75" customHeight="1">
      <c r="A69" s="12" t="inlineStr">
        <is>
          <t>alternately_spliced_gene_encoding_greater_than_one_transcript</t>
        </is>
      </c>
      <c r="B69" s="12" t="inlineStr">
        <is>
          <t>http://identifiers.org/so/SO:0000543</t>
        </is>
      </c>
      <c r="C69" s="12" t="n"/>
      <c r="D69" s="12" t="n"/>
      <c r="E69" s="12" t="n"/>
    </row>
    <row r="70" ht="15.75" customHeight="1">
      <c r="A70" s="12" t="inlineStr">
        <is>
          <t>alternatively_spliced</t>
        </is>
      </c>
      <c r="B70" s="12" t="inlineStr">
        <is>
          <t>http://identifiers.org/so/SO:0000877</t>
        </is>
      </c>
      <c r="C70" s="12" t="inlineStr">
        <is>
          <t>['alternatively spliced']</t>
        </is>
      </c>
      <c r="D70" s="12" t="n"/>
      <c r="E70" s="12" t="n"/>
    </row>
    <row r="71" ht="15.75" customHeight="1">
      <c r="A71" s="12" t="inlineStr">
        <is>
          <t>alternatively_spliced_gene_encoding_greater_than_1_polypeptide_coding_regions_overlapping</t>
        </is>
      </c>
      <c r="B71" s="12" t="inlineStr">
        <is>
          <t>http://identifiers.org/so/SO:1001194</t>
        </is>
      </c>
      <c r="C71" s="12" t="n"/>
      <c r="D71" s="12" t="n"/>
      <c r="E71" s="12" t="n"/>
    </row>
    <row r="72" ht="15.75" customHeight="1">
      <c r="A72" s="12" t="inlineStr">
        <is>
          <t>alternatively_spliced_transcript</t>
        </is>
      </c>
      <c r="B72" s="12" t="inlineStr">
        <is>
          <t>http://identifiers.org/so/SO:1001187</t>
        </is>
      </c>
      <c r="C72" s="12" t="inlineStr">
        <is>
          <t>['alternatively spliced transcript']</t>
        </is>
      </c>
      <c r="D72" s="12" t="n"/>
      <c r="E72" s="12" t="n"/>
    </row>
    <row r="73" ht="15.75" customHeight="1">
      <c r="A73" s="12" t="inlineStr">
        <is>
          <t>alternatively_spliced_transcript_encoding_greater_than_1_polypeptide_different_start_codon_different_stop_codon_coding_regions_non_overlapping</t>
        </is>
      </c>
      <c r="B73" s="12" t="inlineStr">
        <is>
          <t>http://identifiers.org/so/SO:1001244</t>
        </is>
      </c>
      <c r="C73" s="12" t="inlineStr">
        <is>
          <t>['alternatively_spliced_transcript_encoding_greater_than_1_polypeptide_different_start_codon_different_stop_codon_coding_regions_non-overlapping']</t>
        </is>
      </c>
      <c r="D73" s="12" t="n"/>
      <c r="E73" s="12" t="n"/>
    </row>
    <row r="74" ht="15.75" customHeight="1">
      <c r="A74" s="12" t="inlineStr">
        <is>
          <t>Alu_deletion</t>
        </is>
      </c>
      <c r="B74" s="12" t="inlineStr">
        <is>
          <t>http://identifiers.org/so/SO:0002070</t>
        </is>
      </c>
      <c r="C74" s="12" t="n"/>
      <c r="D74" s="12" t="n"/>
      <c r="E74" s="12" t="n"/>
    </row>
    <row r="75" ht="15.75" customHeight="1">
      <c r="A75" s="12" t="inlineStr">
        <is>
          <t>Alu_insertion</t>
        </is>
      </c>
      <c r="B75" s="12" t="inlineStr">
        <is>
          <t>http://identifiers.org/so/SO:0002063</t>
        </is>
      </c>
      <c r="C75" s="12" t="inlineStr">
        <is>
          <t>['Alu insertion']</t>
        </is>
      </c>
      <c r="D75" s="12" t="n"/>
      <c r="E75" s="12" t="n"/>
    </row>
    <row r="76" ht="15.75" customHeight="1">
      <c r="A76" s="12" t="inlineStr">
        <is>
          <t>ambisense_ssRNA_viral_sequence</t>
        </is>
      </c>
      <c r="B76" s="12" t="inlineStr">
        <is>
          <t>http://identifiers.org/so/SO:0001202</t>
        </is>
      </c>
      <c r="C76" s="12" t="inlineStr">
        <is>
          <t>['ambisense ssRNA viral sequence', 'ambisense single stranded RNA virus']</t>
        </is>
      </c>
      <c r="D76" s="12" t="n"/>
      <c r="E76" s="12" t="n"/>
    </row>
    <row r="77" ht="15.75" customHeight="1">
      <c r="A77" s="12" t="inlineStr">
        <is>
          <t>amino_acid</t>
        </is>
      </c>
      <c r="B77" s="12" t="inlineStr">
        <is>
          <t>http://identifiers.org/so/SO:0001237</t>
        </is>
      </c>
      <c r="C77" s="12" t="inlineStr">
        <is>
          <t>['amino acid']</t>
        </is>
      </c>
      <c r="D77" s="12" t="n"/>
      <c r="E77" s="12" t="n"/>
    </row>
    <row r="78" ht="15.75" customHeight="1">
      <c r="A78" s="12" t="inlineStr">
        <is>
          <t>amino_acid_deletion</t>
        </is>
      </c>
      <c r="B78" s="12" t="inlineStr">
        <is>
          <t>http://identifiers.org/so/SO:0001604</t>
        </is>
      </c>
      <c r="C78" s="12" t="inlineStr">
        <is>
          <t>['amino acid deletion']</t>
        </is>
      </c>
      <c r="D78" s="12" t="n"/>
      <c r="E78" s="12" t="n"/>
    </row>
    <row r="79" ht="15.75" customHeight="1">
      <c r="A79" s="12" t="inlineStr">
        <is>
          <t>amino_acid_insertion</t>
        </is>
      </c>
      <c r="B79" s="12" t="inlineStr">
        <is>
          <t>http://identifiers.org/so/SO:0001605</t>
        </is>
      </c>
      <c r="C79" s="12" t="inlineStr">
        <is>
          <t>['amino acid insertion']</t>
        </is>
      </c>
      <c r="D79" s="12" t="n"/>
      <c r="E79" s="12" t="n"/>
    </row>
    <row r="80" ht="15.75" customHeight="1">
      <c r="A80" s="12" t="inlineStr">
        <is>
          <t>amino_acid_substitution</t>
        </is>
      </c>
      <c r="B80" s="12" t="inlineStr">
        <is>
          <t>http://identifiers.org/so/SO:0001606</t>
        </is>
      </c>
      <c r="C80" s="12" t="inlineStr">
        <is>
          <t>['VAAST:amino_acid_substitution', 'amino acid substitution']</t>
        </is>
      </c>
      <c r="D80" s="12" t="n"/>
      <c r="E80" s="12" t="n"/>
    </row>
    <row r="81" ht="15.75" customHeight="1">
      <c r="A81" s="12" t="inlineStr">
        <is>
          <t>amplification_origin</t>
        </is>
      </c>
      <c r="B81" s="12" t="inlineStr">
        <is>
          <t>http://identifiers.org/so/SO:0000750</t>
        </is>
      </c>
      <c r="C81" s="12" t="inlineStr">
        <is>
          <t>['amplification origin']</t>
        </is>
      </c>
      <c r="D81" s="12" t="n"/>
      <c r="E81" s="12" t="n"/>
    </row>
    <row r="82" ht="15.75" customHeight="1">
      <c r="A82" s="12" t="inlineStr">
        <is>
          <t>anchor_binding_site</t>
        </is>
      </c>
      <c r="B82" s="12" t="inlineStr">
        <is>
          <t>http://identifiers.org/so/SO:0000977</t>
        </is>
      </c>
      <c r="C82" s="12" t="inlineStr">
        <is>
          <t>['anchor binding site']</t>
        </is>
      </c>
      <c r="D82" s="12" t="n"/>
      <c r="E82" s="12" t="n"/>
    </row>
    <row r="83" ht="15.75" customHeight="1">
      <c r="A83" s="12" t="inlineStr">
        <is>
          <t>anchor_region</t>
        </is>
      </c>
      <c r="B83" s="12" t="inlineStr">
        <is>
          <t>http://identifiers.org/so/SO:0000931</t>
        </is>
      </c>
      <c r="C83" s="12" t="inlineStr">
        <is>
          <t>['anchor region']</t>
        </is>
      </c>
      <c r="D83" s="12" t="n"/>
      <c r="E83" s="12" t="n"/>
    </row>
    <row r="84" ht="15.75" customHeight="1">
      <c r="A84" s="12" t="inlineStr">
        <is>
          <t>androgen_response_element</t>
        </is>
      </c>
      <c r="B84" s="12" t="inlineStr">
        <is>
          <t>http://identifiers.org/so/SO:0001853</t>
        </is>
      </c>
      <c r="C84" s="12" t="inlineStr">
        <is>
          <t>['androgen response element', 'ARE']</t>
        </is>
      </c>
      <c r="D84" s="12" t="n"/>
      <c r="E84" s="12" t="n"/>
    </row>
    <row r="85" ht="15.75" customHeight="1">
      <c r="A85" s="12" t="inlineStr">
        <is>
          <t>aneuploid</t>
        </is>
      </c>
      <c r="B85" s="12" t="inlineStr">
        <is>
          <t>http://identifiers.org/so/SO:0000054</t>
        </is>
      </c>
      <c r="C85" s="12" t="n"/>
      <c r="D85" s="12" t="n"/>
      <c r="E85" s="12" t="n"/>
    </row>
    <row r="86" ht="15.75" customHeight="1">
      <c r="A86" s="12" t="inlineStr">
        <is>
          <t>aneuploid_chromosome</t>
        </is>
      </c>
      <c r="B86" s="12" t="inlineStr">
        <is>
          <t>http://identifiers.org/so/SO:0000550</t>
        </is>
      </c>
      <c r="C86" s="12" t="inlineStr">
        <is>
          <t>['aneuploid chromosome']</t>
        </is>
      </c>
      <c r="D86" s="12" t="n"/>
      <c r="E86" s="12" t="n"/>
    </row>
    <row r="87" ht="15.75" customHeight="1">
      <c r="A87" s="12" t="inlineStr">
        <is>
          <t>annotation_directed_improved_draft</t>
        </is>
      </c>
      <c r="B87" s="12" t="inlineStr">
        <is>
          <t>http://identifiers.org/so/SO:0001489</t>
        </is>
      </c>
      <c r="C87" s="12" t="inlineStr">
        <is>
          <t>['annotation directed improvement']</t>
        </is>
      </c>
      <c r="D87" s="12" t="n"/>
      <c r="E87" s="12" t="n"/>
    </row>
    <row r="88" ht="15.75" customHeight="1">
      <c r="A88" s="12" t="inlineStr">
        <is>
          <t>anti_ARRET</t>
        </is>
      </c>
      <c r="B88" s="12" t="inlineStr">
        <is>
          <t>http://identifiers.org/so/SO:0001926</t>
        </is>
      </c>
      <c r="C88" s="12" t="inlineStr">
        <is>
          <t>['anti-ARRET']</t>
        </is>
      </c>
      <c r="D88" s="12" t="n"/>
      <c r="E88" s="12" t="n"/>
    </row>
    <row r="89" ht="15.75" customHeight="1">
      <c r="A89" s="12" t="inlineStr">
        <is>
          <t>anticodon</t>
        </is>
      </c>
      <c r="B89" s="12" t="inlineStr">
        <is>
          <t>http://identifiers.org/so/SO:0001174</t>
        </is>
      </c>
      <c r="C89" s="12" t="inlineStr">
        <is>
          <t>['anti-codon']</t>
        </is>
      </c>
      <c r="D89" s="12" t="n"/>
      <c r="E89" s="12" t="n"/>
    </row>
    <row r="90" ht="15.75" customHeight="1">
      <c r="A90" s="12" t="inlineStr">
        <is>
          <t>anticodon_loop</t>
        </is>
      </c>
      <c r="B90" s="12" t="inlineStr">
        <is>
          <t>http://identifiers.org/so/SO:0001173</t>
        </is>
      </c>
      <c r="C90" s="12" t="inlineStr">
        <is>
          <t>['anticodon loop', 'anti-codon loop']</t>
        </is>
      </c>
      <c r="D90" s="12" t="n"/>
      <c r="E90" s="12" t="n"/>
    </row>
    <row r="91" ht="15.75" customHeight="1">
      <c r="A91" s="12" t="inlineStr">
        <is>
          <t>antiparallel_beta_strand</t>
        </is>
      </c>
      <c r="B91" s="12" t="inlineStr">
        <is>
          <t>http://identifiers.org/so/SO:0001112</t>
        </is>
      </c>
      <c r="C91" s="12" t="inlineStr">
        <is>
          <t>['antiparallel beta strand']</t>
        </is>
      </c>
      <c r="D91" s="12" t="n"/>
      <c r="E91" s="12" t="n"/>
    </row>
    <row r="92" ht="15.75" customHeight="1">
      <c r="A92" s="12" t="inlineStr">
        <is>
          <t>antisense</t>
        </is>
      </c>
      <c r="B92" s="12" t="inlineStr">
        <is>
          <t>http://identifiers.org/so/SO:0000077</t>
        </is>
      </c>
      <c r="C92" s="12" t="n"/>
      <c r="D92" s="12" t="n"/>
      <c r="E92" s="12" t="n"/>
    </row>
    <row r="93" ht="15.75" customHeight="1">
      <c r="A93" s="12" t="inlineStr">
        <is>
          <t>antisense_lncRNA</t>
        </is>
      </c>
      <c r="B93" s="12" t="inlineStr">
        <is>
          <t>http://identifiers.org/so/SO:0001904</t>
        </is>
      </c>
      <c r="C93" s="12" t="inlineStr">
        <is>
          <t>['natural antisense transcript', 'antisense lncRNA']</t>
        </is>
      </c>
      <c r="D93" s="12" t="n"/>
      <c r="E93" s="12" t="n"/>
    </row>
    <row r="94" ht="15.75" customHeight="1">
      <c r="A94" s="12" t="inlineStr">
        <is>
          <t>antisense_lncRNA_gene</t>
        </is>
      </c>
      <c r="B94" s="12" t="inlineStr">
        <is>
          <t>http://identifiers.org/so/SO:0002182</t>
        </is>
      </c>
      <c r="C94" s="12" t="inlineStr">
        <is>
          <t>['antisense lncRNA gene']</t>
        </is>
      </c>
      <c r="D94" s="12" t="n"/>
      <c r="E94" s="12" t="n"/>
    </row>
    <row r="95" ht="15.75" customHeight="1">
      <c r="A95" s="12" t="inlineStr">
        <is>
          <t>antisense_primary_transcript</t>
        </is>
      </c>
      <c r="B95" s="12" t="inlineStr">
        <is>
          <t>http://identifiers.org/so/SO:0000645</t>
        </is>
      </c>
      <c r="C95" s="12" t="inlineStr">
        <is>
          <t>['antisense primary transcript']</t>
        </is>
      </c>
      <c r="D95" s="12" t="n"/>
      <c r="E95" s="12" t="n"/>
    </row>
    <row r="96" ht="15.75" customHeight="1">
      <c r="A96" s="12" t="inlineStr">
        <is>
          <t>antisense_RNA</t>
        </is>
      </c>
      <c r="B96" s="12" t="inlineStr">
        <is>
          <t>http://identifiers.org/so/SO:0000644</t>
        </is>
      </c>
      <c r="C96" s="12" t="inlineStr">
        <is>
          <t>['antisense RNA', 'INSDC_feature:ncRNA', 'INSDC_qualifier:antisense_RNA']</t>
        </is>
      </c>
      <c r="D96" s="12" t="n"/>
      <c r="E96" s="12" t="n"/>
    </row>
    <row r="97" ht="15.75" customHeight="1">
      <c r="A97" s="12" t="inlineStr">
        <is>
          <t>AP_1_binding_site</t>
        </is>
      </c>
      <c r="B97" s="12" t="inlineStr">
        <is>
          <t>http://identifiers.org/so/SO:0001842</t>
        </is>
      </c>
      <c r="C97" s="12" t="inlineStr">
        <is>
          <t>['AP-1 binding site']</t>
        </is>
      </c>
      <c r="D97" s="12" t="n"/>
      <c r="E97" s="12" t="n"/>
    </row>
    <row r="98" ht="15.75" customHeight="1">
      <c r="A98" s="12" t="inlineStr">
        <is>
          <t>apicoplast_chromosome</t>
        </is>
      </c>
      <c r="B98" s="12" t="inlineStr">
        <is>
          <t>http://identifiers.org/so/SO:0001259</t>
        </is>
      </c>
      <c r="C98" s="12" t="inlineStr">
        <is>
          <t>['apicoplast chromosome']</t>
        </is>
      </c>
      <c r="D98" s="12" t="n"/>
      <c r="E98" s="12" t="n"/>
    </row>
    <row r="99" ht="15.75" customHeight="1">
      <c r="A99" s="12" t="inlineStr">
        <is>
          <t>apicoplast_gene</t>
        </is>
      </c>
      <c r="B99" s="12" t="inlineStr">
        <is>
          <t>http://identifiers.org/so/SO:0000091</t>
        </is>
      </c>
      <c r="C99" s="12" t="inlineStr">
        <is>
          <t>['apicoplast gene']</t>
        </is>
      </c>
      <c r="D99" s="12" t="n"/>
      <c r="E99" s="12" t="n"/>
    </row>
    <row r="100" ht="15.75" customHeight="1">
      <c r="A100" s="12" t="inlineStr">
        <is>
          <t>apicoplast_sequence</t>
        </is>
      </c>
      <c r="B100" s="12" t="inlineStr">
        <is>
          <t>http://identifiers.org/so/SO:0000743</t>
        </is>
      </c>
      <c r="C100" s="12" t="inlineStr">
        <is>
          <t>['apicoplast sequence']</t>
        </is>
      </c>
      <c r="D100" s="12" t="n"/>
      <c r="E100" s="12" t="n"/>
    </row>
    <row r="101" ht="15.75" customHeight="1">
      <c r="A101" s="12" t="inlineStr">
        <is>
          <t>aptamer</t>
        </is>
      </c>
      <c r="B101" s="12" t="inlineStr">
        <is>
          <t>http://identifiers.org/so/SO:0000031</t>
        </is>
      </c>
      <c r="C101" s="12" t="n"/>
      <c r="D101" s="12" t="n"/>
      <c r="E101" s="12" t="n"/>
    </row>
    <row r="102" ht="15.75" customHeight="1">
      <c r="A102" s="12" t="inlineStr">
        <is>
          <t>archaeal_intron</t>
        </is>
      </c>
      <c r="B102" s="12" t="inlineStr">
        <is>
          <t>http://identifiers.org/so/SO:1001271</t>
        </is>
      </c>
      <c r="C102" s="12" t="inlineStr">
        <is>
          <t>['archaeal intron']</t>
        </is>
      </c>
      <c r="D102" s="12" t="n"/>
      <c r="E102" s="12" t="n"/>
    </row>
    <row r="103" ht="15.75" customHeight="1">
      <c r="A103" s="12" t="inlineStr">
        <is>
          <t>archaeosine</t>
        </is>
      </c>
      <c r="B103" s="12" t="inlineStr">
        <is>
          <t>http://identifiers.org/so/SO:0001323</t>
        </is>
      </c>
      <c r="C103" s="12" t="inlineStr">
        <is>
          <t>['G+']</t>
        </is>
      </c>
      <c r="D103" s="12" t="n"/>
      <c r="E103" s="12" t="n"/>
    </row>
    <row r="104" ht="15.75" customHeight="1">
      <c r="A104" s="12" t="inlineStr">
        <is>
          <t>arginine</t>
        </is>
      </c>
      <c r="B104" s="12" t="inlineStr">
        <is>
          <t>http://identifiers.org/so/SO:0001451</t>
        </is>
      </c>
      <c r="C104" s="12" t="inlineStr">
        <is>
          <t>['Arg', 'R']</t>
        </is>
      </c>
      <c r="D104" s="12" t="n"/>
      <c r="E104" s="12" t="n"/>
    </row>
    <row r="105" ht="15.75" customHeight="1">
      <c r="A105" s="12" t="inlineStr">
        <is>
          <t>arginine_tRNA_primary_transcript</t>
        </is>
      </c>
      <c r="B105" s="12" t="inlineStr">
        <is>
          <t>http://identifiers.org/so/SO:0000212</t>
        </is>
      </c>
      <c r="C105" s="12" t="inlineStr">
        <is>
          <t>['arginine tRNA primary transcript']</t>
        </is>
      </c>
      <c r="D105" s="12" t="n"/>
      <c r="E105" s="12" t="n"/>
    </row>
    <row r="106" ht="15.75" customHeight="1">
      <c r="A106" s="12" t="inlineStr">
        <is>
          <t>arginyl_tRNA</t>
        </is>
      </c>
      <c r="B106" s="12" t="inlineStr">
        <is>
          <t>http://identifiers.org/so/SO:0001036</t>
        </is>
      </c>
      <c r="C106" s="12" t="inlineStr">
        <is>
          <t>['arginyl tRNA']</t>
        </is>
      </c>
      <c r="D106" s="12" t="n"/>
      <c r="E106" s="12" t="n"/>
    </row>
    <row r="107" ht="15.75" customHeight="1">
      <c r="A107" s="12" t="inlineStr">
        <is>
          <t>ARIA</t>
        </is>
      </c>
      <c r="B107" s="12" t="inlineStr">
        <is>
          <t>http://identifiers.org/so/SO:0001925</t>
        </is>
      </c>
      <c r="C107" s="12" t="n"/>
      <c r="D107" s="12" t="n"/>
      <c r="E107" s="12" t="n"/>
    </row>
    <row r="108" ht="15.75" customHeight="1">
      <c r="A108" s="12" t="inlineStr">
        <is>
          <t>ARRET</t>
        </is>
      </c>
      <c r="B108" s="12" t="inlineStr">
        <is>
          <t>http://identifiers.org/so/SO:0001924</t>
        </is>
      </c>
      <c r="C108" s="12" t="n"/>
      <c r="D108" s="12" t="n"/>
      <c r="E108" s="12" t="n"/>
    </row>
    <row r="109" ht="15.75" customHeight="1">
      <c r="A109" s="12" t="inlineStr">
        <is>
          <t>ARS</t>
        </is>
      </c>
      <c r="B109" s="12" t="inlineStr">
        <is>
          <t>http://identifiers.org/so/SO:0000436</t>
        </is>
      </c>
      <c r="C109" s="12" t="inlineStr">
        <is>
          <t>['autonomously replicating sequence']</t>
        </is>
      </c>
      <c r="D109" s="12" t="n"/>
      <c r="E109" s="12" t="n"/>
    </row>
    <row r="110" ht="15.75" customHeight="1">
      <c r="A110" s="12" t="inlineStr">
        <is>
          <t>ARS_consensus_sequence</t>
        </is>
      </c>
      <c r="B110" s="12" t="inlineStr">
        <is>
          <t>http://identifiers.org/so/SO:0002004</t>
        </is>
      </c>
      <c r="C110" s="12" t="inlineStr">
        <is>
          <t>['ARS consensus sequence', 'ACS']</t>
        </is>
      </c>
      <c r="D110" s="12" t="n"/>
      <c r="E110" s="12" t="n"/>
    </row>
    <row r="111" ht="15.75" customHeight="1">
      <c r="A111" s="12" t="inlineStr">
        <is>
          <t>asparagine</t>
        </is>
      </c>
      <c r="B111" s="12" t="inlineStr">
        <is>
          <t>http://identifiers.org/so/SO:0001449</t>
        </is>
      </c>
      <c r="C111" s="12" t="inlineStr">
        <is>
          <t>['Asn', 'N']</t>
        </is>
      </c>
      <c r="D111" s="12" t="n"/>
      <c r="E111" s="12" t="n"/>
    </row>
    <row r="112" ht="15.75" customHeight="1">
      <c r="A112" s="12" t="inlineStr">
        <is>
          <t>asparagine_tRNA_primary_transcript</t>
        </is>
      </c>
      <c r="B112" s="12" t="inlineStr">
        <is>
          <t>http://identifiers.org/so/SO:0000213</t>
        </is>
      </c>
      <c r="C112" s="12" t="inlineStr">
        <is>
          <t>['asparagine tRNA primary transcript']</t>
        </is>
      </c>
      <c r="D112" s="12" t="n"/>
      <c r="E112" s="12" t="n"/>
    </row>
    <row r="113" ht="15.75" customHeight="1">
      <c r="A113" s="12" t="inlineStr">
        <is>
          <t>asparaginyl_tRNA</t>
        </is>
      </c>
      <c r="B113" s="12" t="inlineStr">
        <is>
          <t>http://identifiers.org/so/SO:0000256</t>
        </is>
      </c>
      <c r="C113" s="12" t="inlineStr">
        <is>
          <t>['asparaginyl-transfer ribonucleic acid', 'asparaginyl-transfer RNA', 'asparaginyl tRNA']</t>
        </is>
      </c>
      <c r="D113" s="12" t="n"/>
      <c r="E113" s="12" t="n"/>
    </row>
    <row r="114" ht="15.75" customHeight="1">
      <c r="A114" s="12" t="inlineStr">
        <is>
          <t>aspartic_acid</t>
        </is>
      </c>
      <c r="B114" s="12" t="inlineStr">
        <is>
          <t>http://identifiers.org/so/SO:0001453</t>
        </is>
      </c>
      <c r="C114" s="12" t="inlineStr">
        <is>
          <t>['Asp', 'aspartic acid', 'D']</t>
        </is>
      </c>
      <c r="D114" s="12" t="n"/>
      <c r="E114" s="12" t="n"/>
    </row>
    <row r="115" ht="15.75" customHeight="1">
      <c r="A115" s="12" t="inlineStr">
        <is>
          <t>aspartic_acid_tRNA_primary_transcript</t>
        </is>
      </c>
      <c r="B115" s="12" t="inlineStr">
        <is>
          <t>http://identifiers.org/so/SO:0000214</t>
        </is>
      </c>
      <c r="C115" s="12" t="inlineStr">
        <is>
          <t>['aspartic acid tRNA primary transcript']</t>
        </is>
      </c>
      <c r="D115" s="12" t="n"/>
      <c r="E115" s="12" t="n"/>
    </row>
    <row r="116" ht="15.75" customHeight="1">
      <c r="A116" s="12" t="inlineStr">
        <is>
          <t>aspartyl_tRNA</t>
        </is>
      </c>
      <c r="B116" s="12" t="inlineStr">
        <is>
          <t>http://identifiers.org/so/SO:0000257</t>
        </is>
      </c>
      <c r="C116" s="12" t="inlineStr">
        <is>
          <t>['aspartyl-transfer RNA', 'aspartyl-transfer ribonucleic acid', 'aspartyl tRNA']</t>
        </is>
      </c>
      <c r="D116" s="12" t="n"/>
      <c r="E116" s="12" t="n"/>
    </row>
    <row r="117" ht="15.75" customHeight="1">
      <c r="A117" s="12" t="inlineStr">
        <is>
          <t>ASPE_primer</t>
        </is>
      </c>
      <c r="B117" s="12" t="inlineStr">
        <is>
          <t>http://identifiers.org/so/SO:0001698</t>
        </is>
      </c>
      <c r="C117" s="12" t="inlineStr">
        <is>
          <t>['allele specific primer extension primer', 'ASPE primer']</t>
        </is>
      </c>
      <c r="D117" s="12" t="n"/>
      <c r="E117" s="12" t="n"/>
    </row>
    <row r="118" ht="15.75" customHeight="1">
      <c r="A118" s="12" t="inlineStr">
        <is>
          <t>assembly</t>
        </is>
      </c>
      <c r="B118" s="12" t="inlineStr">
        <is>
          <t>http://identifiers.org/so/SO:0001248</t>
        </is>
      </c>
      <c r="C118" s="12" t="n"/>
      <c r="D118" s="12" t="n"/>
      <c r="E118" s="12" t="n"/>
    </row>
    <row r="119" ht="15.75" customHeight="1">
      <c r="A119" s="12" t="inlineStr">
        <is>
          <t>assembly_component</t>
        </is>
      </c>
      <c r="B119" s="12" t="inlineStr">
        <is>
          <t>http://identifiers.org/so/SO:0000143</t>
        </is>
      </c>
      <c r="C119" s="12" t="inlineStr">
        <is>
          <t>['assembly component']</t>
        </is>
      </c>
      <c r="D119" s="12" t="n"/>
      <c r="E119" s="12" t="n"/>
    </row>
    <row r="120" ht="15.75" customHeight="1">
      <c r="A120" s="12" t="inlineStr">
        <is>
          <t>assembly_error_correction</t>
        </is>
      </c>
      <c r="B120" s="12" t="inlineStr">
        <is>
          <t>http://identifiers.org/so/SO:0001525</t>
        </is>
      </c>
      <c r="C120" s="12" t="inlineStr">
        <is>
          <t>['assembly error correction']</t>
        </is>
      </c>
      <c r="D120" s="12" t="n"/>
      <c r="E120" s="12" t="n"/>
    </row>
    <row r="121" ht="15.75" customHeight="1">
      <c r="A121" s="12" t="inlineStr">
        <is>
          <t>asx_motif</t>
        </is>
      </c>
      <c r="B121" s="12" t="inlineStr">
        <is>
          <t>http://identifiers.org/so/SO:0001106</t>
        </is>
      </c>
      <c r="C121" s="12" t="inlineStr">
        <is>
          <t>['asx motif']</t>
        </is>
      </c>
      <c r="D121" s="12" t="n"/>
      <c r="E121" s="12" t="n"/>
    </row>
    <row r="122" ht="15.75" customHeight="1">
      <c r="A122" s="12" t="inlineStr">
        <is>
          <t>asx_turn</t>
        </is>
      </c>
      <c r="B122" s="12" t="inlineStr">
        <is>
          <t>http://identifiers.org/so/SO:0000912</t>
        </is>
      </c>
      <c r="C122" s="12" t="inlineStr">
        <is>
          <t>['asx turn']</t>
        </is>
      </c>
      <c r="D122" s="12" t="n"/>
      <c r="E122" s="12" t="n"/>
    </row>
    <row r="123" ht="15.75" customHeight="1">
      <c r="A123" s="12" t="inlineStr">
        <is>
          <t>asx_turn_left_handed_type_one</t>
        </is>
      </c>
      <c r="B123" s="12" t="inlineStr">
        <is>
          <t>http://identifiers.org/so/SO:0001129</t>
        </is>
      </c>
      <c r="C123" s="12" t="inlineStr">
        <is>
          <t>['asx_turn_il', 'asx turn left handed type one']</t>
        </is>
      </c>
      <c r="D123" s="12" t="n"/>
      <c r="E123" s="12" t="n"/>
    </row>
    <row r="124" ht="15.75" customHeight="1">
      <c r="A124" s="12" t="inlineStr">
        <is>
          <t>asx_turn_left_handed_type_two</t>
        </is>
      </c>
      <c r="B124" s="12" t="inlineStr">
        <is>
          <t>http://identifiers.org/so/SO:0001130</t>
        </is>
      </c>
      <c r="C124" s="12" t="inlineStr">
        <is>
          <t>['asx_turn_iil', 'asx turn left handed type two']</t>
        </is>
      </c>
      <c r="D124" s="12" t="n"/>
      <c r="E124" s="12" t="n"/>
    </row>
    <row r="125" ht="15.75" customHeight="1">
      <c r="A125" s="12" t="inlineStr">
        <is>
          <t>asx_turn_right_handed_type_one</t>
        </is>
      </c>
      <c r="B125" s="12" t="inlineStr">
        <is>
          <t>http://identifiers.org/so/SO:0001132</t>
        </is>
      </c>
      <c r="C125" s="12" t="inlineStr">
        <is>
          <t>['asx_turn_ir', 'asx turn type right handed type one']</t>
        </is>
      </c>
      <c r="D125" s="12" t="n"/>
      <c r="E125" s="12" t="n"/>
    </row>
    <row r="126" ht="15.75" customHeight="1">
      <c r="A126" s="12" t="inlineStr">
        <is>
          <t>asx_turn_right_handed_type_two</t>
        </is>
      </c>
      <c r="B126" s="12" t="inlineStr">
        <is>
          <t>http://identifiers.org/so/SO:0001131</t>
        </is>
      </c>
      <c r="C126" s="12" t="inlineStr">
        <is>
          <t>['asx_turn_iir', 'asx turn right handed type two']</t>
        </is>
      </c>
      <c r="D126" s="12" t="n"/>
      <c r="E126" s="12" t="n"/>
    </row>
    <row r="127" ht="15.75" customHeight="1">
      <c r="A127" s="12" t="inlineStr">
        <is>
          <t>asymmetric_RNA_internal_loop</t>
        </is>
      </c>
      <c r="B127" s="12" t="inlineStr">
        <is>
          <t>http://identifiers.org/so/SO:0000021</t>
        </is>
      </c>
      <c r="C127" s="12" t="inlineStr">
        <is>
          <t>['asymmetric RNA internal loop']</t>
        </is>
      </c>
      <c r="D127" s="12" t="n"/>
      <c r="E127" s="12" t="n"/>
    </row>
    <row r="128" ht="15.75" customHeight="1">
      <c r="A128" s="12" t="inlineStr">
        <is>
          <t>attB_site</t>
        </is>
      </c>
      <c r="B128" s="12" t="inlineStr">
        <is>
          <t>http://identifiers.org/so/SO:0000943</t>
        </is>
      </c>
      <c r="C128" s="12" t="inlineStr">
        <is>
          <t>['attB site']</t>
        </is>
      </c>
      <c r="D128" s="12" t="n"/>
      <c r="E128" s="12" t="n"/>
    </row>
    <row r="129" ht="15.75" customHeight="1">
      <c r="A129" s="12" t="inlineStr">
        <is>
          <t>attC_site</t>
        </is>
      </c>
      <c r="B129" s="12" t="inlineStr">
        <is>
          <t>http://identifiers.org/so/SO:0000950</t>
        </is>
      </c>
      <c r="C129" s="12" t="inlineStr">
        <is>
          <t>['attC site']</t>
        </is>
      </c>
      <c r="D129" s="12" t="n"/>
      <c r="E129" s="12" t="n"/>
    </row>
    <row r="130" ht="15.75" customHeight="1">
      <c r="A130" s="12" t="inlineStr">
        <is>
          <t>attCtn_site</t>
        </is>
      </c>
      <c r="B130" s="12" t="inlineStr">
        <is>
          <t>http://identifiers.org/so/SO:0001043</t>
        </is>
      </c>
      <c r="C130" s="12" t="inlineStr">
        <is>
          <t>['attCtn site']</t>
        </is>
      </c>
      <c r="D130" s="12" t="n"/>
      <c r="E130" s="12" t="n"/>
    </row>
    <row r="131" ht="15.75" customHeight="1">
      <c r="A131" s="12" t="inlineStr">
        <is>
          <t>attenuator</t>
        </is>
      </c>
      <c r="B131" s="12" t="inlineStr">
        <is>
          <t>http://identifiers.org/so/SO:0000140</t>
        </is>
      </c>
      <c r="C131" s="12" t="inlineStr">
        <is>
          <t>['INSDC_qualifier:attenuator', 'INSDC_feature:regulatory', 'attenuator sequence']</t>
        </is>
      </c>
      <c r="D131" s="12" t="n"/>
      <c r="E131" s="12" t="n"/>
    </row>
    <row r="132" ht="15.75" customHeight="1">
      <c r="A132" s="12" t="inlineStr">
        <is>
          <t>attI_site</t>
        </is>
      </c>
      <c r="B132" s="12" t="inlineStr">
        <is>
          <t>http://identifiers.org/so/SO:0000367</t>
        </is>
      </c>
      <c r="C132" s="12" t="inlineStr">
        <is>
          <t>['attI site']</t>
        </is>
      </c>
      <c r="D132" s="12" t="n"/>
      <c r="E132" s="12" t="n"/>
    </row>
    <row r="133" ht="15.75" customHeight="1">
      <c r="A133" s="12" t="inlineStr">
        <is>
          <t>attL_site</t>
        </is>
      </c>
      <c r="B133" s="12" t="inlineStr">
        <is>
          <t>http://identifiers.org/so/SO:0000944</t>
        </is>
      </c>
      <c r="C133" s="12" t="inlineStr">
        <is>
          <t>["attBP'", 'attL site']</t>
        </is>
      </c>
      <c r="D133" s="12" t="n"/>
      <c r="E133" s="12" t="n"/>
    </row>
    <row r="134" ht="15.75" customHeight="1">
      <c r="A134" s="12" t="inlineStr">
        <is>
          <t>attP_site</t>
        </is>
      </c>
      <c r="B134" s="12" t="inlineStr">
        <is>
          <t>http://identifiers.org/so/SO:0000942</t>
        </is>
      </c>
      <c r="C134" s="12" t="inlineStr">
        <is>
          <t>['attP site']</t>
        </is>
      </c>
      <c r="D134" s="12" t="n"/>
      <c r="E134" s="12" t="n"/>
    </row>
    <row r="135" ht="15.75" customHeight="1">
      <c r="A135" s="12" t="inlineStr">
        <is>
          <t>attR_site</t>
        </is>
      </c>
      <c r="B135" s="12" t="inlineStr">
        <is>
          <t>http://identifiers.org/so/SO:0000945</t>
        </is>
      </c>
      <c r="C135" s="12" t="inlineStr">
        <is>
          <t>['attR site', "attPB'"]</t>
        </is>
      </c>
      <c r="D135" s="12" t="n"/>
      <c r="E135" s="12" t="n"/>
    </row>
    <row r="136" ht="15.75" customHeight="1">
      <c r="A136" s="12" t="inlineStr">
        <is>
          <t>AU_rich_element</t>
        </is>
      </c>
      <c r="B136" s="12" t="inlineStr">
        <is>
          <t>http://identifiers.org/so/SO:0001180</t>
        </is>
      </c>
      <c r="C136" s="12" t="inlineStr">
        <is>
          <t>['ARE', 'AU-rich element', 'AU rich element']</t>
        </is>
      </c>
      <c r="D136" s="12" t="n"/>
      <c r="E136" s="12" t="n"/>
    </row>
    <row r="137" ht="15.75" customHeight="1">
      <c r="A137" s="12" t="inlineStr">
        <is>
          <t>AUG_initiated_uORF</t>
        </is>
      </c>
      <c r="B137" s="12" t="inlineStr">
        <is>
          <t>http://identifiers.org/so/SO:0002150</t>
        </is>
      </c>
      <c r="C137" s="12" t="inlineStr">
        <is>
          <t>['AUG initiated uORF']</t>
        </is>
      </c>
      <c r="D137" s="12" t="n"/>
      <c r="E137" s="12" t="n"/>
    </row>
    <row r="138" ht="15.75" customHeight="1">
      <c r="A138" s="12" t="inlineStr">
        <is>
          <t>autocatalytically_spliced_intron</t>
        </is>
      </c>
      <c r="B138" s="12" t="inlineStr">
        <is>
          <t>http://identifiers.org/so/SO:0000588</t>
        </is>
      </c>
      <c r="C138" s="12" t="inlineStr">
        <is>
          <t>['INSDC_feature:ncRNA', 'INSDC_qualifier:autocatalytically_spliced_intron', 'autocatalytically spliced intron']</t>
        </is>
      </c>
      <c r="D138" s="12" t="n"/>
      <c r="E138" s="12" t="n"/>
    </row>
    <row r="139" ht="15.75" customHeight="1">
      <c r="A139" s="12" t="inlineStr">
        <is>
          <t>autopolyploid</t>
        </is>
      </c>
      <c r="B139" s="12" t="inlineStr">
        <is>
          <t>http://identifiers.org/so/SO:0001255</t>
        </is>
      </c>
      <c r="C139" s="12" t="n"/>
      <c r="D139" s="12" t="n"/>
      <c r="E139" s="12" t="n"/>
    </row>
    <row r="140" ht="15.75" customHeight="1">
      <c r="A140" s="12" t="inlineStr">
        <is>
          <t>autoregulated</t>
        </is>
      </c>
      <c r="B140" s="12" t="inlineStr">
        <is>
          <t>http://identifiers.org/so/SO:0000471</t>
        </is>
      </c>
      <c r="C140" s="12" t="n"/>
      <c r="D140" s="12" t="n"/>
      <c r="E140" s="12" t="n"/>
    </row>
    <row r="141" ht="15.75" customHeight="1">
      <c r="A141" s="12" t="inlineStr">
        <is>
          <t>autosynaptic_chromosome</t>
        </is>
      </c>
      <c r="B141" s="12" t="inlineStr">
        <is>
          <t>http://identifiers.org/so/SO:1000136</t>
        </is>
      </c>
      <c r="C141" s="12" t="inlineStr">
        <is>
          <t>['(Drosophila)A', 'autosynaptic chromosome']</t>
        </is>
      </c>
      <c r="D141" s="12" t="n"/>
      <c r="E141" s="12" t="n"/>
    </row>
    <row r="142" ht="15.75" customHeight="1">
      <c r="A142" s="12" t="inlineStr">
        <is>
          <t>B_box</t>
        </is>
      </c>
      <c r="B142" s="12" t="inlineStr">
        <is>
          <t>http://identifiers.org/so/SO:0000620</t>
        </is>
      </c>
      <c r="C142" s="12" t="inlineStr">
        <is>
          <t>['B-box']</t>
        </is>
      </c>
      <c r="D142" s="12" t="n"/>
      <c r="E142" s="12" t="n"/>
    </row>
    <row r="143" ht="15.75" customHeight="1">
      <c r="A143" s="12" t="inlineStr">
        <is>
          <t>BAC</t>
        </is>
      </c>
      <c r="B143" s="12" t="inlineStr">
        <is>
          <t>http://identifiers.org/so/SO:0000153</t>
        </is>
      </c>
      <c r="C143" s="12" t="inlineStr">
        <is>
          <t>['bacterial artificial chromosome']</t>
        </is>
      </c>
      <c r="D143" s="12" t="n"/>
      <c r="E143" s="12" t="n"/>
    </row>
    <row r="144" ht="15.75" customHeight="1">
      <c r="A144" s="12" t="inlineStr">
        <is>
          <t>BAC_clone</t>
        </is>
      </c>
      <c r="B144" s="12" t="inlineStr">
        <is>
          <t>http://identifiers.org/so/SO:0000764</t>
        </is>
      </c>
      <c r="C144" s="12" t="n"/>
      <c r="D144" s="12" t="n"/>
      <c r="E144" s="12" t="n"/>
    </row>
    <row r="145" ht="15.75" customHeight="1">
      <c r="A145" s="12" t="inlineStr">
        <is>
          <t>BAC_cloned_genomic_insert</t>
        </is>
      </c>
      <c r="B145" s="12" t="inlineStr">
        <is>
          <t>http://identifiers.org/so/SO:0000992</t>
        </is>
      </c>
      <c r="C145" s="12" t="inlineStr">
        <is>
          <t>['BAC cloned genomic insert']</t>
        </is>
      </c>
      <c r="D145" s="12" t="n"/>
      <c r="E145" s="12" t="n"/>
    </row>
    <row r="146" ht="15.75" customHeight="1">
      <c r="A146" s="12" t="inlineStr">
        <is>
          <t>BAC_end</t>
        </is>
      </c>
      <c r="B146" s="12" t="inlineStr">
        <is>
          <t>http://identifiers.org/so/SO:0000999</t>
        </is>
      </c>
      <c r="C146" s="12" t="inlineStr">
        <is>
          <t>['BAC end', 'BES', 'BAC end sequence']</t>
        </is>
      </c>
      <c r="D146" s="12" t="n"/>
      <c r="E146" s="12" t="n"/>
    </row>
    <row r="147" ht="15.75" customHeight="1">
      <c r="A147" s="12" t="inlineStr">
        <is>
          <t>BAC_read_contig</t>
        </is>
      </c>
      <c r="B147" s="12" t="inlineStr">
        <is>
          <t>http://identifiers.org/so/SO:0001866</t>
        </is>
      </c>
      <c r="C147" s="12" t="inlineStr">
        <is>
          <t>['BAC read contig']</t>
        </is>
      </c>
      <c r="D147" s="12" t="n"/>
      <c r="E147" s="12" t="n"/>
    </row>
    <row r="148" ht="15.75" customHeight="1">
      <c r="A148" s="12" t="inlineStr">
        <is>
          <t>bacterial_RNApol_promoter</t>
        </is>
      </c>
      <c r="B148" s="12" t="inlineStr">
        <is>
          <t>http://identifiers.org/so/SO:0000613</t>
        </is>
      </c>
      <c r="C148" s="12" t="inlineStr">
        <is>
          <t>['bacterial RNApol promoter']</t>
        </is>
      </c>
      <c r="D148" s="12" t="n"/>
      <c r="E148" s="12" t="n"/>
    </row>
    <row r="149" ht="15.75" customHeight="1">
      <c r="A149" s="12" t="inlineStr">
        <is>
          <t>bacterial_RNApol_promoter_region</t>
        </is>
      </c>
      <c r="B149" s="12" t="inlineStr">
        <is>
          <t>http://identifiers.org/so/SO:0000843</t>
        </is>
      </c>
      <c r="C149" s="12" t="n"/>
      <c r="D149" s="12" t="n"/>
      <c r="E149" s="12" t="n"/>
    </row>
    <row r="150" ht="15.75" customHeight="1">
      <c r="A150" s="12" t="inlineStr">
        <is>
          <t>bacterial_RNApol_promoter_sigma_70_element</t>
        </is>
      </c>
      <c r="B150" s="12" t="inlineStr">
        <is>
          <t>http://identifiers.org/so/SO:0001671</t>
        </is>
      </c>
      <c r="C150" s="12" t="inlineStr">
        <is>
          <t>['bacterial RNA polymerase promoter sigma 70']</t>
        </is>
      </c>
      <c r="D150" s="12" t="n"/>
      <c r="E150" s="12" t="n"/>
    </row>
    <row r="151" ht="15.75" customHeight="1">
      <c r="A151" s="12" t="inlineStr">
        <is>
          <t>bacterial_RNApol_promoter_sigma_ecf_element</t>
        </is>
      </c>
      <c r="B151" s="12" t="inlineStr">
        <is>
          <t>http://identifiers.org/so/SO:0001913</t>
        </is>
      </c>
      <c r="C151" s="12" t="inlineStr">
        <is>
          <t>['bacterial RNApol promoter sigma ecf ']</t>
        </is>
      </c>
      <c r="D151" s="12" t="n"/>
      <c r="E151" s="12" t="n"/>
    </row>
    <row r="152" ht="15.75" customHeight="1">
      <c r="A152" s="12" t="inlineStr">
        <is>
          <t>bacterial_RNApol_promoter_sigma54_element</t>
        </is>
      </c>
      <c r="B152" s="12" t="inlineStr">
        <is>
          <t>http://identifiers.org/so/SO:0001672</t>
        </is>
      </c>
      <c r="C152" s="12" t="inlineStr">
        <is>
          <t>['bacterial RNA polymerase promoter sigma54', '&lt;new synonym&gt;']</t>
        </is>
      </c>
      <c r="D152" s="12" t="n"/>
      <c r="E152" s="12" t="n"/>
    </row>
    <row r="153" ht="15.75" customHeight="1">
      <c r="A153" s="12" t="inlineStr">
        <is>
          <t>bacterial_terminator</t>
        </is>
      </c>
      <c r="B153" s="12" t="inlineStr">
        <is>
          <t>http://identifiers.org/so/SO:0000614</t>
        </is>
      </c>
      <c r="C153" s="12" t="inlineStr">
        <is>
          <t>['bacterial terminator']</t>
        </is>
      </c>
      <c r="D153" s="12" t="n"/>
      <c r="E153" s="12" t="n"/>
    </row>
    <row r="154" ht="15.75" customHeight="1">
      <c r="A154" s="12" t="inlineStr">
        <is>
          <t>base</t>
        </is>
      </c>
      <c r="B154" s="12" t="inlineStr">
        <is>
          <t>http://identifiers.org/so/SO:0001236</t>
        </is>
      </c>
      <c r="C154" s="12" t="n"/>
      <c r="D154" s="12" t="n"/>
      <c r="E154" s="12" t="n"/>
    </row>
    <row r="155" ht="15.75" customHeight="1">
      <c r="A155" s="12" t="inlineStr">
        <is>
          <t>base_call_error_correction</t>
        </is>
      </c>
      <c r="B155" s="12" t="inlineStr">
        <is>
          <t>http://identifiers.org/so/SO:0001526</t>
        </is>
      </c>
      <c r="C155" s="12" t="inlineStr">
        <is>
          <t>['base call error correction']</t>
        </is>
      </c>
      <c r="D155" s="12" t="n"/>
      <c r="E155" s="12" t="n"/>
    </row>
    <row r="156" ht="15.75" customHeight="1">
      <c r="A156" s="12" t="inlineStr">
        <is>
          <t>base_pair</t>
        </is>
      </c>
      <c r="B156" s="12" t="inlineStr">
        <is>
          <t>http://identifiers.org/so/SO:0000028</t>
        </is>
      </c>
      <c r="C156" s="12" t="inlineStr">
        <is>
          <t>['base pair']</t>
        </is>
      </c>
      <c r="D156" s="12" t="n"/>
      <c r="E156" s="12" t="n"/>
    </row>
    <row r="157" ht="15.75" customHeight="1">
      <c r="A157" s="12" t="inlineStr">
        <is>
          <t>Bel_Pao_LTR_retrotransposon</t>
        </is>
      </c>
      <c r="B157" s="12" t="inlineStr">
        <is>
          <t>http://identifiers.org/so/SO:0002266</t>
        </is>
      </c>
      <c r="C157" s="12" t="inlineStr">
        <is>
          <t>['Bel Pao LTR retrotransposon', 'Bel-Pao LTR retrotransposon', 'RLB retrotransposon']</t>
        </is>
      </c>
      <c r="D157" s="12" t="n"/>
      <c r="E157" s="12" t="n"/>
    </row>
    <row r="158" ht="15.75" customHeight="1">
      <c r="A158" s="12" t="inlineStr">
        <is>
          <t>benign_variant</t>
        </is>
      </c>
      <c r="B158" s="12" t="inlineStr">
        <is>
          <t>http://identifiers.org/so/SO:0001770</t>
        </is>
      </c>
      <c r="C158" s="12" t="inlineStr">
        <is>
          <t>['benign variant']</t>
        </is>
      </c>
      <c r="D158" s="12" t="n"/>
      <c r="E158" s="12" t="n"/>
    </row>
    <row r="159" ht="15.75" customHeight="1">
      <c r="A159" s="12" t="inlineStr">
        <is>
          <t>beta_bulge</t>
        </is>
      </c>
      <c r="B159" s="12" t="inlineStr">
        <is>
          <t>http://identifiers.org/so/SO:0001107</t>
        </is>
      </c>
      <c r="C159" s="12" t="inlineStr">
        <is>
          <t>['beta bulge']</t>
        </is>
      </c>
      <c r="D159" s="12" t="n"/>
      <c r="E159" s="12" t="n"/>
    </row>
    <row r="160" ht="15.75" customHeight="1">
      <c r="A160" s="12" t="inlineStr">
        <is>
          <t>beta_bulge_loop</t>
        </is>
      </c>
      <c r="B160" s="12" t="inlineStr">
        <is>
          <t>http://identifiers.org/so/SO:0001108</t>
        </is>
      </c>
      <c r="C160" s="12" t="inlineStr">
        <is>
          <t>['beta bulge loop']</t>
        </is>
      </c>
      <c r="D160" s="12" t="n"/>
      <c r="E160" s="12" t="n"/>
    </row>
    <row r="161" ht="15.75" customHeight="1">
      <c r="A161" s="12" t="inlineStr">
        <is>
          <t>beta_bulge_loop_five</t>
        </is>
      </c>
      <c r="B161" s="12" t="inlineStr">
        <is>
          <t>http://identifiers.org/so/SO:0001109</t>
        </is>
      </c>
      <c r="C161" s="12" t="inlineStr">
        <is>
          <t>['beta bulge loop five']</t>
        </is>
      </c>
      <c r="D161" s="12" t="n"/>
      <c r="E161" s="12" t="n"/>
    </row>
    <row r="162" ht="15.75" customHeight="1">
      <c r="A162" s="12" t="inlineStr">
        <is>
          <t>beta_bulge_loop_six</t>
        </is>
      </c>
      <c r="B162" s="12" t="inlineStr">
        <is>
          <t>http://identifiers.org/so/SO:0001110</t>
        </is>
      </c>
      <c r="C162" s="12" t="inlineStr">
        <is>
          <t>['beta bulge loop six']</t>
        </is>
      </c>
      <c r="D162" s="12" t="n"/>
      <c r="E162" s="12" t="n"/>
    </row>
    <row r="163" ht="15.75" customHeight="1">
      <c r="A163" s="12" t="inlineStr">
        <is>
          <t>beta_strand</t>
        </is>
      </c>
      <c r="B163" s="12" t="inlineStr">
        <is>
          <t>http://identifiers.org/so/SO:0001111</t>
        </is>
      </c>
      <c r="C163" s="12" t="inlineStr">
        <is>
          <t>['strand']</t>
        </is>
      </c>
      <c r="D163" s="12" t="n"/>
      <c r="E163" s="12" t="n"/>
    </row>
    <row r="164" ht="15.75" customHeight="1">
      <c r="A164" s="12" t="inlineStr">
        <is>
          <t>beta_turn</t>
        </is>
      </c>
      <c r="B164" s="12" t="inlineStr">
        <is>
          <t>http://identifiers.org/so/SO:0001133</t>
        </is>
      </c>
      <c r="C164" s="12" t="inlineStr">
        <is>
          <t>['beta turn']</t>
        </is>
      </c>
      <c r="D164" s="12" t="n"/>
      <c r="E164" s="12" t="n"/>
    </row>
    <row r="165" ht="15.75" customHeight="1">
      <c r="A165" s="12" t="inlineStr">
        <is>
          <t>beta_turn_left_handed_type_one</t>
        </is>
      </c>
      <c r="B165" s="12" t="inlineStr">
        <is>
          <t>http://identifiers.org/so/SO:0001134</t>
        </is>
      </c>
      <c r="C165" s="12" t="inlineStr">
        <is>
          <t>["type I' turn", 'beta_turn_il', 'beta turn left handed type one', "type I' beta turn"]</t>
        </is>
      </c>
      <c r="D165" s="12" t="n"/>
      <c r="E165" s="12" t="n"/>
    </row>
    <row r="166" ht="15.75" customHeight="1">
      <c r="A166" s="12" t="inlineStr">
        <is>
          <t>beta_turn_left_handed_type_two</t>
        </is>
      </c>
      <c r="B166" s="12" t="inlineStr">
        <is>
          <t>http://identifiers.org/so/SO:0001135</t>
        </is>
      </c>
      <c r="C166" s="12" t="inlineStr">
        <is>
          <t>['beta_turn_iil', "type II' beta turn", "type II' turn", 'beta turn left handed type two']</t>
        </is>
      </c>
      <c r="D166" s="12" t="n"/>
      <c r="E166" s="12" t="n"/>
    </row>
    <row r="167" ht="15.75" customHeight="1">
      <c r="A167" s="12" t="inlineStr">
        <is>
          <t>beta_turn_right_handed_type_one</t>
        </is>
      </c>
      <c r="B167" s="12" t="inlineStr">
        <is>
          <t>http://identifiers.org/so/SO:0001136</t>
        </is>
      </c>
      <c r="C167" s="12" t="inlineStr">
        <is>
          <t>['type I beta turn', 'type I turn', 'beta turn right handed type one', 'beta_turn_ir']</t>
        </is>
      </c>
      <c r="D167" s="12" t="n"/>
      <c r="E167" s="12" t="n"/>
    </row>
    <row r="168" ht="15.75" customHeight="1">
      <c r="A168" s="12" t="inlineStr">
        <is>
          <t>beta_turn_right_handed_type_two</t>
        </is>
      </c>
      <c r="B168" s="12" t="inlineStr">
        <is>
          <t>http://identifiers.org/so/SO:0001137</t>
        </is>
      </c>
      <c r="C168" s="12" t="inlineStr">
        <is>
          <t>['type II turn', 'beta_turn_iir', 'beta turn right handed type two', 'type II beta turn']</t>
        </is>
      </c>
      <c r="D168" s="12" t="n"/>
      <c r="E168" s="12" t="n"/>
    </row>
    <row r="169" ht="15.75" customHeight="1">
      <c r="A169" s="12" t="inlineStr">
        <is>
          <t>beta_turn_type_eight</t>
        </is>
      </c>
      <c r="B169" s="12" t="inlineStr">
        <is>
          <t>http://identifiers.org/so/SO:0001155</t>
        </is>
      </c>
      <c r="C169" s="12" t="inlineStr">
        <is>
          <t>['type VIII turn', 'type VIII beta turn', 'beta turn type eight']</t>
        </is>
      </c>
      <c r="D169" s="12" t="n"/>
      <c r="E169" s="12" t="n"/>
    </row>
    <row r="170" ht="15.75" customHeight="1">
      <c r="A170" s="12" t="inlineStr">
        <is>
          <t>beta_turn_type_six</t>
        </is>
      </c>
      <c r="B170" s="12" t="inlineStr">
        <is>
          <t>http://identifiers.org/so/SO:0001150</t>
        </is>
      </c>
      <c r="C170" s="12" t="inlineStr">
        <is>
          <t>['beta turn type six', 'type VI beta turn', 'type VI turn', 'cis-proline loop']</t>
        </is>
      </c>
      <c r="D170" s="12" t="n"/>
      <c r="E170" s="12" t="n"/>
    </row>
    <row r="171" ht="15.75" customHeight="1">
      <c r="A171" s="12" t="inlineStr">
        <is>
          <t>beta_turn_type_six_a</t>
        </is>
      </c>
      <c r="B171" s="12" t="inlineStr">
        <is>
          <t>http://identifiers.org/so/SO:0001151</t>
        </is>
      </c>
      <c r="C171" s="12" t="inlineStr">
        <is>
          <t>['type VIa turn', 'type VIa beta turn', 'beta turn type six a']</t>
        </is>
      </c>
      <c r="D171" s="12" t="n"/>
      <c r="E171" s="12" t="n"/>
    </row>
    <row r="172" ht="15.75" customHeight="1">
      <c r="A172" s="12" t="inlineStr">
        <is>
          <t>beta_turn_type_six_a_one</t>
        </is>
      </c>
      <c r="B172" s="12" t="inlineStr">
        <is>
          <t>http://identifiers.org/so/SO:0001152</t>
        </is>
      </c>
      <c r="C172" s="12" t="inlineStr">
        <is>
          <t>['type VIa1 turn', 'type VIa1 beta turn', 'beta turn type six a one']</t>
        </is>
      </c>
      <c r="D172" s="12" t="n"/>
      <c r="E172" s="12" t="n"/>
    </row>
    <row r="173" ht="15.75" customHeight="1">
      <c r="A173" s="12" t="inlineStr">
        <is>
          <t>beta_turn_type_six_a_two</t>
        </is>
      </c>
      <c r="B173" s="12" t="inlineStr">
        <is>
          <t>http://identifiers.org/so/SO:0001153</t>
        </is>
      </c>
      <c r="C173" s="12" t="inlineStr">
        <is>
          <t>['beta turn type six a two', 'type VIa2 beta turn', 'type VIa2 turn']</t>
        </is>
      </c>
      <c r="D173" s="12" t="n"/>
      <c r="E173" s="12" t="n"/>
    </row>
    <row r="174" ht="15.75" customHeight="1">
      <c r="A174" s="12" t="inlineStr">
        <is>
          <t>beta_turn_type_six_b</t>
        </is>
      </c>
      <c r="B174" s="12" t="inlineStr">
        <is>
          <t>http://identifiers.org/so/SO:0001154</t>
        </is>
      </c>
      <c r="C174" s="12" t="inlineStr">
        <is>
          <t>['type VIb turn', 'type VIb beta turn', 'beta turn type six b']</t>
        </is>
      </c>
      <c r="D174" s="12" t="n"/>
      <c r="E174" s="12" t="n"/>
    </row>
    <row r="175" ht="15.75" customHeight="1">
      <c r="A175" s="12" t="inlineStr">
        <is>
          <t>bidirectional_gene_fusion</t>
        </is>
      </c>
      <c r="B175" s="12" t="inlineStr">
        <is>
          <t>http://identifiers.org/so/SO:0002086</t>
        </is>
      </c>
      <c r="C175" s="12" t="inlineStr">
        <is>
          <t>['bidirectional gene fusion']</t>
        </is>
      </c>
      <c r="D175" s="12" t="n"/>
      <c r="E175" s="12" t="n"/>
    </row>
    <row r="176" ht="15.75" customHeight="1">
      <c r="A176" s="12" t="inlineStr">
        <is>
          <t>bidirectional_promoter</t>
        </is>
      </c>
      <c r="B176" s="12" t="inlineStr">
        <is>
          <t>http://identifiers.org/so/SO:0000568</t>
        </is>
      </c>
      <c r="C176" s="12" t="inlineStr">
        <is>
          <t>['bidirectional promoter']</t>
        </is>
      </c>
      <c r="D176" s="12" t="n"/>
      <c r="E176" s="12" t="n"/>
    </row>
    <row r="177" ht="15.75" customHeight="1">
      <c r="A177" s="12" t="inlineStr">
        <is>
          <t>bidirectional_promoter_lncRNA</t>
        </is>
      </c>
      <c r="B177" s="12" t="inlineStr">
        <is>
          <t>http://identifiers.org/so/SO:0002185</t>
        </is>
      </c>
      <c r="C177" s="12" t="inlineStr">
        <is>
          <t>['bidirectional promoter lncRNA']</t>
        </is>
      </c>
      <c r="D177" s="12" t="n"/>
      <c r="E177" s="12" t="n"/>
    </row>
    <row r="178" ht="15.75" customHeight="1">
      <c r="A178" s="12" t="inlineStr">
        <is>
          <t>binding_site</t>
        </is>
      </c>
      <c r="B178" s="12" t="inlineStr">
        <is>
          <t>http://identifiers.org/so/SO:0000409</t>
        </is>
      </c>
      <c r="C178" s="12" t="inlineStr">
        <is>
          <t>['binding_or_interaction_site', 'site', 'binding site', 'INSDC_feature:misc_binding']</t>
        </is>
      </c>
      <c r="D178" s="12" t="n"/>
      <c r="E178" s="12" t="n"/>
    </row>
    <row r="179" ht="15.75" customHeight="1">
      <c r="A179" s="12" t="inlineStr">
        <is>
          <t>biochemical_region_of_peptide</t>
        </is>
      </c>
      <c r="B179" s="12" t="inlineStr">
        <is>
          <t>http://identifiers.org/so/SO:0100001</t>
        </is>
      </c>
      <c r="C179" s="12" t="inlineStr">
        <is>
          <t>['biochemical_region', 'biochemical motif', 'biochemical region of peptide']</t>
        </is>
      </c>
      <c r="D179" s="12" t="n"/>
      <c r="E179" s="12" t="n"/>
    </row>
    <row r="180" ht="15.75" customHeight="1">
      <c r="A180" s="12" t="inlineStr">
        <is>
          <t>biological_region</t>
        </is>
      </c>
      <c r="B180" s="12" t="inlineStr">
        <is>
          <t>http://identifiers.org/so/SO:0001411</t>
        </is>
      </c>
      <c r="C180" s="12" t="inlineStr">
        <is>
          <t>['biological region', 'INSDC_note:biological_region', 'INSDC_misc_feature']</t>
        </is>
      </c>
      <c r="D180" s="12" t="n"/>
      <c r="E180" s="12" t="n"/>
    </row>
    <row r="181" ht="15.75" customHeight="1">
      <c r="A181" s="12" t="inlineStr">
        <is>
          <t>biomaterial_region</t>
        </is>
      </c>
      <c r="B181" s="12" t="inlineStr">
        <is>
          <t>http://identifiers.org/so/SO:0001409</t>
        </is>
      </c>
      <c r="C181" s="12" t="inlineStr">
        <is>
          <t>['biomaterial region']</t>
        </is>
      </c>
      <c r="D181" s="12" t="n"/>
      <c r="E181" s="12" t="n"/>
    </row>
    <row r="182" ht="15.75" customHeight="1">
      <c r="A182" s="12" t="inlineStr">
        <is>
          <t>bipartite_duplication</t>
        </is>
      </c>
      <c r="B182" s="12" t="inlineStr">
        <is>
          <t>http://identifiers.org/so/SO:1000149</t>
        </is>
      </c>
      <c r="C182" s="12" t="inlineStr">
        <is>
          <t>['(Drosophila)bDp', 'bipartite duplication']</t>
        </is>
      </c>
      <c r="D182" s="12" t="n"/>
      <c r="E182" s="12" t="n"/>
    </row>
    <row r="183" ht="15.75" customHeight="1">
      <c r="A183" s="12" t="inlineStr">
        <is>
          <t>bipartite_inversion</t>
        </is>
      </c>
      <c r="B183" s="12" t="inlineStr">
        <is>
          <t>http://identifiers.org/so/SO:1000151</t>
        </is>
      </c>
      <c r="C183" s="12" t="inlineStr">
        <is>
          <t>['bipartite inversion', '(Drosophila)bIn']</t>
        </is>
      </c>
      <c r="D183" s="12" t="n"/>
      <c r="E183" s="12" t="n"/>
    </row>
    <row r="184" ht="15.75" customHeight="1">
      <c r="A184" s="12" t="inlineStr">
        <is>
          <t>blocked_reading_frame</t>
        </is>
      </c>
      <c r="B184" s="12" t="inlineStr">
        <is>
          <t>http://identifiers.org/so/SO:0000718</t>
        </is>
      </c>
      <c r="C184" s="12" t="inlineStr">
        <is>
          <t>['blocked reading frame']</t>
        </is>
      </c>
      <c r="D184" s="12" t="n"/>
      <c r="E184" s="12" t="n"/>
    </row>
    <row r="185" ht="15.75" customHeight="1">
      <c r="A185" s="12" t="inlineStr">
        <is>
          <t>blunt_end_restriction_enzyme_cleavage_junction</t>
        </is>
      </c>
      <c r="B185" s="12" t="inlineStr">
        <is>
          <t>http://identifiers.org/so/SO:0001693</t>
        </is>
      </c>
      <c r="C185" s="12" t="inlineStr">
        <is>
          <t>['blunt end restriction enzyme cleavage site']</t>
        </is>
      </c>
      <c r="D185" s="12" t="n"/>
      <c r="E185" s="12" t="n"/>
    </row>
    <row r="186" ht="15.75" customHeight="1">
      <c r="A186" s="12" t="inlineStr">
        <is>
          <t>blunt_end_restriction_enzyme_cleavage_site</t>
        </is>
      </c>
      <c r="B186" s="12" t="inlineStr">
        <is>
          <t>http://identifiers.org/so/SO:0001691</t>
        </is>
      </c>
      <c r="C186" s="12" t="inlineStr">
        <is>
          <t>['blunt end restriction enzyme cleavage site']</t>
        </is>
      </c>
      <c r="D186" s="12" t="n"/>
      <c r="E186" s="12" t="n"/>
    </row>
    <row r="187" ht="15.75" customHeight="1">
      <c r="A187" s="12" t="inlineStr">
        <is>
          <t>bound_by_factor</t>
        </is>
      </c>
      <c r="B187" s="12" t="inlineStr">
        <is>
          <t>http://identifiers.org/so/SO:0000277</t>
        </is>
      </c>
      <c r="C187" s="12" t="inlineStr">
        <is>
          <t>['bound by factor']</t>
        </is>
      </c>
      <c r="D187" s="12" t="n"/>
      <c r="E187" s="12" t="n"/>
    </row>
    <row r="188" ht="15.75" customHeight="1">
      <c r="A188" s="12" t="inlineStr">
        <is>
          <t>bound_by_nucleic_acid</t>
        </is>
      </c>
      <c r="B188" s="12" t="inlineStr">
        <is>
          <t>http://identifiers.org/so/SO:0000876</t>
        </is>
      </c>
      <c r="C188" s="12" t="inlineStr">
        <is>
          <t>['bound by nucleic acid']</t>
        </is>
      </c>
      <c r="D188" s="12" t="n"/>
      <c r="E188" s="12" t="n"/>
    </row>
    <row r="189" ht="15.75" customHeight="1">
      <c r="A189" s="12" t="inlineStr">
        <is>
          <t>bound_by_protein</t>
        </is>
      </c>
      <c r="B189" s="12" t="inlineStr">
        <is>
          <t>http://identifiers.org/so/SO:0000875</t>
        </is>
      </c>
      <c r="C189" s="12" t="inlineStr">
        <is>
          <t>['bound by protein']</t>
        </is>
      </c>
      <c r="D189" s="12" t="n"/>
      <c r="E189" s="12" t="n"/>
    </row>
    <row r="190" ht="15.75" customHeight="1">
      <c r="A190" s="12" t="inlineStr">
        <is>
          <t>boundary_element</t>
        </is>
      </c>
      <c r="B190" s="12" t="inlineStr">
        <is>
          <t>http://identifiers.org/so/SO:0002020</t>
        </is>
      </c>
      <c r="C190" s="12" t="inlineStr">
        <is>
          <t>['boundary element', 'insulator']</t>
        </is>
      </c>
      <c r="D190" s="12" t="n"/>
      <c r="E190" s="12" t="n"/>
    </row>
    <row r="191" ht="15.75" customHeight="1">
      <c r="A191" s="12" t="inlineStr">
        <is>
          <t>branch_site</t>
        </is>
      </c>
      <c r="B191" s="12" t="inlineStr">
        <is>
          <t>http://identifiers.org/so/SO:0000611</t>
        </is>
      </c>
      <c r="C191" s="12" t="inlineStr">
        <is>
          <t>['branch point', 'branch_point', 'branch site']</t>
        </is>
      </c>
      <c r="D191" s="12" t="n"/>
      <c r="E191" s="12" t="n"/>
    </row>
    <row r="192" ht="15.75" customHeight="1">
      <c r="A192" s="12" t="inlineStr">
        <is>
          <t>BREd_motif</t>
        </is>
      </c>
      <c r="B192" s="12" t="inlineStr">
        <is>
          <t>http://identifiers.org/so/SO:0001663</t>
        </is>
      </c>
      <c r="C192" s="12" t="inlineStr">
        <is>
          <t>['BREd', 'BREd motif']</t>
        </is>
      </c>
      <c r="D192" s="12" t="n"/>
      <c r="E192" s="12" t="n"/>
    </row>
    <row r="193" ht="15.75" customHeight="1">
      <c r="A193" s="12" t="inlineStr">
        <is>
          <t>BREu_motif</t>
        </is>
      </c>
      <c r="B193" s="12" t="inlineStr">
        <is>
          <t>http://identifiers.org/so/SO:0000016</t>
        </is>
      </c>
      <c r="C193" s="12" t="inlineStr">
        <is>
          <t>['B-recognition element', 'BREu motif', 'TFIIB recognition element', 'BREu', 'BRE motif', 'transcription factor B-recognition element']</t>
        </is>
      </c>
      <c r="D193" s="12" t="n"/>
      <c r="E193" s="12" t="n"/>
    </row>
    <row r="194" ht="15.75" customHeight="1">
      <c r="A194" s="12" t="inlineStr">
        <is>
          <t>Bruno_response_element</t>
        </is>
      </c>
      <c r="B194" s="12" t="inlineStr">
        <is>
          <t>http://identifiers.org/so/SO:0001181</t>
        </is>
      </c>
      <c r="C194" s="12" t="inlineStr">
        <is>
          <t>['Bruno response element', 'BRE']</t>
        </is>
      </c>
      <c r="D194" s="12" t="n"/>
      <c r="E194" s="12" t="n"/>
    </row>
    <row r="195" ht="15.75" customHeight="1">
      <c r="A195" s="12" t="inlineStr">
        <is>
          <t>C_box</t>
        </is>
      </c>
      <c r="B195" s="12" t="inlineStr">
        <is>
          <t>http://identifiers.org/so/SO:0000622</t>
        </is>
      </c>
      <c r="C195" s="12" t="inlineStr">
        <is>
          <t>['C-box']</t>
        </is>
      </c>
      <c r="D195" s="12" t="n"/>
      <c r="E195" s="12" t="n"/>
    </row>
    <row r="196" ht="15.75" customHeight="1">
      <c r="A196" s="12" t="inlineStr">
        <is>
          <t>C_cluster</t>
        </is>
      </c>
      <c r="B196" s="12" t="inlineStr">
        <is>
          <t>http://identifiers.org/so/SO:0000558</t>
        </is>
      </c>
      <c r="C196" s="12" t="inlineStr">
        <is>
          <t>['C-CLUSTER', 'C cluster']</t>
        </is>
      </c>
      <c r="D196" s="12" t="n"/>
      <c r="E196" s="12" t="n"/>
    </row>
    <row r="197" ht="15.75" customHeight="1">
      <c r="A197" s="12" t="inlineStr">
        <is>
          <t>C_D_box_snoRNA</t>
        </is>
      </c>
      <c r="B197" s="12" t="inlineStr">
        <is>
          <t>http://identifiers.org/so/SO:0000593</t>
        </is>
      </c>
      <c r="C197" s="12" t="inlineStr">
        <is>
          <t>['C/D box snoRNA', 'C D box snoRNA', 'box C/D snoRNA']</t>
        </is>
      </c>
      <c r="D197" s="12" t="n"/>
      <c r="E197" s="12" t="n"/>
    </row>
    <row r="198" ht="15.75" customHeight="1">
      <c r="A198" s="12" t="inlineStr">
        <is>
          <t>C_D_box_snoRNA_encoding</t>
        </is>
      </c>
      <c r="B198" s="12" t="inlineStr">
        <is>
          <t>http://identifiers.org/so/SO:0000585</t>
        </is>
      </c>
      <c r="C198" s="12" t="inlineStr">
        <is>
          <t>['C/D box snoRNA encoding']</t>
        </is>
      </c>
      <c r="D198" s="12" t="n"/>
      <c r="E198" s="12" t="n"/>
    </row>
    <row r="199" ht="15.75" customHeight="1">
      <c r="A199" s="12" t="inlineStr">
        <is>
          <t>C_D_box_snoRNA_primary_transcript</t>
        </is>
      </c>
      <c r="B199" s="12" t="inlineStr">
        <is>
          <t>http://identifiers.org/so/SO:0000595</t>
        </is>
      </c>
      <c r="C199" s="12" t="inlineStr">
        <is>
          <t>['C/D box snoRNA primary transcript']</t>
        </is>
      </c>
      <c r="D199" s="12" t="n"/>
      <c r="E199" s="12" t="n"/>
    </row>
    <row r="200" ht="15.75" customHeight="1">
      <c r="A200" s="12" t="inlineStr">
        <is>
          <t>C_gene_segment</t>
        </is>
      </c>
      <c r="B200" s="12" t="inlineStr">
        <is>
          <t>http://identifiers.org/so/SO:0000478</t>
        </is>
      </c>
      <c r="C200" s="12" t="inlineStr">
        <is>
          <t>['C_GENE', 'INSDC_feature:C_region', 'constant gene', 'C gene']</t>
        </is>
      </c>
      <c r="D200" s="12" t="n"/>
      <c r="E200" s="12" t="n"/>
    </row>
    <row r="201" ht="15.75" customHeight="1">
      <c r="A201" s="12" t="inlineStr">
        <is>
          <t>C_region</t>
        </is>
      </c>
      <c r="B201" s="12" t="inlineStr">
        <is>
          <t>http://identifiers.org/so/SO:0001834</t>
        </is>
      </c>
      <c r="C201" s="12" t="inlineStr">
        <is>
          <t>['C region']</t>
        </is>
      </c>
      <c r="D201" s="12" t="n"/>
      <c r="E201" s="12" t="n"/>
    </row>
    <row r="202" ht="15.75" customHeight="1">
      <c r="A202" s="12" t="inlineStr">
        <is>
          <t>c_terminal_region</t>
        </is>
      </c>
      <c r="B202" s="12" t="inlineStr">
        <is>
          <t>http://identifiers.org/so/SO:0100015</t>
        </is>
      </c>
      <c r="C202" s="12" t="inlineStr">
        <is>
          <t>['C-region']</t>
        </is>
      </c>
      <c r="D202" s="12" t="n"/>
      <c r="E202" s="12" t="n"/>
    </row>
    <row r="203" ht="15.75" customHeight="1">
      <c r="A203" s="12" t="inlineStr">
        <is>
          <t>C_to_A_transversion</t>
        </is>
      </c>
      <c r="B203" s="12" t="inlineStr">
        <is>
          <t>http://identifiers.org/so/SO:1000019</t>
        </is>
      </c>
      <c r="C203" s="12" t="inlineStr">
        <is>
          <t>['C to A transversion']</t>
        </is>
      </c>
      <c r="D203" s="12" t="n"/>
      <c r="E203" s="12" t="n"/>
    </row>
    <row r="204" ht="15.75" customHeight="1">
      <c r="A204" s="12" t="inlineStr">
        <is>
          <t>C_to_G_transversion</t>
        </is>
      </c>
      <c r="B204" s="12" t="inlineStr">
        <is>
          <t>http://identifiers.org/so/SO:1000020</t>
        </is>
      </c>
      <c r="C204" s="12" t="inlineStr">
        <is>
          <t>['C to G transversion']</t>
        </is>
      </c>
      <c r="D204" s="12" t="n"/>
      <c r="E204" s="12" t="n"/>
    </row>
    <row r="205" ht="15.75" customHeight="1">
      <c r="A205" s="12" t="inlineStr">
        <is>
          <t>C_to_T_transition</t>
        </is>
      </c>
      <c r="B205" s="12" t="inlineStr">
        <is>
          <t>http://identifiers.org/so/SO:1000011</t>
        </is>
      </c>
      <c r="C205" s="12" t="inlineStr">
        <is>
          <t>['C to T transition']</t>
        </is>
      </c>
      <c r="D205" s="12" t="n"/>
      <c r="E205" s="12" t="n"/>
    </row>
    <row r="206" ht="15.75" customHeight="1">
      <c r="A206" s="12" t="inlineStr">
        <is>
          <t>C_to_T_transition_at_pCpG_site</t>
        </is>
      </c>
      <c r="B206" s="12" t="inlineStr">
        <is>
          <t>http://identifiers.org/so/SO:1000012</t>
        </is>
      </c>
      <c r="C206" s="12" t="inlineStr">
        <is>
          <t>['C to T transition at pCpG site']</t>
        </is>
      </c>
      <c r="D206" s="12" t="n"/>
      <c r="E206" s="12" t="n"/>
    </row>
    <row r="207" ht="15.75" customHeight="1">
      <c r="A207" s="12" t="inlineStr">
        <is>
          <t>CAAT_signal</t>
        </is>
      </c>
      <c r="B207" s="12" t="inlineStr">
        <is>
          <t>http://identifiers.org/so/SO:0000172</t>
        </is>
      </c>
      <c r="C207" s="12" t="inlineStr">
        <is>
          <t>['CAAT box', 'INSDC_qualifier:CAAT_signal', 'CAAT-box', 'CAAT signal', 'INSDC_feature:regulatory']</t>
        </is>
      </c>
      <c r="D207" s="12" t="n"/>
      <c r="E207" s="12" t="n"/>
    </row>
    <row r="208" ht="15.75" customHeight="1">
      <c r="A208" s="12" t="inlineStr">
        <is>
          <t>CAAX_box</t>
        </is>
      </c>
      <c r="B208" s="12" t="inlineStr">
        <is>
          <t>http://identifiers.org/so/SO:0002230</t>
        </is>
      </c>
      <c r="C208" s="12" t="inlineStr">
        <is>
          <t>['CAAX box']</t>
        </is>
      </c>
      <c r="D208" s="12" t="n"/>
      <c r="E208" s="12" t="n"/>
    </row>
    <row r="209" ht="15.75" customHeight="1">
      <c r="A209" s="12" t="inlineStr">
        <is>
          <t>CACTA_TIR_transposon</t>
        </is>
      </c>
      <c r="B209" s="12" t="inlineStr">
        <is>
          <t>http://identifiers.org/so/SO:0002285</t>
        </is>
      </c>
      <c r="C209" s="12" t="inlineStr">
        <is>
          <t>['En transposon', 'CMC-EnSpm transposon', 'DTC transposon', 'dSpm transposon', 'EnSpm transposon', 'CACTC transposon', 'CACTA TIR transposon', 'Spm transposon', 'En-Spm transposon', 'CACTA transposon element']</t>
        </is>
      </c>
      <c r="D209" s="12" t="n"/>
      <c r="E209" s="12" t="n"/>
    </row>
    <row r="210" ht="15.75" customHeight="1">
      <c r="A210" s="12" t="inlineStr">
        <is>
          <t>CAGE_cluster</t>
        </is>
      </c>
      <c r="B210" s="12" t="inlineStr">
        <is>
          <t>http://identifiers.org/so/SO:0001917</t>
        </is>
      </c>
      <c r="C210" s="12" t="inlineStr">
        <is>
          <t>['INSDC_note:CAGE_cluster', 'CAGE_peak', 'INSDC_feature:misc_feature', 'CAGE peak', 'CAGE cluster']</t>
        </is>
      </c>
      <c r="D210" s="12" t="n"/>
      <c r="E210" s="12" t="n"/>
    </row>
    <row r="211" ht="15.75" customHeight="1">
      <c r="A211" s="12" t="inlineStr">
        <is>
          <t>CAGE_tag</t>
        </is>
      </c>
      <c r="B211" s="12" t="inlineStr">
        <is>
          <t>http://identifiers.org/so/SO:0001916</t>
        </is>
      </c>
      <c r="C211" s="12" t="inlineStr">
        <is>
          <t>['CAGE tag']</t>
        </is>
      </c>
      <c r="D211" s="12" t="n"/>
      <c r="E211" s="12" t="n"/>
    </row>
    <row r="212" ht="15.75" customHeight="1">
      <c r="A212" s="12" t="inlineStr">
        <is>
          <t>candidate_gene</t>
        </is>
      </c>
      <c r="B212" s="12" t="inlineStr">
        <is>
          <t>http://identifiers.org/so/SO:0001867</t>
        </is>
      </c>
      <c r="C212" s="12" t="inlineStr">
        <is>
          <t>['target gene', 'candidate gene']</t>
        </is>
      </c>
      <c r="D212" s="12" t="n"/>
      <c r="E212" s="12" t="n"/>
    </row>
    <row r="213" ht="15.75" customHeight="1">
      <c r="A213" s="12" t="inlineStr">
        <is>
          <t>canonical_five_prime_splice_site</t>
        </is>
      </c>
      <c r="B213" s="12" t="inlineStr">
        <is>
          <t>http://identifiers.org/so/SO:0000677</t>
        </is>
      </c>
      <c r="C213" s="12" t="inlineStr">
        <is>
          <t>["canonical 5' splice site", 'canonical five prime splice site']</t>
        </is>
      </c>
      <c r="D213" s="12" t="n"/>
      <c r="E213" s="12" t="n"/>
    </row>
    <row r="214" ht="15.75" customHeight="1">
      <c r="A214" s="12" t="inlineStr">
        <is>
          <t>canonical_splice_site</t>
        </is>
      </c>
      <c r="B214" s="12" t="inlineStr">
        <is>
          <t>http://identifiers.org/so/SO:0000675</t>
        </is>
      </c>
      <c r="C214" s="12" t="inlineStr">
        <is>
          <t>['canonical splice site']</t>
        </is>
      </c>
      <c r="D214" s="12" t="n"/>
      <c r="E214" s="12" t="n"/>
    </row>
    <row r="215" ht="15.75" customHeight="1">
      <c r="A215" s="12" t="inlineStr">
        <is>
          <t>canonical_three_prime_splice_site</t>
        </is>
      </c>
      <c r="B215" s="12" t="inlineStr">
        <is>
          <t>http://identifiers.org/so/SO:0000676</t>
        </is>
      </c>
      <c r="C215" s="12" t="inlineStr">
        <is>
          <t>['canonical three prime splice site', "canonical 3' splice site"]</t>
        </is>
      </c>
      <c r="D215" s="12" t="n"/>
      <c r="E215" s="12" t="n"/>
    </row>
    <row r="216" ht="15.75" customHeight="1">
      <c r="A216" s="12" t="inlineStr">
        <is>
          <t>cap</t>
        </is>
      </c>
      <c r="B216" s="12" t="inlineStr">
        <is>
          <t>http://identifiers.org/so/SO:0000581</t>
        </is>
      </c>
      <c r="C216" s="12" t="n"/>
      <c r="D216" s="12" t="n"/>
      <c r="E216" s="12" t="n"/>
    </row>
    <row r="217" ht="15.75" customHeight="1">
      <c r="A217" s="12" t="inlineStr">
        <is>
          <t>capped</t>
        </is>
      </c>
      <c r="B217" s="12" t="inlineStr">
        <is>
          <t>http://identifiers.org/so/SO:0000146</t>
        </is>
      </c>
      <c r="C217" s="12" t="n"/>
      <c r="D217" s="12" t="n"/>
      <c r="E217" s="12" t="n"/>
    </row>
    <row r="218" ht="15.75" customHeight="1">
      <c r="A218" s="12" t="inlineStr">
        <is>
          <t>capped_mRNA</t>
        </is>
      </c>
      <c r="B218" s="12" t="inlineStr">
        <is>
          <t>http://identifiers.org/so/SO:0000862</t>
        </is>
      </c>
      <c r="C218" s="12" t="inlineStr">
        <is>
          <t>['capped mRNA']</t>
        </is>
      </c>
      <c r="D218" s="12" t="n"/>
      <c r="E218" s="12" t="n"/>
    </row>
    <row r="219" ht="15.75" customHeight="1">
      <c r="A219" s="12" t="inlineStr">
        <is>
          <t>capped_primary_transcript</t>
        </is>
      </c>
      <c r="B219" s="12" t="inlineStr">
        <is>
          <t>http://identifiers.org/so/SO:0000861</t>
        </is>
      </c>
      <c r="C219" s="12" t="inlineStr">
        <is>
          <t>['capped primary transcript']</t>
        </is>
      </c>
      <c r="D219" s="12" t="n"/>
      <c r="E219" s="12" t="n"/>
    </row>
    <row r="220" ht="15.75" customHeight="1">
      <c r="A220" s="12" t="inlineStr">
        <is>
          <t>CArG_box</t>
        </is>
      </c>
      <c r="B220" s="12" t="inlineStr">
        <is>
          <t>http://identifiers.org/so/SO:0002156</t>
        </is>
      </c>
      <c r="C220" s="12" t="inlineStr">
        <is>
          <t>['CArG box']</t>
        </is>
      </c>
      <c r="D220" s="12" t="n"/>
      <c r="E220" s="12" t="n"/>
    </row>
    <row r="221" ht="15.75" customHeight="1">
      <c r="A221" s="12" t="inlineStr">
        <is>
          <t>cassette_array_member</t>
        </is>
      </c>
      <c r="B221" s="12" t="inlineStr">
        <is>
          <t>http://identifiers.org/so/SO:0005847</t>
        </is>
      </c>
      <c r="C221" s="12" t="inlineStr">
        <is>
          <t>['cassette array member']</t>
        </is>
      </c>
      <c r="D221" s="12" t="n"/>
      <c r="E221" s="12" t="n"/>
    </row>
    <row r="222" ht="15.75" customHeight="1">
      <c r="A222" s="12" t="inlineStr">
        <is>
          <t>cassette_pseudogene</t>
        </is>
      </c>
      <c r="B222" s="12" t="inlineStr">
        <is>
          <t>http://identifiers.org/so/SO:0001434</t>
        </is>
      </c>
      <c r="C222" s="12" t="inlineStr">
        <is>
          <t>['cassette pseudogene', 'cassette type psedogene']</t>
        </is>
      </c>
      <c r="D222" s="12" t="n"/>
      <c r="E222" s="12" t="n"/>
    </row>
    <row r="223" ht="15.75" customHeight="1">
      <c r="A223" s="12" t="inlineStr">
        <is>
          <t>catalytic_residue</t>
        </is>
      </c>
      <c r="B223" s="12" t="inlineStr">
        <is>
          <t>http://identifiers.org/so/SO:0001104</t>
        </is>
      </c>
      <c r="C223" s="12" t="inlineStr">
        <is>
          <t>['catalytic residue', 'act_site', 'active site residue']</t>
        </is>
      </c>
      <c r="D223" s="12" t="n"/>
      <c r="E223" s="12" t="n"/>
    </row>
    <row r="224" ht="15.75" customHeight="1">
      <c r="A224" s="12" t="inlineStr">
        <is>
          <t>catmat_left_handed_four</t>
        </is>
      </c>
      <c r="B224" s="12" t="inlineStr">
        <is>
          <t>http://identifiers.org/so/SO:0100005</t>
        </is>
      </c>
      <c r="C224" s="12" t="inlineStr">
        <is>
          <t>['catmat-4l']</t>
        </is>
      </c>
      <c r="D224" s="12" t="n"/>
      <c r="E224" s="12" t="n"/>
    </row>
    <row r="225" ht="15.75" customHeight="1">
      <c r="A225" s="12" t="inlineStr">
        <is>
          <t>catmat_left_handed_three</t>
        </is>
      </c>
      <c r="B225" s="12" t="inlineStr">
        <is>
          <t>http://identifiers.org/so/SO:0100004</t>
        </is>
      </c>
      <c r="C225" s="12" t="inlineStr">
        <is>
          <t>['catmat-3l']</t>
        </is>
      </c>
      <c r="D225" s="12" t="n"/>
      <c r="E225" s="12" t="n"/>
    </row>
    <row r="226" ht="15.75" customHeight="1">
      <c r="A226" s="12" t="inlineStr">
        <is>
          <t>catmat_right_handed_four</t>
        </is>
      </c>
      <c r="B226" s="12" t="inlineStr">
        <is>
          <t>http://identifiers.org/so/SO:0100007</t>
        </is>
      </c>
      <c r="C226" s="12" t="inlineStr">
        <is>
          <t>['catmat-4r']</t>
        </is>
      </c>
      <c r="D226" s="12" t="n"/>
      <c r="E226" s="12" t="n"/>
    </row>
    <row r="227" ht="15.75" customHeight="1">
      <c r="A227" s="12" t="inlineStr">
        <is>
          <t>catmat_right_handed_three</t>
        </is>
      </c>
      <c r="B227" s="12" t="inlineStr">
        <is>
          <t>http://identifiers.org/so/SO:0100006</t>
        </is>
      </c>
      <c r="C227" s="12" t="inlineStr">
        <is>
          <t>['catmat-3r']</t>
        </is>
      </c>
      <c r="D227" s="12" t="n"/>
      <c r="E227" s="12" t="n"/>
    </row>
    <row r="228" ht="15.75" customHeight="1">
      <c r="A228" s="12" t="inlineStr">
        <is>
          <t>CCA_tail</t>
        </is>
      </c>
      <c r="B228" s="12" t="inlineStr">
        <is>
          <t>http://identifiers.org/so/SO:0001175</t>
        </is>
      </c>
      <c r="C228" s="12" t="inlineStr">
        <is>
          <t>['CCA tail', 'CCA sequence']</t>
        </is>
      </c>
      <c r="D228" s="12" t="n"/>
      <c r="E228" s="12" t="n"/>
    </row>
    <row r="229" ht="15.75" customHeight="1">
      <c r="A229" s="12" t="inlineStr">
        <is>
          <t>CCAAT_motif</t>
        </is>
      </c>
      <c r="B229" s="12" t="inlineStr">
        <is>
          <t>http://identifiers.org/so/SO:0001856</t>
        </is>
      </c>
      <c r="C229" s="12" t="inlineStr">
        <is>
          <t>['CCAAT motif']</t>
        </is>
      </c>
      <c r="D229" s="12" t="n"/>
      <c r="E229" s="12" t="n"/>
    </row>
    <row r="230" ht="15.75" customHeight="1">
      <c r="A230" s="12" t="inlineStr">
        <is>
          <t>cDNA</t>
        </is>
      </c>
      <c r="B230" s="12" t="inlineStr">
        <is>
          <t>http://identifiers.org/so/SO:0000756</t>
        </is>
      </c>
      <c r="C230" s="12" t="inlineStr">
        <is>
          <t>['complementary DNA']</t>
        </is>
      </c>
      <c r="D230" s="12" t="n"/>
      <c r="E230" s="12" t="n"/>
    </row>
    <row r="231" ht="15.75" customHeight="1">
      <c r="A231" s="12" t="inlineStr">
        <is>
          <t>cDNA_clone</t>
        </is>
      </c>
      <c r="B231" s="12" t="inlineStr">
        <is>
          <t>http://identifiers.org/so/SO:0000317</t>
        </is>
      </c>
      <c r="C231" s="12" t="inlineStr">
        <is>
          <t>['cDNA clone']</t>
        </is>
      </c>
      <c r="D231" s="12" t="n"/>
      <c r="E231" s="12" t="n"/>
    </row>
    <row r="232" ht="15.75" customHeight="1">
      <c r="A232" s="12" t="inlineStr">
        <is>
          <t>cDNA_match</t>
        </is>
      </c>
      <c r="B232" s="12" t="inlineStr">
        <is>
          <t>http://identifiers.org/so/SO:0000689</t>
        </is>
      </c>
      <c r="C232" s="12" t="inlineStr">
        <is>
          <t>['cDNA match']</t>
        </is>
      </c>
      <c r="D232" s="12" t="n"/>
      <c r="E232" s="12" t="n"/>
    </row>
    <row r="233" ht="15.75" customHeight="1">
      <c r="A233" s="12" t="inlineStr">
        <is>
          <t>CDRE_motif</t>
        </is>
      </c>
      <c r="B233" s="12" t="inlineStr">
        <is>
          <t>http://identifiers.org/so/SO:0001865</t>
        </is>
      </c>
      <c r="C233" s="12" t="inlineStr">
        <is>
          <t>['CDRE motif', 'calcineurin-dependent response element']</t>
        </is>
      </c>
      <c r="D233" s="12" t="n"/>
      <c r="E233" s="12" t="n"/>
    </row>
    <row r="234" ht="15.75" customHeight="1">
      <c r="A234" s="12" t="inlineStr">
        <is>
          <t>CDS_extension</t>
        </is>
      </c>
      <c r="B234" s="12" t="inlineStr">
        <is>
          <t>http://identifiers.org/so/SO:0002227</t>
        </is>
      </c>
      <c r="C234" s="12" t="inlineStr">
        <is>
          <t>['elongated_CDS', 'elongated CDS', 'CDS Extension']</t>
        </is>
      </c>
      <c r="D234" s="12" t="n"/>
      <c r="E234" s="12" t="n"/>
    </row>
    <row r="235" ht="15.75" customHeight="1">
      <c r="A235" s="12" t="inlineStr">
        <is>
          <t>CDS_five_prime_extension</t>
        </is>
      </c>
      <c r="B235" s="12" t="inlineStr">
        <is>
          <t>http://identifiers.org/so/SO:0002228</t>
        </is>
      </c>
      <c r="C235" s="12" t="inlineStr">
        <is>
          <t>['elongated CDS five prime', 'CDS Extension 5 prime', 'elongated_CDS_five_prime', 'CDS Extension five prime']</t>
        </is>
      </c>
      <c r="D235" s="12" t="n"/>
      <c r="E235" s="12" t="n"/>
    </row>
    <row r="236" ht="15.75" customHeight="1">
      <c r="A236" s="12" t="inlineStr">
        <is>
          <t>CDS_fragment</t>
        </is>
      </c>
      <c r="B236" s="12" t="inlineStr">
        <is>
          <t>http://identifiers.org/so/SO:0001384</t>
        </is>
      </c>
      <c r="C236" s="12" t="inlineStr">
        <is>
          <t>['CDS fragment', 'incomplete CDS']</t>
        </is>
      </c>
      <c r="D236" s="12" t="n"/>
      <c r="E236" s="12" t="n"/>
    </row>
    <row r="237" ht="15.75" customHeight="1">
      <c r="A237" s="12" t="inlineStr">
        <is>
          <t>CDS_independently_known</t>
        </is>
      </c>
      <c r="B237" s="12" t="inlineStr">
        <is>
          <t>http://identifiers.org/so/SO:1001246</t>
        </is>
      </c>
      <c r="C237" s="12" t="inlineStr">
        <is>
          <t>['CDS independently known']</t>
        </is>
      </c>
      <c r="D237" s="12" t="n"/>
      <c r="E237" s="12" t="n"/>
    </row>
    <row r="238" ht="15.75" customHeight="1">
      <c r="A238" s="12" t="inlineStr">
        <is>
          <t>CDS_predicted</t>
        </is>
      </c>
      <c r="B238" s="12" t="inlineStr">
        <is>
          <t>http://identifiers.org/so/SO:1001254</t>
        </is>
      </c>
      <c r="C238" s="12" t="inlineStr">
        <is>
          <t>['CDS predicted']</t>
        </is>
      </c>
      <c r="D238" s="12" t="n"/>
      <c r="E238" s="12" t="n"/>
    </row>
    <row r="239" ht="15.75" customHeight="1">
      <c r="A239" s="12" t="inlineStr">
        <is>
          <t>CDS_region</t>
        </is>
      </c>
      <c r="B239" s="12" t="inlineStr">
        <is>
          <t>http://identifiers.org/so/SO:0000851</t>
        </is>
      </c>
      <c r="C239" s="12" t="inlineStr">
        <is>
          <t>['CDS region']</t>
        </is>
      </c>
      <c r="D239" s="12" t="n"/>
      <c r="E239" s="12" t="n"/>
    </row>
    <row r="240" ht="15.75" customHeight="1">
      <c r="A240" s="12" t="inlineStr">
        <is>
          <t>CDS_supported_by_domain_match_data</t>
        </is>
      </c>
      <c r="B240" s="12" t="inlineStr">
        <is>
          <t>http://identifiers.org/so/SO:1001249</t>
        </is>
      </c>
      <c r="C240" s="12" t="inlineStr">
        <is>
          <t>['CDS supported by domain match data']</t>
        </is>
      </c>
      <c r="D240" s="12" t="n"/>
      <c r="E240" s="12" t="n"/>
    </row>
    <row r="241" ht="15.75" customHeight="1">
      <c r="A241" s="12" t="inlineStr">
        <is>
          <t>CDS_supported_by_EST_or_cDNA_data</t>
        </is>
      </c>
      <c r="B241" s="12" t="inlineStr">
        <is>
          <t>http://identifiers.org/so/SO:1001259</t>
        </is>
      </c>
      <c r="C241" s="12" t="inlineStr">
        <is>
          <t>['CDS supported by EST or cDNA data']</t>
        </is>
      </c>
      <c r="D241" s="12" t="n"/>
      <c r="E241" s="12" t="n"/>
    </row>
    <row r="242" ht="15.75" customHeight="1">
      <c r="A242" s="12" t="inlineStr">
        <is>
          <t>CDS_supported_by_peptide_spectrum_match</t>
        </is>
      </c>
      <c r="B242" s="12" t="inlineStr">
        <is>
          <t>http://identifiers.org/so/SO:0002071</t>
        </is>
      </c>
      <c r="C242" s="12" t="n"/>
      <c r="D242" s="12" t="n"/>
      <c r="E242" s="12" t="n"/>
    </row>
    <row r="243" ht="15.75" customHeight="1">
      <c r="A243" s="12" t="inlineStr">
        <is>
          <t>CDS_supported_by_sequence_similarity_data</t>
        </is>
      </c>
      <c r="B243" s="12" t="inlineStr">
        <is>
          <t>http://identifiers.org/so/SO:1001251</t>
        </is>
      </c>
      <c r="C243" s="12" t="inlineStr">
        <is>
          <t>['CDS supported by sequence similarity data']</t>
        </is>
      </c>
      <c r="D243" s="12" t="n"/>
      <c r="E243" s="12" t="n"/>
    </row>
    <row r="244" ht="15.75" customHeight="1">
      <c r="A244" s="12" t="inlineStr">
        <is>
          <t>CDS_three_prime_extension</t>
        </is>
      </c>
      <c r="B244" s="12" t="inlineStr">
        <is>
          <t>http://identifiers.org/so/SO:0002229</t>
        </is>
      </c>
      <c r="C244" s="12" t="inlineStr">
        <is>
          <t>['elongated_CDS_three_prime', 'CDS Extension three prime', 'CDS Extension 3 prime', 'elongated CDS three prime']</t>
        </is>
      </c>
      <c r="D244" s="12" t="n"/>
      <c r="E244" s="12" t="n"/>
    </row>
    <row r="245" ht="15.75" customHeight="1">
      <c r="A245" s="12" t="inlineStr">
        <is>
          <t>central_hydrophobic_region_of_signal_peptide</t>
        </is>
      </c>
      <c r="B245" s="12" t="inlineStr">
        <is>
          <t>http://identifiers.org/so/SO:0100016</t>
        </is>
      </c>
      <c r="C245" s="12" t="inlineStr">
        <is>
          <t>['central_hydrophobic_region', 'central hydrophobic region of signal peptide', 'H-region']</t>
        </is>
      </c>
      <c r="D245" s="12" t="n"/>
      <c r="E245" s="12" t="n"/>
    </row>
    <row r="246" ht="15.75" customHeight="1">
      <c r="A246" s="12" t="inlineStr">
        <is>
          <t>centromere</t>
        </is>
      </c>
      <c r="B246" s="12" t="inlineStr">
        <is>
          <t>http://identifiers.org/so/SO:0000577</t>
        </is>
      </c>
      <c r="C246" s="12" t="inlineStr">
        <is>
          <t>['INSDC_feature:centromere']</t>
        </is>
      </c>
      <c r="D246" s="12" t="n"/>
      <c r="E246" s="12" t="n"/>
    </row>
    <row r="247" ht="15.75" customHeight="1">
      <c r="A247" s="12" t="inlineStr">
        <is>
          <t>centromere_DNA_Element_I</t>
        </is>
      </c>
      <c r="B247" s="12" t="inlineStr">
        <is>
          <t>http://identifiers.org/so/SO:0001493</t>
        </is>
      </c>
      <c r="C247" s="12" t="inlineStr">
        <is>
          <t>['Centromere DNA Element I', 'CDEI']</t>
        </is>
      </c>
      <c r="D247" s="12" t="n"/>
      <c r="E247" s="12" t="n"/>
    </row>
    <row r="248" ht="15.75" customHeight="1">
      <c r="A248" s="12" t="inlineStr">
        <is>
          <t>centromere_DNA_Element_II</t>
        </is>
      </c>
      <c r="B248" s="12" t="inlineStr">
        <is>
          <t>http://identifiers.org/so/SO:0001494</t>
        </is>
      </c>
      <c r="C248" s="12" t="inlineStr">
        <is>
          <t>['CDEII', 'centromere DNA Element II']</t>
        </is>
      </c>
      <c r="D248" s="12" t="n"/>
      <c r="E248" s="12" t="n"/>
    </row>
    <row r="249" ht="15.75" customHeight="1">
      <c r="A249" s="12" t="inlineStr">
        <is>
          <t>centromere_DNA_Element_III</t>
        </is>
      </c>
      <c r="B249" s="12" t="inlineStr">
        <is>
          <t>http://identifiers.org/so/SO:0001495</t>
        </is>
      </c>
      <c r="C249" s="12" t="inlineStr">
        <is>
          <t>['CDEIII', 'centromere DNA Element III']</t>
        </is>
      </c>
      <c r="D249" s="12" t="n"/>
      <c r="E249" s="12" t="n"/>
    </row>
    <row r="250" ht="15.75" customHeight="1">
      <c r="A250" s="12" t="inlineStr">
        <is>
          <t>centromeric_repeat</t>
        </is>
      </c>
      <c r="B250" s="12" t="inlineStr">
        <is>
          <t>http://identifiers.org/so/SO:0001797</t>
        </is>
      </c>
      <c r="C250" s="12" t="inlineStr">
        <is>
          <t>['centromeric repeat', 'INSDC_qualifier:centromeric_repeat', 'INSDC_feature:repeat_region']</t>
        </is>
      </c>
      <c r="D250" s="12" t="n"/>
      <c r="E250" s="12" t="n"/>
    </row>
    <row r="251" ht="15.75" customHeight="1">
      <c r="A251" s="12" t="inlineStr">
        <is>
          <t>chimeric_cDNA_clone</t>
        </is>
      </c>
      <c r="B251" s="12" t="inlineStr">
        <is>
          <t>http://identifiers.org/so/SO:0000810</t>
        </is>
      </c>
      <c r="C251" s="12" t="inlineStr">
        <is>
          <t>['chimeric cDNA clone']</t>
        </is>
      </c>
      <c r="D251" s="12" t="n"/>
      <c r="E251" s="12" t="n"/>
    </row>
    <row r="252" ht="15.75" customHeight="1">
      <c r="A252" s="12" t="inlineStr">
        <is>
          <t>ChIP_seq_region</t>
        </is>
      </c>
      <c r="B252" s="12" t="inlineStr">
        <is>
          <t>http://identifiers.org/so/SO:0001697</t>
        </is>
      </c>
      <c r="C252" s="12" t="inlineStr">
        <is>
          <t>['ChIP seq region']</t>
        </is>
      </c>
      <c r="D252" s="12" t="n"/>
      <c r="E252" s="12" t="n"/>
    </row>
    <row r="253" ht="15.75" customHeight="1">
      <c r="A253" s="12" t="inlineStr">
        <is>
          <t>chloroplast_chromosome</t>
        </is>
      </c>
      <c r="B253" s="12" t="inlineStr">
        <is>
          <t>http://identifiers.org/so/SO:0000820</t>
        </is>
      </c>
      <c r="C253" s="12" t="inlineStr">
        <is>
          <t>['chloroplast chromosome']</t>
        </is>
      </c>
      <c r="D253" s="12" t="n"/>
      <c r="E253" s="12" t="n"/>
    </row>
    <row r="254" ht="15.75" customHeight="1">
      <c r="A254" s="12" t="inlineStr">
        <is>
          <t>chloroplast_DNA</t>
        </is>
      </c>
      <c r="B254" s="12" t="inlineStr">
        <is>
          <t>http://identifiers.org/so/SO:0001033</t>
        </is>
      </c>
      <c r="C254" s="12" t="inlineStr">
        <is>
          <t>['chloroplast DNA']</t>
        </is>
      </c>
      <c r="D254" s="12" t="n"/>
      <c r="E254" s="12" t="n"/>
    </row>
    <row r="255" ht="15.75" customHeight="1">
      <c r="A255" s="12" t="inlineStr">
        <is>
          <t>chloroplast_DNA_read</t>
        </is>
      </c>
      <c r="B255" s="12" t="inlineStr">
        <is>
          <t>http://identifiers.org/so/SO:0001930</t>
        </is>
      </c>
      <c r="C255" s="12" t="inlineStr">
        <is>
          <t>['chloroplast DNA read']</t>
        </is>
      </c>
      <c r="D255" s="12" t="n"/>
      <c r="E255" s="12" t="n"/>
    </row>
    <row r="256" ht="15.75" customHeight="1">
      <c r="A256" s="12" t="inlineStr">
        <is>
          <t>chloroplast_sequence</t>
        </is>
      </c>
      <c r="B256" s="12" t="inlineStr">
        <is>
          <t>http://identifiers.org/so/SO:0000745</t>
        </is>
      </c>
      <c r="C256" s="12" t="inlineStr">
        <is>
          <t>['chloroplast sequence']</t>
        </is>
      </c>
      <c r="D256" s="12" t="n"/>
      <c r="E256" s="12" t="n"/>
    </row>
    <row r="257" ht="15.75" customHeight="1">
      <c r="A257" s="12" t="inlineStr">
        <is>
          <t>chromatin_regulatory_region</t>
        </is>
      </c>
      <c r="B257" s="12" t="inlineStr">
        <is>
          <t>http://identifiers.org/so/SO:0002306</t>
        </is>
      </c>
      <c r="C257" s="12" t="inlineStr">
        <is>
          <t>['chromatin regulatory region']</t>
        </is>
      </c>
      <c r="D257" s="12" t="n"/>
      <c r="E257" s="12" t="n"/>
    </row>
    <row r="258" ht="15.75" customHeight="1">
      <c r="A258" s="12" t="inlineStr">
        <is>
          <t>chromoplast_chromosome</t>
        </is>
      </c>
      <c r="B258" s="12" t="inlineStr">
        <is>
          <t>http://identifiers.org/so/SO:0000821</t>
        </is>
      </c>
      <c r="C258" s="12" t="inlineStr">
        <is>
          <t>['chromoplast chromosome']</t>
        </is>
      </c>
      <c r="D258" s="12" t="n"/>
      <c r="E258" s="12" t="n"/>
    </row>
    <row r="259" ht="15.75" customHeight="1">
      <c r="A259" s="12" t="inlineStr">
        <is>
          <t>chromoplast_gene</t>
        </is>
      </c>
      <c r="B259" s="12" t="inlineStr">
        <is>
          <t>http://identifiers.org/so/SO:0000093</t>
        </is>
      </c>
      <c r="C259" s="12" t="inlineStr">
        <is>
          <t>['chromoplast gene']</t>
        </is>
      </c>
      <c r="D259" s="12" t="n"/>
      <c r="E259" s="12" t="n"/>
    </row>
    <row r="260" ht="15.75" customHeight="1">
      <c r="A260" s="12" t="inlineStr">
        <is>
          <t>chromoplast_sequence</t>
        </is>
      </c>
      <c r="B260" s="12" t="inlineStr">
        <is>
          <t>http://identifiers.org/so/SO:0000744</t>
        </is>
      </c>
      <c r="C260" s="12" t="inlineStr">
        <is>
          <t>['chromoplast sequence']</t>
        </is>
      </c>
      <c r="D260" s="12" t="n"/>
      <c r="E260" s="12" t="n"/>
    </row>
    <row r="261" ht="15.75" customHeight="1">
      <c r="A261" s="12" t="inlineStr">
        <is>
          <t>chromosomal_deletion</t>
        </is>
      </c>
      <c r="B261" s="12" t="inlineStr">
        <is>
          <t>http://identifiers.org/so/SO:1000029</t>
        </is>
      </c>
      <c r="C261" s="12" t="inlineStr">
        <is>
          <t>['chromosomal deletion', '(bacteria)&amp;ampDgr;', '(fungi)D', '(Drosophila)Df', 'deficiency']</t>
        </is>
      </c>
      <c r="D261" s="12" t="n"/>
      <c r="E261" s="12" t="n"/>
    </row>
    <row r="262" ht="15.75" customHeight="1">
      <c r="A262" s="12" t="inlineStr">
        <is>
          <t>chromosomal_duplication</t>
        </is>
      </c>
      <c r="B262" s="12" t="inlineStr">
        <is>
          <t>http://identifiers.org/so/SO:1000037</t>
        </is>
      </c>
      <c r="C262" s="12" t="inlineStr">
        <is>
          <t>['chromosomal duplication', '(fungi)Dp', '(Drosophila)Dp']</t>
        </is>
      </c>
      <c r="D262" s="12" t="n"/>
      <c r="E262" s="12" t="n"/>
    </row>
    <row r="263" ht="15.75" customHeight="1">
      <c r="A263" s="12" t="inlineStr">
        <is>
          <t>chromosomal_inversion</t>
        </is>
      </c>
      <c r="B263" s="12" t="inlineStr">
        <is>
          <t>http://identifiers.org/so/SO:1000030</t>
        </is>
      </c>
      <c r="C263" s="12" t="inlineStr">
        <is>
          <t>['chromosomal inversion', '(Drosophila)In', '(bacteria)IN', '(fungi)In']</t>
        </is>
      </c>
      <c r="D263" s="12" t="n"/>
      <c r="E263" s="12" t="n"/>
    </row>
    <row r="264" ht="15.75" customHeight="1">
      <c r="A264" s="12" t="inlineStr">
        <is>
          <t>chromosomal_regulatory_element</t>
        </is>
      </c>
      <c r="B264" s="12" t="inlineStr">
        <is>
          <t>http://identifiers.org/so/SO:0000626</t>
        </is>
      </c>
      <c r="C264" s="12" t="inlineStr">
        <is>
          <t>['chromosomal regulatory element']</t>
        </is>
      </c>
      <c r="D264" s="12" t="n"/>
      <c r="E264" s="12" t="n"/>
    </row>
    <row r="265" ht="15.75" customHeight="1">
      <c r="A265" s="12" t="inlineStr">
        <is>
          <t>chromosomal_structural_element</t>
        </is>
      </c>
      <c r="B265" s="12" t="inlineStr">
        <is>
          <t>http://identifiers.org/so/SO:0000628</t>
        </is>
      </c>
      <c r="C265" s="12" t="inlineStr">
        <is>
          <t>['chromosomal structural element']</t>
        </is>
      </c>
      <c r="D265" s="12" t="n"/>
      <c r="E265" s="12" t="n"/>
    </row>
    <row r="266" ht="15.75" customHeight="1">
      <c r="A266" s="12" t="inlineStr">
        <is>
          <t>chromosomal_translocation</t>
        </is>
      </c>
      <c r="B266" s="12" t="inlineStr">
        <is>
          <t>http://identifiers.org/so/SO:1000044</t>
        </is>
      </c>
      <c r="C266" s="12" t="inlineStr">
        <is>
          <t>['(fungi)T', 'chromosomal translocation', '(Drosophila)T']</t>
        </is>
      </c>
      <c r="D266" s="12" t="n"/>
      <c r="E266" s="12" t="n"/>
    </row>
    <row r="267" ht="15.75" customHeight="1">
      <c r="A267" s="12" t="inlineStr">
        <is>
          <t>chromosomal_transposition</t>
        </is>
      </c>
      <c r="B267" s="12" t="inlineStr">
        <is>
          <t>http://identifiers.org/so/SO:0000453</t>
        </is>
      </c>
      <c r="C267" s="12" t="inlineStr">
        <is>
          <t>['chromosomal transposition', 'transposition']</t>
        </is>
      </c>
      <c r="D267" s="12" t="n"/>
      <c r="E267" s="12" t="n"/>
    </row>
    <row r="268" ht="15.75" customHeight="1">
      <c r="A268" s="12" t="inlineStr">
        <is>
          <t>chromosomal_variation_attribute</t>
        </is>
      </c>
      <c r="B268" s="12" t="inlineStr">
        <is>
          <t>http://identifiers.org/so/SO:0001509</t>
        </is>
      </c>
      <c r="C268" s="12" t="inlineStr">
        <is>
          <t>['chromosomal variation attribute']</t>
        </is>
      </c>
      <c r="D268" s="12" t="n"/>
      <c r="E268" s="12" t="n"/>
    </row>
    <row r="269" ht="15.75" customHeight="1">
      <c r="A269" s="12" t="inlineStr">
        <is>
          <t>chromosomally_aberrant_genome</t>
        </is>
      </c>
      <c r="B269" s="12" t="inlineStr">
        <is>
          <t>http://identifiers.org/so/SO:0001524</t>
        </is>
      </c>
      <c r="C269" s="12" t="inlineStr">
        <is>
          <t>['chromosomally aberrant genome']</t>
        </is>
      </c>
      <c r="D269" s="12" t="n"/>
      <c r="E269" s="12" t="n"/>
    </row>
    <row r="270" ht="15.75" customHeight="1">
      <c r="A270" s="12" t="inlineStr">
        <is>
          <t>chromosome</t>
        </is>
      </c>
      <c r="B270" s="12" t="inlineStr">
        <is>
          <t>http://identifiers.org/so/SO:0000340</t>
        </is>
      </c>
      <c r="C270" s="12" t="n"/>
      <c r="D270" s="12" t="n"/>
      <c r="E270" s="12" t="n"/>
    </row>
    <row r="271" ht="15.75" customHeight="1">
      <c r="A271" s="12" t="inlineStr">
        <is>
          <t>chromosome_arm</t>
        </is>
      </c>
      <c r="B271" s="12" t="inlineStr">
        <is>
          <t>http://identifiers.org/so/SO:0000105</t>
        </is>
      </c>
      <c r="C271" s="12" t="inlineStr">
        <is>
          <t>['chromosome arm']</t>
        </is>
      </c>
      <c r="D271" s="12" t="n"/>
      <c r="E271" s="12" t="n"/>
    </row>
    <row r="272" ht="15.75" customHeight="1">
      <c r="A272" s="12" t="inlineStr">
        <is>
          <t>chromosome_band</t>
        </is>
      </c>
      <c r="B272" s="12" t="inlineStr">
        <is>
          <t>http://identifiers.org/so/SO:0000341</t>
        </is>
      </c>
      <c r="C272" s="12" t="inlineStr">
        <is>
          <t>['cytoband', 'chromosome band', 'cytological band']</t>
        </is>
      </c>
      <c r="D272" s="12" t="n"/>
      <c r="E272" s="12" t="n"/>
    </row>
    <row r="273" ht="15.75" customHeight="1">
      <c r="A273" s="12" t="inlineStr">
        <is>
          <t>chromosome_breakage_sequence</t>
        </is>
      </c>
      <c r="B273" s="12" t="inlineStr">
        <is>
          <t>http://identifiers.org/so/SO:0000670</t>
        </is>
      </c>
      <c r="C273" s="12" t="inlineStr">
        <is>
          <t>['chromosome breakage sequence']</t>
        </is>
      </c>
      <c r="D273" s="12" t="n"/>
      <c r="E273" s="12" t="n"/>
    </row>
    <row r="274" ht="15.75" customHeight="1">
      <c r="A274" s="12" t="inlineStr">
        <is>
          <t>chromosome_breakpoint</t>
        </is>
      </c>
      <c r="B274" s="12" t="inlineStr">
        <is>
          <t>http://identifiers.org/so/SO:0001021</t>
        </is>
      </c>
      <c r="C274" s="12" t="inlineStr">
        <is>
          <t>['INSDC_feature:misc_recomb', 'aberration_junction', 'aberration breakpoint', 'chromosome breakpoint', 'INSDC_qualifier:chromosome_breakpoint']</t>
        </is>
      </c>
      <c r="D274" s="12" t="n"/>
      <c r="E274" s="12" t="n"/>
    </row>
    <row r="275" ht="15.75" customHeight="1">
      <c r="A275" s="12" t="inlineStr">
        <is>
          <t>chromosome_fission</t>
        </is>
      </c>
      <c r="B275" s="12" t="inlineStr">
        <is>
          <t>http://identifiers.org/so/SO:1000141</t>
        </is>
      </c>
      <c r="C275" s="12" t="inlineStr">
        <is>
          <t>['chromosome fission']</t>
        </is>
      </c>
      <c r="D275" s="12" t="n"/>
      <c r="E275" s="12" t="n"/>
    </row>
    <row r="276" ht="15.75" customHeight="1">
      <c r="A276" s="12" t="inlineStr">
        <is>
          <t>chromosome_number_variation</t>
        </is>
      </c>
      <c r="B276" s="12" t="inlineStr">
        <is>
          <t>http://identifiers.org/so/SO:1000182</t>
        </is>
      </c>
      <c r="C276" s="12" t="inlineStr">
        <is>
          <t>['chromosome number variation', 'Jannovar:chromosome_number_variation']</t>
        </is>
      </c>
      <c r="D276" s="12" t="n"/>
      <c r="E276" s="12" t="n"/>
    </row>
    <row r="277" ht="15.75" customHeight="1">
      <c r="A277" s="12" t="inlineStr">
        <is>
          <t>chromosome_part</t>
        </is>
      </c>
      <c r="B277" s="12" t="inlineStr">
        <is>
          <t>http://identifiers.org/so/SO:0000830</t>
        </is>
      </c>
      <c r="C277" s="12" t="inlineStr">
        <is>
          <t>['chromosome part', 'chromosomal_region', 'chromosomal region']</t>
        </is>
      </c>
      <c r="D277" s="12" t="n"/>
      <c r="E277" s="12" t="n"/>
    </row>
    <row r="278" ht="15.75" customHeight="1">
      <c r="A278" s="12" t="inlineStr">
        <is>
          <t>chromosome_structure_variation</t>
        </is>
      </c>
      <c r="B278" s="12" t="inlineStr">
        <is>
          <t>http://identifiers.org/so/SO:1000183</t>
        </is>
      </c>
      <c r="C278" s="12" t="inlineStr">
        <is>
          <t>['snpEff:CHROMOSOME_LARGE_DELETION', 'chromosome structure variation']</t>
        </is>
      </c>
      <c r="D278" s="12" t="n"/>
      <c r="E278" s="12" t="n"/>
    </row>
    <row r="279" ht="15.75" customHeight="1">
      <c r="A279" s="12" t="inlineStr">
        <is>
          <t>chromosome_variation</t>
        </is>
      </c>
      <c r="B279" s="12" t="inlineStr">
        <is>
          <t>http://identifiers.org/so/SO:0000240</t>
        </is>
      </c>
      <c r="C279" s="12" t="inlineStr">
        <is>
          <t>['chromosome variation']</t>
        </is>
      </c>
      <c r="D279" s="12" t="n"/>
      <c r="E279" s="12" t="n"/>
    </row>
    <row r="280" ht="15.75" customHeight="1">
      <c r="A280" s="12" t="inlineStr">
        <is>
          <t>circular</t>
        </is>
      </c>
      <c r="B280" s="12" t="inlineStr">
        <is>
          <t>http://identifiers.org/so/SO:0000988</t>
        </is>
      </c>
      <c r="C280" s="12" t="inlineStr">
        <is>
          <t>['zero-ended']</t>
        </is>
      </c>
      <c r="D280" s="12" t="n"/>
      <c r="E280" s="12" t="n"/>
    </row>
    <row r="281" ht="15.75" customHeight="1">
      <c r="A281" s="12" t="inlineStr">
        <is>
          <t>circular_double_stranded_DNA_chromosome</t>
        </is>
      </c>
      <c r="B281" s="12" t="inlineStr">
        <is>
          <t>http://identifiers.org/so/SO:0000958</t>
        </is>
      </c>
      <c r="C281" s="12" t="inlineStr">
        <is>
          <t>['circular double stranded DNA chromosome']</t>
        </is>
      </c>
      <c r="D281" s="12" t="n"/>
      <c r="E281" s="12" t="n"/>
    </row>
    <row r="282" ht="15.75" customHeight="1">
      <c r="A282" s="12" t="inlineStr">
        <is>
          <t>circular_double_stranded_RNA_chromosome</t>
        </is>
      </c>
      <c r="B282" s="12" t="inlineStr">
        <is>
          <t>http://identifiers.org/so/SO:0000967</t>
        </is>
      </c>
      <c r="C282" s="12" t="inlineStr">
        <is>
          <t>['circular double stranded RNA chromosome']</t>
        </is>
      </c>
      <c r="D282" s="12" t="n"/>
      <c r="E282" s="12" t="n"/>
    </row>
    <row r="283" ht="15.75" customHeight="1">
      <c r="A283" s="12" t="inlineStr">
        <is>
          <t>circular_mRNA</t>
        </is>
      </c>
      <c r="B283" s="12" t="inlineStr">
        <is>
          <t>http://identifiers.org/so/SO:0002292</t>
        </is>
      </c>
      <c r="C283" s="12" t="inlineStr">
        <is>
          <t>['circular mRNA', 'coding circRNA']</t>
        </is>
      </c>
      <c r="D283" s="12" t="n"/>
      <c r="E283" s="12" t="n"/>
    </row>
    <row r="284" ht="15.75" customHeight="1">
      <c r="A284" s="12" t="inlineStr">
        <is>
          <t>circular_ncRNA</t>
        </is>
      </c>
      <c r="B284" s="12" t="inlineStr">
        <is>
          <t>http://identifiers.org/so/SO:0002291</t>
        </is>
      </c>
      <c r="C284" s="12" t="inlineStr">
        <is>
          <t>['circRNA', 'circular ncRNA', 'noncoding circRNA']</t>
        </is>
      </c>
      <c r="D284" s="12" t="n"/>
      <c r="E284" s="12" t="n"/>
    </row>
    <row r="285" ht="15.75" customHeight="1">
      <c r="A285" s="12" t="inlineStr">
        <is>
          <t>circular_plasmid</t>
        </is>
      </c>
      <c r="B285" s="12" t="inlineStr">
        <is>
          <t>http://identifiers.org/so/SO:0002211</t>
        </is>
      </c>
      <c r="C285" s="12" t="inlineStr">
        <is>
          <t>['circular plasmid']</t>
        </is>
      </c>
      <c r="D285" s="12" t="n"/>
      <c r="E285" s="12" t="n"/>
    </row>
    <row r="286" ht="15.75" customHeight="1">
      <c r="A286" s="12" t="inlineStr">
        <is>
          <t>circular_single_stranded_DNA_chromosome</t>
        </is>
      </c>
      <c r="B286" s="12" t="inlineStr">
        <is>
          <t>http://identifiers.org/so/SO:0000960</t>
        </is>
      </c>
      <c r="C286" s="12" t="inlineStr">
        <is>
          <t>['circular single stranded DNA chromosome']</t>
        </is>
      </c>
      <c r="D286" s="12" t="n"/>
      <c r="E286" s="12" t="n"/>
    </row>
    <row r="287" ht="15.75" customHeight="1">
      <c r="A287" s="12" t="inlineStr">
        <is>
          <t>circular_single_stranded_RNA_chromosome</t>
        </is>
      </c>
      <c r="B287" s="12" t="inlineStr">
        <is>
          <t>http://identifiers.org/so/SO:0000966</t>
        </is>
      </c>
      <c r="C287" s="12" t="inlineStr">
        <is>
          <t>['circular single stranded RNA chromosome']</t>
        </is>
      </c>
      <c r="D287" s="12" t="n"/>
      <c r="E287" s="12" t="n"/>
    </row>
    <row r="288" ht="15.75" customHeight="1">
      <c r="A288" s="12" t="inlineStr">
        <is>
          <t>cis_acting_homologous_chromosome_pairing_region</t>
        </is>
      </c>
      <c r="B288" s="12" t="inlineStr">
        <is>
          <t>http://identifiers.org/so/SO:0002025</t>
        </is>
      </c>
      <c r="C288" s="12" t="inlineStr">
        <is>
          <t>['cis-acting homologous chromosome pairing region']</t>
        </is>
      </c>
      <c r="D288" s="12" t="n"/>
      <c r="E288" s="12" t="n"/>
    </row>
    <row r="289" ht="15.75" customHeight="1">
      <c r="A289" s="12" t="inlineStr">
        <is>
          <t>cis_regulatory_frameshift_element</t>
        </is>
      </c>
      <c r="B289" s="12" t="inlineStr">
        <is>
          <t>http://identifiers.org/so/SO:0001427</t>
        </is>
      </c>
      <c r="C289" s="12" t="inlineStr">
        <is>
          <t>['cis regulatory frameshift element']</t>
        </is>
      </c>
      <c r="D289" s="12" t="n"/>
      <c r="E289" s="12" t="n"/>
    </row>
    <row r="290" ht="15.75" customHeight="1">
      <c r="A290" s="12" t="inlineStr">
        <is>
          <t>cis_splice_site</t>
        </is>
      </c>
      <c r="B290" s="12" t="inlineStr">
        <is>
          <t>http://identifiers.org/so/SO:0001419</t>
        </is>
      </c>
      <c r="C290" s="12" t="inlineStr">
        <is>
          <t>['cis splice site']</t>
        </is>
      </c>
      <c r="D290" s="12" t="n"/>
      <c r="E290" s="12" t="n"/>
    </row>
    <row r="291" ht="15.75" customHeight="1">
      <c r="A291" s="12" t="inlineStr">
        <is>
          <t>class_I_RNA</t>
        </is>
      </c>
      <c r="B291" s="12" t="inlineStr">
        <is>
          <t>http://identifiers.org/so/SO:0000990</t>
        </is>
      </c>
      <c r="C291" s="12" t="inlineStr">
        <is>
          <t>['class I RNA']</t>
        </is>
      </c>
      <c r="D291" s="12" t="n"/>
      <c r="E291" s="12" t="n"/>
    </row>
    <row r="292" ht="15.75" customHeight="1">
      <c r="A292" s="12" t="inlineStr">
        <is>
          <t>class_II_RNA</t>
        </is>
      </c>
      <c r="B292" s="12" t="inlineStr">
        <is>
          <t>http://identifiers.org/so/SO:0000989</t>
        </is>
      </c>
      <c r="C292" s="12" t="inlineStr">
        <is>
          <t>['class II RNA']</t>
        </is>
      </c>
      <c r="D292" s="12" t="n"/>
      <c r="E292" s="12" t="n"/>
    </row>
    <row r="293" ht="15.75" customHeight="1">
      <c r="A293" s="12" t="inlineStr">
        <is>
          <t>cleaved_for_gpi_anchor_region</t>
        </is>
      </c>
      <c r="B293" s="12" t="inlineStr">
        <is>
          <t>http://identifiers.org/so/SO:0001408</t>
        </is>
      </c>
      <c r="C293" s="12" t="inlineStr">
        <is>
          <t>['cleaved for gpi anchor region']</t>
        </is>
      </c>
      <c r="D293" s="12" t="n"/>
      <c r="E293" s="12" t="n"/>
    </row>
    <row r="294" ht="15.75" customHeight="1">
      <c r="A294" s="12" t="inlineStr">
        <is>
          <t>cleaved_initiator_methionine</t>
        </is>
      </c>
      <c r="B294" s="12" t="inlineStr">
        <is>
          <t>http://identifiers.org/so/SO:0000691</t>
        </is>
      </c>
      <c r="C294" s="12" t="inlineStr">
        <is>
          <t>['initiator methionine', 'init_met', 'cleaved initiator methionine']</t>
        </is>
      </c>
      <c r="D294" s="12" t="n"/>
      <c r="E294" s="12" t="n"/>
    </row>
    <row r="295" ht="15.75" customHeight="1">
      <c r="A295" s="12" t="inlineStr">
        <is>
          <t>cleaved_peptide_region</t>
        </is>
      </c>
      <c r="B295" s="12" t="inlineStr">
        <is>
          <t>http://identifiers.org/so/SO:0100011</t>
        </is>
      </c>
      <c r="C295" s="12" t="inlineStr">
        <is>
          <t>['cleaved peptide region']</t>
        </is>
      </c>
      <c r="D295" s="12" t="n"/>
      <c r="E295" s="12" t="n"/>
    </row>
    <row r="296" ht="15.75" customHeight="1">
      <c r="A296" s="12" t="inlineStr">
        <is>
          <t>clip</t>
        </is>
      </c>
      <c r="B296" s="12" t="inlineStr">
        <is>
          <t>http://identifiers.org/so/SO:0000303</t>
        </is>
      </c>
      <c r="C296" s="12" t="n"/>
      <c r="D296" s="12" t="n"/>
      <c r="E296" s="12" t="n"/>
    </row>
    <row r="297" ht="15.75" customHeight="1">
      <c r="A297" s="12" t="inlineStr">
        <is>
          <t>clone</t>
        </is>
      </c>
      <c r="B297" s="12" t="inlineStr">
        <is>
          <t>http://identifiers.org/so/SO:0000151</t>
        </is>
      </c>
      <c r="C297" s="12" t="n"/>
      <c r="D297" s="12" t="n"/>
      <c r="E297" s="12" t="n"/>
    </row>
    <row r="298" ht="15.75" customHeight="1">
      <c r="A298" s="12" t="inlineStr">
        <is>
          <t>clone_attribute</t>
        </is>
      </c>
      <c r="B298" s="12" t="inlineStr">
        <is>
          <t>http://identifiers.org/so/SO:0000787</t>
        </is>
      </c>
      <c r="C298" s="12" t="n"/>
      <c r="D298" s="12" t="n"/>
      <c r="E298" s="12" t="n"/>
    </row>
    <row r="299" ht="15.75" customHeight="1">
      <c r="A299" s="12" t="inlineStr">
        <is>
          <t>clone_end</t>
        </is>
      </c>
      <c r="B299" s="12" t="inlineStr">
        <is>
          <t>http://identifiers.org/so/SO:0001793</t>
        </is>
      </c>
      <c r="C299" s="12" t="inlineStr">
        <is>
          <t>['clone end']</t>
        </is>
      </c>
      <c r="D299" s="12" t="n"/>
      <c r="E299" s="12" t="n"/>
    </row>
    <row r="300" ht="15.75" customHeight="1">
      <c r="A300" s="12" t="inlineStr">
        <is>
          <t>clone_insert</t>
        </is>
      </c>
      <c r="B300" s="12" t="inlineStr">
        <is>
          <t>http://identifiers.org/so/SO:0000753</t>
        </is>
      </c>
      <c r="C300" s="12" t="inlineStr">
        <is>
          <t>['clone insert']</t>
        </is>
      </c>
      <c r="D300" s="12" t="n"/>
      <c r="E300" s="12" t="n"/>
    </row>
    <row r="301" ht="15.75" customHeight="1">
      <c r="A301" s="12" t="inlineStr">
        <is>
          <t>clone_insert_end</t>
        </is>
      </c>
      <c r="B301" s="12" t="inlineStr">
        <is>
          <t>http://identifiers.org/so/SO:0000103</t>
        </is>
      </c>
      <c r="C301" s="12" t="inlineStr">
        <is>
          <t>['clone insert end']</t>
        </is>
      </c>
      <c r="D301" s="12" t="n"/>
      <c r="E301" s="12" t="n"/>
    </row>
    <row r="302" ht="15.75" customHeight="1">
      <c r="A302" s="12" t="inlineStr">
        <is>
          <t>clone_insert_start</t>
        </is>
      </c>
      <c r="B302" s="12" t="inlineStr">
        <is>
          <t>http://identifiers.org/so/SO:0000179</t>
        </is>
      </c>
      <c r="C302" s="12" t="inlineStr">
        <is>
          <t>['clone insert start']</t>
        </is>
      </c>
      <c r="D302" s="12" t="n"/>
      <c r="E302" s="12" t="n"/>
    </row>
    <row r="303" ht="15.75" customHeight="1">
      <c r="A303" s="12" t="inlineStr">
        <is>
          <t>cloned</t>
        </is>
      </c>
      <c r="B303" s="12" t="inlineStr">
        <is>
          <t>http://identifiers.org/so/SO:0000788</t>
        </is>
      </c>
      <c r="C303" s="12" t="n"/>
      <c r="D303" s="12" t="n"/>
      <c r="E303" s="12" t="n"/>
    </row>
    <row r="304" ht="15.75" customHeight="1">
      <c r="A304" s="12" t="inlineStr">
        <is>
          <t>cloned_cDNA</t>
        </is>
      </c>
      <c r="B304" s="12" t="inlineStr">
        <is>
          <t>http://identifiers.org/so/SO:0000792</t>
        </is>
      </c>
      <c r="C304" s="12" t="n"/>
      <c r="D304" s="12" t="n"/>
      <c r="E304" s="12" t="n"/>
    </row>
    <row r="305" ht="15.75" customHeight="1">
      <c r="A305" s="12" t="inlineStr">
        <is>
          <t>cloned_cDNA_insert</t>
        </is>
      </c>
      <c r="B305" s="12" t="inlineStr">
        <is>
          <t>http://identifiers.org/so/SO:0000913</t>
        </is>
      </c>
      <c r="C305" s="12" t="n"/>
      <c r="D305" s="12" t="n"/>
      <c r="E305" s="12" t="n"/>
    </row>
    <row r="306" ht="15.75" customHeight="1">
      <c r="A306" s="12" t="inlineStr">
        <is>
          <t>cloned_genomic</t>
        </is>
      </c>
      <c r="B306" s="12" t="inlineStr">
        <is>
          <t>http://identifiers.org/so/SO:0000791</t>
        </is>
      </c>
      <c r="C306" s="12" t="inlineStr">
        <is>
          <t>['cloned cDNA insert']</t>
        </is>
      </c>
      <c r="D306" s="12" t="n"/>
      <c r="E306" s="12" t="n"/>
    </row>
    <row r="307" ht="15.75" customHeight="1">
      <c r="A307" s="12" t="inlineStr">
        <is>
          <t>cloned_genomic_insert</t>
        </is>
      </c>
      <c r="B307" s="12" t="inlineStr">
        <is>
          <t>http://identifiers.org/so/SO:0000914</t>
        </is>
      </c>
      <c r="C307" s="12" t="n"/>
      <c r="D307" s="12" t="n"/>
      <c r="E307" s="12" t="n"/>
    </row>
    <row r="308" ht="15.75" customHeight="1">
      <c r="A308" s="12" t="inlineStr">
        <is>
          <t>cloned_region</t>
        </is>
      </c>
      <c r="B308" s="12" t="inlineStr">
        <is>
          <t>http://identifiers.org/so/SO:0000785</t>
        </is>
      </c>
      <c r="C308" s="12" t="inlineStr">
        <is>
          <t>['cloned genomic insert']</t>
        </is>
      </c>
      <c r="D308" s="12" t="n"/>
      <c r="E308" s="12" t="n"/>
    </row>
    <row r="309" ht="15.75" customHeight="1">
      <c r="A309" s="12" t="inlineStr">
        <is>
          <t>coding_conserved_region</t>
        </is>
      </c>
      <c r="B309" s="12" t="inlineStr">
        <is>
          <t>http://identifiers.org/so/SO:0000332</t>
        </is>
      </c>
      <c r="C309" s="12" t="inlineStr">
        <is>
          <t>['cloned region', 'cloned segment']</t>
        </is>
      </c>
      <c r="D309" s="12" t="n"/>
      <c r="E309" s="12" t="n"/>
    </row>
    <row r="310" ht="15.75" customHeight="1">
      <c r="A310" s="12" t="inlineStr">
        <is>
          <t>coding_end</t>
        </is>
      </c>
      <c r="B310" s="12" t="inlineStr">
        <is>
          <t>http://identifiers.org/so/SO:0000327</t>
        </is>
      </c>
      <c r="C310" s="12" t="inlineStr">
        <is>
          <t>['coding conserved region']</t>
        </is>
      </c>
      <c r="D310" s="12" t="n"/>
      <c r="E310" s="12" t="n"/>
    </row>
    <row r="311" ht="15.75" customHeight="1">
      <c r="A311" s="12" t="inlineStr">
        <is>
          <t>coding_exon</t>
        </is>
      </c>
      <c r="B311" s="12" t="inlineStr">
        <is>
          <t>http://identifiers.org/so/SO:0000195</t>
        </is>
      </c>
      <c r="C311" s="12" t="inlineStr">
        <is>
          <t>['coding end', 'translation_end', 'translation termination site']</t>
        </is>
      </c>
      <c r="D311" s="12" t="n"/>
      <c r="E311" s="12" t="n"/>
    </row>
    <row r="312" ht="15.75" customHeight="1">
      <c r="A312" s="12" t="inlineStr">
        <is>
          <t>coding_region_of_exon</t>
        </is>
      </c>
      <c r="B312" s="12" t="inlineStr">
        <is>
          <t>http://identifiers.org/so/SO:0001215</t>
        </is>
      </c>
      <c r="C312" s="12" t="inlineStr">
        <is>
          <t>['coding exon']</t>
        </is>
      </c>
      <c r="D312" s="12" t="n"/>
      <c r="E312" s="12" t="n"/>
    </row>
    <row r="313" ht="15.75" customHeight="1">
      <c r="A313" s="12" t="inlineStr">
        <is>
          <t>coding_sequence_variant</t>
        </is>
      </c>
      <c r="B313" s="12" t="inlineStr">
        <is>
          <t>http://identifiers.org/so/SO:0001580</t>
        </is>
      </c>
      <c r="C313" s="12" t="inlineStr">
        <is>
          <t>['coding region of exon']</t>
        </is>
      </c>
      <c r="D313" s="12" t="n"/>
      <c r="E313" s="12" t="n"/>
    </row>
    <row r="314" ht="15.75" customHeight="1">
      <c r="A314" s="12" t="inlineStr">
        <is>
          <t>coding_start</t>
        </is>
      </c>
      <c r="B314" s="12" t="inlineStr">
        <is>
          <t>http://identifiers.org/so/SO:0000323</t>
        </is>
      </c>
      <c r="C314" s="12" t="inlineStr">
        <is>
          <t>['snpEff:CDS', 'codon_variant', 'VAAST:coding_sequence_variant', 'VEP:coding_sequence_variant', 'Jannovar:coding_sequence_variant', 'coding sequence variant', 'coding variant', 'Seattleseq:coding', 'codon variant', 'snpEff:CODON_CHANGE']</t>
        </is>
      </c>
      <c r="D314" s="12" t="n"/>
      <c r="E314" s="12" t="n"/>
    </row>
    <row r="315" ht="15.75" customHeight="1">
      <c r="A315" s="12" t="inlineStr">
        <is>
          <t>coding_transcript_intron_variant</t>
        </is>
      </c>
      <c r="B315" s="12" t="inlineStr">
        <is>
          <t>http://identifiers.org/so/SO:0001969</t>
        </is>
      </c>
      <c r="C315" s="12" t="inlineStr">
        <is>
          <t>['coding start', 'translation initiation site', 'translation start']</t>
        </is>
      </c>
      <c r="D315" s="12" t="n"/>
      <c r="E315" s="12" t="n"/>
    </row>
    <row r="316" ht="15.75" customHeight="1">
      <c r="A316" s="12" t="inlineStr">
        <is>
          <t>coding_transcript_variant</t>
        </is>
      </c>
      <c r="B316" s="12" t="inlineStr">
        <is>
          <t>http://identifiers.org/so/SO:0001968</t>
        </is>
      </c>
      <c r="C316" s="12" t="inlineStr">
        <is>
          <t>['coding sequence intron variant', 'Jannovar:coding_transcript_intron_variant']</t>
        </is>
      </c>
      <c r="D316" s="12" t="n"/>
      <c r="E316" s="12" t="n"/>
    </row>
    <row r="317" ht="15.75" customHeight="1">
      <c r="A317" s="12" t="inlineStr">
        <is>
          <t>coding_transcript_with_retained_intron</t>
        </is>
      </c>
      <c r="B317" s="12" t="inlineStr">
        <is>
          <t>http://identifiers.org/so/SO:0002112</t>
        </is>
      </c>
      <c r="C317" s="12" t="inlineStr">
        <is>
          <t>['coding transcript variant', 'Jannovar:coding_transcript_variant']</t>
        </is>
      </c>
      <c r="D317" s="12" t="n"/>
      <c r="E317" s="12" t="n"/>
    </row>
    <row r="318" ht="15.75" customHeight="1">
      <c r="A318" s="12" t="inlineStr">
        <is>
          <t>coding_variant_quality</t>
        </is>
      </c>
      <c r="B318" s="12" t="inlineStr">
        <is>
          <t>http://identifiers.org/so/SO:0001814</t>
        </is>
      </c>
      <c r="C318" s="12" t="inlineStr">
        <is>
          <t>['mRNA with retained intron']</t>
        </is>
      </c>
      <c r="D318" s="12" t="n"/>
      <c r="E318" s="12" t="n"/>
    </row>
    <row r="319" ht="15.75" customHeight="1">
      <c r="A319" s="12" t="inlineStr">
        <is>
          <t>codon</t>
        </is>
      </c>
      <c r="B319" s="12" t="inlineStr">
        <is>
          <t>http://identifiers.org/so/SO:0000360</t>
        </is>
      </c>
      <c r="C319" s="12" t="inlineStr">
        <is>
          <t>['coding variant quality']</t>
        </is>
      </c>
      <c r="D319" s="12" t="n"/>
      <c r="E319" s="12" t="n"/>
    </row>
    <row r="320" ht="15.75" customHeight="1">
      <c r="A320" s="12" t="inlineStr">
        <is>
          <t>codon_redefined</t>
        </is>
      </c>
      <c r="B320" s="12" t="inlineStr">
        <is>
          <t>http://identifiers.org/so/SO:0000882</t>
        </is>
      </c>
      <c r="C320" s="12" t="n"/>
      <c r="D320" s="12" t="n"/>
      <c r="E320" s="12" t="n"/>
    </row>
    <row r="321" ht="15.75" customHeight="1">
      <c r="A321" s="12" t="inlineStr">
        <is>
          <t>coiled_coil</t>
        </is>
      </c>
      <c r="B321" s="12" t="inlineStr">
        <is>
          <t>http://identifiers.org/so/SO:0001080</t>
        </is>
      </c>
      <c r="C321" s="12" t="inlineStr">
        <is>
          <t>['codon redefined']</t>
        </is>
      </c>
      <c r="D321" s="12" t="n"/>
      <c r="E321" s="12" t="n"/>
    </row>
    <row r="322" ht="15.75" customHeight="1">
      <c r="A322" s="12" t="inlineStr">
        <is>
          <t>cointegrated_plasmid</t>
        </is>
      </c>
      <c r="B322" s="12" t="inlineStr">
        <is>
          <t>http://identifiers.org/so/SO:0001045</t>
        </is>
      </c>
      <c r="C322" s="12" t="inlineStr">
        <is>
          <t>['coiled', 'coiled coil']</t>
        </is>
      </c>
      <c r="D322" s="12" t="n"/>
      <c r="E322" s="12" t="n"/>
    </row>
    <row r="323" ht="15.75" customHeight="1">
      <c r="A323" s="12" t="inlineStr">
        <is>
          <t>common_variant</t>
        </is>
      </c>
      <c r="B323" s="12" t="inlineStr">
        <is>
          <t>http://identifiers.org/so/SO:0001767</t>
        </is>
      </c>
      <c r="C323" s="12" t="inlineStr">
        <is>
          <t>['cointegrated replicon', 'cointegrated plasmid']</t>
        </is>
      </c>
      <c r="D323" s="12" t="n"/>
      <c r="E323" s="12" t="n"/>
    </row>
    <row r="324" ht="15.75" customHeight="1">
      <c r="A324" s="12" t="inlineStr">
        <is>
          <t>compensatory_transcript_secondary_structure_variant</t>
        </is>
      </c>
      <c r="B324" s="12" t="inlineStr">
        <is>
          <t>http://identifiers.org/so/SO:0001597</t>
        </is>
      </c>
      <c r="C324" s="12" t="inlineStr">
        <is>
          <t>['common variant']</t>
        </is>
      </c>
      <c r="D324" s="12" t="n"/>
      <c r="E324" s="12" t="n"/>
    </row>
    <row r="325" ht="15.75" customHeight="1">
      <c r="A325" s="12" t="inlineStr">
        <is>
          <t>complex_3D_structural_variant</t>
        </is>
      </c>
      <c r="B325" s="12" t="inlineStr">
        <is>
          <t>http://identifiers.org/so/SO:0001600</t>
        </is>
      </c>
      <c r="C325" s="12" t="inlineStr">
        <is>
          <t>['compensatory transcript secondary structure variant']</t>
        </is>
      </c>
      <c r="D325" s="12" t="n"/>
      <c r="E325" s="12" t="n"/>
    </row>
    <row r="326" ht="15.75" customHeight="1">
      <c r="A326" s="12" t="inlineStr">
        <is>
          <t>complex_change_of_translational_product_variant</t>
        </is>
      </c>
      <c r="B326" s="12" t="inlineStr">
        <is>
          <t>http://identifiers.org/so/SO:0001602</t>
        </is>
      </c>
      <c r="C326" s="12" t="inlineStr">
        <is>
          <t>['complex 3D structural variant']</t>
        </is>
      </c>
      <c r="D326" s="12" t="n"/>
      <c r="E326" s="12" t="n"/>
    </row>
    <row r="327" ht="15.75" customHeight="1">
      <c r="A327" s="12" t="inlineStr">
        <is>
          <t>complex_chromosomal_rearrangement</t>
        </is>
      </c>
      <c r="B327" s="12" t="inlineStr">
        <is>
          <t>http://identifiers.org/so/SO:0002062</t>
        </is>
      </c>
      <c r="C327" s="12" t="inlineStr">
        <is>
          <t>['complex change of translational product variant']</t>
        </is>
      </c>
      <c r="D327" s="12" t="n"/>
      <c r="E327" s="12" t="n"/>
    </row>
    <row r="328" ht="15.75" customHeight="1">
      <c r="A328" s="12" t="inlineStr">
        <is>
          <t>complex_operon</t>
        </is>
      </c>
      <c r="B328" s="12" t="inlineStr">
        <is>
          <t>http://identifiers.org/so/SO:0002299</t>
        </is>
      </c>
      <c r="C328" s="12" t="inlineStr">
        <is>
          <t>['complex chromosomal rearrangement']</t>
        </is>
      </c>
      <c r="D328" s="12" t="n"/>
      <c r="E328" s="12" t="n"/>
    </row>
    <row r="329" ht="15.75" customHeight="1">
      <c r="A329" s="12" t="inlineStr">
        <is>
          <t>complex_regulon</t>
        </is>
      </c>
      <c r="B329" s="12" t="inlineStr">
        <is>
          <t>http://identifiers.org/so/SO:0002303</t>
        </is>
      </c>
      <c r="C329" s="12" t="inlineStr">
        <is>
          <t>['complex operon']</t>
        </is>
      </c>
      <c r="D329" s="12" t="n"/>
      <c r="E329" s="12" t="n"/>
    </row>
    <row r="330" ht="15.75" customHeight="1">
      <c r="A330" s="12" t="inlineStr">
        <is>
          <t>complex_structural_alteration</t>
        </is>
      </c>
      <c r="B330" s="12" t="inlineStr">
        <is>
          <t>http://identifiers.org/so/SO:0001784</t>
        </is>
      </c>
      <c r="C330" s="12" t="inlineStr">
        <is>
          <t>['simple regulon']</t>
        </is>
      </c>
      <c r="D330" s="12" t="n"/>
      <c r="E330" s="12" t="n"/>
    </row>
    <row r="331" ht="15.75" customHeight="1">
      <c r="A331" s="12" t="inlineStr">
        <is>
          <t>complex_substitution</t>
        </is>
      </c>
      <c r="B331" s="12" t="inlineStr">
        <is>
          <t>http://identifiers.org/so/SO:1000005</t>
        </is>
      </c>
      <c r="C331" s="12" t="inlineStr">
        <is>
          <t>['complex_chromosomal_mutation', 'complex', 'complex chromosomal mutation']</t>
        </is>
      </c>
      <c r="D331" s="12" t="n"/>
      <c r="E331" s="12" t="n"/>
    </row>
    <row r="332" ht="15.75" customHeight="1">
      <c r="A332" s="12" t="inlineStr">
        <is>
          <t>complex_transcript_variant</t>
        </is>
      </c>
      <c r="B332" s="12" t="inlineStr">
        <is>
          <t>http://identifiers.org/so/SO:0001577</t>
        </is>
      </c>
      <c r="C332" s="12" t="inlineStr">
        <is>
          <t>['complex substitution']</t>
        </is>
      </c>
      <c r="D332" s="12" t="n"/>
      <c r="E332" s="12" t="n"/>
    </row>
    <row r="333" ht="15.75" customHeight="1">
      <c r="A333" s="12" t="inlineStr">
        <is>
          <t>compositionally_biased_region_of_peptide</t>
        </is>
      </c>
      <c r="B333" s="12" t="inlineStr">
        <is>
          <t>http://identifiers.org/so/SO:0001066</t>
        </is>
      </c>
      <c r="C333" s="12" t="inlineStr">
        <is>
          <t>['Seattleseq:codingComplex', 'complex_indel', 'complex transcript variant', 'complex change in transcript', 'Seattleseq:codingComplex-near-splice']</t>
        </is>
      </c>
      <c r="D333" s="12" t="n"/>
      <c r="E333" s="12" t="n"/>
    </row>
    <row r="334" ht="15.75" customHeight="1">
      <c r="A334" s="12" t="inlineStr">
        <is>
          <t>compound_chromosome</t>
        </is>
      </c>
      <c r="B334" s="12" t="inlineStr">
        <is>
          <t>http://identifiers.org/so/SO:1000042</t>
        </is>
      </c>
      <c r="C334" s="12" t="inlineStr">
        <is>
          <t>['compositional bias', 'compositionally_biased_region', 'compbias', 'compositionally biased region of peptide', 'compositionally biased']</t>
        </is>
      </c>
      <c r="D334" s="12" t="n"/>
      <c r="E334" s="12" t="n"/>
    </row>
    <row r="335" ht="15.75" customHeight="1">
      <c r="A335" s="12" t="inlineStr">
        <is>
          <t>compound_chromosome_arm</t>
        </is>
      </c>
      <c r="B335" s="12" t="inlineStr">
        <is>
          <t>http://identifiers.org/so/SO:0000060</t>
        </is>
      </c>
      <c r="C335" s="12" t="inlineStr">
        <is>
          <t>['compound chromosome']</t>
        </is>
      </c>
      <c r="D335" s="12" t="n"/>
      <c r="E335" s="12" t="n"/>
    </row>
    <row r="336" ht="15.75" customHeight="1">
      <c r="A336" s="12" t="inlineStr">
        <is>
          <t>computed_feature</t>
        </is>
      </c>
      <c r="B336" s="12" t="inlineStr">
        <is>
          <t>http://identifiers.org/so/SO:0000309</t>
        </is>
      </c>
      <c r="C336" s="12" t="inlineStr">
        <is>
          <t>['compound chromosome arm']</t>
        </is>
      </c>
      <c r="D336" s="12" t="n"/>
      <c r="E336" s="12" t="n"/>
    </row>
    <row r="337" ht="15.75" customHeight="1">
      <c r="A337" s="12" t="inlineStr">
        <is>
          <t>computed_feature_by_similarity</t>
        </is>
      </c>
      <c r="B337" s="12" t="inlineStr">
        <is>
          <t>http://identifiers.org/so/SO:0000311</t>
        </is>
      </c>
      <c r="C337" s="12" t="n"/>
      <c r="D337" s="12" t="n"/>
      <c r="E337" s="12" t="n"/>
    </row>
    <row r="338" ht="15.75" customHeight="1">
      <c r="A338" s="12" t="inlineStr">
        <is>
          <t>conformational_change_variant</t>
        </is>
      </c>
      <c r="B338" s="12" t="inlineStr">
        <is>
          <t>http://identifiers.org/so/SO:0001601</t>
        </is>
      </c>
      <c r="C338" s="12" t="n"/>
      <c r="D338" s="12" t="n"/>
      <c r="E338" s="12" t="n"/>
    </row>
    <row r="339" ht="15.75" customHeight="1">
      <c r="A339" s="12" t="inlineStr">
        <is>
          <t>conformational_switch</t>
        </is>
      </c>
      <c r="B339" s="12" t="inlineStr">
        <is>
          <t>http://identifiers.org/so/SO:0001422</t>
        </is>
      </c>
      <c r="C339" s="12" t="inlineStr">
        <is>
          <t>['conformational change variant']</t>
        </is>
      </c>
      <c r="D339" s="12" t="n"/>
      <c r="E339" s="12" t="n"/>
    </row>
    <row r="340" ht="15.75" customHeight="1">
      <c r="A340" s="12" t="inlineStr">
        <is>
          <t>conjugative_transposon</t>
        </is>
      </c>
      <c r="B340" s="12" t="inlineStr">
        <is>
          <t>http://identifiers.org/so/SO:0000371</t>
        </is>
      </c>
      <c r="C340" s="12" t="inlineStr">
        <is>
          <t>['polypeptide conformational switch']</t>
        </is>
      </c>
      <c r="D340" s="12" t="n"/>
      <c r="E340" s="12" t="n"/>
    </row>
    <row r="341" ht="15.75" customHeight="1">
      <c r="A341" s="12" t="inlineStr">
        <is>
          <t>consensus</t>
        </is>
      </c>
      <c r="B341" s="12" t="inlineStr">
        <is>
          <t>http://identifiers.org/so/SO:0000993</t>
        </is>
      </c>
      <c r="C341" s="12" t="inlineStr">
        <is>
          <t>['conjugative transposon']</t>
        </is>
      </c>
      <c r="D341" s="12" t="n"/>
      <c r="E341" s="12" t="n"/>
    </row>
    <row r="342" ht="15.75" customHeight="1">
      <c r="A342" s="12" t="inlineStr">
        <is>
          <t>consensus_AFLP_fragment</t>
        </is>
      </c>
      <c r="B342" s="12" t="inlineStr">
        <is>
          <t>http://identifiers.org/so/SO:0001991</t>
        </is>
      </c>
      <c r="C342" s="12" t="n"/>
      <c r="D342" s="12" t="n"/>
      <c r="E342" s="12" t="n"/>
    </row>
    <row r="343" ht="15.75" customHeight="1">
      <c r="A343" s="12" t="inlineStr">
        <is>
          <t>consensus_gDNA</t>
        </is>
      </c>
      <c r="B343" s="12" t="inlineStr">
        <is>
          <t>http://identifiers.org/so/SO:0001931</t>
        </is>
      </c>
      <c r="C343" s="12" t="inlineStr">
        <is>
          <t>['consensus AFLP fragment', 'consensus amplified fragment length polymorphism fragment']</t>
        </is>
      </c>
      <c r="D343" s="12" t="n"/>
      <c r="E343" s="12" t="n"/>
    </row>
    <row r="344" ht="15.75" customHeight="1">
      <c r="A344" s="12" t="inlineStr">
        <is>
          <t>consensus_mRNA</t>
        </is>
      </c>
      <c r="B344" s="12" t="inlineStr">
        <is>
          <t>http://identifiers.org/so/SO:0000995</t>
        </is>
      </c>
      <c r="C344" s="12" t="inlineStr">
        <is>
          <t>['consensus genomic DNA', 'consensus gDNA']</t>
        </is>
      </c>
      <c r="D344" s="12" t="n"/>
      <c r="E344" s="12" t="n"/>
    </row>
    <row r="345" ht="15.75" customHeight="1">
      <c r="A345" s="12" t="inlineStr">
        <is>
          <t>consensus_region</t>
        </is>
      </c>
      <c r="B345" s="12" t="inlineStr">
        <is>
          <t>http://identifiers.org/so/SO:0000994</t>
        </is>
      </c>
      <c r="C345" s="12" t="inlineStr">
        <is>
          <t>['consensus mRNA']</t>
        </is>
      </c>
      <c r="D345" s="12" t="n"/>
      <c r="E345" s="12" t="n"/>
    </row>
    <row r="346" ht="15.75" customHeight="1">
      <c r="A346" s="12" t="inlineStr">
        <is>
          <t>conservative_amino_acid_substitution</t>
        </is>
      </c>
      <c r="B346" s="12" t="inlineStr">
        <is>
          <t>http://identifiers.org/so/SO:0001607</t>
        </is>
      </c>
      <c r="C346" s="12" t="inlineStr">
        <is>
          <t>['consensus region']</t>
        </is>
      </c>
      <c r="D346" s="12" t="n"/>
      <c r="E346" s="12" t="n"/>
    </row>
    <row r="347" ht="15.75" customHeight="1">
      <c r="A347" s="12" t="inlineStr">
        <is>
          <t>conservative_inframe_deletion</t>
        </is>
      </c>
      <c r="B347" s="12" t="inlineStr">
        <is>
          <t>http://identifiers.org/so/SO:0001825</t>
        </is>
      </c>
      <c r="C347" s="12" t="inlineStr">
        <is>
          <t>['conservative amino acid substitution']</t>
        </is>
      </c>
      <c r="D347" s="12" t="n"/>
      <c r="E347" s="12" t="n"/>
    </row>
    <row r="348" ht="15.75" customHeight="1">
      <c r="A348" s="12" t="inlineStr">
        <is>
          <t>conservative_inframe_insertion</t>
        </is>
      </c>
      <c r="B348" s="12" t="inlineStr">
        <is>
          <t>http://identifiers.org/so/SO:0001823</t>
        </is>
      </c>
      <c r="C348" s="12" t="inlineStr">
        <is>
          <t>['conservative inframe deletion', 'conservative decrease in CDS length']</t>
        </is>
      </c>
      <c r="D348" s="12" t="n"/>
      <c r="E348" s="12" t="n"/>
    </row>
    <row r="349" ht="15.75" customHeight="1">
      <c r="A349" s="12" t="inlineStr">
        <is>
          <t>conservative_missense_variant</t>
        </is>
      </c>
      <c r="B349" s="12" t="inlineStr">
        <is>
          <t>http://identifiers.org/so/SO:0001585</t>
        </is>
      </c>
      <c r="C349" s="12" t="inlineStr">
        <is>
          <t>['conservative inframe insertion', 'conservative increase in CDS length']</t>
        </is>
      </c>
      <c r="D349" s="12" t="n"/>
      <c r="E349" s="12" t="n"/>
    </row>
    <row r="350" ht="15.75" customHeight="1">
      <c r="A350" s="12" t="inlineStr">
        <is>
          <t>conserved</t>
        </is>
      </c>
      <c r="B350" s="12" t="inlineStr">
        <is>
          <t>http://identifiers.org/so/SO:0000856</t>
        </is>
      </c>
      <c r="C350" s="12" t="inlineStr">
        <is>
          <t>['conservative missense variant', 'quiet missense codon', 'conservative missense codon', 'neutral missense codon']</t>
        </is>
      </c>
      <c r="D350" s="12" t="n"/>
      <c r="E350" s="12" t="n"/>
    </row>
    <row r="351" ht="15.75" customHeight="1">
      <c r="A351" s="12" t="inlineStr">
        <is>
          <t>conserved_intergenic_variant</t>
        </is>
      </c>
      <c r="B351" s="12" t="inlineStr">
        <is>
          <t>http://identifiers.org/so/SO:0002017</t>
        </is>
      </c>
      <c r="C351" s="12" t="n"/>
      <c r="D351" s="12" t="n"/>
      <c r="E351" s="12" t="n"/>
    </row>
    <row r="352" ht="15.75" customHeight="1">
      <c r="A352" s="12" t="inlineStr">
        <is>
          <t>conserved_intron_variant</t>
        </is>
      </c>
      <c r="B352" s="12" t="inlineStr">
        <is>
          <t>http://identifiers.org/so/SO:0002018</t>
        </is>
      </c>
      <c r="C352" s="12" t="inlineStr">
        <is>
          <t>['snpEff:INTERGENIC_CONSERVED', 'Jannovar:conserved_intergenic_variant', 'conserved intergenic variant']</t>
        </is>
      </c>
      <c r="D352" s="12" t="n"/>
      <c r="E352" s="12" t="n"/>
    </row>
    <row r="353" ht="15.75" customHeight="1">
      <c r="A353" s="12" t="inlineStr">
        <is>
          <t>conserved_region</t>
        </is>
      </c>
      <c r="B353" s="12" t="inlineStr">
        <is>
          <t>http://identifiers.org/so/SO:0000330</t>
        </is>
      </c>
      <c r="C353" s="12" t="inlineStr">
        <is>
          <t>['Jannovar:conserved_intron_variant', 'snpEff:INTRON_CONSERVED', 'conserved intron variant']</t>
        </is>
      </c>
      <c r="D353" s="12" t="n"/>
      <c r="E353" s="12" t="n"/>
    </row>
    <row r="354" ht="15.75" customHeight="1">
      <c r="A354" s="12" t="inlineStr">
        <is>
          <t>constitutive_promoter</t>
        </is>
      </c>
      <c r="B354" s="12" t="inlineStr">
        <is>
          <t>http://identifiers.org/so/SO:0002050</t>
        </is>
      </c>
      <c r="C354" s="12" t="inlineStr">
        <is>
          <t>['INSDC_feature:misc_feature', 'conserved region', 'INSDC_note:conserved_region']</t>
        </is>
      </c>
      <c r="D354" s="12" t="n"/>
      <c r="E354" s="12" t="n"/>
    </row>
    <row r="355" ht="15.75" customHeight="1">
      <c r="A355" s="12" t="inlineStr">
        <is>
          <t>contig</t>
        </is>
      </c>
      <c r="B355" s="12" t="inlineStr">
        <is>
          <t>http://identifiers.org/so/SO:0000149</t>
        </is>
      </c>
      <c r="C355" s="12" t="inlineStr">
        <is>
          <t>['constitutive promoter']</t>
        </is>
      </c>
      <c r="D355" s="12" t="n"/>
      <c r="E355" s="12" t="n"/>
    </row>
    <row r="356" ht="15.75" customHeight="1">
      <c r="A356" s="12" t="inlineStr">
        <is>
          <t>contig_collection</t>
        </is>
      </c>
      <c r="B356" s="12" t="inlineStr">
        <is>
          <t>http://identifiers.org/so/SO:0001462</t>
        </is>
      </c>
      <c r="C356" s="12" t="n"/>
      <c r="D356" s="12" t="n"/>
      <c r="E356" s="12" t="n"/>
    </row>
    <row r="357" ht="15.75" customHeight="1">
      <c r="A357" s="12" t="inlineStr">
        <is>
          <t>contig_read</t>
        </is>
      </c>
      <c r="B357" s="12" t="inlineStr">
        <is>
          <t>http://identifiers.org/so/SO:0000476</t>
        </is>
      </c>
      <c r="C357" s="12" t="inlineStr">
        <is>
          <t>['contig collection']</t>
        </is>
      </c>
      <c r="D357" s="12" t="n"/>
      <c r="E357" s="12" t="n"/>
    </row>
    <row r="358" ht="15.75" customHeight="1">
      <c r="A358" s="12" t="inlineStr">
        <is>
          <t>Copia_LTR_retrotransposon</t>
        </is>
      </c>
      <c r="B358" s="12" t="inlineStr">
        <is>
          <t>http://identifiers.org/so/SO:0002264</t>
        </is>
      </c>
      <c r="C358" s="12" t="inlineStr">
        <is>
          <t>['contig read']</t>
        </is>
      </c>
      <c r="D358" s="12" t="n"/>
      <c r="E358" s="12" t="n"/>
    </row>
    <row r="359" ht="15.75" customHeight="1">
      <c r="A359" s="12" t="inlineStr">
        <is>
          <t>copy_number_change</t>
        </is>
      </c>
      <c r="B359" s="12" t="inlineStr">
        <is>
          <t>http://identifiers.org/so/SO:0001563</t>
        </is>
      </c>
      <c r="C359" s="12" t="inlineStr">
        <is>
          <t>['RLC retrotransposon', 'Ty1 retrotransposon', 'Copia LTR retrotransposon']</t>
        </is>
      </c>
      <c r="D359" s="12" t="n"/>
      <c r="E359" s="12" t="n"/>
    </row>
    <row r="360" ht="15.75" customHeight="1">
      <c r="A360" s="12" t="inlineStr">
        <is>
          <t>copy_number_decrease</t>
        </is>
      </c>
      <c r="B360" s="12" t="inlineStr">
        <is>
          <t>http://identifiers.org/so/SO:0001912</t>
        </is>
      </c>
      <c r="C360" s="12" t="inlineStr">
        <is>
          <t>['copy number change']</t>
        </is>
      </c>
      <c r="D360" s="12" t="n"/>
      <c r="E360" s="12" t="n"/>
    </row>
    <row r="361" ht="15.75" customHeight="1">
      <c r="A361" s="12" t="inlineStr">
        <is>
          <t>copy_number_gain</t>
        </is>
      </c>
      <c r="B361" s="12" t="inlineStr">
        <is>
          <t>http://identifiers.org/so/SO:0001742</t>
        </is>
      </c>
      <c r="C361" s="12" t="inlineStr">
        <is>
          <t>['copy number decrease']</t>
        </is>
      </c>
      <c r="D361" s="12" t="n"/>
      <c r="E361" s="12" t="n"/>
    </row>
    <row r="362" ht="15.75" customHeight="1">
      <c r="A362" s="12" t="inlineStr">
        <is>
          <t>copy_number_increase</t>
        </is>
      </c>
      <c r="B362" s="12" t="inlineStr">
        <is>
          <t>http://identifiers.org/so/SO:0001911</t>
        </is>
      </c>
      <c r="C362" s="12" t="inlineStr">
        <is>
          <t>['copy number gain', 'gain']</t>
        </is>
      </c>
      <c r="D362" s="12" t="n"/>
      <c r="E362" s="12" t="n"/>
    </row>
    <row r="363" ht="15.75" customHeight="1">
      <c r="A363" s="12" t="inlineStr">
        <is>
          <t>copy_number_loss</t>
        </is>
      </c>
      <c r="B363" s="12" t="inlineStr">
        <is>
          <t>http://identifiers.org/so/SO:0001743</t>
        </is>
      </c>
      <c r="C363" s="12" t="inlineStr">
        <is>
          <t>['copy number increase']</t>
        </is>
      </c>
      <c r="D363" s="12" t="n"/>
      <c r="E363" s="12" t="n"/>
    </row>
    <row r="364" ht="15.75" customHeight="1">
      <c r="A364" s="12" t="inlineStr">
        <is>
          <t>copy_number_variation</t>
        </is>
      </c>
      <c r="B364" s="12" t="inlineStr">
        <is>
          <t>http://identifiers.org/so/SO:0001019</t>
        </is>
      </c>
      <c r="C364" s="12" t="inlineStr">
        <is>
          <t>['copy number loss', 'loss']</t>
        </is>
      </c>
      <c r="D364" s="12" t="n"/>
      <c r="E364" s="12" t="n"/>
    </row>
    <row r="365" ht="15.75" customHeight="1">
      <c r="A365" s="12" t="inlineStr">
        <is>
          <t>core_eukaryotic_promoter_element</t>
        </is>
      </c>
      <c r="B365" s="12" t="inlineStr">
        <is>
          <t>http://identifiers.org/so/SO:0001660</t>
        </is>
      </c>
      <c r="C365" s="12" t="inlineStr">
        <is>
          <t>['copy number variation', 'copy number polymorphism', 'CNP', 'CNV']</t>
        </is>
      </c>
      <c r="D365" s="12" t="n"/>
      <c r="E365" s="12" t="n"/>
    </row>
    <row r="366" ht="15.75" customHeight="1">
      <c r="A366" s="12" t="inlineStr">
        <is>
          <t>core_prokaryotic_promoter_element</t>
        </is>
      </c>
      <c r="B366" s="12" t="inlineStr">
        <is>
          <t>http://identifiers.org/so/SO:0002312</t>
        </is>
      </c>
      <c r="C366" s="12" t="inlineStr">
        <is>
          <t>['general transcription factor binding site', 'core eukaryotic promoter element']</t>
        </is>
      </c>
      <c r="D366" s="12" t="n"/>
      <c r="E366" s="12" t="n"/>
    </row>
    <row r="367" ht="15.75" customHeight="1">
      <c r="A367" s="12" t="inlineStr">
        <is>
          <t>core_promoter_element</t>
        </is>
      </c>
      <c r="B367" s="12" t="inlineStr">
        <is>
          <t>http://identifiers.org/so/SO:0002309</t>
        </is>
      </c>
      <c r="C367" s="12" t="inlineStr">
        <is>
          <t>['general transcription factor binding site', 'core prokaryotic promoter element']</t>
        </is>
      </c>
      <c r="D367" s="12" t="n"/>
      <c r="E367" s="12" t="n"/>
    </row>
    <row r="368" ht="15.75" customHeight="1">
      <c r="A368" s="12" t="inlineStr">
        <is>
          <t>core_viral_promoter_element</t>
        </is>
      </c>
      <c r="B368" s="12" t="inlineStr">
        <is>
          <t>http://identifiers.org/so/SO:0002313</t>
        </is>
      </c>
      <c r="C368" s="12" t="inlineStr">
        <is>
          <t>['core promoter element']</t>
        </is>
      </c>
      <c r="D368" s="12" t="n"/>
      <c r="E368" s="12" t="n"/>
    </row>
    <row r="369" ht="15.75" customHeight="1">
      <c r="A369" s="12" t="inlineStr">
        <is>
          <t>cosmid</t>
        </is>
      </c>
      <c r="B369" s="12" t="inlineStr">
        <is>
          <t>http://identifiers.org/so/SO:0000156</t>
        </is>
      </c>
      <c r="C369" s="12" t="inlineStr">
        <is>
          <t>['core viral promoter element', 'general transcription factor binding site']</t>
        </is>
      </c>
      <c r="D369" s="12" t="n"/>
      <c r="E369" s="12" t="n"/>
    </row>
    <row r="370" ht="15.75" customHeight="1">
      <c r="A370" s="12" t="inlineStr">
        <is>
          <t>cosmid_clone</t>
        </is>
      </c>
      <c r="B370" s="12" t="inlineStr">
        <is>
          <t>http://identifiers.org/so/SO:0000765</t>
        </is>
      </c>
      <c r="C370" s="12" t="inlineStr">
        <is>
          <t>['cosmid vector']</t>
        </is>
      </c>
      <c r="D370" s="12" t="n"/>
      <c r="E370" s="12" t="n"/>
    </row>
    <row r="371" ht="15.75" customHeight="1">
      <c r="A371" s="12" t="inlineStr">
        <is>
          <t>covalent_binding_site</t>
        </is>
      </c>
      <c r="B371" s="12" t="inlineStr">
        <is>
          <t>http://identifiers.org/so/SO:0001090</t>
        </is>
      </c>
      <c r="C371" s="12" t="n"/>
      <c r="D371" s="12" t="n"/>
      <c r="E371" s="12" t="n"/>
    </row>
    <row r="372" ht="15.75" customHeight="1">
      <c r="A372" s="12" t="inlineStr">
        <is>
          <t>CpG_island</t>
        </is>
      </c>
      <c r="B372" s="12" t="inlineStr">
        <is>
          <t>http://identifiers.org/so/SO:0000307</t>
        </is>
      </c>
      <c r="C372" s="12" t="inlineStr">
        <is>
          <t>['covalent binding site']</t>
        </is>
      </c>
      <c r="D372" s="12" t="n"/>
      <c r="E372" s="12" t="n"/>
    </row>
    <row r="373" ht="15.75" customHeight="1">
      <c r="A373" s="12" t="inlineStr">
        <is>
          <t>CRE</t>
        </is>
      </c>
      <c r="B373" s="12" t="inlineStr">
        <is>
          <t>http://identifiers.org/so/SO:0001843</t>
        </is>
      </c>
      <c r="C373" s="12" t="inlineStr">
        <is>
          <t>['CpG island', 'CG island']</t>
        </is>
      </c>
      <c r="D373" s="12" t="n"/>
      <c r="E373" s="12" t="n"/>
    </row>
    <row r="374" ht="15.75" customHeight="1">
      <c r="A374" s="12" t="inlineStr">
        <is>
          <t>Crick_strand</t>
        </is>
      </c>
      <c r="B374" s="12" t="inlineStr">
        <is>
          <t>http://identifiers.org/so/SO:0002263</t>
        </is>
      </c>
      <c r="C374" s="12" t="inlineStr">
        <is>
          <t>['M26 binding site', 'cyclic AMP response element', 'Atf1/Pcr1 recognition motif', 'm26 site', 'ATF/CRE site', 'M26_binding_site']</t>
        </is>
      </c>
      <c r="D374" s="12" t="n"/>
      <c r="E374" s="12" t="n"/>
    </row>
    <row r="375" ht="15.75" customHeight="1">
      <c r="A375" s="12" t="inlineStr">
        <is>
          <t>CRISPR</t>
        </is>
      </c>
      <c r="B375" s="12" t="inlineStr">
        <is>
          <t>http://identifiers.org/so/SO:0001459</t>
        </is>
      </c>
      <c r="C375" s="12" t="inlineStr">
        <is>
          <t>['Minus strand', 'Crick strand', 'Reverse strand', 'Bottom strand']</t>
        </is>
      </c>
      <c r="D375" s="12" t="n"/>
      <c r="E375" s="12" t="n"/>
    </row>
    <row r="376" ht="15.75" customHeight="1">
      <c r="A376" s="12" t="inlineStr">
        <is>
          <t>CRM</t>
        </is>
      </c>
      <c r="B376" s="12" t="inlineStr">
        <is>
          <t>http://identifiers.org/so/SO:0000727</t>
        </is>
      </c>
      <c r="C376" s="12" t="inlineStr">
        <is>
          <t>['Clustered_Regularly_Interspaced_Short_Palindromic_Repeat', 'CRISPR element']</t>
        </is>
      </c>
      <c r="D376" s="12" t="n"/>
      <c r="E376" s="12" t="n"/>
    </row>
    <row r="377" ht="15.75" customHeight="1">
      <c r="A377" s="12" t="inlineStr">
        <is>
          <t>cross_genome_match</t>
        </is>
      </c>
      <c r="B377" s="12" t="inlineStr">
        <is>
          <t>http://identifiers.org/so/SO:0000177</t>
        </is>
      </c>
      <c r="C377" s="12" t="inlineStr">
        <is>
          <t>['cis regulatory module', 'TF module', 'transcription factor module']</t>
        </is>
      </c>
      <c r="D377" s="12" t="n"/>
      <c r="E377" s="12" t="n"/>
    </row>
    <row r="378" ht="15.75" customHeight="1">
      <c r="A378" s="12" t="inlineStr">
        <is>
          <t>cross_link</t>
        </is>
      </c>
      <c r="B378" s="12" t="inlineStr">
        <is>
          <t>http://identifiers.org/so/SO:0001087</t>
        </is>
      </c>
      <c r="C378" s="12" t="inlineStr">
        <is>
          <t>['cross genome match']</t>
        </is>
      </c>
      <c r="D378" s="12" t="n"/>
      <c r="E378" s="12" t="n"/>
    </row>
    <row r="379" ht="15.75" customHeight="1">
      <c r="A379" s="12" t="inlineStr">
        <is>
          <t>cryptic</t>
        </is>
      </c>
      <c r="B379" s="12" t="inlineStr">
        <is>
          <t>http://identifiers.org/so/SO:0000976</t>
        </is>
      </c>
      <c r="C379" s="12" t="inlineStr">
        <is>
          <t>['cross link', 'crosslink']</t>
        </is>
      </c>
      <c r="D379" s="12" t="n"/>
      <c r="E379" s="12" t="n"/>
    </row>
    <row r="380" ht="15.75" customHeight="1">
      <c r="A380" s="12" t="inlineStr">
        <is>
          <t>cryptic_gene</t>
        </is>
      </c>
      <c r="B380" s="12" t="inlineStr">
        <is>
          <t>http://identifiers.org/so/SO:0001431</t>
        </is>
      </c>
      <c r="C380" s="12" t="n"/>
      <c r="D380" s="12" t="n"/>
      <c r="E380" s="12" t="n"/>
    </row>
    <row r="381" ht="15.75" customHeight="1">
      <c r="A381" s="12" t="inlineStr">
        <is>
          <t>cryptic_promoter</t>
        </is>
      </c>
      <c r="B381" s="12" t="inlineStr">
        <is>
          <t>http://identifiers.org/so/SO:0002310</t>
        </is>
      </c>
      <c r="C381" s="12" t="inlineStr">
        <is>
          <t>['cryptic gene']</t>
        </is>
      </c>
      <c r="D381" s="12" t="n"/>
      <c r="E381" s="12" t="n"/>
    </row>
    <row r="382" ht="15.75" customHeight="1">
      <c r="A382" s="12" t="inlineStr">
        <is>
          <t>cryptic_prophage</t>
        </is>
      </c>
      <c r="B382" s="12" t="inlineStr">
        <is>
          <t>http://identifiers.org/so/SO:0001007</t>
        </is>
      </c>
      <c r="C382" s="12" t="inlineStr">
        <is>
          <t>['cryptic promoter']</t>
        </is>
      </c>
      <c r="D382" s="12" t="n"/>
      <c r="E382" s="12" t="n"/>
    </row>
    <row r="383" ht="15.75" customHeight="1">
      <c r="A383" s="12" t="inlineStr">
        <is>
          <t>cryptic_splice_acceptor</t>
        </is>
      </c>
      <c r="B383" s="12" t="inlineStr">
        <is>
          <t>http://identifiers.org/so/SO:0001570</t>
        </is>
      </c>
      <c r="C383" s="12" t="inlineStr">
        <is>
          <t>['cryptic prophage']</t>
        </is>
      </c>
      <c r="D383" s="12" t="n"/>
      <c r="E383" s="12" t="n"/>
    </row>
    <row r="384" ht="15.75" customHeight="1">
      <c r="A384" s="12" t="inlineStr">
        <is>
          <t>cryptic_splice_donor</t>
        </is>
      </c>
      <c r="B384" s="12" t="inlineStr">
        <is>
          <t>http://identifiers.org/so/SO:0001571</t>
        </is>
      </c>
      <c r="C384" s="12" t="inlineStr">
        <is>
          <t>['cryptic splice acceptor']</t>
        </is>
      </c>
      <c r="D384" s="12" t="n"/>
      <c r="E384" s="12" t="n"/>
    </row>
    <row r="385" ht="15.75" customHeight="1">
      <c r="A385" s="12" t="inlineStr">
        <is>
          <t>cryptic_splice_site</t>
        </is>
      </c>
      <c r="B385" s="12" t="inlineStr">
        <is>
          <t>http://identifiers.org/so/SO:0001533</t>
        </is>
      </c>
      <c r="C385" s="12" t="inlineStr">
        <is>
          <t>['cryptic splice donor']</t>
        </is>
      </c>
      <c r="D385" s="12" t="n"/>
      <c r="E385" s="12" t="n"/>
    </row>
    <row r="386" ht="15.75" customHeight="1">
      <c r="A386" s="12" t="inlineStr">
        <is>
          <t>cryptic_splice_site_variant</t>
        </is>
      </c>
      <c r="B386" s="12" t="inlineStr">
        <is>
          <t>http://identifiers.org/so/SO:0001569</t>
        </is>
      </c>
      <c r="C386" s="12" t="inlineStr">
        <is>
          <t>['cryptic splice signal', 'cryptic splice site']</t>
        </is>
      </c>
      <c r="D386" s="12" t="n"/>
      <c r="E386" s="12" t="n"/>
    </row>
    <row r="387" ht="15.75" customHeight="1">
      <c r="A387" s="12" t="inlineStr">
        <is>
          <t>cryptogene</t>
        </is>
      </c>
      <c r="B387" s="12" t="inlineStr">
        <is>
          <t>http://identifiers.org/so/SO:1001196</t>
        </is>
      </c>
      <c r="C387" s="12" t="inlineStr">
        <is>
          <t>['cryptic splice site activation']</t>
        </is>
      </c>
      <c r="D387" s="12" t="n"/>
      <c r="E387" s="12" t="n"/>
    </row>
    <row r="388" ht="15.75" customHeight="1">
      <c r="A388" s="12" t="inlineStr">
        <is>
          <t>Crypton_YR_transposon</t>
        </is>
      </c>
      <c r="B388" s="12" t="inlineStr">
        <is>
          <t>http://identifiers.org/so/SO:0002277</t>
        </is>
      </c>
      <c r="C388" s="12" t="n"/>
      <c r="D388" s="12" t="n"/>
      <c r="E388" s="12" t="n"/>
    </row>
    <row r="389" ht="15.75" customHeight="1">
      <c r="A389" s="12" t="inlineStr">
        <is>
          <t>CSL_response_element</t>
        </is>
      </c>
      <c r="B389" s="12" t="inlineStr">
        <is>
          <t>http://identifiers.org/so/SO:0001839</t>
        </is>
      </c>
      <c r="C389" s="12" t="inlineStr">
        <is>
          <t>['DYC transposon', 'Crypton transposon', 'Crypton YR transposon']</t>
        </is>
      </c>
      <c r="D389" s="12" t="n"/>
      <c r="E389" s="12" t="n"/>
    </row>
    <row r="390" ht="15.75" customHeight="1">
      <c r="A390" s="12" t="inlineStr">
        <is>
          <t>CsrB_RsmB_RNA</t>
        </is>
      </c>
      <c r="B390" s="12" t="inlineStr">
        <is>
          <t>http://identifiers.org/so/SO:0000377</t>
        </is>
      </c>
      <c r="C390" s="12" t="inlineStr">
        <is>
          <t>['CSL response element']</t>
        </is>
      </c>
      <c r="D390" s="12" t="n"/>
      <c r="E390" s="12" t="n"/>
    </row>
    <row r="391" ht="15.75" customHeight="1">
      <c r="A391" s="12" t="inlineStr">
        <is>
          <t>ct_gene</t>
        </is>
      </c>
      <c r="B391" s="12" t="inlineStr">
        <is>
          <t>http://identifiers.org/so/SO:0000092</t>
        </is>
      </c>
      <c r="C391" s="12" t="inlineStr">
        <is>
          <t>['CsrB RsmB RNA', 'CsrB-RsmB RNA']</t>
        </is>
      </c>
      <c r="D391" s="12" t="n"/>
      <c r="E391" s="12" t="n"/>
    </row>
    <row r="392" ht="15.75" customHeight="1">
      <c r="A392" s="12" t="inlineStr">
        <is>
          <t>CTCF_binding_site</t>
        </is>
      </c>
      <c r="B392" s="12" t="inlineStr">
        <is>
          <t>http://identifiers.org/so/SO:0001974</t>
        </is>
      </c>
      <c r="C392" s="12" t="inlineStr">
        <is>
          <t>['ct gene', 'chloroplast gene']</t>
        </is>
      </c>
      <c r="D392" s="12" t="n"/>
      <c r="E392" s="12" t="n"/>
    </row>
    <row r="393" ht="15.75" customHeight="1">
      <c r="A393" s="12" t="inlineStr">
        <is>
          <t>CTG_start_codon</t>
        </is>
      </c>
      <c r="B393" s="12" t="inlineStr">
        <is>
          <t>http://identifiers.org/so/SO:1001273</t>
        </is>
      </c>
      <c r="C393" s="12" t="inlineStr">
        <is>
          <t>['CCCTF binding site', 'CTCF binding site']</t>
        </is>
      </c>
      <c r="D393" s="12" t="n"/>
      <c r="E393" s="12" t="n"/>
    </row>
    <row r="394" ht="15.75" customHeight="1">
      <c r="A394" s="12" t="inlineStr">
        <is>
          <t>CuRE</t>
        </is>
      </c>
      <c r="B394" s="12" t="inlineStr">
        <is>
          <t>http://identifiers.org/so/SO:0001844</t>
        </is>
      </c>
      <c r="C394" s="12" t="inlineStr">
        <is>
          <t>['CTG start codon']</t>
        </is>
      </c>
      <c r="D394" s="12" t="n"/>
      <c r="E394" s="12" t="n"/>
    </row>
    <row r="395" ht="15.75" customHeight="1">
      <c r="A395" s="12" t="inlineStr">
        <is>
          <t>cyanelle_chromosome</t>
        </is>
      </c>
      <c r="B395" s="12" t="inlineStr">
        <is>
          <t>http://identifiers.org/so/SO:0000822</t>
        </is>
      </c>
      <c r="C395" s="12" t="inlineStr">
        <is>
          <t>['copper-response element']</t>
        </is>
      </c>
      <c r="D395" s="12" t="n"/>
      <c r="E395" s="12" t="n"/>
    </row>
    <row r="396" ht="15.75" customHeight="1">
      <c r="A396" s="12" t="inlineStr">
        <is>
          <t>cyanelle_gene</t>
        </is>
      </c>
      <c r="B396" s="12" t="inlineStr">
        <is>
          <t>http://identifiers.org/so/SO:0000094</t>
        </is>
      </c>
      <c r="C396" s="12" t="inlineStr">
        <is>
          <t>['cyanelle chromosome']</t>
        </is>
      </c>
      <c r="D396" s="12" t="n"/>
      <c r="E396" s="12" t="n"/>
    </row>
    <row r="397" ht="15.75" customHeight="1">
      <c r="A397" s="12" t="inlineStr">
        <is>
          <t>cyanelle_sequence</t>
        </is>
      </c>
      <c r="B397" s="12" t="inlineStr">
        <is>
          <t>http://identifiers.org/so/SO:0000746</t>
        </is>
      </c>
      <c r="C397" s="12" t="inlineStr">
        <is>
          <t>['cyanelle gene']</t>
        </is>
      </c>
      <c r="D397" s="12" t="n"/>
      <c r="E397" s="12" t="n"/>
    </row>
    <row r="398" ht="15.75" customHeight="1">
      <c r="A398" s="12" t="inlineStr">
        <is>
          <t>cyclic_translocation</t>
        </is>
      </c>
      <c r="B398" s="12" t="inlineStr">
        <is>
          <t>http://identifiers.org/so/SO:1000150</t>
        </is>
      </c>
      <c r="C398" s="12" t="inlineStr">
        <is>
          <t>['cyanelle sequence']</t>
        </is>
      </c>
      <c r="D398" s="12" t="n"/>
      <c r="E398" s="12" t="n"/>
    </row>
    <row r="399" ht="15.75" customHeight="1">
      <c r="A399" s="12" t="inlineStr">
        <is>
          <t>cysteine</t>
        </is>
      </c>
      <c r="B399" s="12" t="inlineStr">
        <is>
          <t>http://identifiers.org/so/SO:0001447</t>
        </is>
      </c>
      <c r="C399" s="12" t="inlineStr">
        <is>
          <t>['cyclic translocation']</t>
        </is>
      </c>
      <c r="D399" s="12" t="n"/>
      <c r="E399" s="12" t="n"/>
    </row>
    <row r="400" ht="15.75" customHeight="1">
      <c r="A400" s="12" t="inlineStr">
        <is>
          <t>cysteine_tRNA_primary_transcript</t>
        </is>
      </c>
      <c r="B400" s="12" t="inlineStr">
        <is>
          <t>http://identifiers.org/so/SO:0000215</t>
        </is>
      </c>
      <c r="C400" s="12" t="inlineStr">
        <is>
          <t>['Cys', 'C']</t>
        </is>
      </c>
      <c r="D400" s="12" t="n"/>
      <c r="E400" s="12" t="n"/>
    </row>
    <row r="401" ht="15.75" customHeight="1">
      <c r="A401" s="12" t="inlineStr">
        <is>
          <t>cysteinyl_tRNA</t>
        </is>
      </c>
      <c r="B401" s="12" t="inlineStr">
        <is>
          <t>http://identifiers.org/so/SO:0000258</t>
        </is>
      </c>
      <c r="C401" s="12" t="inlineStr">
        <is>
          <t>['cysteine tRNA primary transcript']</t>
        </is>
      </c>
      <c r="D401" s="12" t="n"/>
      <c r="E401" s="12" t="n"/>
    </row>
    <row r="402" ht="15.75" customHeight="1">
      <c r="A402" s="12" t="inlineStr">
        <is>
          <t>cytoplasmic_polypeptide_region</t>
        </is>
      </c>
      <c r="B402" s="12" t="inlineStr">
        <is>
          <t>http://identifiers.org/so/SO:0001073</t>
        </is>
      </c>
      <c r="C402" s="12" t="inlineStr">
        <is>
          <t>['cysteinyl-transfer RNA', 'cysteinyl tRNA', 'cysteinyl-transfer ribonucleic acid']</t>
        </is>
      </c>
      <c r="D402" s="12" t="n"/>
      <c r="E402" s="12" t="n"/>
    </row>
    <row r="403" ht="15.75" customHeight="1">
      <c r="A403" s="12" t="inlineStr">
        <is>
          <t>D_cluster</t>
        </is>
      </c>
      <c r="B403" s="12" t="inlineStr">
        <is>
          <t>http://identifiers.org/so/SO:0000559</t>
        </is>
      </c>
      <c r="C403" s="12" t="inlineStr">
        <is>
          <t>['cytoplasmic polypeptide region', 'cytoplasm_location', 'inside']</t>
        </is>
      </c>
      <c r="D403" s="12" t="n"/>
      <c r="E403" s="12" t="n"/>
    </row>
    <row r="404" ht="15.75" customHeight="1">
      <c r="A404" s="12" t="inlineStr">
        <is>
          <t>D_DJ_C_cluster</t>
        </is>
      </c>
      <c r="B404" s="12" t="inlineStr">
        <is>
          <t>http://identifiers.org/so/SO:0000504</t>
        </is>
      </c>
      <c r="C404" s="12" t="inlineStr">
        <is>
          <t>['D cluster', 'D-CLUSTER']</t>
        </is>
      </c>
      <c r="D404" s="12" t="n"/>
      <c r="E404" s="12" t="n"/>
    </row>
    <row r="405" ht="15.75" customHeight="1">
      <c r="A405" s="12" t="inlineStr">
        <is>
          <t>D_DJ_cluster</t>
        </is>
      </c>
      <c r="B405" s="12" t="inlineStr">
        <is>
          <t>http://identifiers.org/so/SO:0000505</t>
        </is>
      </c>
      <c r="C405" s="12" t="inlineStr">
        <is>
          <t>['D DJ C cluster', 'D-(DJ)-C-CLUSTER']</t>
        </is>
      </c>
      <c r="D405" s="12" t="n"/>
      <c r="E405" s="12" t="n"/>
    </row>
    <row r="406" ht="15.75" customHeight="1">
      <c r="A406" s="12" t="inlineStr">
        <is>
          <t>D_DJ_J_C_cluster</t>
        </is>
      </c>
      <c r="B406" s="12" t="inlineStr">
        <is>
          <t>http://identifiers.org/so/SO:0000506</t>
        </is>
      </c>
      <c r="C406" s="12" t="inlineStr">
        <is>
          <t>['D-(DJ)-CLUSTER', 'D DJ cluster']</t>
        </is>
      </c>
      <c r="D406" s="12" t="n"/>
      <c r="E406" s="12" t="n"/>
    </row>
    <row r="407" ht="15.75" customHeight="1">
      <c r="A407" s="12" t="inlineStr">
        <is>
          <t>D_DJ_J_cluster</t>
        </is>
      </c>
      <c r="B407" s="12" t="inlineStr">
        <is>
          <t>http://identifiers.org/so/SO:0000508</t>
        </is>
      </c>
      <c r="C407" s="12" t="inlineStr">
        <is>
          <t>['D-(DJ)-J-C-CLUSTER', 'D DJ J C cluster']</t>
        </is>
      </c>
      <c r="D407" s="12" t="n"/>
      <c r="E407" s="12" t="n"/>
    </row>
    <row r="408" ht="15.75" customHeight="1">
      <c r="A408" s="12" t="inlineStr">
        <is>
          <t>D_gene_recombination_feature</t>
        </is>
      </c>
      <c r="B408" s="12" t="inlineStr">
        <is>
          <t>http://identifiers.org/so/SO:0000492</t>
        </is>
      </c>
      <c r="C408" s="12" t="inlineStr">
        <is>
          <t>['D-(DJ)-J-CLUSTER', 'D DJ J cluster']</t>
        </is>
      </c>
      <c r="D408" s="12" t="n"/>
      <c r="E408" s="12" t="n"/>
    </row>
    <row r="409" ht="15.75" customHeight="1">
      <c r="A409" s="12" t="inlineStr">
        <is>
          <t>D_gene_segment</t>
        </is>
      </c>
      <c r="B409" s="12" t="inlineStr">
        <is>
          <t>http://identifiers.org/so/SO:0000458</t>
        </is>
      </c>
      <c r="C409" s="12" t="inlineStr">
        <is>
          <t>['D gene recombination feature']</t>
        </is>
      </c>
      <c r="D409" s="12" t="n"/>
      <c r="E409" s="12" t="n"/>
    </row>
    <row r="410" ht="15.75" customHeight="1">
      <c r="A410" s="12" t="inlineStr">
        <is>
          <t>D_J_C_cluster</t>
        </is>
      </c>
      <c r="B410" s="12" t="inlineStr">
        <is>
          <t>http://identifiers.org/so/SO:0000509</t>
        </is>
      </c>
      <c r="C410" s="12" t="inlineStr">
        <is>
          <t>['D gene', 'D-GENE', 'INSDC_feature:D_segment']</t>
        </is>
      </c>
      <c r="D410" s="12" t="n"/>
      <c r="E410" s="12" t="n"/>
    </row>
    <row r="411" ht="15.75" customHeight="1">
      <c r="A411" s="12" t="inlineStr">
        <is>
          <t>D_J_cluster</t>
        </is>
      </c>
      <c r="B411" s="12" t="inlineStr">
        <is>
          <t>http://identifiers.org/so/SO:0000560</t>
        </is>
      </c>
      <c r="C411" s="12" t="inlineStr">
        <is>
          <t>['D J C cluster', 'D-J-C-CLUSTER']</t>
        </is>
      </c>
      <c r="D411" s="12" t="n"/>
      <c r="E411" s="12" t="n"/>
    </row>
    <row r="412" ht="15.75" customHeight="1">
      <c r="A412" s="12" t="inlineStr">
        <is>
          <t>D_loop</t>
        </is>
      </c>
      <c r="B412" s="12" t="inlineStr">
        <is>
          <t>http://identifiers.org/so/SO:0000297</t>
        </is>
      </c>
      <c r="C412" s="12" t="inlineStr">
        <is>
          <t>['D J cluster', 'D-J-CLUSTER']</t>
        </is>
      </c>
      <c r="D412" s="12" t="n"/>
      <c r="E412" s="12" t="n"/>
    </row>
    <row r="413" ht="15.75" customHeight="1">
      <c r="A413" s="12" t="inlineStr">
        <is>
          <t>DArT_marker</t>
        </is>
      </c>
      <c r="B413" s="12" t="inlineStr">
        <is>
          <t>http://identifiers.org/so/SO:0001646</t>
        </is>
      </c>
      <c r="C413" s="12" t="inlineStr">
        <is>
          <t>['D-loop', 'INSDC_feature:D-loop', 'displacement loop']</t>
        </is>
      </c>
      <c r="D413" s="12" t="n"/>
      <c r="E413" s="12" t="n"/>
    </row>
    <row r="414" ht="15.75" customHeight="1">
      <c r="A414" s="12" t="inlineStr">
        <is>
          <t>databank_entry</t>
        </is>
      </c>
      <c r="B414" s="12" t="inlineStr">
        <is>
          <t>http://identifiers.org/so/SO:2000061</t>
        </is>
      </c>
      <c r="C414" s="12" t="inlineStr">
        <is>
          <t>['DArT marker']</t>
        </is>
      </c>
      <c r="D414" s="12" t="n"/>
      <c r="E414" s="12" t="n"/>
    </row>
    <row r="415" ht="15.75" customHeight="1">
      <c r="A415" s="12" t="inlineStr">
        <is>
          <t>dCAPS_primer</t>
        </is>
      </c>
      <c r="B415" s="12" t="inlineStr">
        <is>
          <t>http://identifiers.org/so/SO:0001699</t>
        </is>
      </c>
      <c r="C415" s="12" t="inlineStr">
        <is>
          <t>['databank entry', 'accession']</t>
        </is>
      </c>
      <c r="D415" s="12" t="n"/>
      <c r="E415" s="12" t="n"/>
    </row>
    <row r="416" ht="15.75" customHeight="1">
      <c r="A416" s="12" t="inlineStr">
        <is>
          <t>DCE</t>
        </is>
      </c>
      <c r="B416" s="12" t="inlineStr">
        <is>
          <t>http://identifiers.org/so/SO:0001664</t>
        </is>
      </c>
      <c r="C416" s="12" t="inlineStr">
        <is>
          <t>['derived cleaved amplified polymorphic primer', 'dCAPS primer']</t>
        </is>
      </c>
      <c r="D416" s="12" t="n"/>
      <c r="E416" s="12" t="n"/>
    </row>
    <row r="417" ht="15.75" customHeight="1">
      <c r="A417" s="12" t="inlineStr">
        <is>
          <t>DCE_SI</t>
        </is>
      </c>
      <c r="B417" s="12" t="inlineStr">
        <is>
          <t>http://identifiers.org/so/SO:0001665</t>
        </is>
      </c>
      <c r="C417" s="12" t="inlineStr">
        <is>
          <t>['downstream core element']</t>
        </is>
      </c>
      <c r="D417" s="12" t="n"/>
      <c r="E417" s="12" t="n"/>
    </row>
    <row r="418" ht="15.75" customHeight="1">
      <c r="A418" s="12" t="inlineStr">
        <is>
          <t>DCE_SII</t>
        </is>
      </c>
      <c r="B418" s="12" t="inlineStr">
        <is>
          <t>http://identifiers.org/so/SO:0001666</t>
        </is>
      </c>
      <c r="C418" s="12" t="inlineStr">
        <is>
          <t>['DCE SI']</t>
        </is>
      </c>
      <c r="D418" s="12" t="n"/>
      <c r="E418" s="12" t="n"/>
    </row>
    <row r="419" ht="15.75" customHeight="1">
      <c r="A419" s="12" t="inlineStr">
        <is>
          <t>DCE_SIII</t>
        </is>
      </c>
      <c r="B419" s="12" t="inlineStr">
        <is>
          <t>http://identifiers.org/so/SO:0001667</t>
        </is>
      </c>
      <c r="C419" s="12" t="inlineStr">
        <is>
          <t>['DCE SII']</t>
        </is>
      </c>
      <c r="D419" s="12" t="n"/>
      <c r="E419" s="12" t="n"/>
    </row>
    <row r="420" ht="15.75" customHeight="1">
      <c r="A420" s="12" t="inlineStr">
        <is>
          <t>DDB_box</t>
        </is>
      </c>
      <c r="B420" s="12" t="inlineStr">
        <is>
          <t>http://identifiers.org/so/SO:0001804</t>
        </is>
      </c>
      <c r="C420" s="12" t="inlineStr">
        <is>
          <t>['DCE SIII']</t>
        </is>
      </c>
      <c r="D420" s="12" t="n"/>
      <c r="E420" s="12" t="n"/>
    </row>
    <row r="421" ht="15.75" customHeight="1">
      <c r="A421" s="12" t="inlineStr">
        <is>
          <t>de_novo_variant</t>
        </is>
      </c>
      <c r="B421" s="12" t="inlineStr">
        <is>
          <t>http://identifiers.org/so/SO:0001781</t>
        </is>
      </c>
      <c r="C421" s="12" t="inlineStr">
        <is>
          <t>['DDB-box', 'DDB box']</t>
        </is>
      </c>
      <c r="D421" s="12" t="n"/>
      <c r="E421" s="12" t="n"/>
    </row>
    <row r="422" ht="15.75" customHeight="1">
      <c r="A422" s="12" t="inlineStr">
        <is>
          <t>decayed_exon</t>
        </is>
      </c>
      <c r="B422" s="12" t="inlineStr">
        <is>
          <t>http://identifiers.org/so/SO:0000464</t>
        </is>
      </c>
      <c r="C422" s="12" t="inlineStr">
        <is>
          <t>['de novo variant']</t>
        </is>
      </c>
      <c r="D422" s="12" t="n"/>
      <c r="E422" s="12" t="n"/>
    </row>
    <row r="423" ht="15.75" customHeight="1">
      <c r="A423" s="12" t="inlineStr">
        <is>
          <t>decreased_polyadenylation_variant</t>
        </is>
      </c>
      <c r="B423" s="12" t="inlineStr">
        <is>
          <t>http://identifiers.org/so/SO:0001803</t>
        </is>
      </c>
      <c r="C423" s="12" t="inlineStr">
        <is>
          <t>['decayed exon']</t>
        </is>
      </c>
      <c r="D423" s="12" t="n"/>
      <c r="E423" s="12" t="n"/>
    </row>
    <row r="424" ht="15.75" customHeight="1">
      <c r="A424" s="12" t="inlineStr">
        <is>
          <t>decreased_transcript_level_variant</t>
        </is>
      </c>
      <c r="B424" s="12" t="inlineStr">
        <is>
          <t>http://identifiers.org/so/SO:0001541</t>
        </is>
      </c>
      <c r="C424" s="12" t="inlineStr">
        <is>
          <t>['decreased polyadenylation variant']</t>
        </is>
      </c>
      <c r="D424" s="12" t="n"/>
      <c r="E424" s="12" t="n"/>
    </row>
    <row r="425" ht="15.75" customHeight="1">
      <c r="A425" s="12" t="inlineStr">
        <is>
          <t>decreased_transcript_stability_variant</t>
        </is>
      </c>
      <c r="B425" s="12" t="inlineStr">
        <is>
          <t>http://identifiers.org/so/SO:0001547</t>
        </is>
      </c>
      <c r="C425" s="12" t="inlineStr">
        <is>
          <t>['decreased transcript level']</t>
        </is>
      </c>
      <c r="D425" s="12" t="n"/>
      <c r="E425" s="12" t="n"/>
    </row>
    <row r="426" ht="15.75" customHeight="1">
      <c r="A426" s="12" t="inlineStr">
        <is>
          <t>decreased_transcription_rate_variant</t>
        </is>
      </c>
      <c r="B426" s="12" t="inlineStr">
        <is>
          <t>http://identifiers.org/so/SO:0001552</t>
        </is>
      </c>
      <c r="C426" s="12" t="inlineStr">
        <is>
          <t>['decrease transcript stability variant']</t>
        </is>
      </c>
      <c r="D426" s="12" t="n"/>
      <c r="E426" s="12" t="n"/>
    </row>
    <row r="427" ht="15.75" customHeight="1">
      <c r="A427" s="12" t="inlineStr">
        <is>
          <t>decreased_translational_product_level</t>
        </is>
      </c>
      <c r="B427" s="12" t="inlineStr">
        <is>
          <t>http://identifiers.org/so/SO:0001555</t>
        </is>
      </c>
      <c r="C427" s="12" t="inlineStr">
        <is>
          <t>['decreased transcription rate variant']</t>
        </is>
      </c>
      <c r="D427" s="12" t="n"/>
      <c r="E427" s="12" t="n"/>
    </row>
    <row r="428" ht="15.75" customHeight="1">
      <c r="A428" s="12" t="inlineStr">
        <is>
          <t>defective_conjugative_transposon</t>
        </is>
      </c>
      <c r="B428" s="12" t="inlineStr">
        <is>
          <t>http://identifiers.org/so/SO:0001049</t>
        </is>
      </c>
      <c r="C428" s="12" t="inlineStr">
        <is>
          <t>['decrease translational product level']</t>
        </is>
      </c>
      <c r="D428" s="12" t="n"/>
      <c r="E428" s="12" t="n"/>
    </row>
    <row r="429" ht="15.75" customHeight="1">
      <c r="A429" s="12" t="inlineStr">
        <is>
          <t>deficient_interchromosomal_transposition</t>
        </is>
      </c>
      <c r="B429" s="12" t="inlineStr">
        <is>
          <t>http://identifiers.org/so/SO:0000063</t>
        </is>
      </c>
      <c r="C429" s="12" t="inlineStr">
        <is>
          <t>['defective conjugative transposon']</t>
        </is>
      </c>
      <c r="D429" s="12" t="n"/>
      <c r="E429" s="12" t="n"/>
    </row>
    <row r="430" ht="15.75" customHeight="1">
      <c r="A430" s="12" t="inlineStr">
        <is>
          <t>deficient_intrachromosomal_transposition</t>
        </is>
      </c>
      <c r="B430" s="12" t="inlineStr">
        <is>
          <t>http://identifiers.org/so/SO:0000062</t>
        </is>
      </c>
      <c r="C430" s="12" t="inlineStr">
        <is>
          <t>['deficient interchromosomal transposition']</t>
        </is>
      </c>
      <c r="D430" s="12" t="n"/>
      <c r="E430" s="12" t="n"/>
    </row>
    <row r="431" ht="15.75" customHeight="1">
      <c r="A431" s="12" t="inlineStr">
        <is>
          <t>deficient_inversion</t>
        </is>
      </c>
      <c r="B431" s="12" t="inlineStr">
        <is>
          <t>http://identifiers.org/so/SO:1000171</t>
        </is>
      </c>
      <c r="C431" s="12" t="inlineStr">
        <is>
          <t>['deficient intrachromosomal transposition']</t>
        </is>
      </c>
      <c r="D431" s="12" t="n"/>
      <c r="E431" s="12" t="n"/>
    </row>
    <row r="432" ht="15.75" customHeight="1">
      <c r="A432" s="12" t="inlineStr">
        <is>
          <t>deficient_translocation</t>
        </is>
      </c>
      <c r="B432" s="12" t="inlineStr">
        <is>
          <t>http://identifiers.org/so/SO:1000147</t>
        </is>
      </c>
      <c r="C432" s="12" t="inlineStr">
        <is>
          <t>['(Drosophila)DfIn', 'deficient inversion', '(Drosophila)Df']</t>
        </is>
      </c>
      <c r="D432" s="12" t="n"/>
      <c r="E432" s="12" t="n"/>
    </row>
    <row r="433" ht="15.75" customHeight="1">
      <c r="A433" s="12" t="inlineStr">
        <is>
          <t>delete</t>
        </is>
      </c>
      <c r="B433" s="12" t="inlineStr">
        <is>
          <t>http://identifiers.org/so/SO:0000045</t>
        </is>
      </c>
      <c r="C433" s="12" t="inlineStr">
        <is>
          <t>['deficient translocation', '(Drosophila)Df', '(Drosophila)DfT']</t>
        </is>
      </c>
      <c r="D433" s="12" t="n"/>
      <c r="E433" s="12" t="n"/>
    </row>
    <row r="434" ht="15.75" customHeight="1">
      <c r="A434" s="12" t="inlineStr">
        <is>
          <t>delete_U</t>
        </is>
      </c>
      <c r="B434" s="12" t="inlineStr">
        <is>
          <t>http://identifiers.org/so/SO:0000918</t>
        </is>
      </c>
      <c r="C434" s="12" t="n"/>
      <c r="D434" s="12" t="n"/>
      <c r="E434" s="12" t="n"/>
    </row>
    <row r="435" ht="15.75" customHeight="1">
      <c r="A435" s="12" t="inlineStr">
        <is>
          <t>deletion</t>
        </is>
      </c>
      <c r="B435" s="12" t="inlineStr">
        <is>
          <t>http://identifiers.org/so/SO:0000159</t>
        </is>
      </c>
      <c r="C435" s="12" t="inlineStr">
        <is>
          <t>['delete U']</t>
        </is>
      </c>
      <c r="D435" s="12" t="n"/>
      <c r="E435" s="12" t="n"/>
    </row>
    <row r="436" ht="15.75" customHeight="1">
      <c r="A436" s="12" t="inlineStr">
        <is>
          <t>deletion_artifact</t>
        </is>
      </c>
      <c r="B436" s="12" t="inlineStr">
        <is>
          <t>http://identifiers.org/so/SO:0002174</t>
        </is>
      </c>
      <c r="C436" s="12" t="inlineStr">
        <is>
          <t>['nucleotide_deletion', 'deleted_sequence', 'nucleotide deletion']</t>
        </is>
      </c>
      <c r="D436" s="12" t="n"/>
      <c r="E436" s="12" t="n"/>
    </row>
    <row r="437" ht="15.75" customHeight="1">
      <c r="A437" s="12" t="inlineStr">
        <is>
          <t>deletion_breakpoint</t>
        </is>
      </c>
      <c r="B437" s="12" t="inlineStr">
        <is>
          <t>http://identifiers.org/so/SO:0001415</t>
        </is>
      </c>
      <c r="C437" s="12" t="inlineStr">
        <is>
          <t>['deletion artifact']</t>
        </is>
      </c>
      <c r="D437" s="12" t="n"/>
      <c r="E437" s="12" t="n"/>
    </row>
    <row r="438" ht="15.75" customHeight="1">
      <c r="A438" s="12" t="inlineStr">
        <is>
          <t>deletion_junction</t>
        </is>
      </c>
      <c r="B438" s="12" t="inlineStr">
        <is>
          <t>http://identifiers.org/so/SO:0000687</t>
        </is>
      </c>
      <c r="C438" s="12" t="inlineStr">
        <is>
          <t>['deletion breakpoint']</t>
        </is>
      </c>
      <c r="D438" s="12" t="n"/>
      <c r="E438" s="12" t="n"/>
    </row>
    <row r="439" ht="15.75" customHeight="1">
      <c r="A439" s="12" t="inlineStr">
        <is>
          <t>delins</t>
        </is>
      </c>
      <c r="B439" s="12" t="inlineStr">
        <is>
          <t>http://identifiers.org/so/SO:1000032</t>
        </is>
      </c>
      <c r="C439" s="12" t="inlineStr">
        <is>
          <t>['deletion junction']</t>
        </is>
      </c>
      <c r="D439" s="12" t="n"/>
      <c r="E439" s="12" t="n"/>
    </row>
    <row r="440" ht="15.75" customHeight="1">
      <c r="A440" s="12" t="inlineStr">
        <is>
          <t>designed_sequence</t>
        </is>
      </c>
      <c r="B440" s="12" t="inlineStr">
        <is>
          <t>http://identifiers.org/so/SO:0000546</t>
        </is>
      </c>
      <c r="C440" s="12" t="inlineStr">
        <is>
          <t>['deletion-insertion', 'indel']</t>
        </is>
      </c>
      <c r="D440" s="12" t="n"/>
      <c r="E440" s="12" t="n"/>
    </row>
    <row r="441" ht="15.75" customHeight="1">
      <c r="A441" s="12" t="inlineStr">
        <is>
          <t>destruction_box</t>
        </is>
      </c>
      <c r="B441" s="12" t="inlineStr">
        <is>
          <t>http://identifiers.org/so/SO:0001805</t>
        </is>
      </c>
      <c r="C441" s="12" t="inlineStr">
        <is>
          <t>['designed sequence']</t>
        </is>
      </c>
      <c r="D441" s="12" t="n"/>
      <c r="E441" s="12" t="n"/>
    </row>
    <row r="442" ht="15.75" customHeight="1">
      <c r="A442" s="12" t="inlineStr">
        <is>
          <t>dextrosynaptic_chromosome</t>
        </is>
      </c>
      <c r="B442" s="12" t="inlineStr">
        <is>
          <t>http://identifiers.org/so/SO:1000142</t>
        </is>
      </c>
      <c r="C442" s="12" t="inlineStr">
        <is>
          <t>['destruction box', 'D-box']</t>
        </is>
      </c>
      <c r="D442" s="12" t="n"/>
      <c r="E442" s="12" t="n"/>
    </row>
    <row r="443" ht="15.75" customHeight="1">
      <c r="A443" s="12" t="inlineStr">
        <is>
          <t>dg_repeat</t>
        </is>
      </c>
      <c r="B443" s="12" t="inlineStr">
        <is>
          <t>http://identifiers.org/so/SO:0001898</t>
        </is>
      </c>
      <c r="C443" s="12" t="inlineStr">
        <is>
          <t>['dextrosynaptic chromosome']</t>
        </is>
      </c>
      <c r="D443" s="12" t="n"/>
      <c r="E443" s="12" t="n"/>
    </row>
    <row r="444" ht="15.75" customHeight="1">
      <c r="A444" s="12" t="inlineStr">
        <is>
          <t>dh_repeat</t>
        </is>
      </c>
      <c r="B444" s="12" t="inlineStr">
        <is>
          <t>http://identifiers.org/so/SO:0001899</t>
        </is>
      </c>
      <c r="C444" s="12" t="inlineStr">
        <is>
          <t>['dg repeat']</t>
        </is>
      </c>
      <c r="D444" s="12" t="n"/>
      <c r="E444" s="12" t="n"/>
    </row>
    <row r="445" ht="15.75" customHeight="1">
      <c r="A445" s="12" t="inlineStr">
        <is>
          <t>DHU_loop</t>
        </is>
      </c>
      <c r="B445" s="12" t="inlineStr">
        <is>
          <t>http://identifiers.org/so/SO:0001176</t>
        </is>
      </c>
      <c r="C445" s="12" t="inlineStr">
        <is>
          <t>['dh repeat']</t>
        </is>
      </c>
      <c r="D445" s="12" t="n"/>
      <c r="E445" s="12" t="n"/>
    </row>
    <row r="446" ht="15.75" customHeight="1">
      <c r="A446" s="12" t="inlineStr">
        <is>
          <t>dicistronic</t>
        </is>
      </c>
      <c r="B446" s="12" t="inlineStr">
        <is>
          <t>http://identifiers.org/so/SO:0000879</t>
        </is>
      </c>
      <c r="C446" s="12" t="inlineStr">
        <is>
          <t>['DHU loop', 'D loop']</t>
        </is>
      </c>
      <c r="D446" s="12" t="n"/>
      <c r="E446" s="12" t="n"/>
    </row>
    <row r="447" ht="15.75" customHeight="1">
      <c r="A447" s="12" t="inlineStr">
        <is>
          <t>dicistronic_mRNA</t>
        </is>
      </c>
      <c r="B447" s="12" t="inlineStr">
        <is>
          <t>http://identifiers.org/so/SO:0000716</t>
        </is>
      </c>
      <c r="C447" s="12" t="n"/>
      <c r="D447" s="12" t="n"/>
      <c r="E447" s="12" t="n"/>
    </row>
    <row r="448" ht="15.75" customHeight="1">
      <c r="A448" s="12" t="inlineStr">
        <is>
          <t>dicistronic_primary_transcript</t>
        </is>
      </c>
      <c r="B448" s="12" t="inlineStr">
        <is>
          <t>http://identifiers.org/so/SO:1001197</t>
        </is>
      </c>
      <c r="C448" s="12" t="inlineStr">
        <is>
          <t>['dicistronic mRNA', 'dicistronic processed transcript']</t>
        </is>
      </c>
      <c r="D448" s="12" t="n"/>
      <c r="E448" s="12" t="n"/>
    </row>
    <row r="449" ht="15.75" customHeight="1">
      <c r="A449" s="12" t="inlineStr">
        <is>
          <t>dicistronic_transcript</t>
        </is>
      </c>
      <c r="B449" s="12" t="inlineStr">
        <is>
          <t>http://identifiers.org/so/SO:0000079</t>
        </is>
      </c>
      <c r="C449" s="12" t="inlineStr">
        <is>
          <t>['dicistronic primary transcript']</t>
        </is>
      </c>
      <c r="D449" s="12" t="n"/>
      <c r="E449" s="12" t="n"/>
    </row>
    <row r="450" ht="15.75" customHeight="1">
      <c r="A450" s="12" t="inlineStr">
        <is>
          <t>dif_site</t>
        </is>
      </c>
      <c r="B450" s="12" t="inlineStr">
        <is>
          <t>http://identifiers.org/so/SO:0000949</t>
        </is>
      </c>
      <c r="C450" s="12" t="inlineStr">
        <is>
          <t>['dicistronic transcript']</t>
        </is>
      </c>
      <c r="D450" s="12" t="n"/>
      <c r="E450" s="12" t="n"/>
    </row>
    <row r="451" ht="15.75" customHeight="1">
      <c r="A451" s="12" t="inlineStr">
        <is>
          <t>dihydrouridine</t>
        </is>
      </c>
      <c r="B451" s="12" t="inlineStr">
        <is>
          <t>http://identifiers.org/so/SO:0001228</t>
        </is>
      </c>
      <c r="C451" s="12" t="inlineStr">
        <is>
          <t>['dif site']</t>
        </is>
      </c>
      <c r="D451" s="12" t="n"/>
      <c r="E451" s="12" t="n"/>
    </row>
    <row r="452" ht="15.75" customHeight="1">
      <c r="A452" s="12" t="inlineStr">
        <is>
          <t>dinucleotide_repeat_microsatellite_feature</t>
        </is>
      </c>
      <c r="B452" s="12" t="inlineStr">
        <is>
          <t>http://identifiers.org/so/SO:0000290</t>
        </is>
      </c>
      <c r="C452" s="12" t="inlineStr">
        <is>
          <t>[' D']</t>
        </is>
      </c>
      <c r="D452" s="12" t="n"/>
      <c r="E452" s="12" t="n"/>
    </row>
    <row r="453" ht="15.75" customHeight="1">
      <c r="A453" s="12" t="inlineStr">
        <is>
          <t>diplotype</t>
        </is>
      </c>
      <c r="B453" s="12" t="inlineStr">
        <is>
          <t>http://identifiers.org/so/SO:0001028</t>
        </is>
      </c>
      <c r="C453" s="12" t="inlineStr">
        <is>
          <t>['dinucleotide repeat microsatellite marker', 'dinucleotide repeat microsatellite locus', 'dinucleotide repeat microsatellite', 'dinucleotide repeat microsatellite feature']</t>
        </is>
      </c>
      <c r="D453" s="12" t="n"/>
      <c r="E453" s="12" t="n"/>
    </row>
    <row r="454" ht="15.75" customHeight="1">
      <c r="A454" s="12" t="inlineStr">
        <is>
          <t>direct</t>
        </is>
      </c>
      <c r="B454" s="12" t="inlineStr">
        <is>
          <t>http://identifiers.org/so/SO:0001514</t>
        </is>
      </c>
      <c r="C454" s="12" t="n"/>
      <c r="D454" s="12" t="n"/>
      <c r="E454" s="12" t="n"/>
    </row>
    <row r="455" ht="15.75" customHeight="1">
      <c r="A455" s="12" t="inlineStr">
        <is>
          <t>direct_repeat</t>
        </is>
      </c>
      <c r="B455" s="12" t="inlineStr">
        <is>
          <t>http://identifiers.org/so/SO:0000314</t>
        </is>
      </c>
      <c r="C455" s="12" t="n"/>
      <c r="D455" s="12" t="n"/>
      <c r="E455" s="12" t="n"/>
    </row>
    <row r="456" ht="15.75" customHeight="1">
      <c r="A456" s="12" t="inlineStr">
        <is>
          <t>direct_tandem_duplication</t>
        </is>
      </c>
      <c r="B456" s="12" t="inlineStr">
        <is>
          <t>http://identifiers.org/so/SO:1000039</t>
        </is>
      </c>
      <c r="C456" s="12" t="inlineStr">
        <is>
          <t>['direct repeat', 'INSDC_feature:repeat_region', 'INSDC_qualifier:direct']</t>
        </is>
      </c>
      <c r="D456" s="12" t="n"/>
      <c r="E456" s="12" t="n"/>
    </row>
    <row r="457" ht="15.75" customHeight="1">
      <c r="A457" s="12" t="inlineStr">
        <is>
          <t>direction_attribute</t>
        </is>
      </c>
      <c r="B457" s="12" t="inlineStr">
        <is>
          <t>http://identifiers.org/so/SO:0001029</t>
        </is>
      </c>
      <c r="C457" s="12" t="inlineStr">
        <is>
          <t>['direct tandem duplication']</t>
        </is>
      </c>
      <c r="D457" s="12" t="n"/>
      <c r="E457" s="12" t="n"/>
    </row>
    <row r="458" ht="15.75" customHeight="1">
      <c r="A458" s="12" t="inlineStr">
        <is>
          <t>DIRS_YR_retrotransposon</t>
        </is>
      </c>
      <c r="B458" s="12" t="inlineStr">
        <is>
          <t>http://identifiers.org/so/SO:0002287</t>
        </is>
      </c>
      <c r="C458" s="12" t="inlineStr">
        <is>
          <t>['direction attribute']</t>
        </is>
      </c>
      <c r="D458" s="12" t="n"/>
      <c r="E458" s="12" t="n"/>
    </row>
    <row r="459" ht="15.75" customHeight="1">
      <c r="A459" s="12" t="inlineStr">
        <is>
          <t>disabled_reading_frame</t>
        </is>
      </c>
      <c r="B459" s="12" t="inlineStr">
        <is>
          <t>http://identifiers.org/so/SO:0002048</t>
        </is>
      </c>
      <c r="C459" s="12" t="inlineStr">
        <is>
          <t>['DIRS YR retrotransposon', 'RYD retrotransposon', 'DIRS retrotransposon']</t>
        </is>
      </c>
      <c r="D459" s="12" t="n"/>
      <c r="E459" s="12" t="n"/>
    </row>
    <row r="460" ht="15.75" customHeight="1">
      <c r="A460" s="12" t="inlineStr">
        <is>
          <t>disease_associated_variant</t>
        </is>
      </c>
      <c r="B460" s="12" t="inlineStr">
        <is>
          <t>http://identifiers.org/so/SO:0001771</t>
        </is>
      </c>
      <c r="C460" s="12" t="inlineStr">
        <is>
          <t>['dORF', 'disabled_reading frame', 'disabled ORF']</t>
        </is>
      </c>
      <c r="D460" s="12" t="n"/>
      <c r="E460" s="12" t="n"/>
    </row>
    <row r="461" ht="15.75" customHeight="1">
      <c r="A461" s="12" t="inlineStr">
        <is>
          <t>disease_causing_variant</t>
        </is>
      </c>
      <c r="B461" s="12" t="inlineStr">
        <is>
          <t>http://identifiers.org/so/SO:0001772</t>
        </is>
      </c>
      <c r="C461" s="12" t="inlineStr">
        <is>
          <t>['disease associated variant']</t>
        </is>
      </c>
      <c r="D461" s="12" t="n"/>
      <c r="E461" s="12" t="n"/>
    </row>
    <row r="462" ht="15.75" customHeight="1">
      <c r="A462" s="12" t="inlineStr">
        <is>
          <t>dispersed_repeat</t>
        </is>
      </c>
      <c r="B462" s="12" t="inlineStr">
        <is>
          <t>http://identifiers.org/so/SO:0000658</t>
        </is>
      </c>
      <c r="C462" s="12" t="inlineStr">
        <is>
          <t>['disease causing variant']</t>
        </is>
      </c>
      <c r="D462" s="12" t="n"/>
      <c r="E462" s="12" t="n"/>
    </row>
    <row r="463" ht="15.75" customHeight="1">
      <c r="A463" s="12" t="inlineStr">
        <is>
          <t>disruptive_inframe_deletion</t>
        </is>
      </c>
      <c r="B463" s="12" t="inlineStr">
        <is>
          <t>http://identifiers.org/so/SO:0001826</t>
        </is>
      </c>
      <c r="C463" s="12" t="inlineStr">
        <is>
          <t>['interspersed repeat', 'dispersed repeat', 'INSDC_feature:repeat_region', 'INSDC_qualifier:dispersed']</t>
        </is>
      </c>
      <c r="D463" s="12" t="n"/>
      <c r="E463" s="12" t="n"/>
    </row>
    <row r="464" ht="15.75" customHeight="1">
      <c r="A464" s="12" t="inlineStr">
        <is>
          <t>disruptive_inframe_insertion</t>
        </is>
      </c>
      <c r="B464" s="12" t="inlineStr">
        <is>
          <t>http://identifiers.org/so/SO:0001824</t>
        </is>
      </c>
      <c r="C464" s="12" t="inlineStr">
        <is>
          <t>['Jannovar:disruptive_inframe_deletion', 'snpEff:CODON_CHANGE_PLUS_CODON_DELETION', 'disruptive inframe deletion', 'disruptive decrease in CDS length']</t>
        </is>
      </c>
      <c r="D464" s="12" t="n"/>
      <c r="E464" s="12" t="n"/>
    </row>
    <row r="465" ht="15.75" customHeight="1">
      <c r="A465" s="12" t="inlineStr">
        <is>
          <t>distal_duplication</t>
        </is>
      </c>
      <c r="B465" s="12" t="inlineStr">
        <is>
          <t>http://identifiers.org/so/SO:0001928</t>
        </is>
      </c>
      <c r="C465" s="12" t="inlineStr">
        <is>
          <t>['disruptive increase in CDS length', 'disruptive inframe insertion', 'Jannovar:disruptive_inframe_insertion', 'snpEff:CODON_CHANGE_PLUS_CODON_INSERTION']</t>
        </is>
      </c>
      <c r="D465" s="12" t="n"/>
      <c r="E465" s="12" t="n"/>
    </row>
    <row r="466" ht="15.75" customHeight="1">
      <c r="A466" s="12" t="inlineStr">
        <is>
          <t>distal_promoter_element</t>
        </is>
      </c>
      <c r="B466" s="12" t="inlineStr">
        <is>
          <t>http://identifiers.org/so/SO:0001670</t>
        </is>
      </c>
      <c r="C466" s="12" t="inlineStr">
        <is>
          <t>['distal duplication']</t>
        </is>
      </c>
      <c r="D466" s="12" t="n"/>
      <c r="E466" s="12" t="n"/>
    </row>
    <row r="467" ht="15.75" customHeight="1">
      <c r="A467" s="12" t="inlineStr">
        <is>
          <t>distant_three_prime_recoding_signal</t>
        </is>
      </c>
      <c r="B467" s="12" t="inlineStr">
        <is>
          <t>http://identifiers.org/so/SO:1001287</t>
        </is>
      </c>
      <c r="C467" s="12" t="inlineStr">
        <is>
          <t>['distal promoter element']</t>
        </is>
      </c>
      <c r="D467" s="12" t="n"/>
      <c r="E467" s="12" t="n"/>
    </row>
    <row r="468" ht="15.75" customHeight="1">
      <c r="A468" s="12" t="inlineStr">
        <is>
          <t>disulfide_bond</t>
        </is>
      </c>
      <c r="B468" s="12" t="inlineStr">
        <is>
          <t>http://identifiers.org/so/SO:0001088</t>
        </is>
      </c>
      <c r="C468" s="12" t="inlineStr">
        <is>
          <t>['distant three prime recoding signal']</t>
        </is>
      </c>
      <c r="D468" s="12" t="n"/>
      <c r="E468" s="12" t="n"/>
    </row>
    <row r="469" ht="15.75" customHeight="1">
      <c r="A469" s="12" t="inlineStr">
        <is>
          <t>DJ_C_cluster</t>
        </is>
      </c>
      <c r="B469" s="12" t="inlineStr">
        <is>
          <t>http://identifiers.org/so/SO:0000539</t>
        </is>
      </c>
      <c r="C469" s="12" t="inlineStr">
        <is>
          <t>['disulfid', 'disulphide', 'disulfide', 'disulphide bond', 'disulfide bond']</t>
        </is>
      </c>
      <c r="D469" s="12" t="n"/>
      <c r="E469" s="12" t="n"/>
    </row>
    <row r="470" ht="15.75" customHeight="1">
      <c r="A470" s="12" t="inlineStr">
        <is>
          <t>DJ_gene_segment</t>
        </is>
      </c>
      <c r="B470" s="12" t="inlineStr">
        <is>
          <t>http://identifiers.org/so/SO:0000572</t>
        </is>
      </c>
      <c r="C470" s="12" t="inlineStr">
        <is>
          <t>['(DJ)-C-CLUSTER', 'DJ C cluster']</t>
        </is>
      </c>
      <c r="D470" s="12" t="n"/>
      <c r="E470" s="12" t="n"/>
    </row>
    <row r="471" ht="15.75" customHeight="1">
      <c r="A471" s="12" t="inlineStr">
        <is>
          <t>DJ_J_C_cluster</t>
        </is>
      </c>
      <c r="B471" s="12" t="inlineStr">
        <is>
          <t>http://identifiers.org/so/SO:0000540</t>
        </is>
      </c>
      <c r="C471" s="12" t="inlineStr">
        <is>
          <t>['DJ gene', 'D-J-GENE']</t>
        </is>
      </c>
      <c r="D471" s="12" t="n"/>
      <c r="E471" s="12" t="n"/>
    </row>
    <row r="472" ht="15.75" customHeight="1">
      <c r="A472" s="12" t="inlineStr">
        <is>
          <t>DJ_J_cluster</t>
        </is>
      </c>
      <c r="B472" s="12" t="inlineStr">
        <is>
          <t>http://identifiers.org/so/SO:0000485</t>
        </is>
      </c>
      <c r="C472" s="12" t="inlineStr">
        <is>
          <t>['(DJ)-J-C-CLUSTER', 'DJ J C cluster']</t>
        </is>
      </c>
      <c r="D472" s="12" t="n"/>
      <c r="E472" s="12" t="n"/>
    </row>
    <row r="473" ht="15.75" customHeight="1">
      <c r="A473" s="12" t="inlineStr">
        <is>
          <t>DMv1_motif</t>
        </is>
      </c>
      <c r="B473" s="12" t="inlineStr">
        <is>
          <t>http://identifiers.org/so/SO:0001165</t>
        </is>
      </c>
      <c r="C473" s="12" t="inlineStr">
        <is>
          <t>['DJ J cluster', '(DJ)-J-CLUSTER']</t>
        </is>
      </c>
      <c r="D473" s="12" t="n"/>
      <c r="E473" s="12" t="n"/>
    </row>
    <row r="474" ht="15.75" customHeight="1">
      <c r="A474" s="12" t="inlineStr">
        <is>
          <t>DMv2_motif</t>
        </is>
      </c>
      <c r="B474" s="12" t="inlineStr">
        <is>
          <t>http://identifiers.org/so/SO:0001161</t>
        </is>
      </c>
      <c r="C474" s="12" t="inlineStr">
        <is>
          <t>['DMv1 motif', 'directional promoter motif v1', 'DMv1']</t>
        </is>
      </c>
      <c r="D474" s="12" t="n"/>
      <c r="E474" s="12" t="n"/>
    </row>
    <row r="475" ht="15.75" customHeight="1">
      <c r="A475" s="12" t="inlineStr">
        <is>
          <t>DMv3_motif</t>
        </is>
      </c>
      <c r="B475" s="12" t="inlineStr">
        <is>
          <t>http://identifiers.org/so/SO:0001160</t>
        </is>
      </c>
      <c r="C475" s="12" t="inlineStr">
        <is>
          <t>['DMv2 motif', 'promoter motif 8', 'MKSYGGCARCGSYSS', 'directional motif v2', 'DMv2']</t>
        </is>
      </c>
      <c r="D475" s="12" t="n"/>
      <c r="E475" s="12" t="n"/>
    </row>
    <row r="476" ht="15.75" customHeight="1">
      <c r="A476" s="12" t="inlineStr">
        <is>
          <t>DMv4_motif</t>
        </is>
      </c>
      <c r="B476" s="12" t="inlineStr">
        <is>
          <t>http://identifiers.org/so/SO:0001157</t>
        </is>
      </c>
      <c r="C476" s="12" t="inlineStr">
        <is>
          <t>['DMv3 motif', 'promoter motif 7', 'DMv3', 'KNNCAKCNCTRNY', 'directional motif v3']</t>
        </is>
      </c>
      <c r="D476" s="12" t="n"/>
      <c r="E476" s="12" t="n"/>
    </row>
    <row r="477" ht="15.75" customHeight="1">
      <c r="A477" s="12" t="inlineStr">
        <is>
          <t>DMv5_motif</t>
        </is>
      </c>
      <c r="B477" s="12" t="inlineStr">
        <is>
          <t>http://identifiers.org/so/SO:0001159</t>
        </is>
      </c>
      <c r="C477" s="12" t="inlineStr">
        <is>
          <t>['promoter motif 1', 'YGGTCACATR', 'motif 1 element', 'directional motif v4', 'DMv4', 'DMv4 motif']</t>
        </is>
      </c>
      <c r="D477" s="12" t="n"/>
      <c r="E477" s="12" t="n"/>
    </row>
    <row r="478" ht="15.75" customHeight="1">
      <c r="A478" s="12" t="inlineStr">
        <is>
          <t>DNA</t>
        </is>
      </c>
      <c r="B478" s="12" t="inlineStr">
        <is>
          <t>http://identifiers.org/so/SO:0000352</t>
        </is>
      </c>
      <c r="C478" s="12" t="inlineStr">
        <is>
          <t>['promoter motif 6', 'DMv5 motif', 'KTYRGTATWTTT', 'DMv5', 'directional motif v5']</t>
        </is>
      </c>
      <c r="D478" s="12" t="n"/>
      <c r="E478" s="12" t="n"/>
    </row>
    <row r="479" ht="15.75" customHeight="1">
      <c r="A479" s="12" t="inlineStr">
        <is>
          <t>DNA_aptamer</t>
        </is>
      </c>
      <c r="B479" s="12" t="inlineStr">
        <is>
          <t>http://identifiers.org/so/SO:0000032</t>
        </is>
      </c>
      <c r="C479" s="12" t="n"/>
      <c r="D479" s="12" t="n"/>
      <c r="E479" s="12" t="n"/>
    </row>
    <row r="480" ht="15.75" customHeight="1">
      <c r="A480" s="12" t="inlineStr">
        <is>
          <t>DNA_binding_site</t>
        </is>
      </c>
      <c r="B480" s="12" t="inlineStr">
        <is>
          <t>http://identifiers.org/so/SO:0001429</t>
        </is>
      </c>
      <c r="C480" s="12" t="inlineStr">
        <is>
          <t>['DNA aptamer']</t>
        </is>
      </c>
      <c r="D480" s="12" t="n"/>
      <c r="E480" s="12" t="n"/>
    </row>
    <row r="481" ht="15.75" customHeight="1">
      <c r="A481" s="12" t="inlineStr">
        <is>
          <t>DNA_chromosome</t>
        </is>
      </c>
      <c r="B481" s="12" t="inlineStr">
        <is>
          <t>http://identifiers.org/so/SO:0000954</t>
        </is>
      </c>
      <c r="C481" s="12" t="inlineStr">
        <is>
          <t>['DNA binding site']</t>
        </is>
      </c>
      <c r="D481" s="12" t="n"/>
      <c r="E481" s="12" t="n"/>
    </row>
    <row r="482" ht="15.75" customHeight="1">
      <c r="A482" s="12" t="inlineStr">
        <is>
          <t>DNA_constraint_sequence</t>
        </is>
      </c>
      <c r="B482" s="12" t="inlineStr">
        <is>
          <t>http://identifiers.org/so/SO:0001009</t>
        </is>
      </c>
      <c r="C482" s="12" t="inlineStr">
        <is>
          <t>['DNA chromosome']</t>
        </is>
      </c>
      <c r="D482" s="12" t="n"/>
      <c r="E482" s="12" t="n"/>
    </row>
    <row r="483" ht="15.75" customHeight="1">
      <c r="A483" s="12" t="inlineStr">
        <is>
          <t>DNA_invertase_target_sequence</t>
        </is>
      </c>
      <c r="B483" s="12" t="inlineStr">
        <is>
          <t>http://identifiers.org/so/SO:0000660</t>
        </is>
      </c>
      <c r="C483" s="12" t="inlineStr">
        <is>
          <t>['DNA constraint sequence', 'DNA constraint']</t>
        </is>
      </c>
      <c r="D483" s="12" t="n"/>
      <c r="E483" s="12" t="n"/>
    </row>
    <row r="484" ht="15.75" customHeight="1">
      <c r="A484" s="12" t="inlineStr">
        <is>
          <t>DNA_loop</t>
        </is>
      </c>
      <c r="B484" s="12" t="inlineStr">
        <is>
          <t>http://identifiers.org/so/SO:0002307</t>
        </is>
      </c>
      <c r="C484" s="12" t="n"/>
      <c r="D484" s="12" t="n"/>
      <c r="E484" s="12" t="n"/>
    </row>
    <row r="485" ht="15.75" customHeight="1">
      <c r="A485" s="12" t="inlineStr">
        <is>
          <t>DNA_loop_anchor</t>
        </is>
      </c>
      <c r="B485" s="12" t="inlineStr">
        <is>
          <t>http://identifiers.org/so/SO:0002308</t>
        </is>
      </c>
      <c r="C485" s="12" t="inlineStr">
        <is>
          <t>['DNA loop']</t>
        </is>
      </c>
      <c r="D485" s="12" t="n"/>
      <c r="E485" s="12" t="n"/>
    </row>
    <row r="486" ht="15.75" customHeight="1">
      <c r="A486" s="12" t="inlineStr">
        <is>
          <t>DNA_motif</t>
        </is>
      </c>
      <c r="B486" s="12" t="inlineStr">
        <is>
          <t>http://identifiers.org/so/SO:0000713</t>
        </is>
      </c>
      <c r="C486" s="12" t="inlineStr">
        <is>
          <t>['chromatin regulatory region']</t>
        </is>
      </c>
      <c r="D486" s="12" t="n"/>
      <c r="E486" s="12" t="n"/>
    </row>
    <row r="487" ht="15.75" customHeight="1">
      <c r="A487" s="12" t="inlineStr">
        <is>
          <t>DNA_replication_mode</t>
        </is>
      </c>
      <c r="B487" s="12" t="inlineStr">
        <is>
          <t>http://identifiers.org/so/SO:0000971</t>
        </is>
      </c>
      <c r="C487" s="12" t="inlineStr">
        <is>
          <t>['DNA motif']</t>
        </is>
      </c>
      <c r="D487" s="12" t="n"/>
      <c r="E487" s="12" t="n"/>
    </row>
    <row r="488" ht="15.75" customHeight="1">
      <c r="A488" s="12" t="inlineStr">
        <is>
          <t>DNA_sequence_secondary_structure</t>
        </is>
      </c>
      <c r="B488" s="12" t="inlineStr">
        <is>
          <t>http://identifiers.org/so/SO:0000142</t>
        </is>
      </c>
      <c r="C488" s="12" t="inlineStr">
        <is>
          <t>['DNA replication mode']</t>
        </is>
      </c>
      <c r="D488" s="12" t="n"/>
      <c r="E488" s="12" t="n"/>
    </row>
    <row r="489" ht="15.75" customHeight="1">
      <c r="A489" s="12" t="inlineStr">
        <is>
          <t>DNA_transposon</t>
        </is>
      </c>
      <c r="B489" s="12" t="inlineStr">
        <is>
          <t>http://identifiers.org/so/SO:0000182</t>
        </is>
      </c>
      <c r="C489" s="12" t="inlineStr">
        <is>
          <t>['DNA sequence secondary structure']</t>
        </is>
      </c>
      <c r="D489" s="12" t="n"/>
      <c r="E489" s="12" t="n"/>
    </row>
    <row r="490" ht="15.75" customHeight="1">
      <c r="A490" s="12" t="inlineStr">
        <is>
          <t>DNaseI_hypersensitive_site</t>
        </is>
      </c>
      <c r="B490" s="12" t="inlineStr">
        <is>
          <t>http://identifiers.org/so/SO:0000685</t>
        </is>
      </c>
      <c r="C490" s="12" t="inlineStr">
        <is>
          <t>['class II', 'DNA transposon', 'class II transposon']</t>
        </is>
      </c>
      <c r="D490" s="12" t="n"/>
      <c r="E490" s="12" t="n"/>
    </row>
    <row r="491" ht="15.75" customHeight="1">
      <c r="A491" s="12" t="inlineStr">
        <is>
          <t>DNAzyme</t>
        </is>
      </c>
      <c r="B491" s="12" t="inlineStr">
        <is>
          <t>http://identifiers.org/so/SO:0001012</t>
        </is>
      </c>
      <c r="C491" s="12" t="inlineStr">
        <is>
          <t>['INSDC_qualifier:DNase_I_hypersensitive_site', 'INSDC_feature:regulatory', 'DHS', 'DNaseI hypersensitive site']</t>
        </is>
      </c>
      <c r="D491" s="12" t="n"/>
      <c r="E491" s="12" t="n"/>
    </row>
    <row r="492" ht="15.75" customHeight="1">
      <c r="A492" s="12" t="inlineStr">
        <is>
          <t>dominant_negative_variant</t>
        </is>
      </c>
      <c r="B492" s="12" t="inlineStr">
        <is>
          <t>http://identifiers.org/so/SO:0002052</t>
        </is>
      </c>
      <c r="C492" s="12" t="inlineStr">
        <is>
          <t>['DNA enzyme', 'deoxyribozyme', 'catalytic DNA']</t>
        </is>
      </c>
      <c r="D492" s="12" t="n"/>
      <c r="E492" s="12" t="n"/>
    </row>
    <row r="493" ht="15.75" customHeight="1">
      <c r="A493" s="12" t="inlineStr">
        <is>
          <t>double</t>
        </is>
      </c>
      <c r="B493" s="12" t="inlineStr">
        <is>
          <t>http://identifiers.org/so/SO:0000985</t>
        </is>
      </c>
      <c r="C493" s="12" t="inlineStr">
        <is>
          <t>['dominant negative variant', 'dominant negative']</t>
        </is>
      </c>
      <c r="D493" s="12" t="n"/>
      <c r="E493" s="12" t="n"/>
    </row>
    <row r="494" ht="15.75" customHeight="1">
      <c r="A494" s="12" t="inlineStr">
        <is>
          <t>double_stranded_cDNA</t>
        </is>
      </c>
      <c r="B494" s="12" t="inlineStr">
        <is>
          <t>http://identifiers.org/so/SO:0000758</t>
        </is>
      </c>
      <c r="C494" s="12" t="n"/>
      <c r="D494" s="12" t="n"/>
      <c r="E494" s="12" t="n"/>
    </row>
    <row r="495" ht="15.75" customHeight="1">
      <c r="A495" s="12" t="inlineStr">
        <is>
          <t>double_stranded_DNA_chromosome</t>
        </is>
      </c>
      <c r="B495" s="12" t="inlineStr">
        <is>
          <t>http://identifiers.org/so/SO:0000955</t>
        </is>
      </c>
      <c r="C495" s="12" t="inlineStr">
        <is>
          <t>['double strand cDNA', 'double stranded cDNA', 'double-strand cDNA']</t>
        </is>
      </c>
      <c r="D495" s="12" t="n"/>
      <c r="E495" s="12" t="n"/>
    </row>
    <row r="496" ht="15.75" customHeight="1">
      <c r="A496" s="12" t="inlineStr">
        <is>
          <t>double_stranded_RNA_chromosome</t>
        </is>
      </c>
      <c r="B496" s="12" t="inlineStr">
        <is>
          <t>http://identifiers.org/so/SO:0000965</t>
        </is>
      </c>
      <c r="C496" s="12" t="inlineStr">
        <is>
          <t>['double stranded DNA chromosome']</t>
        </is>
      </c>
      <c r="D496" s="12" t="n"/>
      <c r="E496" s="12" t="n"/>
    </row>
    <row r="497" ht="15.75" customHeight="1">
      <c r="A497" s="12" t="inlineStr">
        <is>
          <t>downstream_gene_variant</t>
        </is>
      </c>
      <c r="B497" s="12" t="inlineStr">
        <is>
          <t>http://identifiers.org/so/SO:0001632</t>
        </is>
      </c>
      <c r="C497" s="12" t="inlineStr">
        <is>
          <t>['double stranded RNA chromosome']</t>
        </is>
      </c>
      <c r="D497" s="12" t="n"/>
      <c r="E497" s="12" t="n"/>
    </row>
    <row r="498" ht="15.75" customHeight="1">
      <c r="A498" s="12" t="inlineStr">
        <is>
          <t>downstream_transcript_variant</t>
        </is>
      </c>
      <c r="B498" s="12" t="inlineStr">
        <is>
          <t>http://identifiers.org/so/SO:0001987</t>
        </is>
      </c>
      <c r="C498" s="12" t="inlineStr">
        <is>
          <t>['downstream gene variant', 'snpEff:DOWNSTREAM', 'VEP:downstream_gene_variant', 'ANNOVAR:downstream', 'Jannovar:downstream_gene_variant']</t>
        </is>
      </c>
      <c r="D498" s="12" t="n"/>
      <c r="E498" s="12" t="n"/>
    </row>
    <row r="499" ht="15.75" customHeight="1">
      <c r="A499" s="12" t="inlineStr">
        <is>
          <t>DPE_motif</t>
        </is>
      </c>
      <c r="B499" s="12" t="inlineStr">
        <is>
          <t>http://identifiers.org/so/SO:0000015</t>
        </is>
      </c>
      <c r="C499" s="12" t="inlineStr">
        <is>
          <t>['downstream transcript variant']</t>
        </is>
      </c>
      <c r="D499" s="12" t="n"/>
      <c r="E499" s="12" t="n"/>
    </row>
    <row r="500" ht="15.75" customHeight="1">
      <c r="A500" s="12" t="inlineStr">
        <is>
          <t>DPE1_motif</t>
        </is>
      </c>
      <c r="B500" s="12" t="inlineStr">
        <is>
          <t>http://identifiers.org/so/SO:0001164</t>
        </is>
      </c>
      <c r="C500" s="12" t="inlineStr">
        <is>
          <t>['DPE motif', 'CRWMGCGWKCGCTTS', 'downstream core promoter element']</t>
        </is>
      </c>
      <c r="D500" s="12" t="n"/>
      <c r="E500" s="12" t="n"/>
    </row>
    <row r="501" ht="15.75" customHeight="1">
      <c r="A501" s="12" t="inlineStr">
        <is>
          <t>DRE</t>
        </is>
      </c>
      <c r="B501" s="12" t="inlineStr">
        <is>
          <t>http://identifiers.org/so/SO:0001845</t>
        </is>
      </c>
      <c r="C501" s="12" t="inlineStr">
        <is>
          <t>['DPE1 motif', 'DMp5', 'directional motif 5', 'directional promoter motif 5']</t>
        </is>
      </c>
      <c r="D501" s="12" t="n"/>
      <c r="E501" s="12" t="n"/>
    </row>
    <row r="502" ht="15.75" customHeight="1">
      <c r="A502" s="12" t="inlineStr">
        <is>
          <t>DRE_motif</t>
        </is>
      </c>
      <c r="B502" s="12" t="inlineStr">
        <is>
          <t>http://identifiers.org/so/SO:0001156</t>
        </is>
      </c>
      <c r="C502" s="12" t="inlineStr">
        <is>
          <t>['DNA damage response element']</t>
        </is>
      </c>
      <c r="D502" s="12" t="n"/>
      <c r="E502" s="12" t="n"/>
    </row>
    <row r="503" ht="15.75" customHeight="1">
      <c r="A503" s="12" t="inlineStr">
        <is>
          <t>ds_DNA_viral_sequence</t>
        </is>
      </c>
      <c r="B503" s="12" t="inlineStr">
        <is>
          <t>http://identifiers.org/so/SO:0001198</t>
        </is>
      </c>
      <c r="C503" s="12" t="inlineStr">
        <is>
          <t>['DRE motif', 'WATCGATW_motif', 'NDM4']</t>
        </is>
      </c>
      <c r="D503" s="12" t="n"/>
      <c r="E503" s="12" t="n"/>
    </row>
    <row r="504" ht="15.75" customHeight="1">
      <c r="A504" s="12" t="inlineStr">
        <is>
          <t>ds_oligo</t>
        </is>
      </c>
      <c r="B504" s="12" t="inlineStr">
        <is>
          <t>http://identifiers.org/so/SO:0000442</t>
        </is>
      </c>
      <c r="C504" s="12" t="inlineStr">
        <is>
          <t>['double stranded DNA virus', 'ds DNA viral sequence']</t>
        </is>
      </c>
      <c r="D504" s="12" t="n"/>
      <c r="E504" s="12" t="n"/>
    </row>
    <row r="505" ht="15.75" customHeight="1">
      <c r="A505" s="12" t="inlineStr">
        <is>
          <t>ds_RNA_viral_sequence</t>
        </is>
      </c>
      <c r="B505" s="12" t="inlineStr">
        <is>
          <t>http://identifiers.org/so/SO:0001169</t>
        </is>
      </c>
      <c r="C505" s="12" t="inlineStr">
        <is>
          <t>['ds-oligonucleotide', 'ds oligo', 'double stranded oligonucleotide']</t>
        </is>
      </c>
      <c r="D505" s="12" t="n"/>
      <c r="E505" s="12" t="n"/>
    </row>
    <row r="506" ht="15.75" customHeight="1">
      <c r="A506" s="12" t="inlineStr">
        <is>
          <t>DSR_motif</t>
        </is>
      </c>
      <c r="B506" s="12" t="inlineStr">
        <is>
          <t>http://identifiers.org/so/SO:0002005</t>
        </is>
      </c>
      <c r="C506" s="12" t="inlineStr">
        <is>
          <t>['double stranded RNA virus sequence', 'ds RNA viral sequence']</t>
        </is>
      </c>
      <c r="D506" s="12" t="n"/>
      <c r="E506" s="12" t="n"/>
    </row>
    <row r="507" ht="15.75" customHeight="1">
      <c r="A507" s="12" t="inlineStr">
        <is>
          <t>DsrA_RNA</t>
        </is>
      </c>
      <c r="B507" s="12" t="inlineStr">
        <is>
          <t>http://identifiers.org/so/SO:0000378</t>
        </is>
      </c>
      <c r="C507" s="12" t="inlineStr">
        <is>
          <t>['DSR motif']</t>
        </is>
      </c>
      <c r="D507" s="12" t="n"/>
      <c r="E507" s="12" t="n"/>
    </row>
    <row r="508" ht="15.75" customHeight="1">
      <c r="A508" s="12" t="inlineStr">
        <is>
          <t>duplicated_pseudogene</t>
        </is>
      </c>
      <c r="B508" s="12" t="inlineStr">
        <is>
          <t>http://identifiers.org/so/SO:0001758</t>
        </is>
      </c>
      <c r="C508" s="12" t="inlineStr">
        <is>
          <t>['DsrA RNA']</t>
        </is>
      </c>
      <c r="D508" s="12" t="n"/>
      <c r="E508" s="12" t="n"/>
    </row>
    <row r="509" ht="15.75" customHeight="1">
      <c r="A509" s="12" t="inlineStr">
        <is>
          <t>duplication</t>
        </is>
      </c>
      <c r="B509" s="12" t="inlineStr">
        <is>
          <t>http://identifiers.org/so/SO:1000035</t>
        </is>
      </c>
      <c r="C509" s="12" t="inlineStr">
        <is>
          <t>['duplicated pseudogene']</t>
        </is>
      </c>
      <c r="D509" s="12" t="n"/>
      <c r="E509" s="12" t="n"/>
    </row>
    <row r="510" ht="15.75" customHeight="1">
      <c r="A510" s="12" t="inlineStr">
        <is>
          <t>duplication_artifact</t>
        </is>
      </c>
      <c r="B510" s="12" t="inlineStr">
        <is>
          <t>http://identifiers.org/so/SO:0002177</t>
        </is>
      </c>
      <c r="C510" s="12" t="inlineStr">
        <is>
          <t>['nucleotide duplication', 'nucleotide_duplication']</t>
        </is>
      </c>
      <c r="D510" s="12" t="n"/>
      <c r="E510" s="12" t="n"/>
    </row>
    <row r="511" ht="15.75" customHeight="1">
      <c r="A511" s="12" t="inlineStr">
        <is>
          <t>duplication_attribute</t>
        </is>
      </c>
      <c r="B511" s="12" t="inlineStr">
        <is>
          <t>http://identifiers.org/so/SO:0001523</t>
        </is>
      </c>
      <c r="C511" s="12" t="inlineStr">
        <is>
          <t>['duplication artifact']</t>
        </is>
      </c>
      <c r="D511" s="12" t="n"/>
      <c r="E511" s="12" t="n"/>
    </row>
    <row r="512" ht="15.75" customHeight="1">
      <c r="A512" s="12" t="inlineStr">
        <is>
          <t>dye_terminator_read</t>
        </is>
      </c>
      <c r="B512" s="12" t="inlineStr">
        <is>
          <t>http://identifiers.org/so/SO:0001423</t>
        </is>
      </c>
      <c r="C512" s="12" t="inlineStr">
        <is>
          <t>['duplication attribute']</t>
        </is>
      </c>
      <c r="D512" s="12" t="n"/>
      <c r="E512" s="12" t="n"/>
    </row>
    <row r="513" ht="15.75" customHeight="1">
      <c r="A513" s="12" t="inlineStr">
        <is>
          <t>E_box_motif</t>
        </is>
      </c>
      <c r="B513" s="12" t="inlineStr">
        <is>
          <t>http://identifiers.org/so/SO:0001158</t>
        </is>
      </c>
      <c r="C513" s="12" t="inlineStr">
        <is>
          <t>['dye terminator read']</t>
        </is>
      </c>
      <c r="D513" s="12" t="n"/>
      <c r="E513" s="12" t="n"/>
    </row>
    <row r="514" ht="15.75" customHeight="1">
      <c r="A514" s="12" t="inlineStr">
        <is>
          <t>early_origin_of_replication</t>
        </is>
      </c>
      <c r="B514" s="12" t="inlineStr">
        <is>
          <t>http://identifiers.org/so/SO:0002140</t>
        </is>
      </c>
      <c r="C514" s="12" t="inlineStr">
        <is>
          <t>['generic E box motif', 'E box motif', 'AWCAGCTGWT', 'NDM5']</t>
        </is>
      </c>
      <c r="D514" s="12" t="n"/>
      <c r="E514" s="12" t="n"/>
    </row>
    <row r="515" ht="15.75" customHeight="1">
      <c r="A515" s="12" t="inlineStr">
        <is>
          <t>edit_operation</t>
        </is>
      </c>
      <c r="B515" s="12" t="inlineStr">
        <is>
          <t>http://identifiers.org/so/SO:0000916</t>
        </is>
      </c>
      <c r="C515" s="12" t="inlineStr">
        <is>
          <t>['early origin of replication', 'early origin', 'early replication origin']</t>
        </is>
      </c>
      <c r="D515" s="12" t="n"/>
      <c r="E515" s="12" t="n"/>
    </row>
    <row r="516" ht="15.75" customHeight="1">
      <c r="A516" s="12" t="inlineStr">
        <is>
          <t>edited</t>
        </is>
      </c>
      <c r="B516" s="12" t="inlineStr">
        <is>
          <t>http://identifiers.org/so/SO:0000116</t>
        </is>
      </c>
      <c r="C516" s="12" t="inlineStr">
        <is>
          <t>['edit operation']</t>
        </is>
      </c>
      <c r="D516" s="12" t="n"/>
      <c r="E516" s="12" t="n"/>
    </row>
    <row r="517" ht="15.75" customHeight="1">
      <c r="A517" s="12" t="inlineStr">
        <is>
          <t>edited_by_A_to_I_substitution</t>
        </is>
      </c>
      <c r="B517" s="12" t="inlineStr">
        <is>
          <t>http://identifiers.org/so/SO:0000600</t>
        </is>
      </c>
      <c r="C517" s="12" t="n"/>
      <c r="D517" s="12" t="n"/>
      <c r="E517" s="12" t="n"/>
    </row>
    <row r="518" ht="15.75" customHeight="1">
      <c r="A518" s="12" t="inlineStr">
        <is>
          <t>edited_by_C_insertion_and_dinucleotide_insertion</t>
        </is>
      </c>
      <c r="B518" s="12" t="inlineStr">
        <is>
          <t>http://identifiers.org/so/SO:0000598</t>
        </is>
      </c>
      <c r="C518" s="12" t="n"/>
      <c r="D518" s="12" t="n"/>
      <c r="E518" s="12" t="n"/>
    </row>
    <row r="519" ht="15.75" customHeight="1">
      <c r="A519" s="12" t="inlineStr">
        <is>
          <t>edited_by_C_to_U_substitution</t>
        </is>
      </c>
      <c r="B519" s="12" t="inlineStr">
        <is>
          <t>http://identifiers.org/so/SO:0000599</t>
        </is>
      </c>
      <c r="C519" s="12" t="inlineStr">
        <is>
          <t>['transcript_edited_by_C-insertion_and_dinucleotide_insertion']</t>
        </is>
      </c>
      <c r="D519" s="12" t="n"/>
      <c r="E519" s="12" t="n"/>
    </row>
    <row r="520" ht="15.75" customHeight="1">
      <c r="A520" s="12" t="inlineStr">
        <is>
          <t>edited_by_G_addition</t>
        </is>
      </c>
      <c r="B520" s="12" t="inlineStr">
        <is>
          <t>http://identifiers.org/so/SO:0000601</t>
        </is>
      </c>
      <c r="C520" s="12" t="n"/>
      <c r="D520" s="12" t="n"/>
      <c r="E520" s="12" t="n"/>
    </row>
    <row r="521" ht="15.75" customHeight="1">
      <c r="A521" s="12" t="inlineStr">
        <is>
          <t>edited_CDS</t>
        </is>
      </c>
      <c r="B521" s="12" t="inlineStr">
        <is>
          <t>http://identifiers.org/so/SO:0000935</t>
        </is>
      </c>
      <c r="C521" s="12" t="n"/>
      <c r="D521" s="12" t="n"/>
      <c r="E521" s="12" t="n"/>
    </row>
    <row r="522" ht="15.75" customHeight="1">
      <c r="A522" s="12" t="inlineStr">
        <is>
          <t>edited_mRNA</t>
        </is>
      </c>
      <c r="B522" s="12" t="inlineStr">
        <is>
          <t>http://identifiers.org/so/SO:0000929</t>
        </is>
      </c>
      <c r="C522" s="12" t="inlineStr">
        <is>
          <t>['edited CDS']</t>
        </is>
      </c>
      <c r="D522" s="12" t="n"/>
      <c r="E522" s="12" t="n"/>
    </row>
    <row r="523" ht="15.75" customHeight="1">
      <c r="A523" s="12" t="inlineStr">
        <is>
          <t>edited_transcript</t>
        </is>
      </c>
      <c r="B523" s="12" t="inlineStr">
        <is>
          <t>http://identifiers.org/so/SO:0000873</t>
        </is>
      </c>
      <c r="C523" s="12" t="inlineStr">
        <is>
          <t>['edited mRNA']</t>
        </is>
      </c>
      <c r="D523" s="12" t="n"/>
      <c r="E523" s="12" t="n"/>
    </row>
    <row r="524" ht="15.75" customHeight="1">
      <c r="A524" s="12" t="inlineStr">
        <is>
          <t>edited_transcript_by_A_to_I_substitution</t>
        </is>
      </c>
      <c r="B524" s="12" t="inlineStr">
        <is>
          <t>http://identifiers.org/so/SO:0000874</t>
        </is>
      </c>
      <c r="C524" s="12" t="inlineStr">
        <is>
          <t>['edited transcript']</t>
        </is>
      </c>
      <c r="D524" s="12" t="n"/>
      <c r="E524" s="12" t="n"/>
    </row>
    <row r="525" ht="15.75" customHeight="1">
      <c r="A525" s="12" t="inlineStr">
        <is>
          <t>edited_transcript_feature</t>
        </is>
      </c>
      <c r="B525" s="12" t="inlineStr">
        <is>
          <t>http://identifiers.org/so/SO:0000579</t>
        </is>
      </c>
      <c r="C525" s="12" t="inlineStr">
        <is>
          <t>['edited transcript by A to I substitution']</t>
        </is>
      </c>
      <c r="D525" s="12" t="n"/>
      <c r="E525" s="12" t="n"/>
    </row>
    <row r="526" ht="15.75" customHeight="1">
      <c r="A526" s="12" t="inlineStr">
        <is>
          <t>editing_block</t>
        </is>
      </c>
      <c r="B526" s="12" t="inlineStr">
        <is>
          <t>http://identifiers.org/so/SO:0000604</t>
        </is>
      </c>
      <c r="C526" s="12" t="inlineStr">
        <is>
          <t>['edited transcript feature']</t>
        </is>
      </c>
      <c r="D526" s="12" t="n"/>
      <c r="E526" s="12" t="n"/>
    </row>
    <row r="527" ht="15.75" customHeight="1">
      <c r="A527" s="12" t="inlineStr">
        <is>
          <t>editing_domain</t>
        </is>
      </c>
      <c r="B527" s="12" t="inlineStr">
        <is>
          <t>http://identifiers.org/so/SO:0000606</t>
        </is>
      </c>
      <c r="C527" s="12" t="inlineStr">
        <is>
          <t>['editing block']</t>
        </is>
      </c>
      <c r="D527" s="12" t="n"/>
      <c r="E527" s="12" t="n"/>
    </row>
    <row r="528" ht="15.75" customHeight="1">
      <c r="A528" s="12" t="inlineStr">
        <is>
          <t>editing_variant</t>
        </is>
      </c>
      <c r="B528" s="12" t="inlineStr">
        <is>
          <t>http://identifiers.org/so/SO:0001544</t>
        </is>
      </c>
      <c r="C528" s="12" t="inlineStr">
        <is>
          <t>['editing domain']</t>
        </is>
      </c>
      <c r="D528" s="12" t="n"/>
      <c r="E528" s="12" t="n"/>
    </row>
    <row r="529" ht="15.75" customHeight="1">
      <c r="A529" s="12" t="inlineStr">
        <is>
          <t>eight_cutter_restriction_site</t>
        </is>
      </c>
      <c r="B529" s="12" t="inlineStr">
        <is>
          <t>http://identifiers.org/so/SO:0000251</t>
        </is>
      </c>
      <c r="C529" s="12" t="inlineStr">
        <is>
          <t>['editing variant']</t>
        </is>
      </c>
      <c r="D529" s="12" t="n"/>
      <c r="E529" s="12" t="n"/>
    </row>
    <row r="530" ht="15.75" customHeight="1">
      <c r="A530" s="12" t="inlineStr">
        <is>
          <t>elongated_in_frame_polypeptide_C_terminal</t>
        </is>
      </c>
      <c r="B530" s="12" t="inlineStr">
        <is>
          <t>http://identifiers.org/so/SO:0001612</t>
        </is>
      </c>
      <c r="C530" s="12" t="inlineStr">
        <is>
          <t>['8-cutter_restriction_site', 'eight-cutter_restriction_site']</t>
        </is>
      </c>
      <c r="D530" s="12" t="n"/>
      <c r="E530" s="12" t="n"/>
    </row>
    <row r="531" ht="15.75" customHeight="1">
      <c r="A531" s="12" t="inlineStr">
        <is>
          <t>elongated_in_frame_polypeptide_N_terminal_elongation</t>
        </is>
      </c>
      <c r="B531" s="12" t="inlineStr">
        <is>
          <t>http://identifiers.org/so/SO:0001614</t>
        </is>
      </c>
      <c r="C531" s="12" t="inlineStr">
        <is>
          <t>['elongated in frame polypeptide C terminal']</t>
        </is>
      </c>
      <c r="D531" s="12" t="n"/>
      <c r="E531" s="12" t="n"/>
    </row>
    <row r="532" ht="15.75" customHeight="1">
      <c r="A532" s="12" t="inlineStr">
        <is>
          <t>elongated_out_of_frame_polypeptide_C_terminal</t>
        </is>
      </c>
      <c r="B532" s="12" t="inlineStr">
        <is>
          <t>http://identifiers.org/so/SO:0001613</t>
        </is>
      </c>
      <c r="C532" s="12" t="inlineStr">
        <is>
          <t>['elongated in frame polypeptide N terminal']</t>
        </is>
      </c>
      <c r="D532" s="12" t="n"/>
      <c r="E532" s="12" t="n"/>
    </row>
    <row r="533" ht="15.75" customHeight="1">
      <c r="A533" s="12" t="inlineStr">
        <is>
          <t>elongated_out_of_frame_polypeptide_N_terminal</t>
        </is>
      </c>
      <c r="B533" s="12" t="inlineStr">
        <is>
          <t>http://identifiers.org/so/SO:0001615</t>
        </is>
      </c>
      <c r="C533" s="12" t="inlineStr">
        <is>
          <t>['elongated polypeptide out of frame C terminal']</t>
        </is>
      </c>
      <c r="D533" s="12" t="n"/>
      <c r="E533" s="12" t="n"/>
    </row>
    <row r="534" ht="15.75" customHeight="1">
      <c r="A534" s="12" t="inlineStr">
        <is>
          <t>elongated_polypeptide</t>
        </is>
      </c>
      <c r="B534" s="12" t="inlineStr">
        <is>
          <t>http://identifiers.org/so/SO:0001609</t>
        </is>
      </c>
      <c r="C534" s="12" t="inlineStr">
        <is>
          <t>['elongated out of frame N terminal']</t>
        </is>
      </c>
      <c r="D534" s="12" t="n"/>
      <c r="E534" s="12" t="n"/>
    </row>
    <row r="535" ht="15.75" customHeight="1">
      <c r="A535" s="12" t="inlineStr">
        <is>
          <t>elongated_polypeptide_C_terminal</t>
        </is>
      </c>
      <c r="B535" s="12" t="inlineStr">
        <is>
          <t>http://identifiers.org/so/SO:0001610</t>
        </is>
      </c>
      <c r="C535" s="12" t="inlineStr">
        <is>
          <t>['elongated polypeptide']</t>
        </is>
      </c>
      <c r="D535" s="12" t="n"/>
      <c r="E535" s="12" t="n"/>
    </row>
    <row r="536" ht="15.75" customHeight="1">
      <c r="A536" s="12" t="inlineStr">
        <is>
          <t>elongated_polypeptide_N_terminal</t>
        </is>
      </c>
      <c r="B536" s="12" t="inlineStr">
        <is>
          <t>http://identifiers.org/so/SO:0001611</t>
        </is>
      </c>
      <c r="C536" s="12" t="inlineStr">
        <is>
          <t>['elongated polypeptide C terminal']</t>
        </is>
      </c>
      <c r="D536" s="12" t="n"/>
      <c r="E536" s="12" t="n"/>
    </row>
    <row r="537" ht="15.75" customHeight="1">
      <c r="A537" s="12" t="inlineStr">
        <is>
          <t>encodes_1_polypeptide</t>
        </is>
      </c>
      <c r="B537" s="12" t="inlineStr">
        <is>
          <t>http://identifiers.org/so/SO:1001188</t>
        </is>
      </c>
      <c r="C537" s="12" t="inlineStr">
        <is>
          <t>['elongated polypeptide N terminal']</t>
        </is>
      </c>
      <c r="D537" s="12" t="n"/>
      <c r="E537" s="12" t="n"/>
    </row>
    <row r="538" ht="15.75" customHeight="1">
      <c r="A538" s="12" t="inlineStr">
        <is>
          <t>encodes_alternate_transcription_start_sites</t>
        </is>
      </c>
      <c r="B538" s="12" t="inlineStr">
        <is>
          <t>http://identifiers.org/so/SO:0001241</t>
        </is>
      </c>
      <c r="C538" s="12" t="inlineStr">
        <is>
          <t>['encodes 1 polypeptide']</t>
        </is>
      </c>
      <c r="D538" s="12" t="n"/>
      <c r="E538" s="12" t="n"/>
    </row>
    <row r="539" ht="15.75" customHeight="1">
      <c r="A539" s="12" t="inlineStr">
        <is>
          <t>encodes_alternately_spliced_transcripts</t>
        </is>
      </c>
      <c r="B539" s="12" t="inlineStr">
        <is>
          <t>http://identifiers.org/so/SO:0000463</t>
        </is>
      </c>
      <c r="C539" s="12" t="inlineStr">
        <is>
          <t>['encodes alternate transcription start sites']</t>
        </is>
      </c>
      <c r="D539" s="12" t="n"/>
      <c r="E539" s="12" t="n"/>
    </row>
    <row r="540" ht="15.75" customHeight="1">
      <c r="A540" s="12" t="inlineStr">
        <is>
          <t>encodes_different_polypeptides_different_stop</t>
        </is>
      </c>
      <c r="B540" s="12" t="inlineStr">
        <is>
          <t>http://identifiers.org/so/SO:1001190</t>
        </is>
      </c>
      <c r="C540" s="12" t="inlineStr">
        <is>
          <t>['encodes alternately spliced transcripts']</t>
        </is>
      </c>
      <c r="D540" s="12" t="n"/>
      <c r="E540" s="12" t="n"/>
    </row>
    <row r="541" ht="15.75" customHeight="1">
      <c r="A541" s="12" t="inlineStr">
        <is>
          <t>encodes_disjoint_polypeptides</t>
        </is>
      </c>
      <c r="B541" s="12" t="inlineStr">
        <is>
          <t>http://identifiers.org/so/SO:1001192</t>
        </is>
      </c>
      <c r="C541" s="12" t="inlineStr">
        <is>
          <t>['encodes different polypeptides different stop']</t>
        </is>
      </c>
      <c r="D541" s="12" t="n"/>
      <c r="E541" s="12" t="n"/>
    </row>
    <row r="542" ht="15.75" customHeight="1">
      <c r="A542" s="12" t="inlineStr">
        <is>
          <t>encodes_greater_than_1_polypeptide</t>
        </is>
      </c>
      <c r="B542" s="12" t="inlineStr">
        <is>
          <t>http://identifiers.org/so/SO:1001189</t>
        </is>
      </c>
      <c r="C542" s="12" t="inlineStr">
        <is>
          <t>['encodes disjoint polypeptides']</t>
        </is>
      </c>
      <c r="D542" s="12" t="n"/>
      <c r="E542" s="12" t="n"/>
    </row>
    <row r="543" ht="15.75" customHeight="1">
      <c r="A543" s="12" t="inlineStr">
        <is>
          <t>encodes_overlapping_peptides</t>
        </is>
      </c>
      <c r="B543" s="12" t="inlineStr">
        <is>
          <t>http://identifiers.org/so/SO:1001195</t>
        </is>
      </c>
      <c r="C543" s="12" t="inlineStr">
        <is>
          <t>['encodes greater than 1 polypeptide']</t>
        </is>
      </c>
      <c r="D543" s="12" t="n"/>
      <c r="E543" s="12" t="n"/>
    </row>
    <row r="544" ht="15.75" customHeight="1">
      <c r="A544" s="12" t="inlineStr">
        <is>
          <t>encodes_overlapping_peptides_different_start</t>
        </is>
      </c>
      <c r="B544" s="12" t="inlineStr">
        <is>
          <t>http://identifiers.org/so/SO:1001191</t>
        </is>
      </c>
      <c r="C544" s="12" t="inlineStr">
        <is>
          <t>['encodes overlapping peptides']</t>
        </is>
      </c>
      <c r="D544" s="12" t="n"/>
      <c r="E544" s="12" t="n"/>
    </row>
    <row r="545" ht="15.75" customHeight="1">
      <c r="A545" s="12" t="inlineStr">
        <is>
          <t>encodes_overlapping_polypeptides_different_start_and_stop</t>
        </is>
      </c>
      <c r="B545" s="12" t="inlineStr">
        <is>
          <t>http://identifiers.org/so/SO:1001193</t>
        </is>
      </c>
      <c r="C545" s="12" t="inlineStr">
        <is>
          <t>['encodes overlapping peptides different start']</t>
        </is>
      </c>
      <c r="D545" s="12" t="n"/>
      <c r="E545" s="12" t="n"/>
    </row>
    <row r="546" ht="15.75" customHeight="1">
      <c r="A546" s="12" t="inlineStr">
        <is>
          <t>end_overlapping_gene</t>
        </is>
      </c>
      <c r="B546" s="12" t="inlineStr">
        <is>
          <t>http://identifiers.org/so/SO:0000072</t>
        </is>
      </c>
      <c r="C546" s="12" t="inlineStr">
        <is>
          <t>['encodes overlapping polypeptides different start and stop']</t>
        </is>
      </c>
      <c r="D546" s="12" t="n"/>
      <c r="E546" s="12" t="n"/>
    </row>
    <row r="547" ht="15.75" customHeight="1">
      <c r="A547" s="12" t="inlineStr">
        <is>
          <t>endogenous_retroviral_gene</t>
        </is>
      </c>
      <c r="B547" s="12" t="inlineStr">
        <is>
          <t>http://identifiers.org/so/SO:0000100</t>
        </is>
      </c>
      <c r="C547" s="12" t="n"/>
      <c r="D547" s="12" t="n"/>
      <c r="E547" s="12" t="n"/>
    </row>
    <row r="548" ht="15.75" customHeight="1">
      <c r="A548" s="12" t="inlineStr">
        <is>
          <t>endogenous_retroviral_sequence</t>
        </is>
      </c>
      <c r="B548" s="12" t="inlineStr">
        <is>
          <t>http://identifiers.org/so/SO:0000903</t>
        </is>
      </c>
      <c r="C548" s="12" t="inlineStr">
        <is>
          <t>['endogenous retroviral gene']</t>
        </is>
      </c>
      <c r="D548" s="12" t="n"/>
      <c r="E548" s="12" t="n"/>
    </row>
    <row r="549" ht="15.75" customHeight="1">
      <c r="A549" s="12" t="inlineStr">
        <is>
          <t>Endogenous_Retrovirus_LTR_retrotransposon</t>
        </is>
      </c>
      <c r="B549" s="12" t="inlineStr">
        <is>
          <t>http://identifiers.org/so/SO:0002268</t>
        </is>
      </c>
      <c r="C549" s="12" t="inlineStr">
        <is>
          <t>['endogenous retroviral sequence']</t>
        </is>
      </c>
      <c r="D549" s="12" t="n"/>
      <c r="E549" s="12" t="n"/>
    </row>
    <row r="550" ht="15.75" customHeight="1">
      <c r="A550" s="12" t="inlineStr">
        <is>
          <t>endonuclease_spliced_intron</t>
        </is>
      </c>
      <c r="B550" s="12" t="inlineStr">
        <is>
          <t>http://identifiers.org/so/SO:0001216</t>
        </is>
      </c>
      <c r="C550" s="12" t="inlineStr">
        <is>
          <t>['HERV', 'Endogenous Retrovirus LTR retrotransposon', 'RLE retrotransposon']</t>
        </is>
      </c>
      <c r="D550" s="12" t="n"/>
      <c r="E550" s="12" t="n"/>
    </row>
    <row r="551" ht="15.75" customHeight="1">
      <c r="A551" s="12" t="inlineStr">
        <is>
          <t>endosomal_localization_signal</t>
        </is>
      </c>
      <c r="B551" s="12" t="inlineStr">
        <is>
          <t>http://identifiers.org/so/SO:0001529</t>
        </is>
      </c>
      <c r="C551" s="12" t="inlineStr">
        <is>
          <t>['endonuclease spliced intron']</t>
        </is>
      </c>
      <c r="D551" s="12" t="n"/>
      <c r="E551" s="12" t="n"/>
    </row>
    <row r="552" ht="15.75" customHeight="1">
      <c r="A552" s="12" t="inlineStr">
        <is>
          <t>engineered</t>
        </is>
      </c>
      <c r="B552" s="12" t="inlineStr">
        <is>
          <t>http://identifiers.org/so/SO:0000783</t>
        </is>
      </c>
      <c r="C552" s="12" t="inlineStr">
        <is>
          <t>['endosomal localization signal']</t>
        </is>
      </c>
      <c r="D552" s="12" t="n"/>
      <c r="E552" s="12" t="n"/>
    </row>
    <row r="553" ht="15.75" customHeight="1">
      <c r="A553" s="12" t="inlineStr">
        <is>
          <t>engineered_DNA</t>
        </is>
      </c>
      <c r="B553" s="12" t="inlineStr">
        <is>
          <t>http://identifiers.org/so/SO:0000793</t>
        </is>
      </c>
      <c r="C553" s="12" t="n"/>
      <c r="D553" s="12" t="n"/>
      <c r="E553" s="12" t="n"/>
    </row>
    <row r="554" ht="15.75" customHeight="1">
      <c r="A554" s="12" t="inlineStr">
        <is>
          <t>engineered_episome</t>
        </is>
      </c>
      <c r="B554" s="12" t="inlineStr">
        <is>
          <t>http://identifiers.org/so/SO:0000779</t>
        </is>
      </c>
      <c r="C554" s="12" t="n"/>
      <c r="D554" s="12" t="n"/>
      <c r="E554" s="12" t="n"/>
    </row>
    <row r="555" ht="15.75" customHeight="1">
      <c r="A555" s="12" t="inlineStr">
        <is>
          <t>engineered_foreign_gene</t>
        </is>
      </c>
      <c r="B555" s="12" t="inlineStr">
        <is>
          <t>http://identifiers.org/so/SO:0000281</t>
        </is>
      </c>
      <c r="C555" s="12" t="inlineStr">
        <is>
          <t>['engineered episome']</t>
        </is>
      </c>
      <c r="D555" s="12" t="n"/>
      <c r="E555" s="12" t="n"/>
    </row>
    <row r="556" ht="15.75" customHeight="1">
      <c r="A556" s="12" t="inlineStr">
        <is>
          <t>engineered_foreign_region</t>
        </is>
      </c>
      <c r="B556" s="12" t="inlineStr">
        <is>
          <t>http://identifiers.org/so/SO:0000805</t>
        </is>
      </c>
      <c r="C556" s="12" t="inlineStr">
        <is>
          <t>['engineered foreign gene']</t>
        </is>
      </c>
      <c r="D556" s="12" t="n"/>
      <c r="E556" s="12" t="n"/>
    </row>
    <row r="557" ht="15.75" customHeight="1">
      <c r="A557" s="12" t="inlineStr">
        <is>
          <t>engineered_foreign_repetitive_element</t>
        </is>
      </c>
      <c r="B557" s="12" t="inlineStr">
        <is>
          <t>http://identifiers.org/so/SO:0000293</t>
        </is>
      </c>
      <c r="C557" s="12" t="inlineStr">
        <is>
          <t>['engineered foreign region']</t>
        </is>
      </c>
      <c r="D557" s="12" t="n"/>
      <c r="E557" s="12" t="n"/>
    </row>
    <row r="558" ht="15.75" customHeight="1">
      <c r="A558" s="12" t="inlineStr">
        <is>
          <t>engineered_foreign_transposable_element</t>
        </is>
      </c>
      <c r="B558" s="12" t="inlineStr">
        <is>
          <t>http://identifiers.org/so/SO:0000799</t>
        </is>
      </c>
      <c r="C558" s="12" t="inlineStr">
        <is>
          <t>['engineered foreign repetitive element']</t>
        </is>
      </c>
      <c r="D558" s="12" t="n"/>
      <c r="E558" s="12" t="n"/>
    </row>
    <row r="559" ht="15.75" customHeight="1">
      <c r="A559" s="12" t="inlineStr">
        <is>
          <t>engineered_foreign_transposable_element_gene</t>
        </is>
      </c>
      <c r="B559" s="12" t="inlineStr">
        <is>
          <t>http://identifiers.org/so/SO:0000283</t>
        </is>
      </c>
      <c r="C559" s="12" t="inlineStr">
        <is>
          <t>['engineered foreign transposable element']</t>
        </is>
      </c>
      <c r="D559" s="12" t="n"/>
      <c r="E559" s="12" t="n"/>
    </row>
    <row r="560" ht="15.75" customHeight="1">
      <c r="A560" s="12" t="inlineStr">
        <is>
          <t>engineered_fusion_gene</t>
        </is>
      </c>
      <c r="B560" s="12" t="inlineStr">
        <is>
          <t>http://identifiers.org/so/SO:0000288</t>
        </is>
      </c>
      <c r="C560" s="12" t="inlineStr">
        <is>
          <t>['engineered foreign transposable element gene']</t>
        </is>
      </c>
      <c r="D560" s="12" t="n"/>
      <c r="E560" s="12" t="n"/>
    </row>
    <row r="561" ht="15.75" customHeight="1">
      <c r="A561" s="12" t="inlineStr">
        <is>
          <t>engineered_gene</t>
        </is>
      </c>
      <c r="B561" s="12" t="inlineStr">
        <is>
          <t>http://identifiers.org/so/SO:0000280</t>
        </is>
      </c>
      <c r="C561" s="12" t="inlineStr">
        <is>
          <t>['engineered fusion gene']</t>
        </is>
      </c>
      <c r="D561" s="12" t="n"/>
      <c r="E561" s="12" t="n"/>
    </row>
    <row r="562" ht="15.75" customHeight="1">
      <c r="A562" s="12" t="inlineStr">
        <is>
          <t>engineered_insert</t>
        </is>
      </c>
      <c r="B562" s="12" t="inlineStr">
        <is>
          <t>http://identifiers.org/so/SO:0000915</t>
        </is>
      </c>
      <c r="C562" s="12" t="inlineStr">
        <is>
          <t>['engineered gene']</t>
        </is>
      </c>
      <c r="D562" s="12" t="n"/>
      <c r="E562" s="12" t="n"/>
    </row>
    <row r="563" ht="15.75" customHeight="1">
      <c r="A563" s="12" t="inlineStr">
        <is>
          <t>engineered_plasmid</t>
        </is>
      </c>
      <c r="B563" s="12" t="inlineStr">
        <is>
          <t>http://identifiers.org/so/SO:0000637</t>
        </is>
      </c>
      <c r="C563" s="12" t="inlineStr">
        <is>
          <t>['engineered insert']</t>
        </is>
      </c>
      <c r="D563" s="12" t="n"/>
      <c r="E563" s="12" t="n"/>
    </row>
    <row r="564" ht="15.75" customHeight="1">
      <c r="A564" s="12" t="inlineStr">
        <is>
          <t>engineered_region</t>
        </is>
      </c>
      <c r="B564" s="12" t="inlineStr">
        <is>
          <t>http://identifiers.org/so/SO:0000804</t>
        </is>
      </c>
      <c r="C564" s="12" t="inlineStr">
        <is>
          <t>['engineered plasmid', 'engineered plasmid gene']</t>
        </is>
      </c>
      <c r="D564" s="12" t="n"/>
      <c r="E564" s="12" t="n"/>
    </row>
    <row r="565" ht="15.75" customHeight="1">
      <c r="A565" s="12" t="inlineStr">
        <is>
          <t>engineered_rescue_region</t>
        </is>
      </c>
      <c r="B565" s="12" t="inlineStr">
        <is>
          <t>http://identifiers.org/so/SO:0000794</t>
        </is>
      </c>
      <c r="C565" s="12" t="inlineStr">
        <is>
          <t>['engineered region', 'construct', 'engineered sequence']</t>
        </is>
      </c>
      <c r="D565" s="12" t="n"/>
      <c r="E565" s="12" t="n"/>
    </row>
    <row r="566" ht="15.75" customHeight="1">
      <c r="A566" s="12" t="inlineStr">
        <is>
          <t>engineered_tag</t>
        </is>
      </c>
      <c r="B566" s="12" t="inlineStr">
        <is>
          <t>http://identifiers.org/so/SO:0000807</t>
        </is>
      </c>
      <c r="C566" s="12" t="inlineStr">
        <is>
          <t>['engineered rescue fragment', 'engineered rescue segment', 'engineered rescue region']</t>
        </is>
      </c>
      <c r="D566" s="12" t="n"/>
      <c r="E566" s="12" t="n"/>
    </row>
    <row r="567" ht="15.75" customHeight="1">
      <c r="A567" s="12" t="inlineStr">
        <is>
          <t>engineered_transposable_element</t>
        </is>
      </c>
      <c r="B567" s="12" t="inlineStr">
        <is>
          <t>http://identifiers.org/so/SO:0000798</t>
        </is>
      </c>
      <c r="C567" s="12" t="inlineStr">
        <is>
          <t>['engineered tag']</t>
        </is>
      </c>
      <c r="D567" s="12" t="n"/>
      <c r="E567" s="12" t="n"/>
    </row>
    <row r="568" ht="15.75" customHeight="1">
      <c r="A568" s="12" t="inlineStr">
        <is>
          <t>enhanceosome</t>
        </is>
      </c>
      <c r="B568" s="12" t="inlineStr">
        <is>
          <t>http://identifiers.org/so/SO:0001057</t>
        </is>
      </c>
      <c r="C568" s="12" t="inlineStr">
        <is>
          <t>['engineered transposable element']</t>
        </is>
      </c>
      <c r="D568" s="12" t="n"/>
      <c r="E568" s="12" t="n"/>
    </row>
    <row r="569" ht="15.75" customHeight="1">
      <c r="A569" s="12" t="inlineStr">
        <is>
          <t>enhancer</t>
        </is>
      </c>
      <c r="B569" s="12" t="inlineStr">
        <is>
          <t>http://identifiers.org/so/SO:0000165</t>
        </is>
      </c>
      <c r="C569" s="12" t="n"/>
      <c r="D569" s="12" t="n"/>
      <c r="E569" s="12" t="n"/>
    </row>
    <row r="570" ht="15.75" customHeight="1">
      <c r="A570" s="12" t="inlineStr">
        <is>
          <t>enhancer_attribute</t>
        </is>
      </c>
      <c r="B570" s="12" t="inlineStr">
        <is>
          <t>http://identifiers.org/so/SO:0000402</t>
        </is>
      </c>
      <c r="C570" s="12" t="inlineStr">
        <is>
          <t>['INSDC_feature:regulatory', 'INSDC_qualifier:enhancer']</t>
        </is>
      </c>
      <c r="D570" s="12" t="n"/>
      <c r="E570" s="12" t="n"/>
    </row>
    <row r="571" ht="15.75" customHeight="1">
      <c r="A571" s="12" t="inlineStr">
        <is>
          <t>enhancer_binding_site</t>
        </is>
      </c>
      <c r="B571" s="12" t="inlineStr">
        <is>
          <t>http://identifiers.org/so/SO:0001461</t>
        </is>
      </c>
      <c r="C571" s="12" t="n"/>
      <c r="D571" s="12" t="n"/>
      <c r="E571" s="12" t="n"/>
    </row>
    <row r="572" ht="15.75" customHeight="1">
      <c r="A572" s="12" t="inlineStr">
        <is>
          <t>enhancer_blocking_element</t>
        </is>
      </c>
      <c r="B572" s="12" t="inlineStr">
        <is>
          <t>http://identifiers.org/so/SO:0002190</t>
        </is>
      </c>
      <c r="C572" s="12" t="inlineStr">
        <is>
          <t>['enhancer binding site']</t>
        </is>
      </c>
      <c r="D572" s="12" t="n"/>
      <c r="E572" s="12" t="n"/>
    </row>
    <row r="573" ht="15.75" customHeight="1">
      <c r="A573" s="12" t="inlineStr">
        <is>
          <t>enhancer_bound_by_factor</t>
        </is>
      </c>
      <c r="B573" s="12" t="inlineStr">
        <is>
          <t>http://identifiers.org/so/SO:0000166</t>
        </is>
      </c>
      <c r="C573" s="12" t="inlineStr">
        <is>
          <t>['enhancer blocking element', 'INSDC_feature:regulatory', 'INSDC_qualifier:enhancer_blocking_element', 'insulator']</t>
        </is>
      </c>
      <c r="D573" s="12" t="n"/>
      <c r="E573" s="12" t="n"/>
    </row>
    <row r="574" ht="15.75" customHeight="1">
      <c r="A574" s="12" t="inlineStr">
        <is>
          <t>enhancer_trap_construct</t>
        </is>
      </c>
      <c r="B574" s="12" t="inlineStr">
        <is>
          <t>http://identifiers.org/so/SO:0001479</t>
        </is>
      </c>
      <c r="C574" s="12" t="inlineStr">
        <is>
          <t>['enhancer bound by factor']</t>
        </is>
      </c>
      <c r="D574" s="12" t="n"/>
      <c r="E574" s="12" t="n"/>
    </row>
    <row r="575" ht="15.75" customHeight="1">
      <c r="A575" s="12" t="inlineStr">
        <is>
          <t>enhancerRNA</t>
        </is>
      </c>
      <c r="B575" s="12" t="inlineStr">
        <is>
          <t>http://identifiers.org/so/SO:0001870</t>
        </is>
      </c>
      <c r="C575" s="12" t="inlineStr">
        <is>
          <t>['enhancer trap construct']</t>
        </is>
      </c>
      <c r="D575" s="12" t="n"/>
      <c r="E575" s="12" t="n"/>
    </row>
    <row r="576" ht="15.75" customHeight="1">
      <c r="A576" s="12" t="inlineStr">
        <is>
          <t>enzymatic</t>
        </is>
      </c>
      <c r="B576" s="12" t="inlineStr">
        <is>
          <t>http://identifiers.org/so/SO:0001185</t>
        </is>
      </c>
      <c r="C576" s="12" t="inlineStr">
        <is>
          <t>['eRNA']</t>
        </is>
      </c>
      <c r="D576" s="12" t="n"/>
      <c r="E576" s="12" t="n"/>
    </row>
    <row r="577" ht="15.75" customHeight="1">
      <c r="A577" s="12" t="inlineStr">
        <is>
          <t>enzymatic_RNA</t>
        </is>
      </c>
      <c r="B577" s="12" t="inlineStr">
        <is>
          <t>http://identifiers.org/so/SO:0000372</t>
        </is>
      </c>
      <c r="C577" s="12" t="n"/>
      <c r="D577" s="12" t="n"/>
      <c r="E577" s="12" t="n"/>
    </row>
    <row r="578" ht="15.75" customHeight="1">
      <c r="A578" s="12" t="inlineStr">
        <is>
          <t>enzymatic_RNA_gene</t>
        </is>
      </c>
      <c r="B578" s="12" t="inlineStr">
        <is>
          <t>http://identifiers.org/so/SO:0002180</t>
        </is>
      </c>
      <c r="C578" s="12" t="inlineStr">
        <is>
          <t>['enzymatic RNA']</t>
        </is>
      </c>
      <c r="D578" s="12" t="n"/>
      <c r="E578" s="12" t="n"/>
    </row>
    <row r="579" ht="15.75" customHeight="1">
      <c r="A579" s="12" t="inlineStr">
        <is>
          <t>epigenetically_modified</t>
        </is>
      </c>
      <c r="B579" s="12" t="inlineStr">
        <is>
          <t>http://identifiers.org/so/SO:0000133</t>
        </is>
      </c>
      <c r="C579" s="12" t="inlineStr">
        <is>
          <t>['enzymatic RNA gene']</t>
        </is>
      </c>
      <c r="D579" s="12" t="n"/>
      <c r="E579" s="12" t="n"/>
    </row>
    <row r="580" ht="15.75" customHeight="1">
      <c r="A580" s="12" t="inlineStr">
        <is>
          <t>epigenetically_modified_gene</t>
        </is>
      </c>
      <c r="B580" s="12" t="inlineStr">
        <is>
          <t>http://identifiers.org/so/SO:0000898</t>
        </is>
      </c>
      <c r="C580" s="12" t="inlineStr">
        <is>
          <t>['epigenetically modified']</t>
        </is>
      </c>
      <c r="D580" s="12" t="n"/>
      <c r="E580" s="12" t="n"/>
    </row>
    <row r="581" ht="15.75" customHeight="1">
      <c r="A581" s="12" t="inlineStr">
        <is>
          <t>epigenetically_modified_region</t>
        </is>
      </c>
      <c r="B581" s="12" t="inlineStr">
        <is>
          <t>http://identifiers.org/so/SO:0001720</t>
        </is>
      </c>
      <c r="C581" s="12" t="inlineStr">
        <is>
          <t>['epigenetically modified gene']</t>
        </is>
      </c>
      <c r="D581" s="12" t="n"/>
      <c r="E581" s="12" t="n"/>
    </row>
    <row r="582" ht="15.75" customHeight="1">
      <c r="A582" s="12" t="inlineStr">
        <is>
          <t>episome</t>
        </is>
      </c>
      <c r="B582" s="12" t="inlineStr">
        <is>
          <t>http://identifiers.org/so/SO:0000768</t>
        </is>
      </c>
      <c r="C582" s="12" t="inlineStr">
        <is>
          <t>['epigenetically modified region']</t>
        </is>
      </c>
      <c r="D582" s="12" t="n"/>
      <c r="E582" s="12" t="n"/>
    </row>
    <row r="583" ht="15.75" customHeight="1">
      <c r="A583" s="12" t="inlineStr">
        <is>
          <t>epitope</t>
        </is>
      </c>
      <c r="B583" s="12" t="inlineStr">
        <is>
          <t>http://identifiers.org/so/SO:0001018</t>
        </is>
      </c>
      <c r="C583" s="12" t="n"/>
      <c r="D583" s="12" t="n"/>
      <c r="E583" s="12" t="n"/>
    </row>
    <row r="584" ht="15.75" customHeight="1">
      <c r="A584" s="12" t="inlineStr">
        <is>
          <t>epoxyqueuosine</t>
        </is>
      </c>
      <c r="B584" s="12" t="inlineStr">
        <is>
          <t>http://identifiers.org/so/SO:0001318</t>
        </is>
      </c>
      <c r="C584" s="12" t="n"/>
      <c r="D584" s="12" t="n"/>
      <c r="E584" s="12" t="n"/>
    </row>
    <row r="585" ht="15.75" customHeight="1">
      <c r="A585" s="12" t="inlineStr">
        <is>
          <t>ER_retention_signal</t>
        </is>
      </c>
      <c r="B585" s="12" t="inlineStr">
        <is>
          <t>http://identifiers.org/so/SO:0001806</t>
        </is>
      </c>
      <c r="C585" s="12" t="inlineStr">
        <is>
          <t>['eQ']</t>
        </is>
      </c>
      <c r="D585" s="12" t="n"/>
      <c r="E585" s="12" t="n"/>
    </row>
    <row r="586" ht="15.75" customHeight="1">
      <c r="A586" s="12" t="inlineStr">
        <is>
          <t>EST</t>
        </is>
      </c>
      <c r="B586" s="12" t="inlineStr">
        <is>
          <t>http://identifiers.org/so/SO:0000345</t>
        </is>
      </c>
      <c r="C586" s="12" t="inlineStr">
        <is>
          <t>['endoplasmic reticulum retention signal', 'ER retention signal']</t>
        </is>
      </c>
      <c r="D586" s="12" t="n"/>
      <c r="E586" s="12" t="n"/>
    </row>
    <row r="587" ht="15.75" customHeight="1">
      <c r="A587" s="12" t="inlineStr">
        <is>
          <t>EST_match</t>
        </is>
      </c>
      <c r="B587" s="12" t="inlineStr">
        <is>
          <t>http://identifiers.org/so/SO:0000668</t>
        </is>
      </c>
      <c r="C587" s="12" t="inlineStr">
        <is>
          <t>['expressed sequence tag']</t>
        </is>
      </c>
      <c r="D587" s="12" t="n"/>
      <c r="E587" s="12" t="n"/>
    </row>
    <row r="588" ht="15.75" customHeight="1">
      <c r="A588" s="12" t="inlineStr">
        <is>
          <t>eukaryotic_promoter</t>
        </is>
      </c>
      <c r="B588" s="12" t="inlineStr">
        <is>
          <t>http://identifiers.org/so/SO:0002221</t>
        </is>
      </c>
      <c r="C588" s="12" t="inlineStr">
        <is>
          <t>['EST match']</t>
        </is>
      </c>
      <c r="D588" s="12" t="n"/>
      <c r="E588" s="12" t="n"/>
    </row>
    <row r="589" ht="15.75" customHeight="1">
      <c r="A589" s="12" t="inlineStr">
        <is>
          <t>eukaryotic_terminator</t>
        </is>
      </c>
      <c r="B589" s="12" t="inlineStr">
        <is>
          <t>http://identifiers.org/so/SO:0000951</t>
        </is>
      </c>
      <c r="C589" s="12" t="inlineStr">
        <is>
          <t>['Eukaryotic promoter']</t>
        </is>
      </c>
      <c r="D589" s="12" t="n"/>
      <c r="E589" s="12" t="n"/>
    </row>
    <row r="590" ht="15.75" customHeight="1">
      <c r="A590" s="12" t="inlineStr">
        <is>
          <t>exemplar</t>
        </is>
      </c>
      <c r="B590" s="12" t="inlineStr">
        <is>
          <t>http://identifiers.org/so/SO:0000864</t>
        </is>
      </c>
      <c r="C590" s="12" t="inlineStr">
        <is>
          <t>['eukaryotic terminator']</t>
        </is>
      </c>
      <c r="D590" s="12" t="n"/>
      <c r="E590" s="12" t="n"/>
    </row>
    <row r="591" ht="15.75" customHeight="1">
      <c r="A591" s="12" t="inlineStr">
        <is>
          <t>exemplar_mRNA</t>
        </is>
      </c>
      <c r="B591" s="12" t="inlineStr">
        <is>
          <t>http://identifiers.org/so/SO:0000734</t>
        </is>
      </c>
      <c r="C591" s="12" t="n"/>
      <c r="D591" s="12" t="n"/>
      <c r="E591" s="12" t="n"/>
    </row>
    <row r="592" ht="15.75" customHeight="1">
      <c r="A592" s="12" t="inlineStr">
        <is>
          <t>exon</t>
        </is>
      </c>
      <c r="B592" s="12" t="inlineStr">
        <is>
          <t>http://identifiers.org/so/SO:0000147</t>
        </is>
      </c>
      <c r="C592" s="12" t="inlineStr">
        <is>
          <t>['exemplar mRNA']</t>
        </is>
      </c>
      <c r="D592" s="12" t="n"/>
      <c r="E592" s="12" t="n"/>
    </row>
    <row r="593" ht="15.75" customHeight="1">
      <c r="A593" s="12" t="inlineStr">
        <is>
          <t>exon_junction</t>
        </is>
      </c>
      <c r="B593" s="12" t="inlineStr">
        <is>
          <t>http://identifiers.org/so/SO:0000333</t>
        </is>
      </c>
      <c r="C593" s="12" t="inlineStr">
        <is>
          <t>['INSDC_feature:exon']</t>
        </is>
      </c>
      <c r="D593" s="12" t="n"/>
      <c r="E593" s="12" t="n"/>
    </row>
    <row r="594" ht="15.75" customHeight="1">
      <c r="A594" s="12" t="inlineStr">
        <is>
          <t>exon_loss_variant</t>
        </is>
      </c>
      <c r="B594" s="12" t="inlineStr">
        <is>
          <t>http://identifiers.org/so/SO:0001572</t>
        </is>
      </c>
      <c r="C594" s="12" t="inlineStr">
        <is>
          <t>['exon junction']</t>
        </is>
      </c>
      <c r="D594" s="12" t="n"/>
      <c r="E594" s="12" t="n"/>
    </row>
    <row r="595" ht="15.75" customHeight="1">
      <c r="A595" s="12" t="inlineStr">
        <is>
          <t>exon_of_single_exon_gene</t>
        </is>
      </c>
      <c r="B595" s="12" t="inlineStr">
        <is>
          <t>http://identifiers.org/so/SO:0005845</t>
        </is>
      </c>
      <c r="C595" s="12" t="inlineStr">
        <is>
          <t>['snpEff:EXON_DELETED', 'exon loss', 'Jannovar:exon_loss_variant']</t>
        </is>
      </c>
      <c r="D595" s="12" t="n"/>
      <c r="E595" s="12" t="n"/>
    </row>
    <row r="596" ht="15.75" customHeight="1">
      <c r="A596" s="12" t="inlineStr">
        <is>
          <t>exon_region</t>
        </is>
      </c>
      <c r="B596" s="12" t="inlineStr">
        <is>
          <t>http://identifiers.org/so/SO:0000852</t>
        </is>
      </c>
      <c r="C596" s="12" t="inlineStr">
        <is>
          <t>['exon of single exon gene', 'single_exon', 'singleton exon']</t>
        </is>
      </c>
      <c r="D596" s="12" t="n"/>
      <c r="E596" s="12" t="n"/>
    </row>
    <row r="597" ht="15.75" customHeight="1">
      <c r="A597" s="12" t="inlineStr">
        <is>
          <t>exon_variant</t>
        </is>
      </c>
      <c r="B597" s="12" t="inlineStr">
        <is>
          <t>http://identifiers.org/so/SO:0001791</t>
        </is>
      </c>
      <c r="C597" s="12" t="inlineStr">
        <is>
          <t>['exon region']</t>
        </is>
      </c>
      <c r="D597" s="12" t="n"/>
      <c r="E597" s="12" t="n"/>
    </row>
    <row r="598" ht="15.75" customHeight="1">
      <c r="A598" s="12" t="inlineStr">
        <is>
          <t>exonic_splice_enhancer</t>
        </is>
      </c>
      <c r="B598" s="12" t="inlineStr">
        <is>
          <t>http://identifiers.org/so/SO:0000683</t>
        </is>
      </c>
      <c r="C598" s="12" t="inlineStr">
        <is>
          <t>['Jannovar:exon_variant', 'VAAST:exon_variant', 'snpEff:EXON', 'ANNOVAR:exonic', 'exon variant']</t>
        </is>
      </c>
      <c r="D598" s="12" t="n"/>
      <c r="E598" s="12" t="n"/>
    </row>
    <row r="599" ht="15.75" customHeight="1">
      <c r="A599" s="12" t="inlineStr">
        <is>
          <t>exonic_splice_region_variant</t>
        </is>
      </c>
      <c r="B599" s="12" t="inlineStr">
        <is>
          <t>http://identifiers.org/so/SO:0002084</t>
        </is>
      </c>
      <c r="C599" s="12" t="inlineStr">
        <is>
          <t>['exonic splice enhancer']</t>
        </is>
      </c>
      <c r="D599" s="12" t="n"/>
      <c r="E599" s="12" t="n"/>
    </row>
    <row r="600" ht="15.75" customHeight="1">
      <c r="A600" s="12" t="inlineStr">
        <is>
          <t>exonic_splicing_silencer</t>
        </is>
      </c>
      <c r="B600" s="12" t="inlineStr">
        <is>
          <t>http://identifiers.org/so/SO:0002058</t>
        </is>
      </c>
      <c r="C600" s="12" t="inlineStr">
        <is>
          <t>['exonic splice region variant', 'ANNOVAR:exonic;splicing', 'Seattleseq:coding-near-splice']</t>
        </is>
      </c>
      <c r="D600" s="12" t="n"/>
      <c r="E600" s="12" t="n"/>
    </row>
    <row r="601" ht="15.75" customHeight="1">
      <c r="A601" s="12" t="inlineStr">
        <is>
          <t>experimental_feature</t>
        </is>
      </c>
      <c r="B601" s="12" t="inlineStr">
        <is>
          <t>http://identifiers.org/so/SO:0001410</t>
        </is>
      </c>
      <c r="C601" s="12" t="inlineStr">
        <is>
          <t>['ESS', 'exonic splicing silencer']</t>
        </is>
      </c>
      <c r="D601" s="12" t="n"/>
      <c r="E601" s="12" t="n"/>
    </row>
    <row r="602" ht="15.75" customHeight="1">
      <c r="A602" s="12" t="inlineStr">
        <is>
          <t>experimental_feature_attribute</t>
        </is>
      </c>
      <c r="B602" s="12" t="inlineStr">
        <is>
          <t>http://identifiers.org/so/SO:0001684</t>
        </is>
      </c>
      <c r="C602" s="12" t="inlineStr">
        <is>
          <t>['experimental_output_artefact', 'analysis feature', 'experimental output artefact']</t>
        </is>
      </c>
      <c r="D602" s="12" t="n"/>
      <c r="E602" s="12" t="n"/>
    </row>
    <row r="603" ht="15.75" customHeight="1">
      <c r="A603" s="12" t="inlineStr">
        <is>
          <t>experimental_result_region</t>
        </is>
      </c>
      <c r="B603" s="12" t="inlineStr">
        <is>
          <t>http://identifiers.org/so/SO:0000703</t>
        </is>
      </c>
      <c r="C603" s="12" t="inlineStr">
        <is>
          <t>['experimental feature attribute']</t>
        </is>
      </c>
      <c r="D603" s="12" t="n"/>
      <c r="E603" s="12" t="n"/>
    </row>
    <row r="604" ht="15.75" customHeight="1">
      <c r="A604" s="12" t="inlineStr">
        <is>
          <t>experimentally_defined_binding_region</t>
        </is>
      </c>
      <c r="B604" s="12" t="inlineStr">
        <is>
          <t>http://identifiers.org/so/SO:0001696</t>
        </is>
      </c>
      <c r="C604" s="12" t="inlineStr">
        <is>
          <t>['experimental result region']</t>
        </is>
      </c>
      <c r="D604" s="12" t="n"/>
      <c r="E604" s="12" t="n"/>
    </row>
    <row r="605" ht="15.75" customHeight="1">
      <c r="A605" s="12" t="inlineStr">
        <is>
          <t>experimentally_determined</t>
        </is>
      </c>
      <c r="B605" s="12" t="inlineStr">
        <is>
          <t>http://identifiers.org/so/SO:0000312</t>
        </is>
      </c>
      <c r="C605" s="12" t="inlineStr">
        <is>
          <t>['experimentally defined binding region']</t>
        </is>
      </c>
      <c r="D605" s="12" t="n"/>
      <c r="E605" s="12" t="n"/>
    </row>
    <row r="606" ht="15.75" customHeight="1">
      <c r="A606" s="12" t="inlineStr">
        <is>
          <t>expressed_sequence_assembly</t>
        </is>
      </c>
      <c r="B606" s="12" t="inlineStr">
        <is>
          <t>http://identifiers.org/so/SO:0001428</t>
        </is>
      </c>
      <c r="C606" s="12" t="inlineStr">
        <is>
          <t>['experimentally determined']</t>
        </is>
      </c>
      <c r="D606" s="12" t="n"/>
      <c r="E606" s="12" t="n"/>
    </row>
    <row r="607" ht="15.75" customHeight="1">
      <c r="A607" s="12" t="inlineStr">
        <is>
          <t>expressed_sequence_match</t>
        </is>
      </c>
      <c r="B607" s="12" t="inlineStr">
        <is>
          <t>http://identifiers.org/so/SO:0000102</t>
        </is>
      </c>
      <c r="C607" s="12" t="inlineStr">
        <is>
          <t>['expressed sequence assembly']</t>
        </is>
      </c>
      <c r="D607" s="12" t="n"/>
      <c r="E607" s="12" t="n"/>
    </row>
    <row r="608" ht="15.75" customHeight="1">
      <c r="A608" s="12" t="inlineStr">
        <is>
          <t>extended_cis_splice_site</t>
        </is>
      </c>
      <c r="B608" s="12" t="inlineStr">
        <is>
          <t>http://identifiers.org/so/SO:0001993</t>
        </is>
      </c>
      <c r="C608" s="12" t="inlineStr">
        <is>
          <t>['expressed sequence match']</t>
        </is>
      </c>
      <c r="D608" s="12" t="n"/>
      <c r="E608" s="12" t="n"/>
    </row>
    <row r="609" ht="15.75" customHeight="1">
      <c r="A609" s="12" t="inlineStr">
        <is>
          <t>extended_intronic_splice_region</t>
        </is>
      </c>
      <c r="B609" s="12" t="inlineStr">
        <is>
          <t>http://identifiers.org/so/SO:0001996</t>
        </is>
      </c>
      <c r="C609" s="12" t="inlineStr">
        <is>
          <t>['extended cis splice site']</t>
        </is>
      </c>
      <c r="D609" s="12" t="n"/>
      <c r="E609" s="12" t="n"/>
    </row>
    <row r="610" ht="15.75" customHeight="1">
      <c r="A610" s="12" t="inlineStr">
        <is>
          <t>extended_intronic_splice_region_variant</t>
        </is>
      </c>
      <c r="B610" s="12" t="inlineStr">
        <is>
          <t>http://identifiers.org/so/SO:0001995</t>
        </is>
      </c>
      <c r="C610" s="12" t="inlineStr">
        <is>
          <t>['extended intronic splice region ']</t>
        </is>
      </c>
      <c r="D610" s="12" t="n"/>
      <c r="E610" s="12" t="n"/>
    </row>
    <row r="611" ht="15.75" customHeight="1">
      <c r="A611" s="12" t="inlineStr">
        <is>
          <t>external_transcribed_spacer_region</t>
        </is>
      </c>
      <c r="B611" s="12" t="inlineStr">
        <is>
          <t>http://identifiers.org/so/SO:0000640</t>
        </is>
      </c>
      <c r="C611" s="12" t="inlineStr">
        <is>
          <t>['extended intronic splice region variant']</t>
        </is>
      </c>
      <c r="D611" s="12" t="n"/>
      <c r="E611" s="12" t="n"/>
    </row>
    <row r="612" ht="15.75" customHeight="1">
      <c r="A612" s="12" t="inlineStr">
        <is>
          <t>extrachromosomal_mobile_genetic_element</t>
        </is>
      </c>
      <c r="B612" s="12" t="inlineStr">
        <is>
          <t>http://identifiers.org/so/SO:0001038</t>
        </is>
      </c>
      <c r="C612" s="12" t="inlineStr">
        <is>
          <t>['external transcribed spacer region']</t>
        </is>
      </c>
      <c r="D612" s="12" t="n"/>
      <c r="E612" s="12" t="n"/>
    </row>
    <row r="613" ht="15.75" customHeight="1">
      <c r="A613" s="12" t="inlineStr">
        <is>
          <t>extramembrane_polypeptide_region</t>
        </is>
      </c>
      <c r="B613" s="12" t="inlineStr">
        <is>
          <t>http://identifiers.org/so/SO:0001072</t>
        </is>
      </c>
      <c r="C613" s="12" t="inlineStr">
        <is>
          <t>['extrachromosomal mobile genetic element']</t>
        </is>
      </c>
      <c r="D613" s="12" t="n"/>
      <c r="E613" s="12" t="n"/>
    </row>
    <row r="614" ht="15.75" customHeight="1">
      <c r="A614" s="12" t="inlineStr">
        <is>
          <t>feature_ablation</t>
        </is>
      </c>
      <c r="B614" s="12" t="inlineStr">
        <is>
          <t>http://identifiers.org/so/SO:0001879</t>
        </is>
      </c>
      <c r="C614" s="12" t="inlineStr">
        <is>
          <t>['extramembrane_region', 'extramembrane', 'topo_dom', 'extramembrane polypeptide region']</t>
        </is>
      </c>
      <c r="D614" s="12" t="n"/>
      <c r="E614" s="12" t="n"/>
    </row>
    <row r="615" ht="15.75" customHeight="1">
      <c r="A615" s="12" t="inlineStr">
        <is>
          <t>feature_amplification</t>
        </is>
      </c>
      <c r="B615" s="12" t="inlineStr">
        <is>
          <t>http://identifiers.org/so/SO:0001880</t>
        </is>
      </c>
      <c r="C615" s="12" t="inlineStr">
        <is>
          <t>['feature ablation']</t>
        </is>
      </c>
      <c r="D615" s="12" t="n"/>
      <c r="E615" s="12" t="n"/>
    </row>
    <row r="616" ht="15.75" customHeight="1">
      <c r="A616" s="12" t="inlineStr">
        <is>
          <t>feature_attribute</t>
        </is>
      </c>
      <c r="B616" s="12" t="inlineStr">
        <is>
          <t>http://identifiers.org/so/SO:0000733</t>
        </is>
      </c>
      <c r="C616" s="12" t="inlineStr">
        <is>
          <t>['feature amplification']</t>
        </is>
      </c>
      <c r="D616" s="12" t="n"/>
      <c r="E616" s="12" t="n"/>
    </row>
    <row r="617" ht="15.75" customHeight="1">
      <c r="A617" s="12" t="inlineStr">
        <is>
          <t>feature_elongation</t>
        </is>
      </c>
      <c r="B617" s="12" t="inlineStr">
        <is>
          <t>http://identifiers.org/so/SO:0001907</t>
        </is>
      </c>
      <c r="C617" s="12" t="inlineStr">
        <is>
          <t>['feature attribute']</t>
        </is>
      </c>
      <c r="D617" s="12" t="n"/>
      <c r="E617" s="12" t="n"/>
    </row>
    <row r="618" ht="15.75" customHeight="1">
      <c r="A618" s="12" t="inlineStr">
        <is>
          <t>feature_fusion</t>
        </is>
      </c>
      <c r="B618" s="12" t="inlineStr">
        <is>
          <t>http://identifiers.org/so/SO:0001882</t>
        </is>
      </c>
      <c r="C618" s="12" t="inlineStr">
        <is>
          <t>['feature elongation', 'VEP:feature_elongation']</t>
        </is>
      </c>
      <c r="D618" s="12" t="n"/>
      <c r="E618" s="12" t="n"/>
    </row>
    <row r="619" ht="15.75" customHeight="1">
      <c r="A619" s="12" t="inlineStr">
        <is>
          <t>feature_translocation</t>
        </is>
      </c>
      <c r="B619" s="12" t="inlineStr">
        <is>
          <t>http://identifiers.org/so/SO:0001881</t>
        </is>
      </c>
      <c r="C619" s="12" t="inlineStr">
        <is>
          <t>['feature fusion']</t>
        </is>
      </c>
      <c r="D619" s="12" t="n"/>
      <c r="E619" s="12" t="n"/>
    </row>
    <row r="620" ht="15.75" customHeight="1">
      <c r="A620" s="12" t="inlineStr">
        <is>
          <t>feature_truncation</t>
        </is>
      </c>
      <c r="B620" s="12" t="inlineStr">
        <is>
          <t>http://identifiers.org/so/SO:0001906</t>
        </is>
      </c>
      <c r="C620" s="12" t="inlineStr">
        <is>
          <t>['feature translocation']</t>
        </is>
      </c>
      <c r="D620" s="12" t="n"/>
      <c r="E620" s="12" t="n"/>
    </row>
    <row r="621" ht="15.75" customHeight="1">
      <c r="A621" s="12" t="inlineStr">
        <is>
          <t>feature_variant</t>
        </is>
      </c>
      <c r="B621" s="12" t="inlineStr">
        <is>
          <t>http://identifiers.org/so/SO:0001878</t>
        </is>
      </c>
      <c r="C621" s="12" t="inlineStr">
        <is>
          <t>['VEP:feature_truncation', 'feature truncation', 'Jannovar:feature_truncation']</t>
        </is>
      </c>
      <c r="D621" s="12" t="n"/>
      <c r="E621" s="12" t="n"/>
    </row>
    <row r="622" ht="15.75" customHeight="1">
      <c r="A622" s="12" t="inlineStr">
        <is>
          <t>fingerprint_map</t>
        </is>
      </c>
      <c r="B622" s="12" t="inlineStr">
        <is>
          <t>http://identifiers.org/so/SO:0001250</t>
        </is>
      </c>
      <c r="C622" s="12" t="inlineStr">
        <is>
          <t>['feature alteration']</t>
        </is>
      </c>
      <c r="D622" s="12" t="n"/>
      <c r="E622" s="12" t="n"/>
    </row>
    <row r="623" ht="15.75" customHeight="1">
      <c r="A623" s="12" t="inlineStr">
        <is>
          <t>finished_genome</t>
        </is>
      </c>
      <c r="B623" s="12" t="inlineStr">
        <is>
          <t>http://identifiers.org/so/SO:0001491</t>
        </is>
      </c>
      <c r="C623" s="12" t="inlineStr">
        <is>
          <t>['fingerprint map', 'BACmap', 'FPCmap', 'FPC', 'restriction map']</t>
        </is>
      </c>
      <c r="D623" s="12" t="n"/>
      <c r="E623" s="12" t="n"/>
    </row>
    <row r="624" ht="15.75" customHeight="1">
      <c r="A624" s="12" t="inlineStr">
        <is>
          <t>five_aminomethyl_two_thiouridine</t>
        </is>
      </c>
      <c r="B624" s="12" t="inlineStr">
        <is>
          <t>http://identifiers.org/so/SO:0001363</t>
        </is>
      </c>
      <c r="C624" s="12" t="inlineStr">
        <is>
          <t>['finished', 'finished genome']</t>
        </is>
      </c>
      <c r="D624" s="12" t="n"/>
      <c r="E624" s="12" t="n"/>
    </row>
    <row r="625" ht="15.75" customHeight="1">
      <c r="A625" s="12" t="inlineStr">
        <is>
          <t>five_carbamoylmethyl_two_prime_O_methyluridine</t>
        </is>
      </c>
      <c r="B625" s="12" t="inlineStr">
        <is>
          <t>http://identifiers.org/so/SO:0001368</t>
        </is>
      </c>
      <c r="C625" s="12" t="inlineStr">
        <is>
          <t>['5-aminomethyl-2-thiouridine', 'nm5s2U', 'five aminomethyl two thiouridine']</t>
        </is>
      </c>
      <c r="D625" s="12" t="n"/>
      <c r="E625" s="12" t="n"/>
    </row>
    <row r="626" ht="15.75" customHeight="1">
      <c r="A626" s="12" t="inlineStr">
        <is>
          <t>five_carbamoylmethyluridine</t>
        </is>
      </c>
      <c r="B626" s="12" t="inlineStr">
        <is>
          <t>http://identifiers.org/so/SO:0001367</t>
        </is>
      </c>
      <c r="C626" s="12" t="inlineStr">
        <is>
          <t>["5-carbamoylmethyl-2'-O-methyluridine", 'ncm5Um', 'five carbamoylmethyl two prime O methyluridine']</t>
        </is>
      </c>
      <c r="D626" s="12" t="n"/>
      <c r="E626" s="12" t="n"/>
    </row>
    <row r="627" ht="15.75" customHeight="1">
      <c r="A627" s="12" t="inlineStr">
        <is>
          <t>five_carboxyhydroxymethyl_uridine</t>
        </is>
      </c>
      <c r="B627" s="12" t="inlineStr">
        <is>
          <t>http://identifiers.org/so/SO:0001358</t>
        </is>
      </c>
      <c r="C627" s="12" t="inlineStr">
        <is>
          <t>['five carbamoylmethyluridine', '5-carbamoylmethyluridine', 'ncm5U']</t>
        </is>
      </c>
      <c r="D627" s="12" t="n"/>
      <c r="E627" s="12" t="n"/>
    </row>
    <row r="628" ht="15.75" customHeight="1">
      <c r="A628" s="12" t="inlineStr">
        <is>
          <t>five_carboxyhydroxymethyl_uridine_methyl_ester</t>
        </is>
      </c>
      <c r="B628" s="12" t="inlineStr">
        <is>
          <t>http://identifiers.org/so/SO:0001359</t>
        </is>
      </c>
      <c r="C628" s="12" t="inlineStr">
        <is>
          <t>['chm5U', 'five carboxyhydroxymethyl uridine', '5-(carboxyhydroxymethyl)uridine']</t>
        </is>
      </c>
      <c r="D628" s="12" t="n"/>
      <c r="E628" s="12" t="n"/>
    </row>
    <row r="629" ht="15.75" customHeight="1">
      <c r="A629" s="12" t="inlineStr">
        <is>
          <t>five_carboxymethylaminomethyl_two_prime_O_methyluridine</t>
        </is>
      </c>
      <c r="B629" s="12" t="inlineStr">
        <is>
          <t>http://identifiers.org/so/SO:0001370</t>
        </is>
      </c>
      <c r="C629" s="12" t="inlineStr">
        <is>
          <t>['five carboxyhydroxymethyl uridine methyl ester', '5-(carboxyhydroxymethyl)uridine methyl ester', 'mchm5U']</t>
        </is>
      </c>
      <c r="D629" s="12" t="n"/>
      <c r="E629" s="12" t="n"/>
    </row>
    <row r="630" ht="15.75" customHeight="1">
      <c r="A630" s="12" t="inlineStr">
        <is>
          <t>five_carboxymethylaminomethyl_two_thiouridine</t>
        </is>
      </c>
      <c r="B630" s="12" t="inlineStr">
        <is>
          <t>http://identifiers.org/so/SO:0001371</t>
        </is>
      </c>
      <c r="C630" s="12" t="inlineStr">
        <is>
          <t>['cmnm5Um', 'five carboxymethylaminomethyl two prime O methyluridine', "5-carboxymethylaminomethyl- 2'-O-methyluridine"]</t>
        </is>
      </c>
      <c r="D630" s="12" t="n"/>
      <c r="E630" s="12" t="n"/>
    </row>
    <row r="631" ht="15.75" customHeight="1">
      <c r="A631" s="12" t="inlineStr">
        <is>
          <t>five_carboxymethylaminomethyluridine</t>
        </is>
      </c>
      <c r="B631" s="12" t="inlineStr">
        <is>
          <t>http://identifiers.org/so/SO:0001369</t>
        </is>
      </c>
      <c r="C631" s="12" t="inlineStr">
        <is>
          <t>['five carboxymethylaminomethyl two thiouridine', 'cmnm5s2U', '5-carboxymethylaminomethyl-2-thiouridine']</t>
        </is>
      </c>
      <c r="D631" s="12" t="n"/>
      <c r="E631" s="12" t="n"/>
    </row>
    <row r="632" ht="15.75" customHeight="1">
      <c r="A632" s="12" t="inlineStr">
        <is>
          <t>five_carboxymethyluridine</t>
        </is>
      </c>
      <c r="B632" s="12" t="inlineStr">
        <is>
          <t>http://identifiers.org/so/SO:0001374</t>
        </is>
      </c>
      <c r="C632" s="12" t="inlineStr">
        <is>
          <t>['cmnm5U', '5-carboxymethylaminomethyluridine', 'five carboxymethylaminomethyluridine']</t>
        </is>
      </c>
      <c r="D632" s="12" t="n"/>
      <c r="E632" s="12" t="n"/>
    </row>
    <row r="633" ht="15.75" customHeight="1">
      <c r="A633" s="12" t="inlineStr">
        <is>
          <t>five_formyl_two_prime_O_methylcytidine</t>
        </is>
      </c>
      <c r="B633" s="12" t="inlineStr">
        <is>
          <t>http://identifiers.org/so/SO:0001293</t>
        </is>
      </c>
      <c r="C633" s="12" t="inlineStr">
        <is>
          <t>['5-carboxymethyluridine', 'cm5U', 'five carboxymethyluridine']</t>
        </is>
      </c>
      <c r="D633" s="12" t="n"/>
      <c r="E633" s="12" t="n"/>
    </row>
    <row r="634" ht="15.75" customHeight="1">
      <c r="A634" s="12" t="inlineStr">
        <is>
          <t>five_formylcytidine</t>
        </is>
      </c>
      <c r="B634" s="12" t="inlineStr">
        <is>
          <t>http://identifiers.org/so/SO:0001286</t>
        </is>
      </c>
      <c r="C634" s="12" t="inlineStr">
        <is>
          <t>["5-formyl-2'-O-methylcytidine", 'f5Cm', 'five formyl two prime O methylcytidine']</t>
        </is>
      </c>
      <c r="D634" s="12" t="n"/>
      <c r="E634" s="12" t="n"/>
    </row>
    <row r="635" ht="15.75" customHeight="1">
      <c r="A635" s="12" t="inlineStr">
        <is>
          <t>five_hydroxymethylcytidine</t>
        </is>
      </c>
      <c r="B635" s="12" t="inlineStr">
        <is>
          <t>http://identifiers.org/so/SO:0001292</t>
        </is>
      </c>
      <c r="C635" s="12" t="inlineStr">
        <is>
          <t>['f5C', 'five formylcytidine', '5-formylcytidine']</t>
        </is>
      </c>
      <c r="D635" s="12" t="n"/>
      <c r="E635" s="12" t="n"/>
    </row>
    <row r="636" ht="15.75" customHeight="1">
      <c r="A636" s="12" t="inlineStr">
        <is>
          <t>five_hydroxyuridine</t>
        </is>
      </c>
      <c r="B636" s="12" t="inlineStr">
        <is>
          <t>http://identifiers.org/so/SO:0001354</t>
        </is>
      </c>
      <c r="C636" s="12" t="inlineStr">
        <is>
          <t>['5-hydroxymethylcytidine', 'hm5C', 'five hydroxymethylcytidine']</t>
        </is>
      </c>
      <c r="D636" s="12" t="n"/>
      <c r="E636" s="12" t="n"/>
    </row>
    <row r="637" ht="15.75" customHeight="1">
      <c r="A637" s="12" t="inlineStr">
        <is>
          <t>five_isopentenylaminomethyl_two_prime_O_methyluridine</t>
        </is>
      </c>
      <c r="B637" s="12" t="inlineStr">
        <is>
          <t>http://identifiers.org/so/SO:0001382</t>
        </is>
      </c>
      <c r="C637" s="12" t="inlineStr">
        <is>
          <t>['ho5U', '5-hydroxyuridine', 'five hydroxyuridine']</t>
        </is>
      </c>
      <c r="D637" s="12" t="n"/>
      <c r="E637" s="12" t="n"/>
    </row>
    <row r="638" ht="15.75" customHeight="1">
      <c r="A638" s="12" t="inlineStr">
        <is>
          <t>five_isopentenylaminomethyl_two_thiouridine</t>
        </is>
      </c>
      <c r="B638" s="12" t="inlineStr">
        <is>
          <t>http://identifiers.org/so/SO:0001381</t>
        </is>
      </c>
      <c r="C638" s="12" t="inlineStr">
        <is>
          <t>['five isopentenylaminomethyl two prime O methyluridine', "5-(isopentenylaminomethyl)- 2'-O-methyluridine", 'inm5Um']</t>
        </is>
      </c>
      <c r="D638" s="12" t="n"/>
      <c r="E638" s="12" t="n"/>
    </row>
    <row r="639" ht="15.75" customHeight="1">
      <c r="A639" s="12" t="inlineStr">
        <is>
          <t>five_isopentenylaminomethyl_uridine</t>
        </is>
      </c>
      <c r="B639" s="12" t="inlineStr">
        <is>
          <t>http://identifiers.org/so/SO:0001380</t>
        </is>
      </c>
      <c r="C639" s="12" t="inlineStr">
        <is>
          <t>['inm5s2U', '5-(isopentenylaminomethyl)- 2-thiouridine', 'five isopentenylaminomethyl two thiouridine']</t>
        </is>
      </c>
      <c r="D639" s="12" t="n"/>
      <c r="E639" s="12" t="n"/>
    </row>
    <row r="640" ht="15.75" customHeight="1">
      <c r="A640" s="12" t="inlineStr">
        <is>
          <t>five_methoxycarbonylmethyl_two_prime_O_methyluridine</t>
        </is>
      </c>
      <c r="B640" s="12" t="inlineStr">
        <is>
          <t>http://identifiers.org/so/SO:0001361</t>
        </is>
      </c>
      <c r="C640" s="12" t="inlineStr">
        <is>
          <t>['5-(isopentenylaminomethyl)uridine', 'five isopentenylaminomethyl uridine', 'inm5U']</t>
        </is>
      </c>
      <c r="D640" s="12" t="n"/>
      <c r="E640" s="12" t="n"/>
    </row>
    <row r="641" ht="15.75" customHeight="1">
      <c r="A641" s="12" t="inlineStr">
        <is>
          <t>five_methoxycarbonylmethyl_two_thiouridine</t>
        </is>
      </c>
      <c r="B641" s="12" t="inlineStr">
        <is>
          <t>http://identifiers.org/so/SO:0001362</t>
        </is>
      </c>
      <c r="C641" s="12" t="inlineStr">
        <is>
          <t>['mcm5Um', "5-methoxycarbonylmethyl-2'-O-methyluridine", 'five methoxycarbonylmethyl two prime O methyluridine']</t>
        </is>
      </c>
      <c r="D641" s="12" t="n"/>
      <c r="E641" s="12" t="n"/>
    </row>
    <row r="642" ht="15.75" customHeight="1">
      <c r="A642" s="12" t="inlineStr">
        <is>
          <t>five_methoxycarbonylmethyluridine</t>
        </is>
      </c>
      <c r="B642" s="12" t="inlineStr">
        <is>
          <t>http://identifiers.org/so/SO:0001360</t>
        </is>
      </c>
      <c r="C642" s="12" t="inlineStr">
        <is>
          <t>['mcm5s2U', 'five methoxycarbonylmethyl two thiouridine', '5-methoxycarbonylmethyl-2-thiouridine']</t>
        </is>
      </c>
      <c r="D642" s="12" t="n"/>
      <c r="E642" s="12" t="n"/>
    </row>
    <row r="643" ht="15.75" customHeight="1">
      <c r="A643" s="12" t="inlineStr">
        <is>
          <t>five_methoxyuridine</t>
        </is>
      </c>
      <c r="B643" s="12" t="inlineStr">
        <is>
          <t>http://identifiers.org/so/SO:0001355</t>
        </is>
      </c>
      <c r="C643" s="12" t="inlineStr">
        <is>
          <t>['mcm5U', 'five methoxycarbonylmethyluridine', '5-methoxycarbonylmethyluridine']</t>
        </is>
      </c>
      <c r="D643" s="12" t="n"/>
      <c r="E643" s="12" t="n"/>
    </row>
    <row r="644" ht="15.75" customHeight="1">
      <c r="A644" s="12" t="inlineStr">
        <is>
          <t>five_methyl_2_thiouridine</t>
        </is>
      </c>
      <c r="B644" s="12" t="inlineStr">
        <is>
          <t>http://identifiers.org/so/SO:0001351</t>
        </is>
      </c>
      <c r="C644" s="12" t="inlineStr">
        <is>
          <t>['5-methoxyuridine', 'five methoxyuridine', 'mo5U']</t>
        </is>
      </c>
      <c r="D644" s="12" t="n"/>
      <c r="E644" s="12" t="n"/>
    </row>
    <row r="645" ht="15.75" customHeight="1">
      <c r="A645" s="12" t="inlineStr">
        <is>
          <t>five_methylaminomethyl_two_selenouridine</t>
        </is>
      </c>
      <c r="B645" s="12" t="inlineStr">
        <is>
          <t>http://identifiers.org/so/SO:0001366</t>
        </is>
      </c>
      <c r="C645" s="12" t="inlineStr">
        <is>
          <t>['five methyl 2 thiouridine', '5-methyl-2-thiouridine', 'm5s2U']</t>
        </is>
      </c>
      <c r="D645" s="12" t="n"/>
      <c r="E645" s="12" t="n"/>
    </row>
    <row r="646" ht="15.75" customHeight="1">
      <c r="A646" s="12" t="inlineStr">
        <is>
          <t>five_methylaminomethyl_two_thiouridine</t>
        </is>
      </c>
      <c r="B646" s="12" t="inlineStr">
        <is>
          <t>http://identifiers.org/so/SO:0001365</t>
        </is>
      </c>
      <c r="C646" s="12" t="inlineStr">
        <is>
          <t>['5-methylaminomethyl-2-selenouridine', 'mnm5se2U', 'five methylaminomethyl two selenouridine']</t>
        </is>
      </c>
      <c r="D646" s="12" t="n"/>
      <c r="E646" s="12" t="n"/>
    </row>
    <row r="647" ht="15.75" customHeight="1">
      <c r="A647" s="12" t="inlineStr">
        <is>
          <t>five_methylaminomethyluridine</t>
        </is>
      </c>
      <c r="B647" s="12" t="inlineStr">
        <is>
          <t>http://identifiers.org/so/SO:0001364</t>
        </is>
      </c>
      <c r="C647" s="12" t="inlineStr">
        <is>
          <t>['five methylaminomethyl two thiouridine', '5-methylaminomethyl-2-thiouridine', 'mnm5s2U']</t>
        </is>
      </c>
      <c r="D647" s="12" t="n"/>
      <c r="E647" s="12" t="n"/>
    </row>
    <row r="648" ht="15.75" customHeight="1">
      <c r="A648" s="12" t="inlineStr">
        <is>
          <t>five_methylcytidine</t>
        </is>
      </c>
      <c r="B648" s="12" t="inlineStr">
        <is>
          <t>http://identifiers.org/so/SO:0001282</t>
        </is>
      </c>
      <c r="C648" s="12" t="inlineStr">
        <is>
          <t>['five methylaminomethyluridine', 'mnm5U', '5-methylaminomethyluridine']</t>
        </is>
      </c>
      <c r="D648" s="12" t="n"/>
      <c r="E648" s="12" t="n"/>
    </row>
    <row r="649" ht="15.75" customHeight="1">
      <c r="A649" s="12" t="inlineStr">
        <is>
          <t>five_methyldihydrouridine</t>
        </is>
      </c>
      <c r="B649" s="12" t="inlineStr">
        <is>
          <t>http://identifiers.org/so/SO:0001376</t>
        </is>
      </c>
      <c r="C649" s="12" t="inlineStr">
        <is>
          <t>['five methylcytidine', 'm5C', '5-methylcytidine']</t>
        </is>
      </c>
      <c r="D649" s="12" t="n"/>
      <c r="E649" s="12" t="n"/>
    </row>
    <row r="650" ht="15.75" customHeight="1">
      <c r="A650" s="12" t="inlineStr">
        <is>
          <t>five_methyluridine</t>
        </is>
      </c>
      <c r="B650" s="12" t="inlineStr">
        <is>
          <t>http://identifiers.org/so/SO:0001344</t>
        </is>
      </c>
      <c r="C650" s="12" t="inlineStr">
        <is>
          <t>['five methyldihydrouridine', 'm5D', '5-methyldihydrouridine']</t>
        </is>
      </c>
      <c r="D650" s="12" t="n"/>
      <c r="E650" s="12" t="n"/>
    </row>
    <row r="651" ht="15.75" customHeight="1">
      <c r="A651" s="12" t="inlineStr">
        <is>
          <t>five_prime_cis_splice_site</t>
        </is>
      </c>
      <c r="B651" s="12" t="inlineStr">
        <is>
          <t>http://identifiers.org/so/SO:0000163</t>
        </is>
      </c>
      <c r="C651" s="12" t="inlineStr">
        <is>
          <t>['five methyluridine', '5-methyluridine', 'm5U']</t>
        </is>
      </c>
      <c r="D651" s="12" t="n"/>
      <c r="E651" s="12" t="n"/>
    </row>
    <row r="652" ht="15.75" customHeight="1">
      <c r="A652" s="12" t="inlineStr">
        <is>
          <t>five_prime_clip</t>
        </is>
      </c>
      <c r="B652" s="12" t="inlineStr">
        <is>
          <t>http://identifiers.org/so/SO:0000555</t>
        </is>
      </c>
      <c r="C652" s="12" t="inlineStr">
        <is>
          <t>['five prime splice site', "5' splice site", 'splice donor site', 'donor', 'donor splice site']</t>
        </is>
      </c>
      <c r="D652" s="12" t="n"/>
      <c r="E652" s="12" t="n"/>
    </row>
    <row r="653" ht="15.75" customHeight="1">
      <c r="A653" s="12" t="inlineStr">
        <is>
          <t>five_prime_coding_exon</t>
        </is>
      </c>
      <c r="B653" s="12" t="inlineStr">
        <is>
          <t>http://identifiers.org/so/SO:0000200</t>
        </is>
      </c>
      <c r="C653" s="12" t="inlineStr">
        <is>
          <t>['five prime clip', "5' clip"]</t>
        </is>
      </c>
      <c r="D653" s="12" t="n"/>
      <c r="E653" s="12" t="n"/>
    </row>
    <row r="654" ht="15.75" customHeight="1">
      <c r="A654" s="12" t="inlineStr">
        <is>
          <t>five_prime_coding_exon_coding_region</t>
        </is>
      </c>
      <c r="B654" s="12" t="inlineStr">
        <is>
          <t>http://identifiers.org/so/SO:0000196</t>
        </is>
      </c>
      <c r="C654" s="12" t="inlineStr">
        <is>
          <t>["5' coding exon", 'five prime coding exon']</t>
        </is>
      </c>
      <c r="D654" s="12" t="n"/>
      <c r="E654" s="12" t="n"/>
    </row>
    <row r="655" ht="15.75" customHeight="1">
      <c r="A655" s="12" t="inlineStr">
        <is>
          <t>five_prime_coding_exon_noncoding_region</t>
        </is>
      </c>
      <c r="B655" s="12" t="inlineStr">
        <is>
          <t>http://identifiers.org/so/SO:0000486</t>
        </is>
      </c>
      <c r="C655" s="12" t="inlineStr">
        <is>
          <t>['five prime exon coding region']</t>
        </is>
      </c>
      <c r="D655" s="12" t="n"/>
      <c r="E655" s="12" t="n"/>
    </row>
    <row r="656" ht="15.75" customHeight="1">
      <c r="A656" s="12" t="inlineStr">
        <is>
          <t>five_prime_D_heptamer</t>
        </is>
      </c>
      <c r="B656" s="12" t="inlineStr">
        <is>
          <t>http://identifiers.org/so/SO:0000496</t>
        </is>
      </c>
      <c r="C656" s="12" t="inlineStr">
        <is>
          <t>['five prime coding exon noncoding region', 'five_prime_exon_noncoding_region']</t>
        </is>
      </c>
      <c r="D656" s="12" t="n"/>
      <c r="E656" s="12" t="n"/>
    </row>
    <row r="657" ht="15.75" customHeight="1">
      <c r="A657" s="12" t="inlineStr">
        <is>
          <t>five_prime_D_nonamer</t>
        </is>
      </c>
      <c r="B657" s="12" t="inlineStr">
        <is>
          <t>http://identifiers.org/so/SO:0000497</t>
        </is>
      </c>
      <c r="C657" s="12" t="inlineStr">
        <is>
          <t>["5'D-HEPTAMER", 'five prime D heptamer']</t>
        </is>
      </c>
      <c r="D657" s="12" t="n"/>
      <c r="E657" s="12" t="n"/>
    </row>
    <row r="658" ht="15.75" customHeight="1">
      <c r="A658" s="12" t="inlineStr">
        <is>
          <t>five_prime_D_recombination_signal_sequence</t>
        </is>
      </c>
      <c r="B658" s="12" t="inlineStr">
        <is>
          <t>http://identifiers.org/so/SO:0000556</t>
        </is>
      </c>
      <c r="C658" s="12" t="inlineStr">
        <is>
          <t>['five prime D nonamer', "5'D-NONAMER"]</t>
        </is>
      </c>
      <c r="D658" s="12" t="n"/>
      <c r="E658" s="12" t="n"/>
    </row>
    <row r="659" ht="15.75" customHeight="1">
      <c r="A659" s="12" t="inlineStr">
        <is>
          <t>five_prime_D_spacer</t>
        </is>
      </c>
      <c r="B659" s="12" t="inlineStr">
        <is>
          <t>http://identifiers.org/so/SO:0000498</t>
        </is>
      </c>
      <c r="C659" s="12" t="inlineStr">
        <is>
          <t>['five prime D-recombination signal sequence', 'five prime D recombination signal sequence', "5'RS"]</t>
        </is>
      </c>
      <c r="D659" s="12" t="n"/>
      <c r="E659" s="12" t="n"/>
    </row>
    <row r="660" ht="15.75" customHeight="1">
      <c r="A660" s="12" t="inlineStr">
        <is>
          <t>five_prime_duplicated_transcript</t>
        </is>
      </c>
      <c r="B660" s="12" t="inlineStr">
        <is>
          <t>http://identifiers.org/so/SO:0002245</t>
        </is>
      </c>
      <c r="C660" s="12" t="inlineStr">
        <is>
          <t>["5'-SPACER", 'five prime D spacer', 'five prime D-spacer']</t>
        </is>
      </c>
      <c r="D660" s="12" t="n"/>
      <c r="E660" s="12" t="n"/>
    </row>
    <row r="661" ht="15.75" customHeight="1">
      <c r="A661" s="12" t="inlineStr">
        <is>
          <t>five_prime_EST</t>
        </is>
      </c>
      <c r="B661" s="12" t="inlineStr">
        <is>
          <t>http://identifiers.org/so/SO:0001208</t>
        </is>
      </c>
      <c r="C661" s="12" t="inlineStr">
        <is>
          <t>['five prime duplicated transcript', "5' duplicated transcript", 'five prime partially duplicated transcript']</t>
        </is>
      </c>
      <c r="D661" s="12" t="n"/>
      <c r="E661" s="12" t="n"/>
    </row>
    <row r="662" ht="15.75" customHeight="1">
      <c r="A662" s="12" t="inlineStr">
        <is>
          <t>five_prime_five_prime_overlap</t>
        </is>
      </c>
      <c r="B662" s="12" t="inlineStr">
        <is>
          <t>http://identifiers.org/so/SO:0000074</t>
        </is>
      </c>
      <c r="C662" s="12" t="inlineStr">
        <is>
          <t>['five prime EST', "5' EST"]</t>
        </is>
      </c>
      <c r="D662" s="12" t="n"/>
      <c r="E662" s="12" t="n"/>
    </row>
    <row r="663" ht="15.75" customHeight="1">
      <c r="A663" s="12" t="inlineStr">
        <is>
          <t>five_prime_flanking_region</t>
        </is>
      </c>
      <c r="B663" s="12" t="inlineStr">
        <is>
          <t>http://identifiers.org/so/SO:0001416</t>
        </is>
      </c>
      <c r="C663" s="12" t="inlineStr">
        <is>
          <t>['five prime-five prime overlap']</t>
        </is>
      </c>
      <c r="D663" s="12" t="n"/>
      <c r="E663" s="12" t="n"/>
    </row>
    <row r="664" ht="15.75" customHeight="1">
      <c r="A664" s="12" t="inlineStr">
        <is>
          <t>five_prime_intron</t>
        </is>
      </c>
      <c r="B664" s="12" t="inlineStr">
        <is>
          <t>http://identifiers.org/so/SO:0000190</t>
        </is>
      </c>
      <c r="C664" s="12" t="inlineStr">
        <is>
          <t>['five prime flanking region', "5' flanking region"]</t>
        </is>
      </c>
      <c r="D664" s="12" t="n"/>
      <c r="E664" s="12" t="n"/>
    </row>
    <row r="665" ht="15.75" customHeight="1">
      <c r="A665" s="12" t="inlineStr">
        <is>
          <t>five_prime_LTR</t>
        </is>
      </c>
      <c r="B665" s="12" t="inlineStr">
        <is>
          <t>http://identifiers.org/so/SO:0000425</t>
        </is>
      </c>
      <c r="C665" s="12" t="inlineStr">
        <is>
          <t>["5' intron sequence", 'five prime intron', "5' intron"]</t>
        </is>
      </c>
      <c r="D665" s="12" t="n"/>
      <c r="E665" s="12" t="n"/>
    </row>
    <row r="666" ht="15.75" customHeight="1">
      <c r="A666" s="12" t="inlineStr">
        <is>
          <t>five_prime_LTR_component</t>
        </is>
      </c>
      <c r="B666" s="12" t="inlineStr">
        <is>
          <t>http://identifiers.org/so/SO:0000850</t>
        </is>
      </c>
      <c r="C666" s="12" t="inlineStr">
        <is>
          <t>["5' LTR", 'five prime LTR', "5' long terminal repeat"]</t>
        </is>
      </c>
      <c r="D666" s="12" t="n"/>
      <c r="E666" s="12" t="n"/>
    </row>
    <row r="667" ht="15.75" customHeight="1">
      <c r="A667" s="12" t="inlineStr">
        <is>
          <t>five_prime_noncoding_exon</t>
        </is>
      </c>
      <c r="B667" s="12" t="inlineStr">
        <is>
          <t>http://identifiers.org/so/SO:0000445</t>
        </is>
      </c>
      <c r="C667" s="12" t="inlineStr">
        <is>
          <t>["5' long term repeat component", 'five prime LTR component']</t>
        </is>
      </c>
      <c r="D667" s="12" t="n"/>
      <c r="E667" s="12" t="n"/>
    </row>
    <row r="668" ht="15.75" customHeight="1">
      <c r="A668" s="12" t="inlineStr">
        <is>
          <t>five_prime_open_reading_frame</t>
        </is>
      </c>
      <c r="B668" s="12" t="inlineStr">
        <is>
          <t>http://identifiers.org/so/SO:0000629</t>
        </is>
      </c>
      <c r="C668" s="12" t="inlineStr">
        <is>
          <t>["5' nc exon", "5' non coding exon", 'five prime noncoding exon']</t>
        </is>
      </c>
      <c r="D668" s="12" t="n"/>
      <c r="E668" s="12" t="n"/>
    </row>
    <row r="669" ht="15.75" customHeight="1">
      <c r="A669" s="12" t="inlineStr">
        <is>
          <t>five_prime_recoding_site</t>
        </is>
      </c>
      <c r="B669" s="12" t="inlineStr">
        <is>
          <t>http://identifiers.org/so/SO:1001280</t>
        </is>
      </c>
      <c r="C669" s="12" t="inlineStr">
        <is>
          <t>['five prime open reading frame']</t>
        </is>
      </c>
      <c r="D669" s="12" t="n"/>
      <c r="E669" s="12" t="n"/>
    </row>
    <row r="670" ht="15.75" customHeight="1">
      <c r="A670" s="12" t="inlineStr">
        <is>
          <t>five_prime_restriction_enzyme_junction</t>
        </is>
      </c>
      <c r="B670" s="12" t="inlineStr">
        <is>
          <t>http://identifiers.org/so/SO:0001689</t>
        </is>
      </c>
      <c r="C670" s="12" t="inlineStr">
        <is>
          <t>['five prime recoding site']</t>
        </is>
      </c>
      <c r="D670" s="12" t="n"/>
      <c r="E670" s="12" t="n"/>
    </row>
    <row r="671" ht="15.75" customHeight="1">
      <c r="A671" s="12" t="inlineStr">
        <is>
          <t>five_prime_RST</t>
        </is>
      </c>
      <c r="B671" s="12" t="inlineStr">
        <is>
          <t>http://identifiers.org/so/SO:0001469</t>
        </is>
      </c>
      <c r="C671" s="12" t="inlineStr">
        <is>
          <t>["5' restriction enzyme junction"]</t>
        </is>
      </c>
      <c r="D671" s="12" t="n"/>
      <c r="E671" s="12" t="n"/>
    </row>
    <row r="672" ht="15.75" customHeight="1">
      <c r="A672" s="12" t="inlineStr">
        <is>
          <t>five_prime_sticky_end_restriction_enzyme_cleavage_site</t>
        </is>
      </c>
      <c r="B672" s="12" t="inlineStr">
        <is>
          <t>http://identifiers.org/so/SO:0001975</t>
        </is>
      </c>
      <c r="C672" s="12" t="inlineStr">
        <is>
          <t>["5' RST"]</t>
        </is>
      </c>
      <c r="D672" s="12" t="n"/>
      <c r="E672" s="12" t="n"/>
    </row>
    <row r="673" ht="15.75" customHeight="1">
      <c r="A673" s="12" t="inlineStr">
        <is>
          <t>five_prime_terminal_inverted_repeat</t>
        </is>
      </c>
      <c r="B673" s="12" t="inlineStr">
        <is>
          <t>http://identifiers.org/so/SO:0000420</t>
        </is>
      </c>
      <c r="C673" s="12" t="inlineStr">
        <is>
          <t>['five prime sticky end restriction enzyme cleavage site']</t>
        </is>
      </c>
      <c r="D673" s="12" t="n"/>
      <c r="E673" s="12" t="n"/>
    </row>
    <row r="674" ht="15.75" customHeight="1">
      <c r="A674" s="12" t="inlineStr">
        <is>
          <t>five_prime_three_prime_overlap</t>
        </is>
      </c>
      <c r="B674" s="12" t="inlineStr">
        <is>
          <t>http://identifiers.org/so/SO:0000073</t>
        </is>
      </c>
      <c r="C674" s="12" t="inlineStr">
        <is>
          <t>["5' TIR", 'five prime terminal inverted repeat']</t>
        </is>
      </c>
      <c r="D674" s="12" t="n"/>
      <c r="E674" s="12" t="n"/>
    </row>
    <row r="675" ht="15.75" customHeight="1">
      <c r="A675" s="12" t="inlineStr">
        <is>
          <t>five_prime_UST</t>
        </is>
      </c>
      <c r="B675" s="12" t="inlineStr">
        <is>
          <t>http://identifiers.org/so/SO:0001466</t>
        </is>
      </c>
      <c r="C675" s="12" t="inlineStr">
        <is>
          <t>['five prime-three prime overlap']</t>
        </is>
      </c>
      <c r="D675" s="12" t="n"/>
      <c r="E675" s="12" t="n"/>
    </row>
    <row r="676" ht="15.75" customHeight="1">
      <c r="A676" s="12" t="inlineStr">
        <is>
          <t>five_prime_UTR</t>
        </is>
      </c>
      <c r="B676" s="12" t="inlineStr">
        <is>
          <t>http://identifiers.org/so/SO:0000204</t>
        </is>
      </c>
      <c r="C676" s="12" t="inlineStr">
        <is>
          <t>["5' UST"]</t>
        </is>
      </c>
      <c r="D676" s="12" t="n"/>
      <c r="E676" s="12" t="n"/>
    </row>
    <row r="677" ht="15.75" customHeight="1">
      <c r="A677" s="12" t="inlineStr">
        <is>
          <t>five_prime_UTR_intron</t>
        </is>
      </c>
      <c r="B677" s="12" t="inlineStr">
        <is>
          <t>http://identifiers.org/so/SO:0000447</t>
        </is>
      </c>
      <c r="C677" s="12" t="inlineStr">
        <is>
          <t>["INSDC_feature:5'UTR", 'five prime UTR', "5' UTR", 'five_prime_untranslated_region']</t>
        </is>
      </c>
      <c r="D677" s="12" t="n"/>
      <c r="E677" s="12" t="n"/>
    </row>
    <row r="678" ht="15.75" customHeight="1">
      <c r="A678" s="12" t="inlineStr">
        <is>
          <t>five_prime_UTR_premature_start_codon_location_variant</t>
        </is>
      </c>
      <c r="B678" s="12" t="inlineStr">
        <is>
          <t>http://identifiers.org/so/SO:0001990</t>
        </is>
      </c>
      <c r="C678" s="12" t="inlineStr">
        <is>
          <t>['five prime UTR intron']</t>
        </is>
      </c>
      <c r="D678" s="12" t="n"/>
      <c r="E678" s="12" t="n"/>
    </row>
    <row r="679" ht="15.75" customHeight="1">
      <c r="A679" s="12" t="inlineStr">
        <is>
          <t>five_taurinomethyl_two_thiouridine</t>
        </is>
      </c>
      <c r="B679" s="12" t="inlineStr">
        <is>
          <t>http://identifiers.org/so/SO:0001379</t>
        </is>
      </c>
      <c r="C679" s="12" t="n"/>
      <c r="D679" s="12" t="n"/>
      <c r="E679" s="12" t="n"/>
    </row>
    <row r="680" ht="15.75" customHeight="1">
      <c r="A680" s="12" t="inlineStr">
        <is>
          <t>five_taurinomethyluridine</t>
        </is>
      </c>
      <c r="B680" s="12" t="inlineStr">
        <is>
          <t>http://identifiers.org/so/SO:0001378</t>
        </is>
      </c>
      <c r="C680" s="12" t="inlineStr">
        <is>
          <t>['tm5s2U', 'five taurinomethyl two thiouridine', '5-taurinomethyl-2-thiouridine']</t>
        </is>
      </c>
      <c r="D680" s="12" t="n"/>
      <c r="E680" s="12" t="n"/>
    </row>
    <row r="681" ht="15.75" customHeight="1">
      <c r="A681" s="12" t="inlineStr">
        <is>
          <t>five_two_prime_O_dimethylcytidine</t>
        </is>
      </c>
      <c r="B681" s="12" t="inlineStr">
        <is>
          <t>http://identifiers.org/so/SO:0001287</t>
        </is>
      </c>
      <c r="C681" s="12" t="inlineStr">
        <is>
          <t>['tm5U', 'five taurinomethyluridine', '5-taurinomethyluridine']</t>
        </is>
      </c>
      <c r="D681" s="12" t="n"/>
      <c r="E681" s="12" t="n"/>
    </row>
    <row r="682" ht="15.75" customHeight="1">
      <c r="A682" s="12" t="inlineStr">
        <is>
          <t>five_two_prime_O_dimethyluridine</t>
        </is>
      </c>
      <c r="B682" s="12" t="inlineStr">
        <is>
          <t>http://identifiers.org/so/SO:0001346</t>
        </is>
      </c>
      <c r="C682" s="12" t="inlineStr">
        <is>
          <t>['m5Cm', "5,2'-O-dimethylcytidine", 'five two prime O dimethylcytidine']</t>
        </is>
      </c>
      <c r="D682" s="12" t="n"/>
      <c r="E682" s="12" t="n"/>
    </row>
    <row r="683" ht="15.75" customHeight="1">
      <c r="A683" s="12" t="inlineStr">
        <is>
          <t>fixed_variant</t>
        </is>
      </c>
      <c r="B683" s="12" t="inlineStr">
        <is>
          <t>http://identifiers.org/so/SO:0001768</t>
        </is>
      </c>
      <c r="C683" s="12" t="inlineStr">
        <is>
          <t>['m5Um', 'five two prime O dimethyluridine', "5,2'-O-dimethyluridine"]</t>
        </is>
      </c>
      <c r="D683" s="12" t="n"/>
      <c r="E683" s="12" t="n"/>
    </row>
    <row r="684" ht="15.75" customHeight="1">
      <c r="A684" s="12" t="inlineStr">
        <is>
          <t>flanked</t>
        </is>
      </c>
      <c r="B684" s="12" t="inlineStr">
        <is>
          <t>http://identifiers.org/so/SO:0000357</t>
        </is>
      </c>
      <c r="C684" s="12" t="inlineStr">
        <is>
          <t>['fixed variant']</t>
        </is>
      </c>
      <c r="D684" s="12" t="n"/>
      <c r="E684" s="12" t="n"/>
    </row>
    <row r="685" ht="15.75" customHeight="1">
      <c r="A685" s="12" t="inlineStr">
        <is>
          <t>flanking_region</t>
        </is>
      </c>
      <c r="B685" s="12" t="inlineStr">
        <is>
          <t>http://identifiers.org/so/SO:0000239</t>
        </is>
      </c>
      <c r="C685" s="12" t="n"/>
      <c r="D685" s="12" t="n"/>
      <c r="E685" s="12" t="n"/>
    </row>
    <row r="686" ht="15.75" customHeight="1">
      <c r="A686" s="12" t="inlineStr">
        <is>
          <t>flanking_repeat</t>
        </is>
      </c>
      <c r="B686" s="12" t="inlineStr">
        <is>
          <t>http://identifiers.org/so/SO:0002192</t>
        </is>
      </c>
      <c r="C686" s="12" t="inlineStr">
        <is>
          <t>['flanking region']</t>
        </is>
      </c>
      <c r="D686" s="12" t="n"/>
      <c r="E686" s="12" t="n"/>
    </row>
    <row r="687" ht="15.75" customHeight="1">
      <c r="A687" s="12" t="inlineStr">
        <is>
          <t>flanking_three_prime_quadruplet_recoding_signal</t>
        </is>
      </c>
      <c r="B687" s="12" t="inlineStr">
        <is>
          <t>http://identifiers.org/so/SO:1001281</t>
        </is>
      </c>
      <c r="C687" s="12" t="inlineStr">
        <is>
          <t>['INSDC_feature:repeat_region', 'INSDC_qualifier:flanking', 'flanking repeat']</t>
        </is>
      </c>
      <c r="D687" s="12" t="n"/>
      <c r="E687" s="12" t="n"/>
    </row>
    <row r="688" ht="15.75" customHeight="1">
      <c r="A688" s="12" t="inlineStr">
        <is>
          <t>FLEX_element</t>
        </is>
      </c>
      <c r="B688" s="12" t="inlineStr">
        <is>
          <t>http://identifiers.org/so/SO:0001846</t>
        </is>
      </c>
      <c r="C688" s="12" t="inlineStr">
        <is>
          <t>['flanking three prime quadruplet recoding signal']</t>
        </is>
      </c>
      <c r="D688" s="12" t="n"/>
      <c r="E688" s="12" t="n"/>
    </row>
    <row r="689" ht="15.75" customHeight="1">
      <c r="A689" s="12" t="inlineStr">
        <is>
          <t>floxed</t>
        </is>
      </c>
      <c r="B689" s="12" t="inlineStr">
        <is>
          <t>http://identifiers.org/so/SO:0000359</t>
        </is>
      </c>
      <c r="C689" s="12" t="inlineStr">
        <is>
          <t>['FLEX element']</t>
        </is>
      </c>
      <c r="D689" s="12" t="n"/>
      <c r="E689" s="12" t="n"/>
    </row>
    <row r="690" ht="15.75" customHeight="1">
      <c r="A690" s="12" t="inlineStr">
        <is>
          <t>floxed_gene</t>
        </is>
      </c>
      <c r="B690" s="12" t="inlineStr">
        <is>
          <t>http://identifiers.org/so/SO:0000363</t>
        </is>
      </c>
      <c r="C690" s="12" t="n"/>
      <c r="D690" s="12" t="n"/>
      <c r="E690" s="12" t="n"/>
    </row>
    <row r="691" ht="15.75" customHeight="1">
      <c r="A691" s="12" t="inlineStr">
        <is>
          <t>foldback_element</t>
        </is>
      </c>
      <c r="B691" s="12" t="inlineStr">
        <is>
          <t>http://identifiers.org/so/SO:0000238</t>
        </is>
      </c>
      <c r="C691" s="12" t="inlineStr">
        <is>
          <t>['floxed gene']</t>
        </is>
      </c>
      <c r="D691" s="12" t="n"/>
      <c r="E691" s="12" t="n"/>
    </row>
    <row r="692" ht="15.75" customHeight="1">
      <c r="A692" s="12" t="inlineStr">
        <is>
          <t>foreign</t>
        </is>
      </c>
      <c r="B692" s="12" t="inlineStr">
        <is>
          <t>http://identifiers.org/so/SO:0000784</t>
        </is>
      </c>
      <c r="C692" s="12" t="inlineStr">
        <is>
          <t>['foldback element', 'long inverted repeat element', 'LVR element']</t>
        </is>
      </c>
      <c r="D692" s="12" t="n"/>
      <c r="E692" s="12" t="n"/>
    </row>
    <row r="693" ht="15.75" customHeight="1">
      <c r="A693" s="12" t="inlineStr">
        <is>
          <t>foreign_gene</t>
        </is>
      </c>
      <c r="B693" s="12" t="inlineStr">
        <is>
          <t>http://identifiers.org/so/SO:0000285</t>
        </is>
      </c>
      <c r="C693" s="12" t="n"/>
      <c r="D693" s="12" t="n"/>
      <c r="E693" s="12" t="n"/>
    </row>
    <row r="694" ht="15.75" customHeight="1">
      <c r="A694" s="12" t="inlineStr">
        <is>
          <t>foreign_transposable_element</t>
        </is>
      </c>
      <c r="B694" s="12" t="inlineStr">
        <is>
          <t>http://identifiers.org/so/SO:0000720</t>
        </is>
      </c>
      <c r="C694" s="12" t="inlineStr">
        <is>
          <t>['foreign gene']</t>
        </is>
      </c>
      <c r="D694" s="12" t="n"/>
      <c r="E694" s="12" t="n"/>
    </row>
    <row r="695" ht="15.75" customHeight="1">
      <c r="A695" s="12" t="inlineStr">
        <is>
          <t>forkhead_motif</t>
        </is>
      </c>
      <c r="B695" s="12" t="inlineStr">
        <is>
          <t>http://identifiers.org/so/SO:0001847</t>
        </is>
      </c>
      <c r="C695" s="12" t="inlineStr">
        <is>
          <t>['foreign transposable element']</t>
        </is>
      </c>
      <c r="D695" s="12" t="n"/>
      <c r="E695" s="12" t="n"/>
    </row>
    <row r="696" ht="15.75" customHeight="1">
      <c r="A696" s="12" t="inlineStr">
        <is>
          <t>forward</t>
        </is>
      </c>
      <c r="B696" s="12" t="inlineStr">
        <is>
          <t>http://identifiers.org/so/SO:0001030</t>
        </is>
      </c>
      <c r="C696" s="12" t="inlineStr">
        <is>
          <t>['forkhead motif']</t>
        </is>
      </c>
      <c r="D696" s="12" t="n"/>
      <c r="E696" s="12" t="n"/>
    </row>
    <row r="697" ht="15.75" customHeight="1">
      <c r="A697" s="12" t="inlineStr">
        <is>
          <t>forward_primer</t>
        </is>
      </c>
      <c r="B697" s="12" t="inlineStr">
        <is>
          <t>http://identifiers.org/so/SO:0000121</t>
        </is>
      </c>
      <c r="C697" s="12" t="n"/>
      <c r="D697" s="12" t="n"/>
      <c r="E697" s="12" t="n"/>
    </row>
    <row r="698" ht="15.75" customHeight="1">
      <c r="A698" s="12" t="inlineStr">
        <is>
          <t>fosmid</t>
        </is>
      </c>
      <c r="B698" s="12" t="inlineStr">
        <is>
          <t>http://identifiers.org/so/SO:0000158</t>
        </is>
      </c>
      <c r="C698" s="12" t="inlineStr">
        <is>
          <t>['forward primer oligo', 'forward primer oligonucleotide', 'forward primer polynucleotide', 'forward DNA primer', 'DNA forward primer', 'forward primer', 'forward primer sequence']</t>
        </is>
      </c>
      <c r="D698" s="12" t="n"/>
      <c r="E698" s="12" t="n"/>
    </row>
    <row r="699" ht="15.75" customHeight="1">
      <c r="A699" s="12" t="inlineStr">
        <is>
          <t>fosmid_clone</t>
        </is>
      </c>
      <c r="B699" s="12" t="inlineStr">
        <is>
          <t>http://identifiers.org/so/SO:0000763</t>
        </is>
      </c>
      <c r="C699" s="12" t="inlineStr">
        <is>
          <t>['fosmid vector']</t>
        </is>
      </c>
      <c r="D699" s="12" t="n"/>
      <c r="E699" s="12" t="n"/>
    </row>
    <row r="700" ht="15.75" customHeight="1">
      <c r="A700" s="12" t="inlineStr">
        <is>
          <t>four_bp_start_codon</t>
        </is>
      </c>
      <c r="B700" s="12" t="inlineStr">
        <is>
          <t>http://identifiers.org/so/SO:1001269</t>
        </is>
      </c>
      <c r="C700" s="12" t="n"/>
      <c r="D700" s="12" t="n"/>
      <c r="E700" s="12" t="n"/>
    </row>
    <row r="701" ht="15.75" customHeight="1">
      <c r="A701" s="12" t="inlineStr">
        <is>
          <t>four_cutter_restriction_site</t>
        </is>
      </c>
      <c r="B701" s="12" t="inlineStr">
        <is>
          <t>http://identifiers.org/so/SO:0000244</t>
        </is>
      </c>
      <c r="C701" s="12" t="inlineStr">
        <is>
          <t>['4bp start codon', 'four bp start codon']</t>
        </is>
      </c>
      <c r="D701" s="12" t="n"/>
      <c r="E701" s="12" t="n"/>
    </row>
    <row r="702" ht="15.75" customHeight="1">
      <c r="A702" s="12" t="inlineStr">
        <is>
          <t>four_demethylwyosine</t>
        </is>
      </c>
      <c r="B702" s="12" t="inlineStr">
        <is>
          <t>http://identifiers.org/so/SO:0001341</t>
        </is>
      </c>
      <c r="C702" s="12" t="inlineStr">
        <is>
          <t>['4-cutter_restriction_site', 'four-cutter_restriction_sit']</t>
        </is>
      </c>
      <c r="D702" s="12" t="n"/>
      <c r="E702" s="12" t="n"/>
    </row>
    <row r="703" ht="15.75" customHeight="1">
      <c r="A703" s="12" t="inlineStr">
        <is>
          <t>four_thiouridine</t>
        </is>
      </c>
      <c r="B703" s="12" t="inlineStr">
        <is>
          <t>http://identifiers.org/so/SO:0001350</t>
        </is>
      </c>
      <c r="C703" s="12" t="inlineStr">
        <is>
          <t>['4-demethylwyosine', 'imG-14', 'four demethylwyosine']</t>
        </is>
      </c>
      <c r="D703" s="12" t="n"/>
      <c r="E703" s="12" t="n"/>
    </row>
    <row r="704" ht="15.75" customHeight="1">
      <c r="A704" s="12" t="inlineStr">
        <is>
          <t>fragment_assembly</t>
        </is>
      </c>
      <c r="B704" s="12" t="inlineStr">
        <is>
          <t>http://identifiers.org/so/SO:0001249</t>
        </is>
      </c>
      <c r="C704" s="12" t="inlineStr">
        <is>
          <t>['4-thiouridine', 'four thiouridine', 's4U']</t>
        </is>
      </c>
      <c r="D704" s="12" t="n"/>
      <c r="E704" s="12" t="n"/>
    </row>
    <row r="705" ht="15.75" customHeight="1">
      <c r="A705" s="12" t="inlineStr">
        <is>
          <t>fragmentary</t>
        </is>
      </c>
      <c r="B705" s="12" t="inlineStr">
        <is>
          <t>http://identifiers.org/so/SO:0000731</t>
        </is>
      </c>
      <c r="C705" s="12" t="inlineStr">
        <is>
          <t>['physical map', 'fragment assembly']</t>
        </is>
      </c>
      <c r="D705" s="12" t="n"/>
      <c r="E705" s="12" t="n"/>
    </row>
    <row r="706" ht="15.75" customHeight="1">
      <c r="A706" s="12" t="inlineStr">
        <is>
          <t>frame_restoring_sequence_variant</t>
        </is>
      </c>
      <c r="B706" s="12" t="inlineStr">
        <is>
          <t>http://identifiers.org/so/SO:1000110</t>
        </is>
      </c>
      <c r="C706" s="12" t="inlineStr">
        <is>
          <t>['fragment']</t>
        </is>
      </c>
      <c r="D706" s="12" t="n"/>
      <c r="E706" s="12" t="n"/>
    </row>
    <row r="707" ht="15.75" customHeight="1">
      <c r="A707" s="12" t="inlineStr">
        <is>
          <t>frame_restoring_variant</t>
        </is>
      </c>
      <c r="B707" s="12" t="inlineStr">
        <is>
          <t>http://identifiers.org/so/SO:0001591</t>
        </is>
      </c>
      <c r="C707" s="12" t="inlineStr">
        <is>
          <t>['frame restoring sequence variant', 'frame restoring mutation']</t>
        </is>
      </c>
      <c r="D707" s="12" t="n"/>
      <c r="E707" s="12" t="n"/>
    </row>
    <row r="708" ht="15.75" customHeight="1">
      <c r="A708" s="12" t="inlineStr">
        <is>
          <t>frameshift</t>
        </is>
      </c>
      <c r="B708" s="12" t="inlineStr">
        <is>
          <t>http://identifiers.org/so/SO:0000865</t>
        </is>
      </c>
      <c r="C708" s="12" t="inlineStr">
        <is>
          <t>['frame restoring variant']</t>
        </is>
      </c>
      <c r="D708" s="12" t="n"/>
      <c r="E708" s="12" t="n"/>
    </row>
    <row r="709" ht="15.75" customHeight="1">
      <c r="A709" s="12" t="inlineStr">
        <is>
          <t>frameshift_elongation</t>
        </is>
      </c>
      <c r="B709" s="12" t="inlineStr">
        <is>
          <t>http://identifiers.org/so/SO:0001909</t>
        </is>
      </c>
      <c r="C709" s="12" t="n"/>
      <c r="D709" s="12" t="n"/>
      <c r="E709" s="12" t="n"/>
    </row>
    <row r="710" ht="15.75" customHeight="1">
      <c r="A710" s="12" t="inlineStr">
        <is>
          <t>frameshift_sequence_variation</t>
        </is>
      </c>
      <c r="B710" s="12" t="inlineStr">
        <is>
          <t>http://identifiers.org/so/SO:1000065</t>
        </is>
      </c>
      <c r="C710" s="12" t="inlineStr">
        <is>
          <t>['Jannovar:frameshift_elongation', 'ANNOVAR:frameshift insertion', 'frameshift elongation']</t>
        </is>
      </c>
      <c r="D710" s="12" t="n"/>
      <c r="E710" s="12" t="n"/>
    </row>
    <row r="711" ht="15.75" customHeight="1">
      <c r="A711" s="12" t="inlineStr">
        <is>
          <t>frameshift_truncation</t>
        </is>
      </c>
      <c r="B711" s="12" t="inlineStr">
        <is>
          <t>http://identifiers.org/so/SO:0001910</t>
        </is>
      </c>
      <c r="C711" s="12" t="inlineStr">
        <is>
          <t>['frameshift sequence variation', 'frameshift mutation', 'out of frame mutation']</t>
        </is>
      </c>
      <c r="D711" s="12" t="n"/>
      <c r="E711" s="12" t="n"/>
    </row>
    <row r="712" ht="15.75" customHeight="1">
      <c r="A712" s="12" t="inlineStr">
        <is>
          <t>frameshift_variant</t>
        </is>
      </c>
      <c r="B712" s="12" t="inlineStr">
        <is>
          <t>http://identifiers.org/so/SO:0001589</t>
        </is>
      </c>
      <c r="C712" s="12" t="inlineStr">
        <is>
          <t>['ANNOVAR:frameshift deletion', 'Jannovar:frameshift_truncation', 'frameshift truncation']</t>
        </is>
      </c>
      <c r="D712" s="12" t="n"/>
      <c r="E712" s="12" t="n"/>
    </row>
    <row r="713" ht="15.75" customHeight="1">
      <c r="A713" s="12" t="inlineStr">
        <is>
          <t>FRE</t>
        </is>
      </c>
      <c r="B713" s="12" t="inlineStr">
        <is>
          <t>http://identifiers.org/so/SO:0002046</t>
        </is>
      </c>
      <c r="C713" s="12" t="inlineStr">
        <is>
      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      </is>
      </c>
      <c r="D713" s="12" t="n"/>
      <c r="E713" s="12" t="n"/>
    </row>
    <row r="714" ht="15.75" customHeight="1">
      <c r="A714" s="12" t="inlineStr">
        <is>
          <t>free</t>
        </is>
      </c>
      <c r="B714" s="12" t="inlineStr">
        <is>
          <t>http://identifiers.org/so/SO:0001516</t>
        </is>
      </c>
      <c r="C714" s="12" t="inlineStr">
        <is>
          <t>['filamentation and invasion response element']</t>
        </is>
      </c>
      <c r="D714" s="12" t="n"/>
      <c r="E714" s="12" t="n"/>
    </row>
    <row r="715" ht="15.75" customHeight="1">
      <c r="A715" s="12" t="inlineStr">
        <is>
          <t>free_chromosome_arm</t>
        </is>
      </c>
      <c r="B715" s="12" t="inlineStr">
        <is>
          <t>http://identifiers.org/so/SO:0000065</t>
        </is>
      </c>
      <c r="C715" s="12" t="n"/>
      <c r="D715" s="12" t="n"/>
      <c r="E715" s="12" t="n"/>
    </row>
    <row r="716" ht="15.75" customHeight="1">
      <c r="A716" s="12" t="inlineStr">
        <is>
          <t>free_duplication</t>
        </is>
      </c>
      <c r="B716" s="12" t="inlineStr">
        <is>
          <t>http://identifiers.org/so/SO:1000144</t>
        </is>
      </c>
      <c r="C716" s="12" t="inlineStr">
        <is>
          <t>['free chromosome arm']</t>
        </is>
      </c>
      <c r="D716" s="12" t="n"/>
      <c r="E716" s="12" t="n"/>
    </row>
    <row r="717" ht="15.75" customHeight="1">
      <c r="A717" s="12" t="inlineStr">
        <is>
          <t>free_ring_duplication</t>
        </is>
      </c>
      <c r="B717" s="12" t="inlineStr">
        <is>
          <t>http://identifiers.org/so/SO:1000145</t>
        </is>
      </c>
      <c r="C717" s="12" t="inlineStr">
        <is>
          <t>['free duplication']</t>
        </is>
      </c>
      <c r="D717" s="12" t="n"/>
      <c r="E717" s="12" t="n"/>
    </row>
    <row r="718" ht="15.75" customHeight="1">
      <c r="A718" s="12" t="inlineStr">
        <is>
          <t>FRT_flanked</t>
        </is>
      </c>
      <c r="B718" s="12" t="inlineStr">
        <is>
          <t>http://identifiers.org/so/SO:0000361</t>
        </is>
      </c>
      <c r="C718" s="12" t="inlineStr">
        <is>
          <t>['free ring duplication', '(Drosophila)R']</t>
        </is>
      </c>
      <c r="D718" s="12" t="n"/>
      <c r="E718" s="12" t="n"/>
    </row>
    <row r="719" ht="15.75" customHeight="1">
      <c r="A719" s="12" t="inlineStr">
        <is>
          <t>FRT_site</t>
        </is>
      </c>
      <c r="B719" s="12" t="inlineStr">
        <is>
          <t>http://identifiers.org/so/SO:0000350</t>
        </is>
      </c>
      <c r="C719" s="12" t="inlineStr">
        <is>
          <t>['FRT flanked']</t>
        </is>
      </c>
      <c r="D719" s="12" t="n"/>
      <c r="E719" s="12" t="n"/>
    </row>
    <row r="720" ht="15.75" customHeight="1">
      <c r="A720" s="12" t="inlineStr">
        <is>
          <t>function_uncertain_variant</t>
        </is>
      </c>
      <c r="B720" s="12" t="inlineStr">
        <is>
          <t>http://identifiers.org/so/SO:0002220</t>
        </is>
      </c>
      <c r="C720" s="12" t="inlineStr">
        <is>
          <t>['FRT site', 'FLP recombination target region']</t>
        </is>
      </c>
      <c r="D720" s="12" t="n"/>
      <c r="E720" s="12" t="n"/>
    </row>
    <row r="721" ht="15.75" customHeight="1">
      <c r="A721" s="12" t="inlineStr">
        <is>
          <t>functional_candidate_gene</t>
        </is>
      </c>
      <c r="B721" s="12" t="inlineStr">
        <is>
          <t>http://identifiers.org/so/SO:0001869</t>
        </is>
      </c>
      <c r="C721" s="12" t="inlineStr">
        <is>
          <t>['function_uncertain_variant', 'function uncertain variant']</t>
        </is>
      </c>
      <c r="D721" s="12" t="n"/>
      <c r="E721" s="12" t="n"/>
    </row>
    <row r="722" ht="15.75" customHeight="1">
      <c r="A722" s="12" t="inlineStr">
        <is>
          <t>functional_effect_variant</t>
        </is>
      </c>
      <c r="B722" s="12" t="inlineStr">
        <is>
          <t>http://identifiers.org/so/SO:0001536</t>
        </is>
      </c>
      <c r="C722" s="12" t="inlineStr">
        <is>
          <t>['functional candidate gene', 'functional target gene']</t>
        </is>
      </c>
      <c r="D722" s="12" t="n"/>
      <c r="E722" s="12" t="n"/>
    </row>
    <row r="723" ht="15.75" customHeight="1">
      <c r="A723" s="12" t="inlineStr">
        <is>
          <t>functional_gene_region</t>
        </is>
      </c>
      <c r="B723" s="12" t="inlineStr">
        <is>
          <t>http://identifiers.org/so/SO:0002188</t>
        </is>
      </c>
      <c r="C723" s="12" t="inlineStr">
        <is>
          <t>['functional variant', 'functional effect variant']</t>
        </is>
      </c>
      <c r="D723" s="12" t="n"/>
      <c r="E723" s="12" t="n"/>
    </row>
    <row r="724" ht="15.75" customHeight="1">
      <c r="A724" s="12" t="inlineStr">
        <is>
          <t>functionally_abnormal</t>
        </is>
      </c>
      <c r="B724" s="12" t="inlineStr">
        <is>
          <t>http://identifiers.org/so/SO:0002218</t>
        </is>
      </c>
      <c r="C724" s="12" t="inlineStr">
        <is>
          <t>['functional gene region']</t>
        </is>
      </c>
      <c r="D724" s="12" t="n"/>
      <c r="E724" s="12" t="n"/>
    </row>
    <row r="725" ht="15.75" customHeight="1">
      <c r="A725" s="12" t="inlineStr">
        <is>
          <t>functionally_normal</t>
        </is>
      </c>
      <c r="B725" s="12" t="inlineStr">
        <is>
          <t>http://identifiers.org/so/SO:0002219</t>
        </is>
      </c>
      <c r="C725" s="12" t="inlineStr">
        <is>
          <t>['function_modified_variant', 'functionally abnormal', 'function modified variant']</t>
        </is>
      </c>
      <c r="D725" s="12" t="n"/>
      <c r="E725" s="12" t="n"/>
    </row>
    <row r="726" ht="15.75" customHeight="1">
      <c r="A726" s="12" t="inlineStr">
        <is>
          <t>fusion</t>
        </is>
      </c>
      <c r="B726" s="12" t="inlineStr">
        <is>
          <t>http://identifiers.org/so/SO:0000806</t>
        </is>
      </c>
      <c r="C726" s="12" t="inlineStr">
        <is>
          <t>['function retained variant', 'functionally normal', 'function_retained_variant']</t>
        </is>
      </c>
      <c r="D726" s="12" t="n"/>
      <c r="E726" s="12" t="n"/>
    </row>
    <row r="727" ht="15.75" customHeight="1">
      <c r="A727" s="12" t="inlineStr">
        <is>
          <t>fusion_gene</t>
        </is>
      </c>
      <c r="B727" s="12" t="inlineStr">
        <is>
          <t>http://identifiers.org/so/SO:0000287</t>
        </is>
      </c>
      <c r="C727" s="12" t="n"/>
      <c r="D727" s="12" t="n"/>
      <c r="E727" s="12" t="n"/>
    </row>
    <row r="728" ht="15.75" customHeight="1">
      <c r="A728" s="12" t="inlineStr">
        <is>
          <t>G_box</t>
        </is>
      </c>
      <c r="B728" s="12" t="inlineStr">
        <is>
          <t>http://identifiers.org/so/SO:0001980</t>
        </is>
      </c>
      <c r="C728" s="12" t="inlineStr">
        <is>
          <t>['fusion gene']</t>
        </is>
      </c>
      <c r="D728" s="12" t="n"/>
      <c r="E728" s="12" t="n"/>
    </row>
    <row r="729" ht="15.75" customHeight="1">
      <c r="A729" s="12" t="inlineStr">
        <is>
          <t>G_quartet</t>
        </is>
      </c>
      <c r="B729" s="12" t="inlineStr">
        <is>
          <t>http://identifiers.org/so/SO:0000003</t>
        </is>
      </c>
      <c r="C729" s="12" t="inlineStr">
        <is>
          <t>['GBF binding sequence', 'G-box']</t>
        </is>
      </c>
      <c r="D729" s="12" t="n"/>
      <c r="E729" s="12" t="n"/>
    </row>
    <row r="730" ht="15.75" customHeight="1">
      <c r="A730" s="12" t="inlineStr">
        <is>
          <t>G_to_A_transition</t>
        </is>
      </c>
      <c r="B730" s="12" t="inlineStr">
        <is>
          <t>http://identifiers.org/so/SO:1000016</t>
        </is>
      </c>
      <c r="C730" s="12" t="inlineStr">
        <is>
          <t>['G-quartet', 'G_quadruplex', 'G tetrad', 'G quartet', 'G-tetrad', 'guanine tetrad', 'G-quadruplex']</t>
        </is>
      </c>
      <c r="D730" s="12" t="n"/>
      <c r="E730" s="12" t="n"/>
    </row>
    <row r="731" ht="15.75" customHeight="1">
      <c r="A731" s="12" t="inlineStr">
        <is>
          <t>G_to_C_transversion</t>
        </is>
      </c>
      <c r="B731" s="12" t="inlineStr">
        <is>
          <t>http://identifiers.org/so/SO:1000026</t>
        </is>
      </c>
      <c r="C731" s="12" t="inlineStr">
        <is>
          <t>['G to A transition']</t>
        </is>
      </c>
      <c r="D731" s="12" t="n"/>
      <c r="E731" s="12" t="n"/>
    </row>
    <row r="732" ht="15.75" customHeight="1">
      <c r="A732" s="12" t="inlineStr">
        <is>
          <t>G_to_T_transversion</t>
        </is>
      </c>
      <c r="B732" s="12" t="inlineStr">
        <is>
          <t>http://identifiers.org/so/SO:1000027</t>
        </is>
      </c>
      <c r="C732" s="12" t="inlineStr">
        <is>
          <t>['G to C transversion']</t>
        </is>
      </c>
      <c r="D732" s="12" t="n"/>
      <c r="E732" s="12" t="n"/>
    </row>
    <row r="733" ht="15.75" customHeight="1">
      <c r="A733" s="12" t="inlineStr">
        <is>
          <t>GAGA_motif</t>
        </is>
      </c>
      <c r="B733" s="12" t="inlineStr">
        <is>
          <t>http://identifiers.org/so/SO:0001166</t>
        </is>
      </c>
      <c r="C733" s="12" t="inlineStr">
        <is>
          <t>['G to T transversion']</t>
        </is>
      </c>
      <c r="D733" s="12" t="n"/>
      <c r="E733" s="12" t="n"/>
    </row>
    <row r="734" ht="15.75" customHeight="1">
      <c r="A734" s="12" t="inlineStr">
        <is>
          <t>gain_of_function_variant</t>
        </is>
      </c>
      <c r="B734" s="12" t="inlineStr">
        <is>
          <t>http://identifiers.org/so/SO:0002053</t>
        </is>
      </c>
      <c r="C734" s="12" t="inlineStr">
        <is>
          <t>['NDM1', 'GAGA motif', 'GAGA']</t>
        </is>
      </c>
      <c r="D734" s="12" t="n"/>
      <c r="E734" s="12" t="n"/>
    </row>
    <row r="735" ht="15.75" customHeight="1">
      <c r="A735" s="12" t="inlineStr">
        <is>
          <t>galactosyl_queuosine</t>
        </is>
      </c>
      <c r="B735" s="12" t="inlineStr">
        <is>
          <t>http://identifiers.org/so/SO:0001319</t>
        </is>
      </c>
      <c r="C735" s="12" t="inlineStr">
        <is>
          <t>['gain of function variant']</t>
        </is>
      </c>
      <c r="D735" s="12" t="n"/>
      <c r="E735" s="12" t="n"/>
    </row>
    <row r="736" ht="15.75" customHeight="1">
      <c r="A736" s="12" t="inlineStr">
        <is>
          <t>gamma_turn</t>
        </is>
      </c>
      <c r="B736" s="12" t="inlineStr">
        <is>
          <t>http://identifiers.org/so/SO:0001138</t>
        </is>
      </c>
      <c r="C736" s="12" t="inlineStr">
        <is>
          <t>['galactosyl-queuosine', 'galactosyl queuosine', 'galQ']</t>
        </is>
      </c>
      <c r="D736" s="12" t="n"/>
      <c r="E736" s="12" t="n"/>
    </row>
    <row r="737" ht="15.75" customHeight="1">
      <c r="A737" s="12" t="inlineStr">
        <is>
          <t>gamma_turn_classic</t>
        </is>
      </c>
      <c r="B737" s="12" t="inlineStr">
        <is>
          <t>http://identifiers.org/so/SO:0001139</t>
        </is>
      </c>
      <c r="C737" s="12" t="inlineStr">
        <is>
          <t>['gamma turn']</t>
        </is>
      </c>
      <c r="D737" s="12" t="n"/>
      <c r="E737" s="12" t="n"/>
    </row>
    <row r="738" ht="15.75" customHeight="1">
      <c r="A738" s="12" t="inlineStr">
        <is>
          <t>gamma_turn_inverse</t>
        </is>
      </c>
      <c r="B738" s="12" t="inlineStr">
        <is>
          <t>http://identifiers.org/so/SO:0001140</t>
        </is>
      </c>
      <c r="C738" s="12" t="inlineStr">
        <is>
          <t>['gamma turn classic', 'classic gamma turn']</t>
        </is>
      </c>
      <c r="D738" s="12" t="n"/>
      <c r="E738" s="12" t="n"/>
    </row>
    <row r="739" ht="15.75" customHeight="1">
      <c r="A739" s="12" t="inlineStr">
        <is>
          <t>gap</t>
        </is>
      </c>
      <c r="B739" s="12" t="inlineStr">
        <is>
          <t>http://identifiers.org/so/SO:0000730</t>
        </is>
      </c>
      <c r="C739" s="12" t="inlineStr">
        <is>
          <t>['gamma turn inverse']</t>
        </is>
      </c>
      <c r="D739" s="12" t="n"/>
      <c r="E739" s="12" t="n"/>
    </row>
    <row r="740" ht="15.75" customHeight="1">
      <c r="A740" s="12" t="inlineStr">
        <is>
          <t>GATA_box</t>
        </is>
      </c>
      <c r="B740" s="12" t="inlineStr">
        <is>
          <t>http://identifiers.org/so/SO:0001840</t>
        </is>
      </c>
      <c r="C740" s="12" t="inlineStr">
        <is>
          <t>['INSDC_feature:assembly_gap', 'INSDC_feature:gap']</t>
        </is>
      </c>
      <c r="D740" s="12" t="n"/>
      <c r="E740" s="12" t="n"/>
    </row>
    <row r="741" ht="15.75" customHeight="1">
      <c r="A741" s="12" t="inlineStr">
        <is>
          <t>GC_rich_promoter_region</t>
        </is>
      </c>
      <c r="B741" s="12" t="inlineStr">
        <is>
          <t>http://identifiers.org/so/SO:0000173</t>
        </is>
      </c>
      <c r="C741" s="12" t="inlineStr">
        <is>
          <t>['GATA box', 'GATA element']</t>
        </is>
      </c>
      <c r="D741" s="12" t="n"/>
      <c r="E741" s="12" t="n"/>
    </row>
    <row r="742" ht="15.75" customHeight="1">
      <c r="A742" s="12" t="inlineStr">
        <is>
          <t>GcvB_RNA</t>
        </is>
      </c>
      <c r="B742" s="12" t="inlineStr">
        <is>
          <t>http://identifiers.org/so/SO:0000379</t>
        </is>
      </c>
      <c r="C742" s="12" t="inlineStr">
        <is>
          <t>['INSDC_qualifier:GC_rich_promoter_region', 'GC-rich region', 'INSDC_feature:regulatory', 'GC rich promoter region']</t>
        </is>
      </c>
      <c r="D742" s="12" t="n"/>
      <c r="E742" s="12" t="n"/>
    </row>
    <row r="743" ht="15.75" customHeight="1">
      <c r="A743" s="12" t="inlineStr">
        <is>
          <t>gene</t>
        </is>
      </c>
      <c r="B743" s="12" t="inlineStr">
        <is>
          <t>http://identifiers.org/so/SO:0000704</t>
        </is>
      </c>
      <c r="C743" s="12" t="inlineStr">
        <is>
          <t>['GcvB RNA']</t>
        </is>
      </c>
      <c r="D743" s="12" t="n"/>
      <c r="E743" s="12" t="n"/>
    </row>
    <row r="744" ht="15.75" customHeight="1">
      <c r="A744" s="12" t="inlineStr">
        <is>
          <t>gene_array</t>
        </is>
      </c>
      <c r="B744" s="12" t="inlineStr">
        <is>
          <t>http://identifiers.org/so/SO:0005851</t>
        </is>
      </c>
      <c r="C744" s="12" t="inlineStr">
        <is>
          <t>['INSDC_feature:gene']</t>
        </is>
      </c>
      <c r="D744" s="12" t="n"/>
      <c r="E744" s="12" t="n"/>
    </row>
    <row r="745" ht="15.75" customHeight="1">
      <c r="A745" s="12" t="inlineStr">
        <is>
          <t>gene_array_member</t>
        </is>
      </c>
      <c r="B745" s="12" t="inlineStr">
        <is>
          <t>http://identifiers.org/so/SO:0000081</t>
        </is>
      </c>
      <c r="C745" s="12" t="inlineStr">
        <is>
          <t>['gene array']</t>
        </is>
      </c>
      <c r="D745" s="12" t="n"/>
      <c r="E745" s="12" t="n"/>
    </row>
    <row r="746" ht="15.75" customHeight="1">
      <c r="A746" s="12" t="inlineStr">
        <is>
          <t>gene_attribute</t>
        </is>
      </c>
      <c r="B746" s="12" t="inlineStr">
        <is>
          <t>http://identifiers.org/so/SO:0000401</t>
        </is>
      </c>
      <c r="C746" s="12" t="inlineStr">
        <is>
          <t>['gene array member']</t>
        </is>
      </c>
      <c r="D746" s="12" t="n"/>
      <c r="E746" s="12" t="n"/>
    </row>
    <row r="747" ht="15.75" customHeight="1">
      <c r="A747" s="12" t="inlineStr">
        <is>
          <t>gene_by_genome_location</t>
        </is>
      </c>
      <c r="B747" s="12" t="inlineStr">
        <is>
          <t>http://identifiers.org/so/SO:0000085</t>
        </is>
      </c>
      <c r="C747" s="12" t="inlineStr">
        <is>
          <t>['gene attribute']</t>
        </is>
      </c>
      <c r="D747" s="12" t="n"/>
      <c r="E747" s="12" t="n"/>
    </row>
    <row r="748" ht="15.75" customHeight="1">
      <c r="A748" s="12" t="inlineStr">
        <is>
          <t>gene_by_organelle_of_genome</t>
        </is>
      </c>
      <c r="B748" s="12" t="inlineStr">
        <is>
          <t>http://identifiers.org/so/SO:0000086</t>
        </is>
      </c>
      <c r="C748" s="12" t="n"/>
      <c r="D748" s="12" t="n"/>
      <c r="E748" s="12" t="n"/>
    </row>
    <row r="749" ht="15.75" customHeight="1">
      <c r="A749" s="12" t="inlineStr">
        <is>
          <t>gene_by_polyadenylation_attribute</t>
        </is>
      </c>
      <c r="B749" s="12" t="inlineStr">
        <is>
          <t>http://identifiers.org/so/SO:0000066</t>
        </is>
      </c>
      <c r="C749" s="12" t="n"/>
      <c r="D749" s="12" t="n"/>
      <c r="E749" s="12" t="n"/>
    </row>
    <row r="750" ht="15.75" customHeight="1">
      <c r="A750" s="12" t="inlineStr">
        <is>
          <t>gene_by_transcript_attribute</t>
        </is>
      </c>
      <c r="B750" s="12" t="inlineStr">
        <is>
          <t>http://identifiers.org/so/SO:0000064</t>
        </is>
      </c>
      <c r="C750" s="12" t="n"/>
      <c r="D750" s="12" t="n"/>
      <c r="E750" s="12" t="n"/>
    </row>
    <row r="751" ht="15.75" customHeight="1">
      <c r="A751" s="12" t="inlineStr">
        <is>
          <t>gene_cassette</t>
        </is>
      </c>
      <c r="B751" s="12" t="inlineStr">
        <is>
          <t>http://identifiers.org/so/SO:0005853</t>
        </is>
      </c>
      <c r="C751" s="12" t="n"/>
      <c r="D751" s="12" t="n"/>
      <c r="E751" s="12" t="n"/>
    </row>
    <row r="752" ht="15.75" customHeight="1">
      <c r="A752" s="12" t="inlineStr">
        <is>
          <t>gene_cassette_array</t>
        </is>
      </c>
      <c r="B752" s="12" t="inlineStr">
        <is>
          <t>http://identifiers.org/so/SO:0005854</t>
        </is>
      </c>
      <c r="C752" s="12" t="inlineStr">
        <is>
          <t>['gene cassette']</t>
        </is>
      </c>
      <c r="D752" s="12" t="n"/>
      <c r="E752" s="12" t="n"/>
    </row>
    <row r="753" ht="15.75" customHeight="1">
      <c r="A753" s="12" t="inlineStr">
        <is>
          <t>gene_cassette_member</t>
        </is>
      </c>
      <c r="B753" s="12" t="inlineStr">
        <is>
          <t>http://identifiers.org/so/SO:0005848</t>
        </is>
      </c>
      <c r="C753" s="12" t="inlineStr">
        <is>
          <t>['gene cassette array']</t>
        </is>
      </c>
      <c r="D753" s="12" t="n"/>
      <c r="E753" s="12" t="n"/>
    </row>
    <row r="754" ht="15.75" customHeight="1">
      <c r="A754" s="12" t="inlineStr">
        <is>
          <t>gene_class</t>
        </is>
      </c>
      <c r="B754" s="12" t="inlineStr">
        <is>
          <t>http://identifiers.org/so/SO:0000009</t>
        </is>
      </c>
      <c r="C754" s="12" t="inlineStr">
        <is>
          <t>['gene cassette member']</t>
        </is>
      </c>
      <c r="D754" s="12" t="n"/>
      <c r="E754" s="12" t="n"/>
    </row>
    <row r="755" ht="15.75" customHeight="1">
      <c r="A755" s="12" t="inlineStr">
        <is>
          <t>gene_component_region</t>
        </is>
      </c>
      <c r="B755" s="12" t="inlineStr">
        <is>
          <t>http://identifiers.org/so/SO:0000842</t>
        </is>
      </c>
      <c r="C755" s="12" t="n"/>
      <c r="D755" s="12" t="n"/>
      <c r="E755" s="12" t="n"/>
    </row>
    <row r="756" ht="15.75" customHeight="1">
      <c r="A756" s="12" t="inlineStr">
        <is>
          <t>gene_fragment</t>
        </is>
      </c>
      <c r="B756" s="12" t="inlineStr">
        <is>
          <t>http://identifiers.org/so/SO:0000997</t>
        </is>
      </c>
      <c r="C756" s="12" t="inlineStr">
        <is>
          <t>['gene component region']</t>
        </is>
      </c>
      <c r="D756" s="12" t="n"/>
      <c r="E756" s="12" t="n"/>
    </row>
    <row r="757" ht="15.75" customHeight="1">
      <c r="A757" s="12" t="inlineStr">
        <is>
          <t>gene_fusion</t>
        </is>
      </c>
      <c r="B757" s="12" t="inlineStr">
        <is>
          <t>http://identifiers.org/so/SO:0001565</t>
        </is>
      </c>
      <c r="C757" s="12" t="inlineStr">
        <is>
          <t>['gene fragment']</t>
        </is>
      </c>
      <c r="D757" s="12" t="n"/>
      <c r="E757" s="12" t="n"/>
    </row>
    <row r="758" ht="15.75" customHeight="1">
      <c r="A758" s="12" t="inlineStr">
        <is>
          <t>gene_group</t>
        </is>
      </c>
      <c r="B758" s="12" t="inlineStr">
        <is>
          <t>http://identifiers.org/so/SO:0005855</t>
        </is>
      </c>
      <c r="C758" s="12" t="inlineStr">
        <is>
          <t>['gene fusion']</t>
        </is>
      </c>
      <c r="D758" s="12" t="n"/>
      <c r="E758" s="12" t="n"/>
    </row>
    <row r="759" ht="15.75" customHeight="1">
      <c r="A759" s="12" t="inlineStr">
        <is>
          <t>gene_group_regulatory_region</t>
        </is>
      </c>
      <c r="B759" s="12" t="inlineStr">
        <is>
          <t>http://identifiers.org/so/SO:0000752</t>
        </is>
      </c>
      <c r="C759" s="12" t="inlineStr">
        <is>
          <t>['gene group']</t>
        </is>
      </c>
      <c r="D759" s="12" t="n"/>
      <c r="E759" s="12" t="n"/>
    </row>
    <row r="760" ht="15.75" customHeight="1">
      <c r="A760" s="12" t="inlineStr">
        <is>
          <t>gene_member_region</t>
        </is>
      </c>
      <c r="B760" s="12" t="inlineStr">
        <is>
          <t>http://identifiers.org/so/SO:0000831</t>
        </is>
      </c>
      <c r="C760" s="12" t="inlineStr">
        <is>
          <t>['gene group regulatory region']</t>
        </is>
      </c>
      <c r="D760" s="12" t="n"/>
      <c r="E760" s="12" t="n"/>
    </row>
    <row r="761" ht="15.75" customHeight="1">
      <c r="A761" s="12" t="inlineStr">
        <is>
          <t>gene_not_polyadenylated</t>
        </is>
      </c>
      <c r="B761" s="12" t="inlineStr">
        <is>
          <t>http://identifiers.org/so/SO:0000438</t>
        </is>
      </c>
      <c r="C761" s="12" t="inlineStr">
        <is>
          <t>['gene member region']</t>
        </is>
      </c>
      <c r="D761" s="12" t="n"/>
      <c r="E761" s="12" t="n"/>
    </row>
    <row r="762" ht="15.75" customHeight="1">
      <c r="A762" s="12" t="inlineStr">
        <is>
          <t>gene_part</t>
        </is>
      </c>
      <c r="B762" s="12" t="inlineStr">
        <is>
          <t>http://identifiers.org/so/SO:0000050</t>
        </is>
      </c>
      <c r="C762" s="12" t="n"/>
      <c r="D762" s="12" t="n"/>
      <c r="E762" s="12" t="n"/>
    </row>
    <row r="763" ht="15.75" customHeight="1">
      <c r="A763" s="12" t="inlineStr">
        <is>
          <t>gene_rearranged_at_DNA_level</t>
        </is>
      </c>
      <c r="B763" s="12" t="inlineStr">
        <is>
          <t>http://identifiers.org/so/SO:0000138</t>
        </is>
      </c>
      <c r="C763" s="12" t="n"/>
      <c r="D763" s="12" t="n"/>
      <c r="E763" s="12" t="n"/>
    </row>
    <row r="764" ht="15.75" customHeight="1">
      <c r="A764" s="12" t="inlineStr">
        <is>
          <t>gene_segment</t>
        </is>
      </c>
      <c r="B764" s="12" t="inlineStr">
        <is>
          <t>http://identifiers.org/so/SO:3000000</t>
        </is>
      </c>
      <c r="C764" s="12" t="inlineStr">
        <is>
          <t>['gene rearranged at DNA level']</t>
        </is>
      </c>
      <c r="D764" s="12" t="n"/>
      <c r="E764" s="12" t="n"/>
    </row>
    <row r="765" ht="15.75" customHeight="1">
      <c r="A765" s="12" t="inlineStr">
        <is>
          <t>gene_sensu_your_favorite_organism</t>
        </is>
      </c>
      <c r="B765" s="12" t="inlineStr">
        <is>
          <t>http://identifiers.org/so/SO:0000008</t>
        </is>
      </c>
      <c r="C765" s="12" t="inlineStr">
        <is>
          <t>['gene segment']</t>
        </is>
      </c>
      <c r="D765" s="12" t="n"/>
      <c r="E765" s="12" t="n"/>
    </row>
    <row r="766" ht="15.75" customHeight="1">
      <c r="A766" s="12" t="inlineStr">
        <is>
          <t>gene_silenced_by_DNA_methylation</t>
        </is>
      </c>
      <c r="B766" s="12" t="inlineStr">
        <is>
          <t>http://identifiers.org/so/SO:0000129</t>
        </is>
      </c>
      <c r="C766" s="12" t="n"/>
      <c r="D766" s="12" t="n"/>
      <c r="E766" s="12" t="n"/>
    </row>
    <row r="767" ht="15.75" customHeight="1">
      <c r="A767" s="12" t="inlineStr">
        <is>
          <t>gene_silenced_by_DNA_modification</t>
        </is>
      </c>
      <c r="B767" s="12" t="inlineStr">
        <is>
          <t>http://identifiers.org/so/SO:0000128</t>
        </is>
      </c>
      <c r="C767" s="12" t="inlineStr">
        <is>
          <t>['gene silenced by DNA methylation', 'methylation-silenced gene']</t>
        </is>
      </c>
      <c r="D767" s="12" t="n"/>
      <c r="E767" s="12" t="n"/>
    </row>
    <row r="768" ht="15.75" customHeight="1">
      <c r="A768" s="12" t="inlineStr">
        <is>
          <t>gene_silenced_by_histone_deacetylation</t>
        </is>
      </c>
      <c r="B768" s="12" t="inlineStr">
        <is>
          <t>http://identifiers.org/so/SO:0001227</t>
        </is>
      </c>
      <c r="C768" s="12" t="inlineStr">
        <is>
          <t>['gene silenced by DNA modification']</t>
        </is>
      </c>
      <c r="D768" s="12" t="n"/>
      <c r="E768" s="12" t="n"/>
    </row>
    <row r="769" ht="15.75" customHeight="1">
      <c r="A769" s="12" t="inlineStr">
        <is>
          <t>gene_silenced_by_histone_methylation</t>
        </is>
      </c>
      <c r="B769" s="12" t="inlineStr">
        <is>
          <t>http://identifiers.org/so/SO:0001226</t>
        </is>
      </c>
      <c r="C769" s="12" t="inlineStr">
        <is>
          <t>['gene silenced by histone deacetylation']</t>
        </is>
      </c>
      <c r="D769" s="12" t="n"/>
      <c r="E769" s="12" t="n"/>
    </row>
    <row r="770" ht="15.75" customHeight="1">
      <c r="A770" s="12" t="inlineStr">
        <is>
          <t>gene_silenced_by_histone_modification</t>
        </is>
      </c>
      <c r="B770" s="12" t="inlineStr">
        <is>
          <t>http://identifiers.org/so/SO:0001225</t>
        </is>
      </c>
      <c r="C770" s="12" t="inlineStr">
        <is>
          <t>['gene silenced by histone methylation']</t>
        </is>
      </c>
      <c r="D770" s="12" t="n"/>
      <c r="E770" s="12" t="n"/>
    </row>
    <row r="771" ht="15.75" customHeight="1">
      <c r="A771" s="12" t="inlineStr">
        <is>
          <t>gene_silenced_by_RNA_interference</t>
        </is>
      </c>
      <c r="B771" s="12" t="inlineStr">
        <is>
          <t>http://identifiers.org/so/SO:0001224</t>
        </is>
      </c>
      <c r="C771" s="12" t="inlineStr">
        <is>
          <t>['gene silenced by histone modification']</t>
        </is>
      </c>
      <c r="D771" s="12" t="n"/>
      <c r="E771" s="12" t="n"/>
    </row>
    <row r="772" ht="15.75" customHeight="1">
      <c r="A772" s="12" t="inlineStr">
        <is>
          <t>gene_subarray</t>
        </is>
      </c>
      <c r="B772" s="12" t="inlineStr">
        <is>
          <t>http://identifiers.org/so/SO:0005852</t>
        </is>
      </c>
      <c r="C772" s="12" t="inlineStr">
        <is>
          <t>['RNA interference silenced gene', 'RNAi silenced gene', 'gene silenced by RNA interference']</t>
        </is>
      </c>
      <c r="D772" s="12" t="n"/>
      <c r="E772" s="12" t="n"/>
    </row>
    <row r="773" ht="15.75" customHeight="1">
      <c r="A773" s="12" t="inlineStr">
        <is>
          <t>gene_subarray_member</t>
        </is>
      </c>
      <c r="B773" s="12" t="inlineStr">
        <is>
          <t>http://identifiers.org/so/SO:0005849</t>
        </is>
      </c>
      <c r="C773" s="12" t="inlineStr">
        <is>
          <t>['gene subarray']</t>
        </is>
      </c>
      <c r="D773" s="12" t="n"/>
      <c r="E773" s="12" t="n"/>
    </row>
    <row r="774" ht="15.75" customHeight="1">
      <c r="A774" s="12" t="inlineStr">
        <is>
          <t>gene_to_gene_feature</t>
        </is>
      </c>
      <c r="B774" s="12" t="inlineStr">
        <is>
          <t>http://identifiers.org/so/SO:0000067</t>
        </is>
      </c>
      <c r="C774" s="12" t="inlineStr">
        <is>
          <t>['gene subarray member']</t>
        </is>
      </c>
      <c r="D774" s="12" t="n"/>
      <c r="E774" s="12" t="n"/>
    </row>
    <row r="775" ht="15.75" customHeight="1">
      <c r="A775" s="12" t="inlineStr">
        <is>
          <t>gene_trap_construct</t>
        </is>
      </c>
      <c r="B775" s="12" t="inlineStr">
        <is>
          <t>http://identifiers.org/so/SO:0001477</t>
        </is>
      </c>
      <c r="C775" s="12" t="inlineStr">
        <is>
          <t>['gene to gene feature']</t>
        </is>
      </c>
      <c r="D775" s="12" t="n"/>
      <c r="E775" s="12" t="n"/>
    </row>
    <row r="776" ht="15.75" customHeight="1">
      <c r="A776" s="12" t="inlineStr">
        <is>
          <t>gene_variant</t>
        </is>
      </c>
      <c r="B776" s="12" t="inlineStr">
        <is>
          <t>http://identifiers.org/so/SO:0001564</t>
        </is>
      </c>
      <c r="C776" s="12" t="inlineStr">
        <is>
          <t>['gene trap construct']</t>
        </is>
      </c>
      <c r="D776" s="12" t="n"/>
      <c r="E776" s="12" t="n"/>
    </row>
    <row r="777" ht="15.75" customHeight="1">
      <c r="A777" s="12" t="inlineStr">
        <is>
          <t>gene_with_dicistronic_mRNA</t>
        </is>
      </c>
      <c r="B777" s="12" t="inlineStr">
        <is>
          <t>http://identifiers.org/so/SO:0000722</t>
        </is>
      </c>
      <c r="C777" s="12" t="inlineStr">
        <is>
          <t>['Jannovar:gene_variant', 'snpEff:GENE', 'VAAST:gene_variant', 'gene structure variant']</t>
        </is>
      </c>
      <c r="D777" s="12" t="n"/>
      <c r="E777" s="12" t="n"/>
    </row>
    <row r="778" ht="15.75" customHeight="1">
      <c r="A778" s="12" t="inlineStr">
        <is>
          <t>gene_with_dicistronic_primary_transcript</t>
        </is>
      </c>
      <c r="B778" s="12" t="inlineStr">
        <is>
          <t>http://identifiers.org/so/SO:0000721</t>
        </is>
      </c>
      <c r="C778" s="12" t="inlineStr">
        <is>
          <t>['gene with dicistronic mRNA', 'gene with dicistronic processed transcript']</t>
        </is>
      </c>
      <c r="D778" s="12" t="n"/>
      <c r="E778" s="12" t="n"/>
    </row>
    <row r="779" ht="15.75" customHeight="1">
      <c r="A779" s="12" t="inlineStr">
        <is>
          <t>gene_with_dicistronic_transcript</t>
        </is>
      </c>
      <c r="B779" s="12" t="inlineStr">
        <is>
          <t>http://identifiers.org/so/SO:0000692</t>
        </is>
      </c>
      <c r="C779" s="12" t="inlineStr">
        <is>
          <t>['gene with dicistronic primary transcript']</t>
        </is>
      </c>
      <c r="D779" s="12" t="n"/>
      <c r="E779" s="12" t="n"/>
    </row>
    <row r="780" ht="15.75" customHeight="1">
      <c r="A780" s="12" t="inlineStr">
        <is>
          <t>gene_with_edited_transcript</t>
        </is>
      </c>
      <c r="B780" s="12" t="inlineStr">
        <is>
          <t>http://identifiers.org/so/SO:0000548</t>
        </is>
      </c>
      <c r="C780" s="12" t="inlineStr">
        <is>
          <t>['gene with dicistronic transcript']</t>
        </is>
      </c>
      <c r="D780" s="12" t="n"/>
      <c r="E780" s="12" t="n"/>
    </row>
    <row r="781" ht="15.75" customHeight="1">
      <c r="A781" s="12" t="inlineStr">
        <is>
          <t>gene_with_mRNA_recoded_by_translational_bypass</t>
        </is>
      </c>
      <c r="B781" s="12" t="inlineStr">
        <is>
          <t>http://identifiers.org/so/SO:0000711</t>
        </is>
      </c>
      <c r="C781" s="12" t="inlineStr">
        <is>
          <t>['gene with edited transcript']</t>
        </is>
      </c>
      <c r="D781" s="12" t="n"/>
      <c r="E781" s="12" t="n"/>
    </row>
    <row r="782" ht="15.75" customHeight="1">
      <c r="A782" s="12" t="inlineStr">
        <is>
          <t>gene_with_mRNA_with_frameshift</t>
        </is>
      </c>
      <c r="B782" s="12" t="inlineStr">
        <is>
          <t>http://identifiers.org/so/SO:0000455</t>
        </is>
      </c>
      <c r="C782" s="12" t="inlineStr">
        <is>
          <t>['gene with mRNA recoded by translational bypass']</t>
        </is>
      </c>
      <c r="D782" s="12" t="n"/>
      <c r="E782" s="12" t="n"/>
    </row>
    <row r="783" ht="15.75" customHeight="1">
      <c r="A783" s="12" t="inlineStr">
        <is>
          <t>gene_with_non_canonical_start_codon</t>
        </is>
      </c>
      <c r="B783" s="12" t="inlineStr">
        <is>
          <t>http://identifiers.org/so/SO:0001739</t>
        </is>
      </c>
      <c r="C783" s="12" t="inlineStr">
        <is>
          <t>['gene with mRNA with frameshift']</t>
        </is>
      </c>
      <c r="D783" s="12" t="n"/>
      <c r="E783" s="12" t="n"/>
    </row>
    <row r="784" ht="15.75" customHeight="1">
      <c r="A784" s="12" t="inlineStr">
        <is>
          <t>gene_with_polyadenylated_mRNA</t>
        </is>
      </c>
      <c r="B784" s="12" t="inlineStr">
        <is>
          <t>http://identifiers.org/so/SO:0000451</t>
        </is>
      </c>
      <c r="C784" s="12" t="inlineStr">
        <is>
          <t>['gene with non canonical start codon']</t>
        </is>
      </c>
      <c r="D784" s="12" t="n"/>
      <c r="E784" s="12" t="n"/>
    </row>
    <row r="785" ht="15.75" customHeight="1">
      <c r="A785" s="12" t="inlineStr">
        <is>
          <t>gene_with_polycistronic_transcript</t>
        </is>
      </c>
      <c r="B785" s="12" t="inlineStr">
        <is>
          <t>http://identifiers.org/so/SO:0000690</t>
        </is>
      </c>
      <c r="C785" s="12" t="inlineStr">
        <is>
          <t>['gene with polyadenylated mRNA']</t>
        </is>
      </c>
      <c r="D785" s="12" t="n"/>
      <c r="E785" s="12" t="n"/>
    </row>
    <row r="786" ht="15.75" customHeight="1">
      <c r="A786" s="12" t="inlineStr">
        <is>
          <t>gene_with_recoded_mRNA</t>
        </is>
      </c>
      <c r="B786" s="12" t="inlineStr">
        <is>
          <t>http://identifiers.org/so/SO:0000693</t>
        </is>
      </c>
      <c r="C786" s="12" t="inlineStr">
        <is>
          <t>['gene with polycistronic transcript']</t>
        </is>
      </c>
      <c r="D786" s="12" t="n"/>
      <c r="E786" s="12" t="n"/>
    </row>
    <row r="787" ht="15.75" customHeight="1">
      <c r="A787" s="12" t="inlineStr">
        <is>
          <t>gene_with_start_codon_CUG</t>
        </is>
      </c>
      <c r="B787" s="12" t="inlineStr">
        <is>
          <t>http://identifiers.org/so/SO:0001740</t>
        </is>
      </c>
      <c r="C787" s="12" t="inlineStr">
        <is>
          <t>['gene with recoded mRNA']</t>
        </is>
      </c>
      <c r="D787" s="12" t="n"/>
      <c r="E787" s="12" t="n"/>
    </row>
    <row r="788" ht="15.75" customHeight="1">
      <c r="A788" s="12" t="inlineStr">
        <is>
          <t>gene_with_stop_codon_read_through</t>
        </is>
      </c>
      <c r="B788" s="12" t="inlineStr">
        <is>
          <t>http://identifiers.org/so/SO:0000697</t>
        </is>
      </c>
      <c r="C788" s="12" t="inlineStr">
        <is>
          <t>['gene with start codon CUG']</t>
        </is>
      </c>
      <c r="D788" s="12" t="n"/>
      <c r="E788" s="12" t="n"/>
    </row>
    <row r="789" ht="15.75" customHeight="1">
      <c r="A789" s="12" t="inlineStr">
        <is>
          <t>gene_with_stop_codon_redefined_as_pyrrolysine</t>
        </is>
      </c>
      <c r="B789" s="12" t="inlineStr">
        <is>
          <t>http://identifiers.org/so/SO:0000698</t>
        </is>
      </c>
      <c r="C789" s="12" t="inlineStr">
        <is>
          <t>['gene with stop codon read through']</t>
        </is>
      </c>
      <c r="D789" s="12" t="n"/>
      <c r="E789" s="12" t="n"/>
    </row>
    <row r="790" ht="15.75" customHeight="1">
      <c r="A790" s="12" t="inlineStr">
        <is>
          <t>gene_with_stop_codon_redefined_as_selenocysteine</t>
        </is>
      </c>
      <c r="B790" s="12" t="inlineStr">
        <is>
          <t>http://identifiers.org/so/SO:0000710</t>
        </is>
      </c>
      <c r="C790" s="12" t="inlineStr">
        <is>
          <t>['gene with stop codon redefined as pyrrolysine']</t>
        </is>
      </c>
      <c r="D790" s="12" t="n"/>
      <c r="E790" s="12" t="n"/>
    </row>
    <row r="791" ht="15.75" customHeight="1">
      <c r="A791" s="12" t="inlineStr">
        <is>
          <t>gene_with_trans_spliced_transcript</t>
        </is>
      </c>
      <c r="B791" s="12" t="inlineStr">
        <is>
          <t>http://identifiers.org/so/SO:0000459</t>
        </is>
      </c>
      <c r="C791" s="12" t="inlineStr">
        <is>
          <t>['gene with stop codon redefined as selenocysteine']</t>
        </is>
      </c>
      <c r="D791" s="12" t="n"/>
      <c r="E791" s="12" t="n"/>
    </row>
    <row r="792" ht="15.75" customHeight="1">
      <c r="A792" s="12" t="inlineStr">
        <is>
          <t>gene_with_transcript_with_translational_frameshift</t>
        </is>
      </c>
      <c r="B792" s="12" t="inlineStr">
        <is>
          <t>http://identifiers.org/so/SO:0000712</t>
        </is>
      </c>
      <c r="C792" s="12" t="inlineStr">
        <is>
          <t>['gene with trans spliced transcript']</t>
        </is>
      </c>
      <c r="D792" s="12" t="n"/>
      <c r="E792" s="12" t="n"/>
    </row>
    <row r="793" ht="15.75" customHeight="1">
      <c r="A793" s="12" t="inlineStr">
        <is>
          <t>genetic_marker</t>
        </is>
      </c>
      <c r="B793" s="12" t="inlineStr">
        <is>
          <t>http://identifiers.org/so/SO:0001645</t>
        </is>
      </c>
      <c r="C793" s="12" t="inlineStr">
        <is>
          <t>['gene with transcript with translational frameshift']</t>
        </is>
      </c>
      <c r="D793" s="12" t="n"/>
      <c r="E793" s="12" t="n"/>
    </row>
    <row r="794" ht="15.75" customHeight="1">
      <c r="A794" s="12" t="inlineStr">
        <is>
          <t>genic_downstream_transcript_variant</t>
        </is>
      </c>
      <c r="B794" s="12" t="inlineStr">
        <is>
          <t>http://identifiers.org/so/SO:0002152</t>
        </is>
      </c>
      <c r="C794" s="12" t="inlineStr">
        <is>
          <t>['genetic marker']</t>
        </is>
      </c>
      <c r="D794" s="12" t="n"/>
      <c r="E794" s="12" t="n"/>
    </row>
    <row r="795" ht="15.75" customHeight="1">
      <c r="A795" s="12" t="inlineStr">
        <is>
          <t>genic_upstream_transcript_variant</t>
        </is>
      </c>
      <c r="B795" s="12" t="inlineStr">
        <is>
          <t>http://identifiers.org/so/SO:0002153</t>
        </is>
      </c>
      <c r="C795" s="12" t="inlineStr">
        <is>
          <t>["genic 3' transcript variant", 'genic downstream transcript variant', 'genic 3 prime transcript variant']</t>
        </is>
      </c>
      <c r="D795" s="12" t="n"/>
      <c r="E795" s="12" t="n"/>
    </row>
    <row r="796" ht="15.75" customHeight="1">
      <c r="A796" s="12" t="inlineStr">
        <is>
          <t>genome</t>
        </is>
      </c>
      <c r="B796" s="12" t="inlineStr">
        <is>
          <t>http://identifiers.org/so/SO:0001026</t>
        </is>
      </c>
      <c r="C796" s="12" t="inlineStr">
        <is>
          <t>['genic 5 prime transcript variant', 'genic upstream transcript variant', "genic 5' transcript variant"]</t>
        </is>
      </c>
      <c r="D796" s="12" t="n"/>
      <c r="E796" s="12" t="n"/>
    </row>
    <row r="797" ht="15.75" customHeight="1">
      <c r="A797" s="12" t="inlineStr">
        <is>
          <t>genomic_clone</t>
        </is>
      </c>
      <c r="B797" s="12" t="inlineStr">
        <is>
          <t>http://identifiers.org/so/SO:0000040</t>
        </is>
      </c>
      <c r="C797" s="12" t="n"/>
      <c r="D797" s="12" t="n"/>
      <c r="E797" s="12" t="n"/>
    </row>
    <row r="798" ht="15.75" customHeight="1">
      <c r="A798" s="12" t="inlineStr">
        <is>
          <t>genomic_DNA</t>
        </is>
      </c>
      <c r="B798" s="12" t="inlineStr">
        <is>
          <t>http://identifiers.org/so/SO:0000991</t>
        </is>
      </c>
      <c r="C798" s="12" t="inlineStr">
        <is>
          <t>['genomic clone']</t>
        </is>
      </c>
      <c r="D798" s="12" t="n"/>
      <c r="E798" s="12" t="n"/>
    </row>
    <row r="799" ht="15.75" customHeight="1">
      <c r="A799" s="12" t="inlineStr">
        <is>
          <t>genomic_DNA_contig</t>
        </is>
      </c>
      <c r="B799" s="12" t="inlineStr">
        <is>
          <t>http://identifiers.org/so/SO:0002209</t>
        </is>
      </c>
      <c r="C799" s="12" t="inlineStr">
        <is>
          <t>['gDNA', 'genomic DNA']</t>
        </is>
      </c>
      <c r="D799" s="12" t="n"/>
      <c r="E799" s="12" t="n"/>
    </row>
    <row r="800" ht="15.75" customHeight="1">
      <c r="A800" s="12" t="inlineStr">
        <is>
          <t>genomic_DNA_read</t>
        </is>
      </c>
      <c r="B800" s="12" t="inlineStr">
        <is>
          <t>http://identifiers.org/so/SO:0001828</t>
        </is>
      </c>
      <c r="C800" s="12" t="inlineStr">
        <is>
          <t>['genomic DNA contig', 'gDNA contig', 'gDNA_contig']</t>
        </is>
      </c>
      <c r="D800" s="12" t="n"/>
      <c r="E800" s="12" t="n"/>
    </row>
    <row r="801" ht="15.75" customHeight="1">
      <c r="A801" s="12" t="inlineStr">
        <is>
          <t>genomic_island</t>
        </is>
      </c>
      <c r="B801" s="12" t="inlineStr">
        <is>
          <t>http://identifiers.org/so/SO:0000772</t>
        </is>
      </c>
      <c r="C801" s="12" t="inlineStr">
        <is>
          <t>['gDNA_read', 'genomic DNA read', 'gDNA read']</t>
        </is>
      </c>
      <c r="D801" s="12" t="n"/>
      <c r="E801" s="12" t="n"/>
    </row>
    <row r="802" ht="15.75" customHeight="1">
      <c r="A802" s="12" t="inlineStr">
        <is>
          <t>genomically_contaminated_cDNA_clone</t>
        </is>
      </c>
      <c r="B802" s="12" t="inlineStr">
        <is>
          <t>http://identifiers.org/so/SO:0000811</t>
        </is>
      </c>
      <c r="C802" s="12" t="inlineStr">
        <is>
          <t>['genomic island']</t>
        </is>
      </c>
      <c r="D802" s="12" t="n"/>
      <c r="E802" s="12" t="n"/>
    </row>
    <row r="803" ht="15.75" customHeight="1">
      <c r="A803" s="12" t="inlineStr">
        <is>
          <t>genomically_imprinted</t>
        </is>
      </c>
      <c r="B803" s="12" t="inlineStr">
        <is>
          <t>http://identifiers.org/so/SO:0000134</t>
        </is>
      </c>
      <c r="C803" s="12" t="inlineStr">
        <is>
          <t>['genomically contaminated cDNA clone']</t>
        </is>
      </c>
      <c r="D803" s="12" t="n"/>
      <c r="E803" s="12" t="n"/>
    </row>
    <row r="804" ht="15.75" customHeight="1">
      <c r="A804" s="12" t="inlineStr">
        <is>
          <t>genotype</t>
        </is>
      </c>
      <c r="B804" s="12" t="inlineStr">
        <is>
          <t>http://identifiers.org/so/SO:0001027</t>
        </is>
      </c>
      <c r="C804" s="12" t="inlineStr">
        <is>
          <t>['genomically imprinted', 'imprinted']</t>
        </is>
      </c>
      <c r="D804" s="12" t="n"/>
      <c r="E804" s="12" t="n"/>
    </row>
    <row r="805" ht="15.75" customHeight="1">
      <c r="A805" s="12" t="inlineStr">
        <is>
          <t>germline_variant</t>
        </is>
      </c>
      <c r="B805" s="12" t="inlineStr">
        <is>
          <t>http://identifiers.org/so/SO:0001778</t>
        </is>
      </c>
      <c r="C805" s="12" t="n"/>
      <c r="D805" s="12" t="n"/>
      <c r="E805" s="12" t="n"/>
    </row>
    <row r="806" ht="15.75" customHeight="1">
      <c r="A806" s="12" t="inlineStr">
        <is>
          <t>glutamic_acid</t>
        </is>
      </c>
      <c r="B806" s="12" t="inlineStr">
        <is>
          <t>http://identifiers.org/so/SO:0001454</t>
        </is>
      </c>
      <c r="C806" s="12" t="inlineStr">
        <is>
          <t>['germline variant']</t>
        </is>
      </c>
      <c r="D806" s="12" t="n"/>
      <c r="E806" s="12" t="n"/>
    </row>
    <row r="807" ht="15.75" customHeight="1">
      <c r="A807" s="12" t="inlineStr">
        <is>
          <t>glutamic_acid_tRNA_primary_transcript</t>
        </is>
      </c>
      <c r="B807" s="12" t="inlineStr">
        <is>
          <t>http://identifiers.org/so/SO:0000216</t>
        </is>
      </c>
      <c r="C807" s="12" t="inlineStr">
        <is>
          <t>['glutamic acid', 'E', 'Glu']</t>
        </is>
      </c>
      <c r="D807" s="12" t="n"/>
      <c r="E807" s="12" t="n"/>
    </row>
    <row r="808" ht="15.75" customHeight="1">
      <c r="A808" s="12" t="inlineStr">
        <is>
          <t>glutamine</t>
        </is>
      </c>
      <c r="B808" s="12" t="inlineStr">
        <is>
          <t>http://identifiers.org/so/SO:0001448</t>
        </is>
      </c>
      <c r="C808" s="12" t="inlineStr">
        <is>
          <t>['glutamic acid tRNA primary transcript']</t>
        </is>
      </c>
      <c r="D808" s="12" t="n"/>
      <c r="E808" s="12" t="n"/>
    </row>
    <row r="809" ht="15.75" customHeight="1">
      <c r="A809" s="12" t="inlineStr">
        <is>
          <t>glutamine_tRNA_primary_transcript</t>
        </is>
      </c>
      <c r="B809" s="12" t="inlineStr">
        <is>
          <t>http://identifiers.org/so/SO:0000217</t>
        </is>
      </c>
      <c r="C809" s="12" t="inlineStr">
        <is>
          <t>['Gln', 'Q']</t>
        </is>
      </c>
      <c r="D809" s="12" t="n"/>
      <c r="E809" s="12" t="n"/>
    </row>
    <row r="810" ht="15.75" customHeight="1">
      <c r="A810" s="12" t="inlineStr">
        <is>
          <t>glutaminyl_tRNA</t>
        </is>
      </c>
      <c r="B810" s="12" t="inlineStr">
        <is>
          <t>http://identifiers.org/so/SO:0000259</t>
        </is>
      </c>
      <c r="C810" s="12" t="inlineStr">
        <is>
          <t>['glutamine tRNA primary transcript']</t>
        </is>
      </c>
      <c r="D810" s="12" t="n"/>
      <c r="E810" s="12" t="n"/>
    </row>
    <row r="811" ht="15.75" customHeight="1">
      <c r="A811" s="12" t="inlineStr">
        <is>
          <t>glutamyl_tRNA</t>
        </is>
      </c>
      <c r="B811" s="12" t="inlineStr">
        <is>
          <t>http://identifiers.org/so/SO:0000260</t>
        </is>
      </c>
      <c r="C811" s="12" t="inlineStr">
        <is>
          <t>['glutaminyl-transfer ribonucleic acid', 'glutaminyl-transfer RNA', 'glutaminyl tRNA']</t>
        </is>
      </c>
      <c r="D811" s="12" t="n"/>
      <c r="E811" s="12" t="n"/>
    </row>
    <row r="812" ht="15.75" customHeight="1">
      <c r="A812" s="12" t="inlineStr">
        <is>
          <t>glycine</t>
        </is>
      </c>
      <c r="B812" s="12" t="inlineStr">
        <is>
          <t>http://identifiers.org/so/SO:0001443</t>
        </is>
      </c>
      <c r="C812" s="12" t="inlineStr">
        <is>
          <t>['glutamyl-transfer ribonucleic acid', 'glutamyl-transfer RNA', 'glutamyl tRNA']</t>
        </is>
      </c>
      <c r="D812" s="12" t="n"/>
      <c r="E812" s="12" t="n"/>
    </row>
    <row r="813" ht="15.75" customHeight="1">
      <c r="A813" s="12" t="inlineStr">
        <is>
          <t>glycine_tRNA_primary_transcript</t>
        </is>
      </c>
      <c r="B813" s="12" t="inlineStr">
        <is>
          <t>http://identifiers.org/so/SO:0000218</t>
        </is>
      </c>
      <c r="C813" s="12" t="inlineStr">
        <is>
          <t>['G', 'Gly']</t>
        </is>
      </c>
      <c r="D813" s="12" t="n"/>
      <c r="E813" s="12" t="n"/>
    </row>
    <row r="814" ht="15.75" customHeight="1">
      <c r="A814" s="12" t="inlineStr">
        <is>
          <t>glycyl_tRNA</t>
        </is>
      </c>
      <c r="B814" s="12" t="inlineStr">
        <is>
          <t>http://identifiers.org/so/SO:0000261</t>
        </is>
      </c>
      <c r="C814" s="12" t="inlineStr">
        <is>
          <t>['glycine tRNA primary transcript']</t>
        </is>
      </c>
      <c r="D814" s="12" t="n"/>
      <c r="E814" s="12" t="n"/>
    </row>
    <row r="815" ht="15.75" customHeight="1">
      <c r="A815" s="12" t="inlineStr">
        <is>
          <t>GNA</t>
        </is>
      </c>
      <c r="B815" s="12" t="inlineStr">
        <is>
          <t>http://identifiers.org/so/SO:0001192</t>
        </is>
      </c>
      <c r="C815" s="12" t="inlineStr">
        <is>
          <t>['glycyl-transfer ribonucleic acid', 'glycyl tRNA', 'glycyl-transfer RNA']</t>
        </is>
      </c>
      <c r="D815" s="12" t="n"/>
      <c r="E815" s="12" t="n"/>
    </row>
    <row r="816" ht="15.75" customHeight="1">
      <c r="A816" s="12" t="inlineStr">
        <is>
          <t>GNA_oligo</t>
        </is>
      </c>
      <c r="B816" s="12" t="inlineStr">
        <is>
          <t>http://identifiers.org/so/SO:0001193</t>
        </is>
      </c>
      <c r="C816" s="12" t="n"/>
      <c r="D816" s="12" t="n"/>
      <c r="E816" s="12" t="n"/>
    </row>
    <row r="817" ht="15.75" customHeight="1">
      <c r="A817" s="12" t="inlineStr">
        <is>
          <t>golden_path</t>
        </is>
      </c>
      <c r="B817" s="12" t="inlineStr">
        <is>
          <t>http://identifiers.org/so/SO:0000688</t>
        </is>
      </c>
      <c r="C817" s="12" t="inlineStr">
        <is>
          <t>['glycol nucleic acid', 'glycerol nucleic acid', 'GNA oligo']</t>
        </is>
      </c>
      <c r="D817" s="12" t="n"/>
      <c r="E817" s="12" t="n"/>
    </row>
    <row r="818" ht="15.75" customHeight="1">
      <c r="A818" s="12" t="inlineStr">
        <is>
          <t>golden_path_fragment</t>
        </is>
      </c>
      <c r="B818" s="12" t="inlineStr">
        <is>
          <t>http://identifiers.org/so/SO:0000468</t>
        </is>
      </c>
      <c r="C818" s="12" t="inlineStr">
        <is>
          <t>['golden path']</t>
        </is>
      </c>
      <c r="D818" s="12" t="n"/>
      <c r="E818" s="12" t="n"/>
    </row>
    <row r="819" ht="15.75" customHeight="1">
      <c r="A819" s="12" t="inlineStr">
        <is>
          <t>gRNA_encoding</t>
        </is>
      </c>
      <c r="B819" s="12" t="inlineStr">
        <is>
          <t>http://identifiers.org/so/SO:0000979</t>
        </is>
      </c>
      <c r="C819" s="12" t="inlineStr">
        <is>
          <t>['golden path fragment']</t>
        </is>
      </c>
      <c r="D819" s="12" t="n"/>
      <c r="E819" s="12" t="n"/>
    </row>
    <row r="820" ht="15.75" customHeight="1">
      <c r="A820" s="12" t="inlineStr">
        <is>
          <t>gRNA_gene</t>
        </is>
      </c>
      <c r="B820" s="12" t="inlineStr">
        <is>
          <t>http://identifiers.org/so/SO:0001264</t>
        </is>
      </c>
      <c r="C820" s="12" t="inlineStr">
        <is>
          <t>['gRNA encoding']</t>
        </is>
      </c>
      <c r="D820" s="12" t="n"/>
      <c r="E820" s="12" t="n"/>
    </row>
    <row r="821" ht="15.75" customHeight="1">
      <c r="A821" s="12" t="inlineStr">
        <is>
          <t>group_1_intron_homing_endonuclease_target_region</t>
        </is>
      </c>
      <c r="B821" s="12" t="inlineStr">
        <is>
          <t>http://identifiers.org/so/SO:0000354</t>
        </is>
      </c>
      <c r="C821" s="12" t="inlineStr">
        <is>
          <t>['gRNA gene']</t>
        </is>
      </c>
      <c r="D821" s="12" t="n"/>
      <c r="E821" s="12" t="n"/>
    </row>
    <row r="822" ht="15.75" customHeight="1">
      <c r="A822" s="12" t="inlineStr">
        <is>
          <t>group_I_intron</t>
        </is>
      </c>
      <c r="B822" s="12" t="inlineStr">
        <is>
          <t>http://identifiers.org/so/SO:0000587</t>
        </is>
      </c>
      <c r="C822" s="12" t="inlineStr">
        <is>
          <t>['group 1 intron homing endonuclease target region']</t>
        </is>
      </c>
      <c r="D822" s="12" t="n"/>
      <c r="E822" s="12" t="n"/>
    </row>
    <row r="823" ht="15.75" customHeight="1">
      <c r="A823" s="12" t="inlineStr">
        <is>
          <t>group_II_intron</t>
        </is>
      </c>
      <c r="B823" s="12" t="inlineStr">
        <is>
          <t>http://identifiers.org/so/SO:0000603</t>
        </is>
      </c>
      <c r="C823" s="12" t="inlineStr">
        <is>
          <t>['group I intron']</t>
        </is>
      </c>
      <c r="D823" s="12" t="n"/>
      <c r="E823" s="12" t="n"/>
    </row>
    <row r="824" ht="15.75" customHeight="1">
      <c r="A824" s="12" t="inlineStr">
        <is>
          <t>group_IIA_intron</t>
        </is>
      </c>
      <c r="B824" s="12" t="inlineStr">
        <is>
          <t>http://identifiers.org/so/SO:0000381</t>
        </is>
      </c>
      <c r="C824" s="12" t="inlineStr">
        <is>
          <t>['group II intron']</t>
        </is>
      </c>
      <c r="D824" s="12" t="n"/>
      <c r="E824" s="12" t="n"/>
    </row>
    <row r="825" ht="15.75" customHeight="1">
      <c r="A825" s="12" t="inlineStr">
        <is>
          <t>group_IIB_intron</t>
        </is>
      </c>
      <c r="B825" s="12" t="inlineStr">
        <is>
          <t>http://identifiers.org/so/SO:0000382</t>
        </is>
      </c>
      <c r="C825" s="12" t="inlineStr">
        <is>
          <t>['group IIA intron']</t>
        </is>
      </c>
      <c r="D825" s="12" t="n"/>
      <c r="E825" s="12" t="n"/>
    </row>
    <row r="826" ht="15.75" customHeight="1">
      <c r="A826" s="12" t="inlineStr">
        <is>
          <t>group_IIC_intron</t>
        </is>
      </c>
      <c r="B826" s="12" t="inlineStr">
        <is>
          <t>http://identifiers.org/so/SO:0002226</t>
        </is>
      </c>
      <c r="C826" s="12" t="inlineStr">
        <is>
          <t>['group IIB intron']</t>
        </is>
      </c>
      <c r="D826" s="12" t="n"/>
      <c r="E826" s="12" t="n"/>
    </row>
    <row r="827" ht="15.75" customHeight="1">
      <c r="A827" s="12" t="inlineStr">
        <is>
          <t>group_III_intron</t>
        </is>
      </c>
      <c r="B827" s="12" t="inlineStr">
        <is>
          <t>http://identifiers.org/so/SO:0001213</t>
        </is>
      </c>
      <c r="C827" s="12" t="inlineStr">
        <is>
          <t>['group IIB intron']</t>
        </is>
      </c>
      <c r="D827" s="12" t="n"/>
      <c r="E827" s="12" t="n"/>
    </row>
    <row r="828" ht="15.75" customHeight="1">
      <c r="A828" s="12" t="inlineStr">
        <is>
          <t>GT_dinucleotide_repeat</t>
        </is>
      </c>
      <c r="B828" s="12" t="inlineStr">
        <is>
          <t>http://identifiers.org/so/SO:0001862</t>
        </is>
      </c>
      <c r="C828" s="12" t="inlineStr">
        <is>
          <t>['group III intron']</t>
        </is>
      </c>
      <c r="D828" s="12" t="n"/>
      <c r="E828" s="12" t="n"/>
    </row>
    <row r="829" ht="15.75" customHeight="1">
      <c r="A829" s="12" t="inlineStr">
        <is>
          <t>GTT_trinucleotide_repeat</t>
        </is>
      </c>
      <c r="B829" s="12" t="inlineStr">
        <is>
          <t>http://identifiers.org/so/SO:0001863</t>
        </is>
      </c>
      <c r="C829" s="12" t="inlineStr">
        <is>
          <t>['d(GT)n']</t>
        </is>
      </c>
      <c r="D829" s="12" t="n"/>
      <c r="E829" s="12" t="n"/>
    </row>
    <row r="830" ht="15.75" customHeight="1">
      <c r="A830" s="12" t="inlineStr">
        <is>
          <t>guide_RNA</t>
        </is>
      </c>
      <c r="B830" s="12" t="inlineStr">
        <is>
          <t>http://identifiers.org/so/SO:0000602</t>
        </is>
      </c>
      <c r="C830" s="12" t="inlineStr">
        <is>
          <t>['d(GTT)']</t>
        </is>
      </c>
      <c r="D830" s="12" t="n"/>
      <c r="E830" s="12" t="n"/>
    </row>
    <row r="831" ht="15.75" customHeight="1">
      <c r="A831" s="12" t="inlineStr">
        <is>
          <t>guide_RNA_region</t>
        </is>
      </c>
      <c r="B831" s="12" t="inlineStr">
        <is>
          <t>http://identifiers.org/so/SO:0000930</t>
        </is>
      </c>
      <c r="C831" s="12" t="inlineStr">
        <is>
          <t>['INSDC_feature:ncRNA', 'gRNA', 'INSDC_qualifier:guide_RNA', 'guide RNA']</t>
        </is>
      </c>
      <c r="D831" s="12" t="n"/>
      <c r="E831" s="12" t="n"/>
    </row>
    <row r="832" ht="15.75" customHeight="1">
      <c r="A832" s="12" t="inlineStr">
        <is>
          <t>Gypsy_LTR_retrotransposon</t>
        </is>
      </c>
      <c r="B832" s="12" t="inlineStr">
        <is>
          <t>http://identifiers.org/so/SO:0002265</t>
        </is>
      </c>
      <c r="C832" s="12" t="inlineStr">
        <is>
          <t>['guide RNA region']</t>
        </is>
      </c>
      <c r="D832" s="12" t="n"/>
      <c r="E832" s="12" t="n"/>
    </row>
    <row r="833" ht="15.75" customHeight="1">
      <c r="A833" s="12" t="inlineStr">
        <is>
          <t>H_ACA_box_snoRNA</t>
        </is>
      </c>
      <c r="B833" s="12" t="inlineStr">
        <is>
          <t>http://identifiers.org/so/SO:0000594</t>
        </is>
      </c>
      <c r="C833" s="12" t="inlineStr">
        <is>
          <t>['Gypsy LTR retrotransposon', 'RLG retrotransposon', 'Ty3 retrotransposon']</t>
        </is>
      </c>
      <c r="D833" s="12" t="n"/>
      <c r="E833" s="12" t="n"/>
    </row>
    <row r="834" ht="15.75" customHeight="1">
      <c r="A834" s="12" t="inlineStr">
        <is>
          <t>H_ACA_box_snoRNA_encoding</t>
        </is>
      </c>
      <c r="B834" s="12" t="inlineStr">
        <is>
          <t>http://identifiers.org/so/SO:0000608</t>
        </is>
      </c>
      <c r="C834" s="12" t="inlineStr">
        <is>
          <t>['H/ACA box snoRNA', 'H ACA box snoRNA', 'box H/ACA snoRNA']</t>
        </is>
      </c>
      <c r="D834" s="12" t="n"/>
      <c r="E834" s="12" t="n"/>
    </row>
    <row r="835" ht="15.75" customHeight="1">
      <c r="A835" s="12" t="inlineStr">
        <is>
          <t>H_ACA_box_snoRNA_primary_transcript</t>
        </is>
      </c>
      <c r="B835" s="12" t="inlineStr">
        <is>
          <t>http://identifiers.org/so/SO:0000596</t>
        </is>
      </c>
      <c r="C835" s="12" t="inlineStr">
        <is>
          <t>['H ACA box snoRNA encoding']</t>
        </is>
      </c>
      <c r="D835" s="12" t="n"/>
      <c r="E835" s="12" t="n"/>
    </row>
    <row r="836" ht="15.75" customHeight="1">
      <c r="A836" s="12" t="inlineStr">
        <is>
          <t>H_pseudoknot</t>
        </is>
      </c>
      <c r="B836" s="12" t="inlineStr">
        <is>
          <t>http://identifiers.org/so/SO:0000592</t>
        </is>
      </c>
      <c r="C836" s="12" t="inlineStr">
        <is>
          <t>['H ACA box snoRNA primary transcript']</t>
        </is>
      </c>
      <c r="D836" s="12" t="n"/>
      <c r="E836" s="12" t="n"/>
    </row>
    <row r="837" ht="15.75" customHeight="1">
      <c r="A837" s="12" t="inlineStr">
        <is>
          <t>H2AK5_acetylation_site</t>
        </is>
      </c>
      <c r="B837" s="12" t="inlineStr">
        <is>
          <t>http://identifiers.org/so/SO:0001938</t>
        </is>
      </c>
      <c r="C837" s="12" t="inlineStr">
        <is>
          <t>['H-type pseudoknot', 'hairpin-type pseudoknot', 'classical pseudoknot', 'H pseudoknot', 'H-pseudoknot']</t>
        </is>
      </c>
      <c r="D837" s="12" t="n"/>
      <c r="E837" s="12" t="n"/>
    </row>
    <row r="838" ht="15.75" customHeight="1">
      <c r="A838" s="12" t="inlineStr">
        <is>
          <t>H2AK9_acetylation_site</t>
        </is>
      </c>
      <c r="B838" s="12" t="inlineStr">
        <is>
          <t>http://identifiers.org/so/SO:0001944</t>
        </is>
      </c>
      <c r="C838" s="12" t="inlineStr">
        <is>
          <t>['H2AK5 acetylation site', 'H2AK5ac']</t>
        </is>
      </c>
      <c r="D838" s="12" t="n"/>
      <c r="E838" s="12" t="n"/>
    </row>
    <row r="839" ht="15.75" customHeight="1">
      <c r="A839" s="12" t="inlineStr">
        <is>
          <t>H2AZK11_acetylation_site</t>
        </is>
      </c>
      <c r="B839" s="12" t="inlineStr">
        <is>
          <t>http://identifiers.org/so/SO:0002147</t>
        </is>
      </c>
      <c r="C839" s="12" t="inlineStr">
        <is>
          <t>['H2AK9 acetylation site', 'H2AK9ac']</t>
        </is>
      </c>
      <c r="D839" s="12" t="n"/>
      <c r="E839" s="12" t="n"/>
    </row>
    <row r="840" ht="15.75" customHeight="1">
      <c r="A840" s="12" t="inlineStr">
        <is>
          <t>H2AZK13_acetylation_site</t>
        </is>
      </c>
      <c r="B840" s="12" t="inlineStr">
        <is>
          <t>http://identifiers.org/so/SO:0002148</t>
        </is>
      </c>
      <c r="C840" s="12" t="inlineStr">
        <is>
          <t>['H2A.ZK11ac', 'H2AZK11 acetylation site', 'H2AZK11ac']</t>
        </is>
      </c>
      <c r="D840" s="12" t="n"/>
      <c r="E840" s="12" t="n"/>
    </row>
    <row r="841" ht="15.75" customHeight="1">
      <c r="A841" s="12" t="inlineStr">
        <is>
          <t>H2AZK15_acetylation_site</t>
        </is>
      </c>
      <c r="B841" s="12" t="inlineStr">
        <is>
          <t>http://identifiers.org/so/SO:0002149</t>
        </is>
      </c>
      <c r="C841" s="12" t="inlineStr">
        <is>
          <t>['H2AZK13ac', 'H2AZK13 acetylation site', 'H2A.ZK13ac']</t>
        </is>
      </c>
      <c r="D841" s="12" t="n"/>
      <c r="E841" s="12" t="n"/>
    </row>
    <row r="842" ht="15.75" customHeight="1">
      <c r="A842" s="12" t="inlineStr">
        <is>
          <t>H2AZK4_acetylation_site</t>
        </is>
      </c>
      <c r="B842" s="12" t="inlineStr">
        <is>
          <t>http://identifiers.org/so/SO:0002145</t>
        </is>
      </c>
      <c r="C842" s="12" t="inlineStr">
        <is>
          <t>['H2AZK15 acetylation site', 'H2AZK15ac', 'H2A.ZK15ac']</t>
        </is>
      </c>
      <c r="D842" s="12" t="n"/>
      <c r="E842" s="12" t="n"/>
    </row>
    <row r="843" ht="15.75" customHeight="1">
      <c r="A843" s="12" t="inlineStr">
        <is>
          <t>H2AZK7_acetylation_site</t>
        </is>
      </c>
      <c r="B843" s="12" t="inlineStr">
        <is>
          <t>http://identifiers.org/so/SO:0002146</t>
        </is>
      </c>
      <c r="C843" s="12" t="inlineStr">
        <is>
          <t>['H2AZK4 acetylation site', 'H2A.ZK4ac', 'H2AZK4ac']</t>
        </is>
      </c>
      <c r="D843" s="12" t="n"/>
      <c r="E843" s="12" t="n"/>
    </row>
    <row r="844" ht="15.75" customHeight="1">
      <c r="A844" s="12" t="inlineStr">
        <is>
          <t>H2B_ubiquitination_site</t>
        </is>
      </c>
      <c r="B844" s="12" t="inlineStr">
        <is>
          <t>http://identifiers.org/so/SO:0001717</t>
        </is>
      </c>
      <c r="C844" s="12" t="inlineStr">
        <is>
          <t>['H2A.ZK7ac', 'H2AZK7ac', 'H2AZK7 acetylation site']</t>
        </is>
      </c>
      <c r="D844" s="12" t="n"/>
      <c r="E844" s="12" t="n"/>
    </row>
    <row r="845" ht="15.75" customHeight="1">
      <c r="A845" s="12" t="inlineStr">
        <is>
          <t>H2BK12_acetylation_site</t>
        </is>
      </c>
      <c r="B845" s="12" t="inlineStr">
        <is>
          <t>http://identifiers.org/so/SO:0001937</t>
        </is>
      </c>
      <c r="C845" s="12" t="inlineStr">
        <is>
          <t>['H2BUbiq']</t>
        </is>
      </c>
      <c r="D845" s="12" t="n"/>
      <c r="E845" s="12" t="n"/>
    </row>
    <row r="846" ht="15.75" customHeight="1">
      <c r="A846" s="12" t="inlineStr">
        <is>
          <t>H2BK120_acetylation_site</t>
        </is>
      </c>
      <c r="B846" s="12" t="inlineStr">
        <is>
          <t>http://identifiers.org/so/SO:0001940</t>
        </is>
      </c>
      <c r="C846" s="12" t="inlineStr">
        <is>
          <t>['H2BK12ac', 'H2BK12 acetylation site']</t>
        </is>
      </c>
      <c r="D846" s="12" t="n"/>
      <c r="E846" s="12" t="n"/>
    </row>
    <row r="847" ht="15.75" customHeight="1">
      <c r="A847" s="12" t="inlineStr">
        <is>
          <t>H2BK15_acetylation_site</t>
        </is>
      </c>
      <c r="B847" s="12" t="inlineStr">
        <is>
          <t>http://identifiers.org/so/SO:0001946</t>
        </is>
      </c>
      <c r="C847" s="12" t="inlineStr">
        <is>
          <t>['H2BK120ac', 'H2BK120 acetylation site']</t>
        </is>
      </c>
      <c r="D847" s="12" t="n"/>
      <c r="E847" s="12" t="n"/>
    </row>
    <row r="848" ht="15.75" customHeight="1">
      <c r="A848" s="12" t="inlineStr">
        <is>
          <t>H2BK20_acetylation_site</t>
        </is>
      </c>
      <c r="B848" s="12" t="inlineStr">
        <is>
          <t>http://identifiers.org/so/SO:0001942</t>
        </is>
      </c>
      <c r="C848" s="12" t="inlineStr">
        <is>
          <t>['H2BK15ac', 'H2BK15 acetylation site']</t>
        </is>
      </c>
      <c r="D848" s="12" t="n"/>
      <c r="E848" s="12" t="n"/>
    </row>
    <row r="849" ht="15.75" customHeight="1">
      <c r="A849" s="12" t="inlineStr">
        <is>
          <t>H2BK5_acetylation_site</t>
        </is>
      </c>
      <c r="B849" s="12" t="inlineStr">
        <is>
          <t>http://identifiers.org/so/SO:0002164</t>
        </is>
      </c>
      <c r="C849" s="12" t="inlineStr">
        <is>
          <t>['H2BK20 acetylation site', 'H2BK20ac']</t>
        </is>
      </c>
      <c r="D849" s="12" t="n"/>
      <c r="E849" s="12" t="n"/>
    </row>
    <row r="850" ht="15.75" customHeight="1">
      <c r="A850" s="12" t="inlineStr">
        <is>
          <t>H2BK5_monomethylation_site</t>
        </is>
      </c>
      <c r="B850" s="12" t="inlineStr">
        <is>
          <t>http://identifiers.org/so/SO:0001714</t>
        </is>
      </c>
      <c r="C850" s="12" t="inlineStr">
        <is>
          <t>['H2BK5ac', 'H2BK5 acetylation site']</t>
        </is>
      </c>
      <c r="D850" s="12" t="n"/>
      <c r="E850" s="12" t="n"/>
    </row>
    <row r="851" ht="15.75" customHeight="1">
      <c r="A851" s="12" t="inlineStr">
        <is>
          <t>H3K14_acetylation_site</t>
        </is>
      </c>
      <c r="B851" s="12" t="inlineStr">
        <is>
          <t>http://identifiers.org/so/SO:0001704</t>
        </is>
      </c>
      <c r="C851" s="12" t="inlineStr">
        <is>
          <t>['H2BK5 mono-methylation site']</t>
        </is>
      </c>
      <c r="D851" s="12" t="n"/>
      <c r="E851" s="12" t="n"/>
    </row>
    <row r="852" ht="15.75" customHeight="1">
      <c r="A852" s="12" t="inlineStr">
        <is>
          <t>H3K18_acetylation_site</t>
        </is>
      </c>
      <c r="B852" s="12" t="inlineStr">
        <is>
          <t>http://identifiers.org/so/SO:0001718</t>
        </is>
      </c>
      <c r="C852" s="12" t="inlineStr">
        <is>
          <t>['H3K14 acetylation site', 'H3K14ac']</t>
        </is>
      </c>
      <c r="D852" s="12" t="n"/>
      <c r="E852" s="12" t="n"/>
    </row>
    <row r="853" ht="15.75" customHeight="1">
      <c r="A853" s="12" t="inlineStr">
        <is>
          <t>H3K20_trimethylation_site</t>
        </is>
      </c>
      <c r="B853" s="12" t="inlineStr">
        <is>
          <t>http://identifiers.org/so/SO:0001935</t>
        </is>
      </c>
      <c r="C853" s="12" t="inlineStr">
        <is>
          <t>['H3K18 acetylation site', 'H3K18ac']</t>
        </is>
      </c>
      <c r="D853" s="12" t="n"/>
      <c r="E853" s="12" t="n"/>
    </row>
    <row r="854" ht="15.75" customHeight="1">
      <c r="A854" s="12" t="inlineStr">
        <is>
          <t>H3K23_acetylation_site</t>
        </is>
      </c>
      <c r="B854" s="12" t="inlineStr">
        <is>
          <t>http://identifiers.org/so/SO:0001719</t>
        </is>
      </c>
      <c r="C854" s="12" t="inlineStr">
        <is>
          <t>['H3K20 trimethylation site']</t>
        </is>
      </c>
      <c r="D854" s="12" t="n"/>
      <c r="E854" s="12" t="n"/>
    </row>
    <row r="855" ht="15.75" customHeight="1">
      <c r="A855" s="12" t="inlineStr">
        <is>
          <t>H3K23_dimethylation_site</t>
        </is>
      </c>
      <c r="B855" s="12" t="inlineStr">
        <is>
          <t>http://identifiers.org/so/SO:0001951</t>
        </is>
      </c>
      <c r="C855" s="12" t="inlineStr">
        <is>
          <t>['H3K23 acetylation site', 'H3K23ac']</t>
        </is>
      </c>
      <c r="D855" s="12" t="n"/>
      <c r="E855" s="12" t="n"/>
    </row>
    <row r="856" ht="15.75" customHeight="1">
      <c r="A856" s="12" t="inlineStr">
        <is>
          <t>H3K27_acetylation_site</t>
        </is>
      </c>
      <c r="B856" s="12" t="inlineStr">
        <is>
          <t>http://identifiers.org/so/SO:0002049</t>
        </is>
      </c>
      <c r="C856" s="12" t="inlineStr">
        <is>
          <t>['H3K23me2', 'H3K23 dimethylation site']</t>
        </is>
      </c>
      <c r="D856" s="12" t="n"/>
      <c r="E856" s="12" t="n"/>
    </row>
    <row r="857" ht="15.75" customHeight="1">
      <c r="A857" s="12" t="inlineStr">
        <is>
          <t>H3K27_acylation_site</t>
        </is>
      </c>
      <c r="B857" s="12" t="inlineStr">
        <is>
          <t>http://identifiers.org/so/SO:0001721</t>
        </is>
      </c>
      <c r="C857" s="12" t="inlineStr">
        <is>
          <t>['H3K27ac', 'H3K27 acetylation site']</t>
        </is>
      </c>
      <c r="D857" s="12" t="n"/>
      <c r="E857" s="12" t="n"/>
    </row>
    <row r="858" ht="15.75" customHeight="1">
      <c r="A858" s="12" t="inlineStr">
        <is>
          <t>H3K27_dimethylation_site</t>
        </is>
      </c>
      <c r="B858" s="12" t="inlineStr">
        <is>
          <t>http://identifiers.org/so/SO:0001726</t>
        </is>
      </c>
      <c r="C858" s="12" t="inlineStr">
        <is>
          <t>['H3K27Ac', 'H3K27 acylation site']</t>
        </is>
      </c>
      <c r="D858" s="12" t="n"/>
      <c r="E858" s="12" t="n"/>
    </row>
    <row r="859" ht="15.75" customHeight="1">
      <c r="A859" s="12" t="inlineStr">
        <is>
          <t>H3K27_methylation_site</t>
        </is>
      </c>
      <c r="B859" s="12" t="inlineStr">
        <is>
          <t>http://identifiers.org/so/SO:0001732</t>
        </is>
      </c>
      <c r="C859" s="12" t="inlineStr">
        <is>
          <t>['H3K27 di-methylation site', 'H3K27Me2']</t>
        </is>
      </c>
      <c r="D859" s="12" t="n"/>
      <c r="E859" s="12" t="n"/>
    </row>
    <row r="860" ht="15.75" customHeight="1">
      <c r="A860" s="12" t="inlineStr">
        <is>
          <t>H3K27_monomethylation_site</t>
        </is>
      </c>
      <c r="B860" s="12" t="inlineStr">
        <is>
          <t>http://identifiers.org/so/SO:0001708</t>
        </is>
      </c>
      <c r="C860" s="12" t="inlineStr">
        <is>
          <t>['H3K27 methylation site']</t>
        </is>
      </c>
      <c r="D860" s="12" t="n"/>
      <c r="E860" s="12" t="n"/>
    </row>
    <row r="861" ht="15.75" customHeight="1">
      <c r="A861" s="12" t="inlineStr">
        <is>
          <t>H3K27_trimethylation_site</t>
        </is>
      </c>
      <c r="B861" s="12" t="inlineStr">
        <is>
          <t>http://identifiers.org/so/SO:0001709</t>
        </is>
      </c>
      <c r="C861" s="12" t="inlineStr">
        <is>
          <t>['H2K27Me1', 'H2K27 mono-methylation site']</t>
        </is>
      </c>
      <c r="D861" s="12" t="n"/>
      <c r="E861" s="12" t="n"/>
    </row>
    <row r="862" ht="15.75" customHeight="1">
      <c r="A862" s="12" t="inlineStr">
        <is>
          <t>H3K36_acetylation_site</t>
        </is>
      </c>
      <c r="B862" s="12" t="inlineStr">
        <is>
          <t>http://identifiers.org/so/SO:0001936</t>
        </is>
      </c>
      <c r="C862" s="12" t="inlineStr">
        <is>
          <t>['H3K27Me3', 'H3K27 tri-methylation site']</t>
        </is>
      </c>
      <c r="D862" s="12" t="n"/>
      <c r="E862" s="12" t="n"/>
    </row>
    <row r="863" ht="15.75" customHeight="1">
      <c r="A863" s="12" t="inlineStr">
        <is>
          <t>H3K36_dimethylation_site</t>
        </is>
      </c>
      <c r="B863" s="12" t="inlineStr">
        <is>
          <t>http://identifiers.org/so/SO:0001723</t>
        </is>
      </c>
      <c r="C863" s="12" t="inlineStr">
        <is>
          <t>['H3K36 acetylation site', 'H3K36ac']</t>
        </is>
      </c>
      <c r="D863" s="12" t="n"/>
      <c r="E863" s="12" t="n"/>
    </row>
    <row r="864" ht="15.75" customHeight="1">
      <c r="A864" s="12" t="inlineStr">
        <is>
          <t>H3K36_methylation_site</t>
        </is>
      </c>
      <c r="B864" s="12" t="inlineStr">
        <is>
          <t>http://identifiers.org/so/SO:0001733</t>
        </is>
      </c>
      <c r="C864" s="12" t="inlineStr">
        <is>
          <t>['H3K36 di-methylation site', 'H3K36Me2']</t>
        </is>
      </c>
      <c r="D864" s="12" t="n"/>
      <c r="E864" s="12" t="n"/>
    </row>
    <row r="865" ht="15.75" customHeight="1">
      <c r="A865" s="12" t="inlineStr">
        <is>
          <t>H3K36_monomethylation_site</t>
        </is>
      </c>
      <c r="B865" s="12" t="inlineStr">
        <is>
          <t>http://identifiers.org/so/SO:0001722</t>
        </is>
      </c>
      <c r="C865" s="12" t="inlineStr">
        <is>
          <t>['H3K36 methylation site']</t>
        </is>
      </c>
      <c r="D865" s="12" t="n"/>
      <c r="E865" s="12" t="n"/>
    </row>
    <row r="866" ht="15.75" customHeight="1">
      <c r="A866" s="12" t="inlineStr">
        <is>
          <t>H3K36_trimethylation_site</t>
        </is>
      </c>
      <c r="B866" s="12" t="inlineStr">
        <is>
          <t>http://identifiers.org/so/SO:0001724</t>
        </is>
      </c>
      <c r="C866" s="12" t="inlineStr">
        <is>
          <t>['H3K36 mono-methylation site', 'H3K36Me1']</t>
        </is>
      </c>
      <c r="D866" s="12" t="n"/>
      <c r="E866" s="12" t="n"/>
    </row>
    <row r="867" ht="15.75" customHeight="1">
      <c r="A867" s="12" t="inlineStr">
        <is>
          <t>H3K4_acetylation_site</t>
        </is>
      </c>
      <c r="B867" s="12" t="inlineStr">
        <is>
          <t>http://identifiers.org/so/SO:0001943</t>
        </is>
      </c>
      <c r="C867" s="12" t="inlineStr">
        <is>
          <t>['H3K36 tri-methylation site', 'H3K36Me3']</t>
        </is>
      </c>
      <c r="D867" s="12" t="n"/>
      <c r="E867" s="12" t="n"/>
    </row>
    <row r="868" ht="15.75" customHeight="1">
      <c r="A868" s="12" t="inlineStr">
        <is>
          <t>H3K4_dimethylation_site</t>
        </is>
      </c>
      <c r="B868" s="12" t="inlineStr">
        <is>
          <t>http://identifiers.org/so/SO:0001725</t>
        </is>
      </c>
      <c r="C868" s="12" t="inlineStr">
        <is>
          <t>['H3K4ac', 'H3K4 acetylation site']</t>
        </is>
      </c>
      <c r="D868" s="12" t="n"/>
      <c r="E868" s="12" t="n"/>
    </row>
    <row r="869" ht="15.75" customHeight="1">
      <c r="A869" s="12" t="inlineStr">
        <is>
          <t>H3K4_methylation_site</t>
        </is>
      </c>
      <c r="B869" s="12" t="inlineStr">
        <is>
          <t>http://identifiers.org/so/SO:0001734</t>
        </is>
      </c>
      <c r="C869" s="12" t="inlineStr">
        <is>
          <t>['H3K4 di-methylation site', 'H3K4Me2']</t>
        </is>
      </c>
      <c r="D869" s="12" t="n"/>
      <c r="E869" s="12" t="n"/>
    </row>
    <row r="870" ht="15.75" customHeight="1">
      <c r="A870" s="12" t="inlineStr">
        <is>
          <t>H3K4_monomethylation_site</t>
        </is>
      </c>
      <c r="B870" s="12" t="inlineStr">
        <is>
          <t>http://identifiers.org/so/SO:0001705</t>
        </is>
      </c>
      <c r="C870" s="12" t="inlineStr">
        <is>
          <t>['H3K4 methylation site']</t>
        </is>
      </c>
      <c r="D870" s="12" t="n"/>
      <c r="E870" s="12" t="n"/>
    </row>
    <row r="871" ht="15.75" customHeight="1">
      <c r="A871" s="12" t="inlineStr">
        <is>
          <t>H3K4_trimethylation</t>
        </is>
      </c>
      <c r="B871" s="12" t="inlineStr">
        <is>
          <t>http://identifiers.org/so/SO:0001706</t>
        </is>
      </c>
      <c r="C871" s="12" t="inlineStr">
        <is>
          <t>['H3K4me1', 'H3K4 mono-methylation site']</t>
        </is>
      </c>
      <c r="D871" s="12" t="n"/>
      <c r="E871" s="12" t="n"/>
    </row>
    <row r="872" ht="15.75" customHeight="1">
      <c r="A872" s="12" t="inlineStr">
        <is>
          <t>H3K56_acetylation_site</t>
        </is>
      </c>
      <c r="B872" s="12" t="inlineStr">
        <is>
          <t>http://identifiers.org/so/SO:0001945</t>
        </is>
      </c>
      <c r="C872" s="12" t="inlineStr">
        <is>
          <t>['H3K4 tri-methylation', 'H3K4me3']</t>
        </is>
      </c>
      <c r="D872" s="12" t="n"/>
      <c r="E872" s="12" t="n"/>
    </row>
    <row r="873" ht="15.75" customHeight="1">
      <c r="A873" s="12" t="inlineStr">
        <is>
          <t>H3K79_dimethylation_site</t>
        </is>
      </c>
      <c r="B873" s="12" t="inlineStr">
        <is>
          <t>http://identifiers.org/so/SO:0001711</t>
        </is>
      </c>
      <c r="C873" s="12" t="inlineStr">
        <is>
          <t>['H3K56 acetylation site', 'H3K56ac']</t>
        </is>
      </c>
      <c r="D873" s="12" t="n"/>
      <c r="E873" s="12" t="n"/>
    </row>
    <row r="874" ht="15.75" customHeight="1">
      <c r="A874" s="12" t="inlineStr">
        <is>
          <t>H3K79_methylation_site</t>
        </is>
      </c>
      <c r="B874" s="12" t="inlineStr">
        <is>
          <t>http://identifiers.org/so/SO:0001735</t>
        </is>
      </c>
      <c r="C874" s="12" t="inlineStr">
        <is>
          <t>['H3K79Me2', 'H3K79 di-methylation site']</t>
        </is>
      </c>
      <c r="D874" s="12" t="n"/>
      <c r="E874" s="12" t="n"/>
    </row>
    <row r="875" ht="15.75" customHeight="1">
      <c r="A875" s="12" t="inlineStr">
        <is>
          <t>H3K79_monomethylation_site</t>
        </is>
      </c>
      <c r="B875" s="12" t="inlineStr">
        <is>
          <t>http://identifiers.org/so/SO:0001710</t>
        </is>
      </c>
      <c r="C875" s="12" t="inlineStr">
        <is>
          <t>['H3K79 methylation site']</t>
        </is>
      </c>
      <c r="D875" s="12" t="n"/>
      <c r="E875" s="12" t="n"/>
    </row>
    <row r="876" ht="15.75" customHeight="1">
      <c r="A876" s="12" t="inlineStr">
        <is>
          <t>H3K79_trimethylation_site</t>
        </is>
      </c>
      <c r="B876" s="12" t="inlineStr">
        <is>
          <t>http://identifiers.org/so/SO:0001712</t>
        </is>
      </c>
      <c r="C876" s="12" t="inlineStr">
        <is>
          <t>['H3K79 mono-methylation site', 'H3K79me1']</t>
        </is>
      </c>
      <c r="D876" s="12" t="n"/>
      <c r="E876" s="12" t="n"/>
    </row>
    <row r="877" ht="15.75" customHeight="1">
      <c r="A877" s="12" t="inlineStr">
        <is>
          <t>H3K9_acetylation_site</t>
        </is>
      </c>
      <c r="B877" s="12" t="inlineStr">
        <is>
          <t>http://identifiers.org/so/SO:0001703</t>
        </is>
      </c>
      <c r="C877" s="12" t="inlineStr">
        <is>
          <t>['H3K79Me3', 'H3K79 tri-methylation site']</t>
        </is>
      </c>
      <c r="D877" s="12" t="n"/>
      <c r="E877" s="12" t="n"/>
    </row>
    <row r="878" ht="15.75" customHeight="1">
      <c r="A878" s="12" t="inlineStr">
        <is>
          <t>H3K9_dimethylation_site</t>
        </is>
      </c>
      <c r="B878" s="12" t="inlineStr">
        <is>
          <t>http://identifiers.org/so/SO:0001728</t>
        </is>
      </c>
      <c r="C878" s="12" t="inlineStr">
        <is>
          <t>['H3K9ac', 'H3K9 acetylation site']</t>
        </is>
      </c>
      <c r="D878" s="12" t="n"/>
      <c r="E878" s="12" t="n"/>
    </row>
    <row r="879" ht="15.75" customHeight="1">
      <c r="A879" s="12" t="inlineStr">
        <is>
          <t>H3K9_methylation_site</t>
        </is>
      </c>
      <c r="B879" s="12" t="inlineStr">
        <is>
          <t>http://identifiers.org/so/SO:0001736</t>
        </is>
      </c>
      <c r="C879" s="12" t="inlineStr">
        <is>
          <t>['H3K9Me2', 'H3K9 di-methylation site']</t>
        </is>
      </c>
      <c r="D879" s="12" t="n"/>
      <c r="E879" s="12" t="n"/>
    </row>
    <row r="880" ht="15.75" customHeight="1">
      <c r="A880" s="12" t="inlineStr">
        <is>
          <t>H3K9_monomethylation_site</t>
        </is>
      </c>
      <c r="B880" s="12" t="inlineStr">
        <is>
          <t>http://identifiers.org/so/SO:0001727</t>
        </is>
      </c>
      <c r="C880" s="12" t="inlineStr">
        <is>
          <t>['H3K9 methylation site']</t>
        </is>
      </c>
      <c r="D880" s="12" t="n"/>
      <c r="E880" s="12" t="n"/>
    </row>
    <row r="881" ht="15.75" customHeight="1">
      <c r="A881" s="12" t="inlineStr">
        <is>
          <t>H3K9_trimethylation_site</t>
        </is>
      </c>
      <c r="B881" s="12" t="inlineStr">
        <is>
          <t>http://identifiers.org/so/SO:0001707</t>
        </is>
      </c>
      <c r="C881" s="12" t="inlineStr">
        <is>
          <t>['H3K9Me1', 'H3K9 mono-methylation site']</t>
        </is>
      </c>
      <c r="D881" s="12" t="n"/>
      <c r="E881" s="12" t="n"/>
    </row>
    <row r="882" ht="15.75" customHeight="1">
      <c r="A882" s="12" t="inlineStr">
        <is>
          <t>H3R2_dimethylation_site</t>
        </is>
      </c>
      <c r="B882" s="12" t="inlineStr">
        <is>
          <t>http://identifiers.org/so/SO:0001948</t>
        </is>
      </c>
      <c r="C882" s="12" t="inlineStr">
        <is>
          <t>['H3K9Me3', 'H3K9 tri-methylation site']</t>
        </is>
      </c>
      <c r="D882" s="12" t="n"/>
      <c r="E882" s="12" t="n"/>
    </row>
    <row r="883" ht="15.75" customHeight="1">
      <c r="A883" s="12" t="inlineStr">
        <is>
          <t>H3R2_monomethylation_site</t>
        </is>
      </c>
      <c r="B883" s="12" t="inlineStr">
        <is>
          <t>http://identifiers.org/so/SO:0001947</t>
        </is>
      </c>
      <c r="C883" s="12" t="inlineStr">
        <is>
          <t>['H3R2me2', 'H3R2 dimethylation site']</t>
        </is>
      </c>
      <c r="D883" s="12" t="n"/>
      <c r="E883" s="12" t="n"/>
    </row>
    <row r="884" ht="15.75" customHeight="1">
      <c r="A884" s="12" t="inlineStr">
        <is>
          <t>H4K_acylation_region</t>
        </is>
      </c>
      <c r="B884" s="12" t="inlineStr">
        <is>
          <t>http://identifiers.org/so/SO:0001738</t>
        </is>
      </c>
      <c r="C884" s="12" t="inlineStr">
        <is>
          <t>[' H3R2me1', 'H3R2 monomethylation site']</t>
        </is>
      </c>
      <c r="D884" s="12" t="n"/>
      <c r="E884" s="12" t="n"/>
    </row>
    <row r="885" ht="15.75" customHeight="1">
      <c r="A885" s="12" t="inlineStr">
        <is>
          <t>H4K12_acetylation_site</t>
        </is>
      </c>
      <c r="B885" s="12" t="inlineStr">
        <is>
          <t>http://identifiers.org/so/SO:0001939</t>
        </is>
      </c>
      <c r="C885" s="12" t="inlineStr">
        <is>
          <t>['H4K acylation region', 'H4KAc']</t>
        </is>
      </c>
      <c r="D885" s="12" t="n"/>
      <c r="E885" s="12" t="n"/>
    </row>
    <row r="886" ht="15.75" customHeight="1">
      <c r="A886" s="12" t="inlineStr">
        <is>
          <t>H4K16_acetylation_site</t>
        </is>
      </c>
      <c r="B886" s="12" t="inlineStr">
        <is>
          <t>http://identifiers.org/so/SO:0001729</t>
        </is>
      </c>
      <c r="C886" s="12" t="inlineStr">
        <is>
          <t>['H4K12 acetylation site', 'H4K12ac']</t>
        </is>
      </c>
      <c r="D886" s="12" t="n"/>
      <c r="E886" s="12" t="n"/>
    </row>
    <row r="887" ht="15.75" customHeight="1">
      <c r="A887" s="12" t="inlineStr">
        <is>
          <t>H4K20_monomethylation_site</t>
        </is>
      </c>
      <c r="B887" s="12" t="inlineStr">
        <is>
          <t>http://identifiers.org/so/SO:0001713</t>
        </is>
      </c>
      <c r="C887" s="12" t="inlineStr">
        <is>
          <t>['H4K16 acetylation site', 'H4K16ac']</t>
        </is>
      </c>
      <c r="D887" s="12" t="n"/>
      <c r="E887" s="12" t="n"/>
    </row>
    <row r="888" ht="15.75" customHeight="1">
      <c r="A888" s="12" t="inlineStr">
        <is>
          <t>H4K4_trimethylation_site</t>
        </is>
      </c>
      <c r="B888" s="12" t="inlineStr">
        <is>
          <t>http://identifiers.org/so/SO:0001950</t>
        </is>
      </c>
      <c r="C888" s="12" t="inlineStr">
        <is>
          <t>['H4K20 mono-methylation site', 'H4K20Me1']</t>
        </is>
      </c>
      <c r="D888" s="12" t="n"/>
      <c r="E888" s="12" t="n"/>
    </row>
    <row r="889" ht="15.75" customHeight="1">
      <c r="A889" s="12" t="inlineStr">
        <is>
          <t>H4K5_acetylation_site</t>
        </is>
      </c>
      <c r="B889" s="12" t="inlineStr">
        <is>
          <t>http://identifiers.org/so/SO:0001730</t>
        </is>
      </c>
      <c r="C889" s="12" t="inlineStr">
        <is>
          <t>[' H4K4me3', 'H4K4 trimethylation site']</t>
        </is>
      </c>
      <c r="D889" s="12" t="n"/>
      <c r="E889" s="12" t="n"/>
    </row>
    <row r="890" ht="15.75" customHeight="1">
      <c r="A890" s="12" t="inlineStr">
        <is>
          <t>H4K8_acetylation_site</t>
        </is>
      </c>
      <c r="B890" s="12" t="inlineStr">
        <is>
          <t>http://identifiers.org/so/SO:0001731</t>
        </is>
      </c>
      <c r="C890" s="12" t="inlineStr">
        <is>
          <t>['H4K5 acetylation site', 'H4K5ac']</t>
        </is>
      </c>
      <c r="D890" s="12" t="n"/>
      <c r="E890" s="12" t="n"/>
    </row>
    <row r="891" ht="15.75" customHeight="1">
      <c r="A891" s="12" t="inlineStr">
        <is>
          <t>H4K91_acetylation_site</t>
        </is>
      </c>
      <c r="B891" s="12" t="inlineStr">
        <is>
          <t>http://identifiers.org/so/SO:0001941</t>
        </is>
      </c>
      <c r="C891" s="12" t="inlineStr">
        <is>
          <t>['H4K8ac', 'H4K8 acetylation site']</t>
        </is>
      </c>
      <c r="D891" s="12" t="n"/>
      <c r="E891" s="12" t="n"/>
    </row>
    <row r="892" ht="15.75" customHeight="1">
      <c r="A892" s="12" t="inlineStr">
        <is>
          <t>H4R3_dimethylation_site</t>
        </is>
      </c>
      <c r="B892" s="12" t="inlineStr">
        <is>
          <t>http://identifiers.org/so/SO:0001949</t>
        </is>
      </c>
      <c r="C892" s="12" t="inlineStr">
        <is>
          <t>['H4K91 acetylation site', 'H4K91ac']</t>
        </is>
      </c>
      <c r="D892" s="12" t="n"/>
      <c r="E892" s="12" t="n"/>
    </row>
    <row r="893" ht="15.75" customHeight="1">
      <c r="A893" s="12" t="inlineStr">
        <is>
          <t>hammerhead_ribozyme</t>
        </is>
      </c>
      <c r="B893" s="12" t="inlineStr">
        <is>
          <t>http://identifiers.org/so/SO:0000380</t>
        </is>
      </c>
      <c r="C893" s="12" t="inlineStr">
        <is>
          <t>['H4R3 dimethylation site', 'H4R3me2']</t>
        </is>
      </c>
      <c r="D893" s="12" t="n"/>
      <c r="E893" s="12" t="n"/>
    </row>
    <row r="894" ht="15.75" customHeight="1">
      <c r="A894" s="12" t="inlineStr">
        <is>
          <t>haplotype</t>
        </is>
      </c>
      <c r="B894" s="12" t="inlineStr">
        <is>
          <t>http://identifiers.org/so/SO:0001024</t>
        </is>
      </c>
      <c r="C894" s="12" t="inlineStr">
        <is>
          <t>['INSDC_qualifier:hammerhead_ribozyme', 'hammerhead ribozyme', 'INSDC_feature:ncRNA']</t>
        </is>
      </c>
      <c r="D894" s="12" t="n"/>
      <c r="E894" s="12" t="n"/>
    </row>
    <row r="895" ht="15.75" customHeight="1">
      <c r="A895" s="12" t="inlineStr">
        <is>
          <t>haplotype_block</t>
        </is>
      </c>
      <c r="B895" s="12" t="inlineStr">
        <is>
          <t>http://identifiers.org/so/SO:0000355</t>
        </is>
      </c>
      <c r="C895" s="12" t="n"/>
      <c r="D895" s="12" t="n"/>
      <c r="E895" s="12" t="n"/>
    </row>
    <row r="896" ht="15.75" customHeight="1">
      <c r="A896" s="12" t="inlineStr">
        <is>
          <t>hAT_TIR_transposon</t>
        </is>
      </c>
      <c r="B896" s="12" t="inlineStr">
        <is>
          <t>http://identifiers.org/so/SO:0002279</t>
        </is>
      </c>
      <c r="C896" s="12" t="inlineStr">
        <is>
          <t>['haplotype block']</t>
        </is>
      </c>
      <c r="D896" s="12" t="n"/>
      <c r="E896" s="12" t="n"/>
    </row>
    <row r="897" ht="15.75" customHeight="1">
      <c r="A897" s="12" t="inlineStr">
        <is>
          <t>helitron</t>
        </is>
      </c>
      <c r="B897" s="12" t="inlineStr">
        <is>
          <t>http://identifiers.org/so/SO:0000544</t>
        </is>
      </c>
      <c r="C897" s="12" t="inlineStr">
        <is>
          <t>['hAT-Ac transposon', 'Ac transposon', 'hAT TIR transposon', 'Ac/Ds transposon', 'hAT transposon', 'Ds transposon', 'DTA transposon']</t>
        </is>
      </c>
      <c r="D897" s="12" t="n"/>
      <c r="E897" s="12" t="n"/>
    </row>
    <row r="898" ht="15.75" customHeight="1">
      <c r="A898" s="12" t="inlineStr">
        <is>
          <t>helix_turn_helix</t>
        </is>
      </c>
      <c r="B898" s="12" t="inlineStr">
        <is>
          <t>http://identifiers.org/so/SO:0001081</t>
        </is>
      </c>
      <c r="C898" s="12" t="inlineStr">
        <is>
          <t>['ISCR']</t>
        </is>
      </c>
      <c r="D898" s="12" t="n"/>
      <c r="E898" s="12" t="n"/>
    </row>
    <row r="899" ht="15.75" customHeight="1">
      <c r="A899" s="12" t="inlineStr">
        <is>
          <t>heptamer_of_recombination_feature_of_vertebrate_immune_system_gene</t>
        </is>
      </c>
      <c r="B899" s="12" t="inlineStr">
        <is>
          <t>http://identifiers.org/so/SO:0000561</t>
        </is>
      </c>
      <c r="C899" s="12" t="inlineStr">
        <is>
          <t>['helix turn helix', 'helix-turn-helix', 'HTH']</t>
        </is>
      </c>
      <c r="D899" s="12" t="n"/>
      <c r="E899" s="12" t="n"/>
    </row>
    <row r="900" ht="15.75" customHeight="1">
      <c r="A900" s="12" t="inlineStr">
        <is>
          <t>heritable_phenotypic_marker</t>
        </is>
      </c>
      <c r="B900" s="12" t="inlineStr">
        <is>
          <t>http://identifiers.org/so/SO:0001500</t>
        </is>
      </c>
      <c r="C900" s="12" t="inlineStr">
        <is>
          <t>['HEPTAMER', 'heptamer of recombination feature of vertebrate immune system gene']</t>
        </is>
      </c>
      <c r="D900" s="12" t="n"/>
      <c r="E900" s="12" t="n"/>
    </row>
    <row r="901" ht="15.75" customHeight="1">
      <c r="A901" s="12" t="inlineStr">
        <is>
          <t>HERV_deletion</t>
        </is>
      </c>
      <c r="B901" s="12" t="inlineStr">
        <is>
          <t>http://identifiers.org/so/SO:0002067</t>
        </is>
      </c>
      <c r="C901" s="12" t="inlineStr">
        <is>
          <t>['phenotypic marker', 'heritable phenotypic marker']</t>
        </is>
      </c>
      <c r="D901" s="12" t="n"/>
      <c r="E901" s="12" t="n"/>
    </row>
    <row r="902" ht="15.75" customHeight="1">
      <c r="A902" s="12" t="inlineStr">
        <is>
          <t>HERV_insertion</t>
        </is>
      </c>
      <c r="B902" s="12" t="inlineStr">
        <is>
          <t>http://identifiers.org/so/SO:0002187</t>
        </is>
      </c>
      <c r="C902" s="12" t="inlineStr">
        <is>
          <t>['HERV deletion']</t>
        </is>
      </c>
      <c r="D902" s="12" t="n"/>
      <c r="E902" s="12" t="n"/>
    </row>
    <row r="903" ht="15.75" customHeight="1">
      <c r="A903" s="12" t="inlineStr">
        <is>
          <t>hetero_compound_chromosome</t>
        </is>
      </c>
      <c r="B903" s="12" t="inlineStr">
        <is>
          <t>http://identifiers.org/so/SO:1000140</t>
        </is>
      </c>
      <c r="C903" s="12" t="inlineStr">
        <is>
          <t>['HERV insertion']</t>
        </is>
      </c>
      <c r="D903" s="12" t="n"/>
      <c r="E903" s="12" t="n"/>
    </row>
    <row r="904" ht="15.75" customHeight="1">
      <c r="A904" s="12" t="inlineStr">
        <is>
          <t>high_identity_region</t>
        </is>
      </c>
      <c r="B904" s="12" t="inlineStr">
        <is>
          <t>http://identifiers.org/so/SO:0001502</t>
        </is>
      </c>
      <c r="C904" s="12" t="inlineStr">
        <is>
          <t>['hetero-compound chromosome', 'hetero compound chromosome']</t>
        </is>
      </c>
      <c r="D904" s="12" t="n"/>
      <c r="E904" s="12" t="n"/>
    </row>
    <row r="905" ht="15.75" customHeight="1">
      <c r="A905" s="12" t="inlineStr">
        <is>
          <t>high_quality_draft</t>
        </is>
      </c>
      <c r="B905" s="12" t="inlineStr">
        <is>
          <t>http://identifiers.org/so/SO:0001487</t>
        </is>
      </c>
      <c r="C905" s="12" t="inlineStr">
        <is>
          <t>['high identity region']</t>
        </is>
      </c>
      <c r="D905" s="12" t="n"/>
      <c r="E905" s="12" t="n"/>
    </row>
    <row r="906" ht="15.75" customHeight="1">
      <c r="A906" s="12" t="inlineStr">
        <is>
          <t>histidine</t>
        </is>
      </c>
      <c r="B906" s="12" t="inlineStr">
        <is>
          <t>http://identifiers.org/so/SO:0001452</t>
        </is>
      </c>
      <c r="C906" s="12" t="inlineStr">
        <is>
          <t>['high quality draft']</t>
        </is>
      </c>
      <c r="D906" s="12" t="n"/>
      <c r="E906" s="12" t="n"/>
    </row>
    <row r="907" ht="15.75" customHeight="1">
      <c r="A907" s="12" t="inlineStr">
        <is>
          <t>histidine_tRNA_primary_transcript</t>
        </is>
      </c>
      <c r="B907" s="12" t="inlineStr">
        <is>
          <t>http://identifiers.org/so/SO:0000219</t>
        </is>
      </c>
      <c r="C907" s="12" t="inlineStr">
        <is>
          <t>['His', 'H']</t>
        </is>
      </c>
      <c r="D907" s="12" t="n"/>
      <c r="E907" s="12" t="n"/>
    </row>
    <row r="908" ht="15.75" customHeight="1">
      <c r="A908" s="12" t="inlineStr">
        <is>
          <t>histidyl_tRNA</t>
        </is>
      </c>
      <c r="B908" s="12" t="inlineStr">
        <is>
          <t>http://identifiers.org/so/SO:0000262</t>
        </is>
      </c>
      <c r="C908" s="12" t="inlineStr">
        <is>
          <t>['histidine tRNA primary transcript']</t>
        </is>
      </c>
      <c r="D908" s="12" t="n"/>
      <c r="E908" s="12" t="n"/>
    </row>
    <row r="909" ht="15.75" customHeight="1">
      <c r="A909" s="12" t="inlineStr">
        <is>
          <t>histone_2A_acetylation_site</t>
        </is>
      </c>
      <c r="B909" s="12" t="inlineStr">
        <is>
          <t>http://identifiers.org/so/SO:0002142</t>
        </is>
      </c>
      <c r="C909" s="12" t="inlineStr">
        <is>
          <t>['histidyl tRNA', 'histidyl-transfer ribonucleic acid', 'histidyl-transfer RNA']</t>
        </is>
      </c>
      <c r="D909" s="12" t="n"/>
      <c r="E909" s="12" t="n"/>
    </row>
    <row r="910" ht="15.75" customHeight="1">
      <c r="A910" s="12" t="inlineStr">
        <is>
          <t>histone_2AZ_acetylation_site</t>
        </is>
      </c>
      <c r="B910" s="12" t="inlineStr">
        <is>
          <t>http://identifiers.org/so/SO:0002144</t>
        </is>
      </c>
      <c r="C910" s="12" t="inlineStr">
        <is>
          <t>['H2Aac', 'histone 2A acetylation site']</t>
        </is>
      </c>
      <c r="D910" s="12" t="n"/>
      <c r="E910" s="12" t="n"/>
    </row>
    <row r="911" ht="15.75" customHeight="1">
      <c r="A911" s="12" t="inlineStr">
        <is>
          <t>histone_2B_acetylation_site</t>
        </is>
      </c>
      <c r="B911" s="12" t="inlineStr">
        <is>
          <t>http://identifiers.org/so/SO:0002143</t>
        </is>
      </c>
      <c r="C911" s="12" t="inlineStr">
        <is>
          <t>['histone 2AZ acetylation site', 'H2A.Zac', 'H2AZac']</t>
        </is>
      </c>
      <c r="D911" s="12" t="n"/>
      <c r="E911" s="12" t="n"/>
    </row>
    <row r="912" ht="15.75" customHeight="1">
      <c r="A912" s="12" t="inlineStr">
        <is>
          <t>histone_3_acetylation_site</t>
        </is>
      </c>
      <c r="B912" s="12" t="inlineStr">
        <is>
          <t>http://identifiers.org/so/SO:0001973</t>
        </is>
      </c>
      <c r="C912" s="12" t="inlineStr">
        <is>
          <t>['H2Bac', 'histone 2B acetylation site']</t>
        </is>
      </c>
      <c r="D912" s="12" t="n"/>
      <c r="E912" s="12" t="n"/>
    </row>
    <row r="913" ht="15.75" customHeight="1">
      <c r="A913" s="12" t="inlineStr">
        <is>
          <t>histone_4_acetylation_site</t>
        </is>
      </c>
      <c r="B913" s="12" t="inlineStr">
        <is>
          <t>http://identifiers.org/so/SO:0001972</t>
        </is>
      </c>
      <c r="C913" s="12" t="inlineStr">
        <is>
          <t>['histone 3 acetylation site', 'H3ac']</t>
        </is>
      </c>
      <c r="D913" s="12" t="n"/>
      <c r="E913" s="12" t="n"/>
    </row>
    <row r="914" ht="15.75" customHeight="1">
      <c r="A914" s="12" t="inlineStr">
        <is>
          <t>histone_acetylation_site</t>
        </is>
      </c>
      <c r="B914" s="12" t="inlineStr">
        <is>
          <t>http://identifiers.org/so/SO:0001702</t>
        </is>
      </c>
      <c r="C914" s="12" t="inlineStr">
        <is>
          <t>['H4ac', 'histone 4 acetylation site']</t>
        </is>
      </c>
      <c r="D914" s="12" t="n"/>
      <c r="E914" s="12" t="n"/>
    </row>
    <row r="915" ht="15.75" customHeight="1">
      <c r="A915" s="12" t="inlineStr">
        <is>
          <t>histone_acylation_region</t>
        </is>
      </c>
      <c r="B915" s="12" t="inlineStr">
        <is>
          <t>http://identifiers.org/so/SO:0001737</t>
        </is>
      </c>
      <c r="C915" s="12" t="inlineStr">
        <is>
          <t>['histone acetylation', 'histone acetylation site']</t>
        </is>
      </c>
      <c r="D915" s="12" t="n"/>
      <c r="E915" s="12" t="n"/>
    </row>
    <row r="916" ht="15.75" customHeight="1">
      <c r="A916" s="12" t="inlineStr">
        <is>
          <t>histone_binding_site</t>
        </is>
      </c>
      <c r="B916" s="12" t="inlineStr">
        <is>
          <t>http://identifiers.org/so/SO:0001383</t>
        </is>
      </c>
      <c r="C916" s="12" t="inlineStr">
        <is>
          <t>['histone acylation region']</t>
        </is>
      </c>
      <c r="D916" s="12" t="n"/>
      <c r="E916" s="12" t="n"/>
    </row>
    <row r="917" ht="15.75" customHeight="1">
      <c r="A917" s="12" t="inlineStr">
        <is>
          <t>histone_methylation_site</t>
        </is>
      </c>
      <c r="B917" s="12" t="inlineStr">
        <is>
          <t>http://identifiers.org/so/SO:0001701</t>
        </is>
      </c>
      <c r="C917" s="12" t="inlineStr">
        <is>
          <t>['histone binding site']</t>
        </is>
      </c>
      <c r="D917" s="12" t="n"/>
      <c r="E917" s="12" t="n"/>
    </row>
    <row r="918" ht="15.75" customHeight="1">
      <c r="A918" s="12" t="inlineStr">
        <is>
          <t>histone_modification</t>
        </is>
      </c>
      <c r="B918" s="12" t="inlineStr">
        <is>
          <t>http://identifiers.org/so/SO:0001700</t>
        </is>
      </c>
      <c r="C918" s="12" t="inlineStr">
        <is>
          <t>['histone methylation site', 'histone methylation']</t>
        </is>
      </c>
      <c r="D918" s="12" t="n"/>
      <c r="E918" s="12" t="n"/>
    </row>
    <row r="919" ht="15.75" customHeight="1">
      <c r="A919" s="12" t="inlineStr">
        <is>
          <t>histone_ubiqitination_site</t>
        </is>
      </c>
      <c r="B919" s="12" t="inlineStr">
        <is>
          <t>http://identifiers.org/so/SO:0001716</t>
        </is>
      </c>
      <c r="C919" s="12" t="inlineStr">
        <is>
          <t>['histone modification site', 'histone modification']</t>
        </is>
      </c>
      <c r="D919" s="12" t="n"/>
      <c r="E919" s="12" t="n"/>
    </row>
    <row r="920" ht="15.75" customHeight="1">
      <c r="A920" s="12" t="inlineStr">
        <is>
          <t>homing_endonuclease_binding_site</t>
        </is>
      </c>
      <c r="B920" s="12" t="inlineStr">
        <is>
          <t>http://identifiers.org/so/SO:0001257</t>
        </is>
      </c>
      <c r="C920" s="12" t="inlineStr">
        <is>
          <t>['histone ubiquitination site']</t>
        </is>
      </c>
      <c r="D920" s="12" t="n"/>
      <c r="E920" s="12" t="n"/>
    </row>
    <row r="921" ht="15.75" customHeight="1">
      <c r="A921" s="12" t="inlineStr">
        <is>
          <t>homo_compound_chromosome</t>
        </is>
      </c>
      <c r="B921" s="12" t="inlineStr">
        <is>
          <t>http://identifiers.org/so/SO:1000138</t>
        </is>
      </c>
      <c r="C921" s="12" t="inlineStr">
        <is>
          <t>['homing endonuclease binding site']</t>
        </is>
      </c>
      <c r="D921" s="12" t="n"/>
      <c r="E921" s="12" t="n"/>
    </row>
    <row r="922" ht="15.75" customHeight="1">
      <c r="A922" s="12" t="inlineStr">
        <is>
          <t>homol_D_box</t>
        </is>
      </c>
      <c r="B922" s="12" t="inlineStr">
        <is>
          <t>http://identifiers.org/so/SO:0001848</t>
        </is>
      </c>
      <c r="C922" s="12" t="inlineStr">
        <is>
          <t>['homo compound chromosome', 'homo-compound chromosome']</t>
        </is>
      </c>
      <c r="D922" s="12" t="n"/>
      <c r="E922" s="12" t="n"/>
    </row>
    <row r="923" ht="15.75" customHeight="1">
      <c r="A923" s="12" t="inlineStr">
        <is>
          <t>homol_E_box</t>
        </is>
      </c>
      <c r="B923" s="12" t="inlineStr">
        <is>
          <t>http://identifiers.org/so/SO:0001849</t>
        </is>
      </c>
      <c r="C923" s="12" t="inlineStr">
        <is>
          <t>['homoID', 'homol D box']</t>
        </is>
      </c>
      <c r="D923" s="12" t="n"/>
      <c r="E923" s="12" t="n"/>
    </row>
    <row r="924" ht="15.75" customHeight="1">
      <c r="A924" s="12" t="inlineStr">
        <is>
          <t>homologous</t>
        </is>
      </c>
      <c r="B924" s="12" t="inlineStr">
        <is>
          <t>http://identifiers.org/so/SO:0000857</t>
        </is>
      </c>
      <c r="C924" s="12" t="inlineStr">
        <is>
          <t>['homol E box']</t>
        </is>
      </c>
      <c r="D924" s="12" t="n"/>
      <c r="E924" s="12" t="n"/>
    </row>
    <row r="925" ht="15.75" customHeight="1">
      <c r="A925" s="12" t="inlineStr">
        <is>
          <t>homologous_chromosome_recognition_and_pairing_locus</t>
        </is>
      </c>
      <c r="B925" s="12" t="inlineStr">
        <is>
          <t>http://identifiers.org/so/SO:0002233</t>
        </is>
      </c>
      <c r="C925" s="12" t="n"/>
      <c r="D925" s="12" t="n"/>
      <c r="E925" s="12" t="n"/>
    </row>
    <row r="926" ht="15.75" customHeight="1">
      <c r="A926" s="12" t="inlineStr">
        <is>
          <t>homologous_region</t>
        </is>
      </c>
      <c r="B926" s="12" t="inlineStr">
        <is>
          <t>http://identifiers.org/so/SO:0000853</t>
        </is>
      </c>
      <c r="C926" s="12" t="inlineStr">
        <is>
          <t>['homologous chromosome recognition and pairing locus']</t>
        </is>
      </c>
      <c r="D926" s="12" t="n"/>
      <c r="E926" s="12" t="n"/>
    </row>
    <row r="927" ht="15.75" customHeight="1">
      <c r="A927" s="12" t="inlineStr">
        <is>
          <t>Hoogsteen_base_pair</t>
        </is>
      </c>
      <c r="B927" s="12" t="inlineStr">
        <is>
          <t>http://identifiers.org/so/SO:0000500</t>
        </is>
      </c>
      <c r="C927" s="12" t="inlineStr">
        <is>
          <t>['homologous region', 'homolog', 'homologue']</t>
        </is>
      </c>
      <c r="D927" s="12" t="n"/>
      <c r="E927" s="12" t="n"/>
    </row>
    <row r="928" ht="15.75" customHeight="1">
      <c r="A928" s="12" t="inlineStr">
        <is>
          <t>HSE</t>
        </is>
      </c>
      <c r="B928" s="12" t="inlineStr">
        <is>
          <t>http://identifiers.org/so/SO:0001850</t>
        </is>
      </c>
      <c r="C928" s="12" t="inlineStr">
        <is>
          <t>['Hoogsteen base pair']</t>
        </is>
      </c>
      <c r="D928" s="12" t="n"/>
      <c r="E928" s="12" t="n"/>
    </row>
    <row r="929" ht="15.75" customHeight="1">
      <c r="A929" s="12" t="inlineStr">
        <is>
          <t>hydrophobic_region_of_peptide</t>
        </is>
      </c>
      <c r="B929" s="12" t="inlineStr">
        <is>
          <t>http://identifiers.org/so/SO:0100013</t>
        </is>
      </c>
      <c r="C929" s="12" t="inlineStr">
        <is>
          <t>['heat shock element']</t>
        </is>
      </c>
      <c r="D929" s="12" t="n"/>
      <c r="E929" s="12" t="n"/>
    </row>
    <row r="930" ht="15.75" customHeight="1">
      <c r="A930" s="12" t="inlineStr">
        <is>
          <t>hydroxywybutosine</t>
        </is>
      </c>
      <c r="B930" s="12" t="inlineStr">
        <is>
          <t>http://identifiers.org/so/SO:0001334</t>
        </is>
      </c>
      <c r="C930" s="12" t="inlineStr">
        <is>
          <t>['hydrophobic region of peptide', 'hydropathic', 'hydrophobicity', 'hydrophobic_region']</t>
        </is>
      </c>
      <c r="D930" s="12" t="n"/>
      <c r="E930" s="12" t="n"/>
    </row>
    <row r="931" ht="15.75" customHeight="1">
      <c r="A931" s="12" t="inlineStr">
        <is>
          <t>hyperploid</t>
        </is>
      </c>
      <c r="B931" s="12" t="inlineStr">
        <is>
          <t>http://identifiers.org/so/SO:0000055</t>
        </is>
      </c>
      <c r="C931" s="12" t="inlineStr">
        <is>
          <t>['OHyW']</t>
        </is>
      </c>
      <c r="D931" s="12" t="n"/>
      <c r="E931" s="12" t="n"/>
    </row>
    <row r="932" ht="15.75" customHeight="1">
      <c r="A932" s="12" t="inlineStr">
        <is>
          <t>hypoploid</t>
        </is>
      </c>
      <c r="B932" s="12" t="inlineStr">
        <is>
          <t>http://identifiers.org/so/SO:0000056</t>
        </is>
      </c>
      <c r="C932" s="12" t="n"/>
      <c r="D932" s="12" t="n"/>
      <c r="E932" s="12" t="n"/>
    </row>
    <row r="933" ht="15.75" customHeight="1">
      <c r="A933" s="12" t="inlineStr">
        <is>
          <t>I_LINE_retrotransposon</t>
        </is>
      </c>
      <c r="B933" s="12" t="inlineStr">
        <is>
          <t>http://identifiers.org/so/SO:0002273</t>
        </is>
      </c>
      <c r="C933" s="12" t="n"/>
      <c r="D933" s="12" t="n"/>
      <c r="E933" s="12" t="n"/>
    </row>
    <row r="934" ht="15.75" customHeight="1">
      <c r="A934" s="12" t="inlineStr">
        <is>
          <t>i_motif</t>
        </is>
      </c>
      <c r="B934" s="12" t="inlineStr">
        <is>
          <t>http://identifiers.org/so/SO:0001010</t>
        </is>
      </c>
      <c r="C934" s="12" t="inlineStr">
        <is>
          <t>['I LINE retrotransposon', 'LINE I element', 'RII retrotransposon']</t>
        </is>
      </c>
      <c r="D934" s="12" t="n"/>
      <c r="E934" s="12" t="n"/>
    </row>
    <row r="935" ht="15.75" customHeight="1">
      <c r="A935" s="12" t="inlineStr">
        <is>
          <t>I-box</t>
        </is>
      </c>
      <c r="B935" s="12" t="inlineStr">
        <is>
          <t>http://identifiers.org/so/SO:0001982</t>
        </is>
      </c>
      <c r="C935" s="12" t="inlineStr">
        <is>
          <t>['i motif', 'short intercalated motif']</t>
        </is>
      </c>
      <c r="D935" s="12" t="n"/>
      <c r="E935" s="12" t="n"/>
    </row>
    <row r="936" ht="15.75" customHeight="1">
      <c r="A936" s="12" t="inlineStr">
        <is>
          <t>iDNA</t>
        </is>
      </c>
      <c r="B936" s="12" t="inlineStr">
        <is>
          <t>http://identifiers.org/so/SO:0000723</t>
        </is>
      </c>
      <c r="C936" s="12" t="inlineStr">
        <is>
          <t>['I-box promoter motif']</t>
        </is>
      </c>
      <c r="D936" s="12" t="n"/>
      <c r="E936" s="12" t="n"/>
    </row>
    <row r="937" ht="15.75" customHeight="1">
      <c r="A937" s="12" t="inlineStr">
        <is>
          <t>IG_C_gene</t>
        </is>
      </c>
      <c r="B937" s="12" t="inlineStr">
        <is>
          <t>http://identifiers.org/so/SO:0002123</t>
        </is>
      </c>
      <c r="C937" s="12" t="inlineStr">
        <is>
          <t>['INSDC_feature:iDNA', 'intervening DNA']</t>
        </is>
      </c>
      <c r="D937" s="12" t="n"/>
      <c r="E937" s="12" t="n"/>
    </row>
    <row r="938" ht="15.75" customHeight="1">
      <c r="A938" s="12" t="inlineStr">
        <is>
          <t>IG_C_pseudogene</t>
        </is>
      </c>
      <c r="B938" s="12" t="inlineStr">
        <is>
          <t>http://identifiers.org/so/SO:0002100</t>
        </is>
      </c>
      <c r="C938" s="12" t="inlineStr">
        <is>
          <t>['Immunoglobulin_Constant_germline_Gene', 'IGC_gene', 'immunoglobulin_C_gene']</t>
        </is>
      </c>
      <c r="D938" s="12" t="n"/>
      <c r="E938" s="12" t="n"/>
    </row>
    <row r="939" ht="15.75" customHeight="1">
      <c r="A939" s="12" t="inlineStr">
        <is>
          <t>IG_D_gene</t>
        </is>
      </c>
      <c r="B939" s="12" t="inlineStr">
        <is>
          <t>http://identifiers.org/so/SO:0002124</t>
        </is>
      </c>
      <c r="C939" s="12" t="inlineStr">
        <is>
          <t>['IG C pseudogene']</t>
        </is>
      </c>
      <c r="D939" s="12" t="n"/>
      <c r="E939" s="12" t="n"/>
    </row>
    <row r="940" ht="15.75" customHeight="1">
      <c r="A940" s="12" t="inlineStr">
        <is>
          <t>IG_J_gene</t>
        </is>
      </c>
      <c r="B940" s="12" t="inlineStr">
        <is>
          <t>http://identifiers.org/so/SO:0002125</t>
        </is>
      </c>
      <c r="C940" s="12" t="inlineStr">
        <is>
          <t>['immunoglobulin_D_gene', 'IGD_gene', 'Immunoglobulin_Diversity_ gene']</t>
        </is>
      </c>
      <c r="D940" s="12" t="n"/>
      <c r="E940" s="12" t="n"/>
    </row>
    <row r="941" ht="15.75" customHeight="1">
      <c r="A941" s="12" t="inlineStr">
        <is>
          <t>IG_J_pseudogene</t>
        </is>
      </c>
      <c r="B941" s="12" t="inlineStr">
        <is>
          <t>http://identifiers.org/so/SO:0002101</t>
        </is>
      </c>
      <c r="C941" s="12" t="inlineStr">
        <is>
          <t>['immunoglobulin_J_gene', 'Immunoglobulin_Joining_Gene', 'IG_joining_gene']</t>
        </is>
      </c>
      <c r="D941" s="12" t="n"/>
      <c r="E941" s="12" t="n"/>
    </row>
    <row r="942" ht="15.75" customHeight="1">
      <c r="A942" s="12" t="inlineStr">
        <is>
          <t>IG_V_gene</t>
        </is>
      </c>
      <c r="B942" s="12" t="inlineStr">
        <is>
          <t>http://identifiers.org/so/SO:0002126</t>
        </is>
      </c>
      <c r="C942" s="12" t="inlineStr">
        <is>
          <t>['IG J pseudogene', 'IG joining pseudogene', 'IG_joining_pseudogene', 'Immunoglobulin Joining Pseudogene', 'Immunoglobulin_Joining_Pseudogene']</t>
        </is>
      </c>
      <c r="D942" s="12" t="n"/>
      <c r="E942" s="12" t="n"/>
    </row>
    <row r="943" ht="15.75" customHeight="1">
      <c r="A943" s="12" t="inlineStr">
        <is>
          <t>IG_V_pseudogene</t>
        </is>
      </c>
      <c r="B943" s="12" t="inlineStr">
        <is>
          <t>http://identifiers.org/so/SO:0002102</t>
        </is>
      </c>
      <c r="C943" s="12" t="inlineStr">
        <is>
          <t>['IGV_gene', 'IG_variable_gene', 'Immunoglobulin_variable_gene']</t>
        </is>
      </c>
      <c r="D943" s="12" t="n"/>
      <c r="E943" s="12" t="n"/>
    </row>
    <row r="944" ht="15.75" customHeight="1">
      <c r="A944" s="12" t="inlineStr">
        <is>
          <t>immature_peptide_region</t>
        </is>
      </c>
      <c r="B944" s="12" t="inlineStr">
        <is>
          <t>http://identifiers.org/so/SO:0001063</t>
        </is>
      </c>
      <c r="C944" s="12" t="inlineStr">
        <is>
          <t>['Immunoglobulin_variable_pseudogene', 'IG_variable_pseudogene', 'Immunoglobulin variable pseudogene', 'IG V pseudogene', 'IG variable pseudogene']</t>
        </is>
      </c>
      <c r="D944" s="12" t="n"/>
      <c r="E944" s="12" t="n"/>
    </row>
    <row r="945" ht="15.75" customHeight="1">
      <c r="A945" s="12" t="inlineStr">
        <is>
          <t>immunoglobulin_gene</t>
        </is>
      </c>
      <c r="B945" s="12" t="inlineStr">
        <is>
          <t>http://identifiers.org/so/SO:0002122</t>
        </is>
      </c>
      <c r="C945" s="12" t="inlineStr">
        <is>
          <t>['immature peptide region']</t>
        </is>
      </c>
      <c r="D945" s="12" t="n"/>
      <c r="E945" s="12" t="n"/>
    </row>
    <row r="946" ht="15.75" customHeight="1">
      <c r="A946" s="12" t="inlineStr">
        <is>
          <t>immunoglobulin_pseudogene</t>
        </is>
      </c>
      <c r="B946" s="12" t="inlineStr">
        <is>
          <t>http://identifiers.org/so/SO:0002098</t>
        </is>
      </c>
      <c r="C946" s="12" t="inlineStr">
        <is>
          <t>['All_IG_genes', 'IG_genes']</t>
        </is>
      </c>
      <c r="D946" s="12" t="n"/>
      <c r="E946" s="12" t="n"/>
    </row>
    <row r="947" ht="15.75" customHeight="1">
      <c r="A947" s="12" t="inlineStr">
        <is>
          <t>immunoglobulin_region</t>
        </is>
      </c>
      <c r="B947" s="12" t="inlineStr">
        <is>
          <t>http://identifiers.org/so/SO:0001832</t>
        </is>
      </c>
      <c r="C947" s="12" t="inlineStr">
        <is>
          <t>['immunoglobulin pseudogene']</t>
        </is>
      </c>
      <c r="D947" s="12" t="n"/>
      <c r="E947" s="12" t="n"/>
    </row>
    <row r="948" ht="15.75" customHeight="1">
      <c r="A948" s="12" t="inlineStr">
        <is>
          <t>imprinting_control_region</t>
        </is>
      </c>
      <c r="B948" s="12" t="inlineStr">
        <is>
          <t>http://identifiers.org/so/SO:0002191</t>
        </is>
      </c>
      <c r="C948" s="12" t="inlineStr">
        <is>
          <t>['immunoglobulin region']</t>
        </is>
      </c>
      <c r="D948" s="12" t="n"/>
      <c r="E948" s="12" t="n"/>
    </row>
    <row r="949" ht="15.75" customHeight="1">
      <c r="A949" s="12" t="inlineStr">
        <is>
          <t>improved_high_quality_draft</t>
        </is>
      </c>
      <c r="B949" s="12" t="inlineStr">
        <is>
          <t>http://identifiers.org/so/SO:0001488</t>
        </is>
      </c>
      <c r="C949" s="12" t="inlineStr">
        <is>
          <t>['INSDC_qualifier:imprinting_control_region', 'INSDC_feature:regulatory', 'imprinting control region']</t>
        </is>
      </c>
      <c r="D949" s="12" t="n"/>
      <c r="E949" s="12" t="n"/>
    </row>
    <row r="950" ht="15.75" customHeight="1">
      <c r="A950" s="12" t="inlineStr">
        <is>
          <t>inactive_catalytic_site</t>
        </is>
      </c>
      <c r="B950" s="12" t="inlineStr">
        <is>
          <t>http://identifiers.org/so/SO:0001618</t>
        </is>
      </c>
      <c r="C950" s="12" t="inlineStr">
        <is>
          <t>['improved high quality draft']</t>
        </is>
      </c>
      <c r="D950" s="12" t="n"/>
      <c r="E950" s="12" t="n"/>
    </row>
    <row r="951" ht="15.75" customHeight="1">
      <c r="A951" s="12" t="inlineStr">
        <is>
          <t>inactive_ligand_binding_site</t>
        </is>
      </c>
      <c r="B951" s="12" t="inlineStr">
        <is>
          <t>http://identifiers.org/so/SO:0001560</t>
        </is>
      </c>
      <c r="C951" s="12" t="inlineStr">
        <is>
          <t>['inactive catalytic site']</t>
        </is>
      </c>
      <c r="D951" s="12" t="n"/>
      <c r="E951" s="12" t="n"/>
    </row>
    <row r="952" ht="15.75" customHeight="1">
      <c r="A952" s="12" t="inlineStr">
        <is>
          <t>incomplete_terminal_codon_variant</t>
        </is>
      </c>
      <c r="B952" s="12" t="inlineStr">
        <is>
          <t>http://identifiers.org/so/SO:0001626</t>
        </is>
      </c>
      <c r="C952" s="12" t="inlineStr">
        <is>
          <t>['inactive ligand binding site']</t>
        </is>
      </c>
      <c r="D952" s="12" t="n"/>
      <c r="E952" s="12" t="n"/>
    </row>
    <row r="953" ht="15.75" customHeight="1">
      <c r="A953" s="12" t="inlineStr">
        <is>
          <t>incomplete_transcript_3UTR_variant</t>
        </is>
      </c>
      <c r="B953" s="12" t="inlineStr">
        <is>
          <t>http://identifiers.org/so/SO:0002076</t>
        </is>
      </c>
      <c r="C953" s="12" t="inlineStr">
        <is>
          <t>['incomplete terminal codon variant', 'partial_codon', 'VEP:incomplete_terminal_codon_variant']</t>
        </is>
      </c>
      <c r="D953" s="12" t="n"/>
      <c r="E953" s="12" t="n"/>
    </row>
    <row r="954" ht="15.75" customHeight="1">
      <c r="A954" s="12" t="inlineStr">
        <is>
          <t>incomplete_transcript_5UTR_variant</t>
        </is>
      </c>
      <c r="B954" s="12" t="inlineStr">
        <is>
          <t>http://identifiers.org/so/SO:0002077</t>
        </is>
      </c>
      <c r="C954" s="12" t="inlineStr">
        <is>
          <t>['ANNOVAR:ncRNA_UTR3', 'incomplete transcript 3UTR variant']</t>
        </is>
      </c>
      <c r="D954" s="12" t="n"/>
      <c r="E954" s="12" t="n"/>
    </row>
    <row r="955" ht="15.75" customHeight="1">
      <c r="A955" s="12" t="inlineStr">
        <is>
          <t>incomplete_transcript_CDS</t>
        </is>
      </c>
      <c r="B955" s="12" t="inlineStr">
        <is>
          <t>http://identifiers.org/so/SO:0002081</t>
        </is>
      </c>
      <c r="C955" s="12" t="inlineStr">
        <is>
          <t>['incomplete transcript 5UTR variant', 'ANNOVAR:ncRNA_UTR5']</t>
        </is>
      </c>
      <c r="D955" s="12" t="n"/>
      <c r="E955" s="12" t="n"/>
    </row>
    <row r="956" ht="15.75" customHeight="1">
      <c r="A956" s="12" t="inlineStr">
        <is>
          <t>incomplete_transcript_coding_splice_variant</t>
        </is>
      </c>
      <c r="B956" s="12" t="inlineStr">
        <is>
          <t>http://identifiers.org/so/SO:0002082</t>
        </is>
      </c>
      <c r="C956" s="12" t="inlineStr">
        <is>
          <t>['Seattleseq:coding-unknown', 'Seattleseq:coding-notMod3']</t>
        </is>
      </c>
      <c r="D956" s="12" t="n"/>
      <c r="E956" s="12" t="n"/>
    </row>
    <row r="957" ht="15.75" customHeight="1">
      <c r="A957" s="12" t="inlineStr">
        <is>
          <t>incomplete_transcript_exonic_variant</t>
        </is>
      </c>
      <c r="B957" s="12" t="inlineStr">
        <is>
          <t>http://identifiers.org/so/SO:0002080</t>
        </is>
      </c>
      <c r="C957" s="12" t="inlineStr">
        <is>
          <t>['Seattleseq:coding-notMod3-near-splice', 'Seattleseq:coding-unknown-near-splice', 'incomplete transcript coding splice variant']</t>
        </is>
      </c>
      <c r="D957" s="12" t="n"/>
      <c r="E957" s="12" t="n"/>
    </row>
    <row r="958" ht="15.75" customHeight="1">
      <c r="A958" s="12" t="inlineStr">
        <is>
          <t>incomplete_transcript_intronic_variant</t>
        </is>
      </c>
      <c r="B958" s="12" t="inlineStr">
        <is>
          <t>http://identifiers.org/so/SO:0002078</t>
        </is>
      </c>
      <c r="C958" s="12" t="inlineStr">
        <is>
          <t>['incomplete transcript exonic variant']</t>
        </is>
      </c>
      <c r="D958" s="12" t="n"/>
      <c r="E958" s="12" t="n"/>
    </row>
    <row r="959" ht="15.75" customHeight="1">
      <c r="A959" s="12" t="inlineStr">
        <is>
          <t>incomplete_transcript_splice_region_variant</t>
        </is>
      </c>
      <c r="B959" s="12" t="inlineStr">
        <is>
          <t>http://identifiers.org/so/SO:0002079</t>
        </is>
      </c>
      <c r="C959" s="12" t="inlineStr">
        <is>
          <t>['incomplete transcript intronic variant']</t>
        </is>
      </c>
      <c r="D959" s="12" t="n"/>
      <c r="E959" s="12" t="n"/>
    </row>
    <row r="960" ht="15.75" customHeight="1">
      <c r="A960" s="12" t="inlineStr">
        <is>
          <t>incomplete_transcript_variant</t>
        </is>
      </c>
      <c r="B960" s="12" t="inlineStr">
        <is>
          <t>http://identifiers.org/so/SO:0002075</t>
        </is>
      </c>
      <c r="C960" s="12" t="inlineStr">
        <is>
          <t>['incomplete transcript splice region variant']</t>
        </is>
      </c>
      <c r="D960" s="12" t="n"/>
      <c r="E960" s="12" t="n"/>
    </row>
    <row r="961" ht="15.75" customHeight="1">
      <c r="A961" s="12" t="inlineStr">
        <is>
          <t>increased_polyadenylation_variant</t>
        </is>
      </c>
      <c r="B961" s="12" t="inlineStr">
        <is>
          <t>http://identifiers.org/so/SO:0001802</t>
        </is>
      </c>
      <c r="C961" s="12" t="inlineStr">
        <is>
          <t>['incomplete transcript variant']</t>
        </is>
      </c>
      <c r="D961" s="12" t="n"/>
      <c r="E961" s="12" t="n"/>
    </row>
    <row r="962" ht="15.75" customHeight="1">
      <c r="A962" s="12" t="inlineStr">
        <is>
          <t>increased_transcript_level_variant</t>
        </is>
      </c>
      <c r="B962" s="12" t="inlineStr">
        <is>
          <t>http://identifiers.org/so/SO:0001542</t>
        </is>
      </c>
      <c r="C962" s="12" t="inlineStr">
        <is>
          <t>['increased polyadenylation variant']</t>
        </is>
      </c>
      <c r="D962" s="12" t="n"/>
      <c r="E962" s="12" t="n"/>
    </row>
    <row r="963" ht="15.75" customHeight="1">
      <c r="A963" s="12" t="inlineStr">
        <is>
          <t>increased_transcript_stability_variant</t>
        </is>
      </c>
      <c r="B963" s="12" t="inlineStr">
        <is>
          <t>http://identifiers.org/so/SO:0001548</t>
        </is>
      </c>
      <c r="C963" s="12" t="inlineStr">
        <is>
          <t>['increased transcript level variant']</t>
        </is>
      </c>
      <c r="D963" s="12" t="n"/>
      <c r="E963" s="12" t="n"/>
    </row>
    <row r="964" ht="15.75" customHeight="1">
      <c r="A964" s="12" t="inlineStr">
        <is>
          <t>increased_transcription_rate_variant</t>
        </is>
      </c>
      <c r="B964" s="12" t="inlineStr">
        <is>
          <t>http://identifiers.org/so/SO:0001551</t>
        </is>
      </c>
      <c r="C964" s="12" t="inlineStr">
        <is>
          <t>['increased transcript stability variant']</t>
        </is>
      </c>
      <c r="D964" s="12" t="n"/>
      <c r="E964" s="12" t="n"/>
    </row>
    <row r="965" ht="15.75" customHeight="1">
      <c r="A965" s="12" t="inlineStr">
        <is>
          <t>increased_translational_product_level</t>
        </is>
      </c>
      <c r="B965" s="12" t="inlineStr">
        <is>
          <t>http://identifiers.org/so/SO:0001556</t>
        </is>
      </c>
      <c r="C965" s="12" t="inlineStr">
        <is>
          <t>['increased transcription rate variant']</t>
        </is>
      </c>
      <c r="D965" s="12" t="n"/>
      <c r="E965" s="12" t="n"/>
    </row>
    <row r="966" ht="15.75" customHeight="1">
      <c r="A966" s="12" t="inlineStr">
        <is>
          <t>indel_artifact</t>
        </is>
      </c>
      <c r="B966" s="12" t="inlineStr">
        <is>
          <t>http://identifiers.org/so/SO:0002173</t>
        </is>
      </c>
      <c r="C966" s="12" t="inlineStr">
        <is>
          <t>['increase translational product level']</t>
        </is>
      </c>
      <c r="D966" s="12" t="n"/>
      <c r="E966" s="12" t="n"/>
    </row>
    <row r="967" ht="15.75" customHeight="1">
      <c r="A967" s="12" t="inlineStr">
        <is>
          <t>independently_known</t>
        </is>
      </c>
      <c r="B967" s="12" t="inlineStr">
        <is>
          <t>http://identifiers.org/so/SO:0000906</t>
        </is>
      </c>
      <c r="C967" s="12" t="inlineStr">
        <is>
          <t>['indel artifact']</t>
        </is>
      </c>
      <c r="D967" s="12" t="n"/>
      <c r="E967" s="12" t="n"/>
    </row>
    <row r="968" ht="15.75" customHeight="1">
      <c r="A968" s="12" t="inlineStr">
        <is>
          <t>inducible_promoter</t>
        </is>
      </c>
      <c r="B968" s="12" t="inlineStr">
        <is>
          <t>http://identifiers.org/so/SO:0002051</t>
        </is>
      </c>
      <c r="C968" s="12" t="inlineStr">
        <is>
          <t>['independently known']</t>
        </is>
      </c>
      <c r="D968" s="12" t="n"/>
      <c r="E968" s="12" t="n"/>
    </row>
    <row r="969" ht="15.75" customHeight="1">
      <c r="A969" s="12" t="inlineStr">
        <is>
          <t>inert_DNA_spacer</t>
        </is>
      </c>
      <c r="B969" s="12" t="inlineStr">
        <is>
          <t>http://identifiers.org/so/SO:0002223</t>
        </is>
      </c>
      <c r="C969" s="12" t="inlineStr">
        <is>
          <t>['inducible promoter']</t>
        </is>
      </c>
      <c r="D969" s="12" t="n"/>
      <c r="E969" s="12" t="n"/>
    </row>
    <row r="970" ht="15.75" customHeight="1">
      <c r="A970" s="12" t="inlineStr">
        <is>
          <t>inframe</t>
        </is>
      </c>
      <c r="B970" s="12" t="inlineStr">
        <is>
          <t>http://identifiers.org/so/SO:0001817</t>
        </is>
      </c>
      <c r="C970" s="12" t="inlineStr">
        <is>
          <t>['Inert DNA Spacer']</t>
        </is>
      </c>
      <c r="D970" s="12" t="n"/>
      <c r="E970" s="12" t="n"/>
    </row>
    <row r="971" ht="15.75" customHeight="1">
      <c r="A971" s="12" t="inlineStr">
        <is>
          <t>inframe_deletion</t>
        </is>
      </c>
      <c r="B971" s="12" t="inlineStr">
        <is>
          <t>http://identifiers.org/so/SO:0001822</t>
        </is>
      </c>
      <c r="C971" s="12" t="n"/>
      <c r="D971" s="12" t="n"/>
      <c r="E971" s="12" t="n"/>
    </row>
    <row r="972" ht="15.75" customHeight="1">
      <c r="A972" s="12" t="inlineStr">
        <is>
          <t>inframe_indel</t>
        </is>
      </c>
      <c r="B972" s="12" t="inlineStr">
        <is>
          <t>http://identifiers.org/so/SO:0001820</t>
        </is>
      </c>
      <c r="C972" s="12" t="inlineStr">
        <is>
          <t>['snpEff:CODON_DELETION', 'inframe decrease in CDS length', 'inframe deletion', 'VEP:inframe_deletion', 'VAT:deletionNFS', 'inframe codon loss', 'ANNOVAR:nonframeshift deletion', 'inframe_codon_loss', 'Jannovar:inframe_deletion']</t>
        </is>
      </c>
      <c r="D972" s="12" t="n"/>
      <c r="E972" s="12" t="n"/>
    </row>
    <row r="973" ht="15.75" customHeight="1">
      <c r="A973" s="12" t="inlineStr">
        <is>
          <t>inframe_insertion</t>
        </is>
      </c>
      <c r="B973" s="12" t="inlineStr">
        <is>
          <t>http://identifiers.org/so/SO:0001821</t>
        </is>
      </c>
      <c r="C973" s="12" t="inlineStr">
        <is>
          <t>['inframe indel', 'inframe change in CDS length']</t>
        </is>
      </c>
      <c r="D973" s="12" t="n"/>
      <c r="E973" s="12" t="n"/>
    </row>
    <row r="974" ht="15.75" customHeight="1">
      <c r="A974" s="12" t="inlineStr">
        <is>
          <t>inframe_variant</t>
        </is>
      </c>
      <c r="B974" s="12" t="inlineStr">
        <is>
          <t>http://identifiers.org/so/SO:0001650</t>
        </is>
      </c>
      <c r="C974" s="12" t="inlineStr">
        <is>
          <t>['VAT:insertionNFS', 'Jannovar:inframe_insertion', 'snpEFF:CODON_INSERTION', 'inframe insertion', 'VEP:inframe_insertion', 'ANNOVAR:nonframeshift insertion', 'inframe increase in CDS length', 'inframe codon gain', 'inframe_codon_gain']</t>
        </is>
      </c>
      <c r="D974" s="12" t="n"/>
      <c r="E974" s="12" t="n"/>
    </row>
    <row r="975" ht="15.75" customHeight="1">
      <c r="A975" s="12" t="inlineStr">
        <is>
          <t>initiator_codon_variant</t>
        </is>
      </c>
      <c r="B975" s="12" t="inlineStr">
        <is>
          <t>http://identifiers.org/so/SO:0001582</t>
        </is>
      </c>
      <c r="C975" s="12" t="inlineStr">
        <is>
          <t>['ANNOVAR:nonframeshift substitution', 'ANNOVAR:nonframeshift block substitution', 'cds-indel', 'VAAST:inframe_variant', 'inframe variant']</t>
        </is>
      </c>
      <c r="D975" s="12" t="n"/>
      <c r="E975" s="12" t="n"/>
    </row>
    <row r="976" ht="15.75" customHeight="1">
      <c r="A976" s="12" t="inlineStr">
        <is>
          <t>inosine</t>
        </is>
      </c>
      <c r="B976" s="12" t="inlineStr">
        <is>
          <t>http://identifiers.org/so/SO:0001230</t>
        </is>
      </c>
      <c r="C976" s="12" t="inlineStr">
        <is>
          <t>['initiator codon change', 'initiatior codon variant', 'VAT:startOverlap', 'Jannovar:initiator_codon_variant', 'snpEff:NON_SYNONYMOUS_START']</t>
        </is>
      </c>
      <c r="D976" s="12" t="n"/>
      <c r="E976" s="12" t="n"/>
    </row>
    <row r="977" ht="15.75" customHeight="1">
      <c r="A977" s="12" t="inlineStr">
        <is>
          <t>INR_motif</t>
        </is>
      </c>
      <c r="B977" s="12" t="inlineStr">
        <is>
          <t>http://identifiers.org/so/SO:0000014</t>
        </is>
      </c>
      <c r="C977" s="12" t="inlineStr">
        <is>
          <t>['RNAMOD:017', 'I']</t>
        </is>
      </c>
      <c r="D977" s="12" t="n"/>
      <c r="E977" s="12" t="n"/>
    </row>
    <row r="978" ht="15.75" customHeight="1">
      <c r="A978" s="12" t="inlineStr">
        <is>
          <t>INR1_motif</t>
        </is>
      </c>
      <c r="B978" s="12" t="inlineStr">
        <is>
          <t>http://identifiers.org/so/SO:0001163</t>
        </is>
      </c>
      <c r="C978" s="12" t="inlineStr">
        <is>
          <t>['DMp2', 'INR motif', 'initiator', 'initiator motif']</t>
        </is>
      </c>
      <c r="D978" s="12" t="n"/>
      <c r="E978" s="12" t="n"/>
    </row>
    <row r="979" ht="15.75" customHeight="1">
      <c r="A979" s="12" t="inlineStr">
        <is>
          <t>insert</t>
        </is>
      </c>
      <c r="B979" s="12" t="inlineStr">
        <is>
          <t>http://identifiers.org/so/SO:0000046</t>
        </is>
      </c>
      <c r="C979" s="12" t="inlineStr">
        <is>
          <t>['INR1 motif', 'directional promoter motif 3', 'DMp3', 'directional motif p3']</t>
        </is>
      </c>
      <c r="D979" s="12" t="n"/>
      <c r="E979" s="12" t="n"/>
    </row>
    <row r="980" ht="15.75" customHeight="1">
      <c r="A980" s="12" t="inlineStr">
        <is>
          <t>insert_AA</t>
        </is>
      </c>
      <c r="B980" s="12" t="inlineStr">
        <is>
          <t>http://identifiers.org/so/SO:0000928</t>
        </is>
      </c>
      <c r="C980" s="12" t="n"/>
      <c r="D980" s="12" t="n"/>
      <c r="E980" s="12" t="n"/>
    </row>
    <row r="981" ht="15.75" customHeight="1">
      <c r="A981" s="12" t="inlineStr">
        <is>
          <t>insert_AU</t>
        </is>
      </c>
      <c r="B981" s="12" t="inlineStr">
        <is>
          <t>http://identifiers.org/so/SO:0000927</t>
        </is>
      </c>
      <c r="C981" s="12" t="inlineStr">
        <is>
          <t>['insert AA']</t>
        </is>
      </c>
      <c r="D981" s="12" t="n"/>
      <c r="E981" s="12" t="n"/>
    </row>
    <row r="982" ht="15.75" customHeight="1">
      <c r="A982" s="12" t="inlineStr">
        <is>
          <t>insert_C</t>
        </is>
      </c>
      <c r="B982" s="12" t="inlineStr">
        <is>
          <t>http://identifiers.org/so/SO:0000920</t>
        </is>
      </c>
      <c r="C982" s="12" t="inlineStr">
        <is>
          <t>['insert AU']</t>
        </is>
      </c>
      <c r="D982" s="12" t="n"/>
      <c r="E982" s="12" t="n"/>
    </row>
    <row r="983" ht="15.75" customHeight="1">
      <c r="A983" s="12" t="inlineStr">
        <is>
          <t>insert_CU</t>
        </is>
      </c>
      <c r="B983" s="12" t="inlineStr">
        <is>
          <t>http://identifiers.org/so/SO:0000926</t>
        </is>
      </c>
      <c r="C983" s="12" t="inlineStr">
        <is>
          <t>['insert C']</t>
        </is>
      </c>
      <c r="D983" s="12" t="n"/>
      <c r="E983" s="12" t="n"/>
    </row>
    <row r="984" ht="15.75" customHeight="1">
      <c r="A984" s="12" t="inlineStr">
        <is>
          <t>insert_dinucleotide</t>
        </is>
      </c>
      <c r="B984" s="12" t="inlineStr">
        <is>
          <t>http://identifiers.org/so/SO:0000921</t>
        </is>
      </c>
      <c r="C984" s="12" t="inlineStr">
        <is>
          <t>['insert CU']</t>
        </is>
      </c>
      <c r="D984" s="12" t="n"/>
      <c r="E984" s="12" t="n"/>
    </row>
    <row r="985" ht="15.75" customHeight="1">
      <c r="A985" s="12" t="inlineStr">
        <is>
          <t>insert_G</t>
        </is>
      </c>
      <c r="B985" s="12" t="inlineStr">
        <is>
          <t>http://identifiers.org/so/SO:0000923</t>
        </is>
      </c>
      <c r="C985" s="12" t="inlineStr">
        <is>
          <t>['insert dinucleotide']</t>
        </is>
      </c>
      <c r="D985" s="12" t="n"/>
      <c r="E985" s="12" t="n"/>
    </row>
    <row r="986" ht="15.75" customHeight="1">
      <c r="A986" s="12" t="inlineStr">
        <is>
          <t>insert_GC</t>
        </is>
      </c>
      <c r="B986" s="12" t="inlineStr">
        <is>
          <t>http://identifiers.org/so/SO:0000924</t>
        </is>
      </c>
      <c r="C986" s="12" t="inlineStr">
        <is>
          <t>['insert G']</t>
        </is>
      </c>
      <c r="D986" s="12" t="n"/>
      <c r="E986" s="12" t="n"/>
    </row>
    <row r="987" ht="15.75" customHeight="1">
      <c r="A987" s="12" t="inlineStr">
        <is>
          <t>insert_GU</t>
        </is>
      </c>
      <c r="B987" s="12" t="inlineStr">
        <is>
          <t>http://identifiers.org/so/SO:0000925</t>
        </is>
      </c>
      <c r="C987" s="12" t="inlineStr">
        <is>
          <t>['insert GC']</t>
        </is>
      </c>
      <c r="D987" s="12" t="n"/>
      <c r="E987" s="12" t="n"/>
    </row>
    <row r="988" ht="15.75" customHeight="1">
      <c r="A988" s="12" t="inlineStr">
        <is>
          <t>insert_U</t>
        </is>
      </c>
      <c r="B988" s="12" t="inlineStr">
        <is>
          <t>http://identifiers.org/so/SO:0000917</t>
        </is>
      </c>
      <c r="C988" s="12" t="inlineStr">
        <is>
          <t>['insert GU']</t>
        </is>
      </c>
      <c r="D988" s="12" t="n"/>
      <c r="E988" s="12" t="n"/>
    </row>
    <row r="989" ht="15.75" customHeight="1">
      <c r="A989" s="12" t="inlineStr">
        <is>
          <t>insertion</t>
        </is>
      </c>
      <c r="B989" s="12" t="inlineStr">
        <is>
          <t>http://identifiers.org/so/SO:0000667</t>
        </is>
      </c>
      <c r="C989" s="12" t="inlineStr">
        <is>
          <t>['insert U']</t>
        </is>
      </c>
      <c r="D989" s="12" t="n"/>
      <c r="E989" s="12" t="n"/>
    </row>
    <row r="990" ht="15.75" customHeight="1">
      <c r="A990" s="12" t="inlineStr">
        <is>
          <t>insertion_artifact</t>
        </is>
      </c>
      <c r="B990" s="12" t="inlineStr">
        <is>
          <t>http://identifiers.org/so/SO:0002175</t>
        </is>
      </c>
      <c r="C990" s="12" t="inlineStr">
        <is>
          <t>['nucleotide insertion', 'nucleotide_insertion', 'insertion']</t>
        </is>
      </c>
      <c r="D990" s="12" t="n"/>
      <c r="E990" s="12" t="n"/>
    </row>
    <row r="991" ht="15.75" customHeight="1">
      <c r="A991" s="12" t="inlineStr">
        <is>
          <t>insertion_attribute</t>
        </is>
      </c>
      <c r="B991" s="12" t="inlineStr">
        <is>
          <t>http://identifiers.org/so/SO:0001512</t>
        </is>
      </c>
      <c r="C991" s="12" t="inlineStr">
        <is>
          <t>['insertion artifact']</t>
        </is>
      </c>
      <c r="D991" s="12" t="n"/>
      <c r="E991" s="12" t="n"/>
    </row>
    <row r="992" ht="15.75" customHeight="1">
      <c r="A992" s="12" t="inlineStr">
        <is>
          <t>insertion_breakpoint</t>
        </is>
      </c>
      <c r="B992" s="12" t="inlineStr">
        <is>
          <t>http://identifiers.org/so/SO:0001414</t>
        </is>
      </c>
      <c r="C992" s="12" t="inlineStr">
        <is>
          <t>['insertion attribute']</t>
        </is>
      </c>
      <c r="D992" s="12" t="n"/>
      <c r="E992" s="12" t="n"/>
    </row>
    <row r="993" ht="15.75" customHeight="1">
      <c r="A993" s="12" t="inlineStr">
        <is>
          <t>insertion_sequence</t>
        </is>
      </c>
      <c r="B993" s="12" t="inlineStr">
        <is>
          <t>http://identifiers.org/so/SO:0000973</t>
        </is>
      </c>
      <c r="C993" s="12" t="inlineStr">
        <is>
          <t>['insertion breakpoint']</t>
        </is>
      </c>
      <c r="D993" s="12" t="n"/>
      <c r="E993" s="12" t="n"/>
    </row>
    <row r="994" ht="15.75" customHeight="1">
      <c r="A994" s="12" t="inlineStr">
        <is>
          <t>insertion_site</t>
        </is>
      </c>
      <c r="B994" s="12" t="inlineStr">
        <is>
          <t>http://identifiers.org/so/SO:0000366</t>
        </is>
      </c>
      <c r="C994" s="12" t="inlineStr">
        <is>
          <t>['IS', 'insertion sequence']</t>
        </is>
      </c>
      <c r="D994" s="12" t="n"/>
      <c r="E994" s="12" t="n"/>
    </row>
    <row r="995" ht="15.75" customHeight="1">
      <c r="A995" s="12" t="inlineStr">
        <is>
          <t>insertional</t>
        </is>
      </c>
      <c r="B995" s="12" t="inlineStr">
        <is>
          <t>http://identifiers.org/so/SO:0001522</t>
        </is>
      </c>
      <c r="C995" s="12" t="inlineStr">
        <is>
          <t>['insertion site']</t>
        </is>
      </c>
      <c r="D995" s="12" t="n"/>
      <c r="E995" s="12" t="n"/>
    </row>
    <row r="996" ht="15.75" customHeight="1">
      <c r="A996" s="12" t="inlineStr">
        <is>
          <t>insertional_duplication</t>
        </is>
      </c>
      <c r="B996" s="12" t="inlineStr">
        <is>
          <t>http://identifiers.org/so/SO:1000154</t>
        </is>
      </c>
      <c r="C996" s="12" t="n"/>
      <c r="D996" s="12" t="n"/>
      <c r="E996" s="12" t="n"/>
    </row>
    <row r="997" ht="15.75" customHeight="1">
      <c r="A997" s="12" t="inlineStr">
        <is>
          <t>inside_intron</t>
        </is>
      </c>
      <c r="B997" s="12" t="inlineStr">
        <is>
          <t>http://identifiers.org/so/SO:0000069</t>
        </is>
      </c>
      <c r="C997" s="12" t="inlineStr">
        <is>
          <t>['insertional duplication', '(Drosophila)Dpp']</t>
        </is>
      </c>
      <c r="D997" s="12" t="n"/>
      <c r="E997" s="12" t="n"/>
    </row>
    <row r="998" ht="15.75" customHeight="1">
      <c r="A998" s="12" t="inlineStr">
        <is>
          <t>inside_intron_antiparallel</t>
        </is>
      </c>
      <c r="B998" s="12" t="inlineStr">
        <is>
          <t>http://identifiers.org/so/SO:0000070</t>
        </is>
      </c>
      <c r="C998" s="12" t="inlineStr">
        <is>
          <t>['inside intron']</t>
        </is>
      </c>
      <c r="D998" s="12" t="n"/>
      <c r="E998" s="12" t="n"/>
    </row>
    <row r="999" ht="15.75" customHeight="1">
      <c r="A999" s="12" t="inlineStr">
        <is>
          <t>inside_intron_parallel</t>
        </is>
      </c>
      <c r="B999" s="12" t="inlineStr">
        <is>
          <t>http://identifiers.org/so/SO:0000071</t>
        </is>
      </c>
      <c r="C999" s="12" t="inlineStr">
        <is>
          <t>['inside intron antiparallel']</t>
        </is>
      </c>
      <c r="D999" s="12" t="n"/>
      <c r="E999" s="12" t="n"/>
    </row>
    <row r="1000" ht="15.75" customHeight="1">
      <c r="A1000" s="12" t="inlineStr">
        <is>
          <t>insulator</t>
        </is>
      </c>
      <c r="B1000" s="12" t="inlineStr">
        <is>
          <t>http://identifiers.org/so/SO:0000627</t>
        </is>
      </c>
      <c r="C1000" s="12" t="inlineStr">
        <is>
          <t>['inside intron parallel']</t>
        </is>
      </c>
      <c r="D1000" s="12" t="n"/>
      <c r="E1000" s="12" t="n"/>
    </row>
    <row r="1001" ht="15" customHeight="1">
      <c r="A1001" s="12" t="inlineStr">
        <is>
          <t>insulator_binding_site</t>
        </is>
      </c>
      <c r="B1001" s="12" t="inlineStr">
        <is>
          <t>http://identifiers.org/so/SO:0001460</t>
        </is>
      </c>
      <c r="C1001" s="12" t="inlineStr">
        <is>
          <t>['INSDC_feature:regulatory', 'INSDC_qualifier:insulator', 'insulator element']</t>
        </is>
      </c>
      <c r="D1001" s="12" t="n"/>
      <c r="E1001" s="12" t="n"/>
    </row>
    <row r="1002" ht="15" customHeight="1">
      <c r="A1002" s="12" t="inlineStr">
        <is>
          <t>integrase_coding_region</t>
        </is>
      </c>
      <c r="B1002" s="12" t="inlineStr">
        <is>
          <t>http://identifiers.org/so/SO:0000369</t>
        </is>
      </c>
      <c r="C1002" s="12" t="inlineStr">
        <is>
          <t>['insulator binding site']</t>
        </is>
      </c>
      <c r="D1002" s="12" t="n"/>
      <c r="E1002" s="12" t="n"/>
    </row>
    <row r="1003" ht="15" customHeight="1">
      <c r="A1003" s="12" t="inlineStr">
        <is>
          <t>integrated_mobile_genetic_element</t>
        </is>
      </c>
      <c r="B1003" s="12" t="inlineStr">
        <is>
          <t>http://identifiers.org/so/SO:0001039</t>
        </is>
      </c>
      <c r="C1003" s="12" t="n"/>
      <c r="D1003" s="12" t="n"/>
      <c r="E1003" s="12" t="n"/>
    </row>
    <row r="1004" ht="15" customHeight="1">
      <c r="A1004" s="12" t="inlineStr">
        <is>
          <t>integrated_plasmid</t>
        </is>
      </c>
      <c r="B1004" s="12" t="inlineStr">
        <is>
          <t>http://identifiers.org/so/SO:0001040</t>
        </is>
      </c>
      <c r="C1004" s="12" t="inlineStr">
        <is>
          <t>['integrated mobile genetic element']</t>
        </is>
      </c>
      <c r="D1004" s="12" t="n"/>
      <c r="E1004" s="12" t="n"/>
    </row>
    <row r="1005" ht="15" customHeight="1">
      <c r="A1005" s="12" t="inlineStr">
        <is>
          <t>integration_excision_site</t>
        </is>
      </c>
      <c r="B1005" s="12" t="inlineStr">
        <is>
          <t>http://identifiers.org/so/SO:0000946</t>
        </is>
      </c>
      <c r="C1005" s="12" t="inlineStr">
        <is>
          <t>['integrated plasmid']</t>
        </is>
      </c>
      <c r="D1005" s="12" t="n"/>
      <c r="E1005" s="12" t="n"/>
    </row>
    <row r="1006" ht="15" customHeight="1">
      <c r="A1006" s="12" t="inlineStr">
        <is>
          <t>integron</t>
        </is>
      </c>
      <c r="B1006" s="12" t="inlineStr">
        <is>
          <t>http://identifiers.org/so/SO:0000365</t>
        </is>
      </c>
      <c r="C1006" s="12" t="inlineStr">
        <is>
          <t>['integration excision site', 'attachment site']</t>
        </is>
      </c>
      <c r="D1006" s="12" t="n"/>
      <c r="E1006" s="12" t="n"/>
    </row>
    <row r="1007" ht="15" customHeight="1">
      <c r="A1007" s="12" t="inlineStr">
        <is>
          <t>intein</t>
        </is>
      </c>
      <c r="B1007" s="12" t="inlineStr">
        <is>
          <t>http://identifiers.org/so/SO:0000728</t>
        </is>
      </c>
      <c r="C1007" s="12" t="n"/>
      <c r="D1007" s="12" t="n"/>
      <c r="E1007" s="12" t="n"/>
    </row>
    <row r="1008" ht="15" customHeight="1">
      <c r="A1008" s="12" t="inlineStr">
        <is>
          <t>intein_containing</t>
        </is>
      </c>
      <c r="B1008" s="12" t="inlineStr">
        <is>
          <t>http://identifiers.org/so/SO:0000729</t>
        </is>
      </c>
      <c r="C1008" s="12" t="inlineStr">
        <is>
          <t>['protein intron']</t>
        </is>
      </c>
      <c r="D1008" s="12" t="n"/>
      <c r="E1008" s="12" t="n"/>
    </row>
    <row r="1009" ht="15" customHeight="1">
      <c r="A1009" s="12" t="inlineStr">
        <is>
          <t>intein_encoding_region</t>
        </is>
      </c>
      <c r="B1009" s="12" t="inlineStr">
        <is>
          <t>http://identifiers.org/so/SO:0002026</t>
        </is>
      </c>
      <c r="C1009" s="12" t="inlineStr">
        <is>
          <t>['intein containing']</t>
        </is>
      </c>
      <c r="D1009" s="12" t="n"/>
      <c r="E1009" s="12" t="n"/>
    </row>
    <row r="1010" ht="15" customHeight="1">
      <c r="A1010" s="12" t="inlineStr">
        <is>
          <t>interband</t>
        </is>
      </c>
      <c r="B1010" s="12" t="inlineStr">
        <is>
          <t>http://identifiers.org/so/SO:0000450</t>
        </is>
      </c>
      <c r="C1010" s="12" t="n"/>
      <c r="D1010" s="12" t="n"/>
      <c r="E1010" s="12" t="n"/>
    </row>
    <row r="1011" ht="15" customHeight="1">
      <c r="A1011" s="12" t="inlineStr">
        <is>
          <t>interchromosomal</t>
        </is>
      </c>
      <c r="B1011" s="12" t="inlineStr">
        <is>
          <t>http://identifiers.org/so/SO:0001511</t>
        </is>
      </c>
      <c r="C1011" s="12" t="inlineStr">
        <is>
          <t>['chromosome interband']</t>
        </is>
      </c>
      <c r="D1011" s="12" t="n"/>
      <c r="E1011" s="12" t="n"/>
    </row>
    <row r="1012" ht="15" customHeight="1">
      <c r="A1012" s="12" t="inlineStr">
        <is>
          <t>interchromosomal_breakpoint</t>
        </is>
      </c>
      <c r="B1012" s="12" t="inlineStr">
        <is>
          <t>http://identifiers.org/so/SO:0001873</t>
        </is>
      </c>
      <c r="C1012" s="12" t="n"/>
      <c r="D1012" s="12" t="n"/>
      <c r="E1012" s="12" t="n"/>
    </row>
    <row r="1013" ht="15" customHeight="1">
      <c r="A1013" s="12" t="inlineStr">
        <is>
          <t>interchromosomal_duplication</t>
        </is>
      </c>
      <c r="B1013" s="12" t="inlineStr">
        <is>
          <t>http://identifiers.org/so/SO:0000457</t>
        </is>
      </c>
      <c r="C1013" s="12" t="inlineStr">
        <is>
          <t>['interchromosomal breakpoint']</t>
        </is>
      </c>
      <c r="D1013" s="12" t="n"/>
      <c r="E1013" s="12" t="n"/>
    </row>
    <row r="1014" ht="15" customHeight="1">
      <c r="A1014" s="12" t="inlineStr">
        <is>
          <t>interchromosomal_mutation</t>
        </is>
      </c>
      <c r="B1014" s="12" t="inlineStr">
        <is>
          <t>http://identifiers.org/so/SO:1000031</t>
        </is>
      </c>
      <c r="C1014" s="12" t="inlineStr">
        <is>
          <t>['interchromosomal duplication']</t>
        </is>
      </c>
      <c r="D1014" s="12" t="n"/>
      <c r="E1014" s="12" t="n"/>
    </row>
    <row r="1015" ht="15" customHeight="1">
      <c r="A1015" s="12" t="inlineStr">
        <is>
          <t>interchromosomal_translocation</t>
        </is>
      </c>
      <c r="B1015" s="12" t="inlineStr">
        <is>
          <t>http://identifiers.org/so/SO:0002060</t>
        </is>
      </c>
      <c r="C1015" s="12" t="inlineStr">
        <is>
          <t>['interchromosomal mutation']</t>
        </is>
      </c>
      <c r="D1015" s="12" t="n"/>
      <c r="E1015" s="12" t="n"/>
    </row>
    <row r="1016" ht="15" customHeight="1">
      <c r="A1016" s="12" t="inlineStr">
        <is>
          <t>interchromosomal_transposition</t>
        </is>
      </c>
      <c r="B1016" s="12" t="inlineStr">
        <is>
          <t>http://identifiers.org/so/SO:1000155</t>
        </is>
      </c>
      <c r="C1016" s="12" t="n"/>
      <c r="D1016" s="12" t="n"/>
      <c r="E1016" s="12" t="n"/>
    </row>
    <row r="1017" ht="15" customHeight="1">
      <c r="A1017" s="12" t="inlineStr">
        <is>
          <t>intergenic_1kb_variant</t>
        </is>
      </c>
      <c r="B1017" s="12" t="inlineStr">
        <is>
          <t>http://identifiers.org/so/SO:0002074</t>
        </is>
      </c>
      <c r="C1017" s="12" t="inlineStr">
        <is>
          <t>['(Drosophila)Tp', 'interchromosomal transposition']</t>
        </is>
      </c>
      <c r="D1017" s="12" t="n"/>
      <c r="E1017" s="12" t="n"/>
    </row>
    <row r="1018" ht="15" customHeight="1">
      <c r="A1018" s="12" t="inlineStr">
        <is>
          <t>intergenic_region</t>
        </is>
      </c>
      <c r="B1018" s="12" t="inlineStr">
        <is>
          <t>http://identifiers.org/so/SO:0000605</t>
        </is>
      </c>
      <c r="C1018" s="12" t="inlineStr">
        <is>
          <t>['ANNOVAR:upstream;downstream']</t>
        </is>
      </c>
      <c r="D1018" s="12" t="n"/>
      <c r="E1018" s="12" t="n"/>
    </row>
    <row r="1019" ht="15" customHeight="1">
      <c r="A1019" s="12" t="inlineStr">
        <is>
          <t>intergenic_variant</t>
        </is>
      </c>
      <c r="B1019" s="12" t="inlineStr">
        <is>
          <t>http://identifiers.org/so/SO:0001628</t>
        </is>
      </c>
      <c r="C1019" s="12" t="inlineStr">
        <is>
          <t>['intergenic region']</t>
        </is>
      </c>
      <c r="D1019" s="12" t="n"/>
      <c r="E1019" s="12" t="n"/>
    </row>
    <row r="1020" ht="15" customHeight="1">
      <c r="A1020" s="12" t="inlineStr">
        <is>
          <t>interior_coding_exon</t>
        </is>
      </c>
      <c r="B1020" s="12" t="inlineStr">
        <is>
          <t>http://identifiers.org/so/SO:0000004</t>
        </is>
      </c>
      <c r="C1020" s="12" t="inlineStr">
        <is>
          <t>['Jannovar:intergenic_variant', 'VEP:intergenic_variant', 'intergenic', 'snpEff:INTERGENIC', 'Seattleseq:intergenic', 'ANNOVAR:intergenic', 'intergenic variant']</t>
        </is>
      </c>
      <c r="D1020" s="12" t="n"/>
      <c r="E1020" s="12" t="n"/>
    </row>
    <row r="1021" ht="15" customHeight="1">
      <c r="A1021" s="12" t="inlineStr">
        <is>
          <t>interior_exon</t>
        </is>
      </c>
      <c r="B1021" s="12" t="inlineStr">
        <is>
          <t>http://identifiers.org/so/SO:0000201</t>
        </is>
      </c>
      <c r="C1021" s="12" t="inlineStr">
        <is>
          <t>['interior coding exon']</t>
        </is>
      </c>
      <c r="D1021" s="12" t="n"/>
      <c r="E1021" s="12" t="n"/>
    </row>
    <row r="1022" ht="15" customHeight="1">
      <c r="A1022" s="12" t="inlineStr">
        <is>
          <t>interior_intron</t>
        </is>
      </c>
      <c r="B1022" s="12" t="inlineStr">
        <is>
          <t>http://identifiers.org/so/SO:0000191</t>
        </is>
      </c>
      <c r="C1022" s="12" t="inlineStr">
        <is>
          <t>['interior exon']</t>
        </is>
      </c>
      <c r="D1022" s="12" t="n"/>
      <c r="E1022" s="12" t="n"/>
    </row>
    <row r="1023" ht="15" customHeight="1">
      <c r="A1023" s="12" t="inlineStr">
        <is>
          <t>intermediate</t>
        </is>
      </c>
      <c r="B1023" s="12" t="inlineStr">
        <is>
          <t>http://identifiers.org/so/SO:0000933</t>
        </is>
      </c>
      <c r="C1023" s="12" t="inlineStr">
        <is>
          <t>['interior intron']</t>
        </is>
      </c>
      <c r="D1023" s="12" t="n"/>
      <c r="E1023" s="12" t="n"/>
    </row>
    <row r="1024" ht="15" customHeight="1">
      <c r="A1024" s="12" t="inlineStr">
        <is>
          <t>intermediate_element</t>
        </is>
      </c>
      <c r="B1024" s="12" t="inlineStr">
        <is>
          <t>http://identifiers.org/so/SO:0001677</t>
        </is>
      </c>
      <c r="C1024" s="12" t="n"/>
      <c r="D1024" s="12" t="n"/>
      <c r="E1024" s="12" t="n"/>
    </row>
    <row r="1025" ht="15" customHeight="1">
      <c r="A1025" s="12" t="inlineStr">
        <is>
          <t>internal_eliminated_sequence</t>
        </is>
      </c>
      <c r="B1025" s="12" t="inlineStr">
        <is>
          <t>http://identifiers.org/so/SO:0000671</t>
        </is>
      </c>
      <c r="C1025" s="12" t="inlineStr">
        <is>
          <t>['IE', 'intermediate element']</t>
        </is>
      </c>
      <c r="D1025" s="12" t="n"/>
      <c r="E1025" s="12" t="n"/>
    </row>
    <row r="1026" ht="15" customHeight="1">
      <c r="A1026" s="12" t="inlineStr">
        <is>
          <t>internal_feature_elongation</t>
        </is>
      </c>
      <c r="B1026" s="12" t="inlineStr">
        <is>
          <t>http://identifiers.org/so/SO:0001908</t>
        </is>
      </c>
      <c r="C1026" s="12" t="inlineStr">
        <is>
          <t>['internal eliminated sequence']</t>
        </is>
      </c>
      <c r="D1026" s="12" t="n"/>
      <c r="E1026" s="12" t="n"/>
    </row>
    <row r="1027" ht="15" customHeight="1">
      <c r="A1027" s="12" t="inlineStr">
        <is>
          <t>internal_guide_sequence</t>
        </is>
      </c>
      <c r="B1027" s="12" t="inlineStr">
        <is>
          <t>http://identifiers.org/so/SO:0001016</t>
        </is>
      </c>
      <c r="C1027" s="12" t="inlineStr">
        <is>
          <t>['Jannovar:internal_feature_elongation', 'internal feature elongation']</t>
        </is>
      </c>
      <c r="D1027" s="12" t="n"/>
      <c r="E1027" s="12" t="n"/>
    </row>
    <row r="1028" ht="15" customHeight="1">
      <c r="A1028" s="12" t="inlineStr">
        <is>
          <t>internal_ribosome_entry_site</t>
        </is>
      </c>
      <c r="B1028" s="12" t="inlineStr">
        <is>
          <t>http://identifiers.org/so/SO:0000243</t>
        </is>
      </c>
      <c r="C1028" s="12" t="inlineStr">
        <is>
          <t>['internal guide sequence', 'IGS']</t>
        </is>
      </c>
      <c r="D1028" s="12" t="n"/>
      <c r="E1028" s="12" t="n"/>
    </row>
    <row r="1029" ht="15" customHeight="1">
      <c r="A1029" s="12" t="inlineStr">
        <is>
          <t>internal_Shine_Dalgarno_sequence</t>
        </is>
      </c>
      <c r="B1029" s="12" t="inlineStr">
        <is>
          <t>http://identifiers.org/so/SO:1001260</t>
        </is>
      </c>
      <c r="C1029" s="12" t="inlineStr">
        <is>
          <t>['internal ribosome entry site', 'internal ribosomal entry sequence', 'internal ribosome entry sequence', 'internal ribosomal entry site', 'IRES']</t>
        </is>
      </c>
      <c r="D1029" s="12" t="n"/>
      <c r="E1029" s="12" t="n"/>
    </row>
    <row r="1030" ht="15" customHeight="1">
      <c r="A1030" s="12" t="inlineStr">
        <is>
          <t>internal_transcribed_spacer_region</t>
        </is>
      </c>
      <c r="B1030" s="12" t="inlineStr">
        <is>
          <t>http://identifiers.org/so/SO:0000639</t>
        </is>
      </c>
      <c r="C1030" s="12" t="inlineStr">
        <is>
          <t>['internal Shine-Dalgarno sequence', 'internal Shine Dalgarno sequence']</t>
        </is>
      </c>
      <c r="D1030" s="12" t="n"/>
      <c r="E1030" s="12" t="n"/>
    </row>
    <row r="1031" ht="15" customHeight="1">
      <c r="A1031" s="12" t="inlineStr">
        <is>
          <t>internal_UTR</t>
        </is>
      </c>
      <c r="B1031" s="12" t="inlineStr">
        <is>
          <t>http://identifiers.org/so/SO:0000241</t>
        </is>
      </c>
      <c r="C1031" s="12" t="inlineStr">
        <is>
          <t>['internal transcribed spacer region']</t>
        </is>
      </c>
      <c r="D1031" s="12" t="n"/>
      <c r="E1031" s="12" t="n"/>
    </row>
    <row r="1032" ht="15" customHeight="1">
      <c r="A1032" s="12" t="inlineStr">
        <is>
          <t>intrachromosomal</t>
        </is>
      </c>
      <c r="B1032" s="12" t="inlineStr">
        <is>
          <t>http://identifiers.org/so/SO:0001510</t>
        </is>
      </c>
      <c r="C1032" s="12" t="inlineStr">
        <is>
          <t>['internal UTR']</t>
        </is>
      </c>
      <c r="D1032" s="12" t="n"/>
      <c r="E1032" s="12" t="n"/>
    </row>
    <row r="1033" ht="15" customHeight="1">
      <c r="A1033" s="12" t="inlineStr">
        <is>
          <t>intrachromosomal_breakpoint</t>
        </is>
      </c>
      <c r="B1033" s="12" t="inlineStr">
        <is>
          <t>http://identifiers.org/so/SO:0001874</t>
        </is>
      </c>
      <c r="C1033" s="12" t="n"/>
      <c r="D1033" s="12" t="n"/>
      <c r="E1033" s="12" t="n"/>
    </row>
    <row r="1034" ht="15" customHeight="1">
      <c r="A1034" s="12" t="inlineStr">
        <is>
          <t>intrachromosomal_duplication</t>
        </is>
      </c>
      <c r="B1034" s="12" t="inlineStr">
        <is>
          <t>http://identifiers.org/so/SO:1000038</t>
        </is>
      </c>
      <c r="C1034" s="12" t="inlineStr">
        <is>
          <t>['intrachromosomal breakpoint']</t>
        </is>
      </c>
      <c r="D1034" s="12" t="n"/>
      <c r="E1034" s="12" t="n"/>
    </row>
    <row r="1035" ht="15" customHeight="1">
      <c r="A1035" s="12" t="inlineStr">
        <is>
          <t>intrachromosomal_mutation</t>
        </is>
      </c>
      <c r="B1035" s="12" t="inlineStr">
        <is>
          <t>http://identifiers.org/so/SO:1000028</t>
        </is>
      </c>
      <c r="C1035" s="12" t="inlineStr">
        <is>
          <t>['intrachromosomal duplication']</t>
        </is>
      </c>
      <c r="D1035" s="12" t="n"/>
      <c r="E1035" s="12" t="n"/>
    </row>
    <row r="1036" ht="15" customHeight="1">
      <c r="A1036" s="12" t="inlineStr">
        <is>
          <t>intrachromosomal_translocation</t>
        </is>
      </c>
      <c r="B1036" s="12" t="inlineStr">
        <is>
          <t>http://identifiers.org/so/SO:0002061</t>
        </is>
      </c>
      <c r="C1036" s="12" t="inlineStr">
        <is>
          <t>['intrachromosomal mutation']</t>
        </is>
      </c>
      <c r="D1036" s="12" t="n"/>
      <c r="E1036" s="12" t="n"/>
    </row>
    <row r="1037" ht="15" customHeight="1">
      <c r="A1037" s="12" t="inlineStr">
        <is>
          <t>intrachromosomal_transposition</t>
        </is>
      </c>
      <c r="B1037" s="12" t="inlineStr">
        <is>
          <t>http://identifiers.org/so/SO:1000041</t>
        </is>
      </c>
      <c r="C1037" s="12" t="n"/>
      <c r="D1037" s="12" t="n"/>
      <c r="E1037" s="12" t="n"/>
    </row>
    <row r="1038" ht="15" customHeight="1">
      <c r="A1038" s="12" t="inlineStr">
        <is>
          <t>intragenic_variant</t>
        </is>
      </c>
      <c r="B1038" s="12" t="inlineStr">
        <is>
          <t>http://identifiers.org/so/SO:0002011</t>
        </is>
      </c>
      <c r="C1038" s="12" t="inlineStr">
        <is>
          <t>['(Drosophila)Tp', 'intrachromosomal transposition']</t>
        </is>
      </c>
      <c r="D1038" s="12" t="n"/>
      <c r="E1038" s="12" t="n"/>
    </row>
    <row r="1039" ht="15" customHeight="1">
      <c r="A1039" s="12" t="inlineStr">
        <is>
          <t>intramembrane_polypeptide_region</t>
        </is>
      </c>
      <c r="B1039" s="12" t="inlineStr">
        <is>
          <t>http://identifiers.org/so/SO:0001075</t>
        </is>
      </c>
      <c r="C1039" s="12" t="inlineStr">
        <is>
          <t>['Jannovar:intragenic_variant', 'snpEff:INTRAGENIC', 'intragenic variant']</t>
        </is>
      </c>
      <c r="D1039" s="12" t="n"/>
      <c r="E1039" s="12" t="n"/>
    </row>
    <row r="1040" ht="15" customHeight="1">
      <c r="A1040" s="12" t="inlineStr">
        <is>
          <t>intrinsically_unstructured_polypeptide_region</t>
        </is>
      </c>
      <c r="B1040" s="12" t="inlineStr">
        <is>
          <t>http://identifiers.org/so/SO:0100003</t>
        </is>
      </c>
      <c r="C1040" s="12" t="inlineStr">
        <is>
          <t>['intramembrane polypeptide region', 'intramembrane']</t>
        </is>
      </c>
      <c r="D1040" s="12" t="n"/>
      <c r="E1040" s="12" t="n"/>
    </row>
    <row r="1041" ht="15" customHeight="1">
      <c r="A1041" s="12" t="inlineStr">
        <is>
          <t>introgressed_chromosome_region</t>
        </is>
      </c>
      <c r="B1041" s="12" t="inlineStr">
        <is>
          <t>http://identifiers.org/so/SO:0000664</t>
        </is>
      </c>
      <c r="C1041" s="12" t="inlineStr">
        <is>
          <t>['intrinsically unstructured polypeptide region', 'disordered region']</t>
        </is>
      </c>
      <c r="D1041" s="12" t="n"/>
      <c r="E1041" s="12" t="n"/>
    </row>
    <row r="1042" ht="15" customHeight="1">
      <c r="A1042" s="12" t="inlineStr">
        <is>
          <t>intron</t>
        </is>
      </c>
      <c r="B1042" s="12" t="inlineStr">
        <is>
          <t>http://identifiers.org/so/SO:0000188</t>
        </is>
      </c>
      <c r="C1042" s="12" t="inlineStr">
        <is>
          <t>['introgressed chromosome region']</t>
        </is>
      </c>
      <c r="D1042" s="12" t="n"/>
      <c r="E1042" s="12" t="n"/>
    </row>
    <row r="1043" ht="15" customHeight="1">
      <c r="A1043" s="12" t="inlineStr">
        <is>
          <t>intron_attribute</t>
        </is>
      </c>
      <c r="B1043" s="12" t="inlineStr">
        <is>
          <t>http://identifiers.org/so/SO:0000661</t>
        </is>
      </c>
      <c r="C1043" s="12" t="inlineStr">
        <is>
          <t>['INSDC_feature:intron']</t>
        </is>
      </c>
      <c r="D1043" s="12" t="n"/>
      <c r="E1043" s="12" t="n"/>
    </row>
    <row r="1044" ht="15" customHeight="1">
      <c r="A1044" s="12" t="inlineStr">
        <is>
          <t>intron_base_5</t>
        </is>
      </c>
      <c r="B1044" s="12" t="inlineStr">
        <is>
          <t>http://identifiers.org/so/SO:0001994</t>
        </is>
      </c>
      <c r="C1044" s="12" t="n"/>
      <c r="D1044" s="12" t="n"/>
      <c r="E1044" s="12" t="n"/>
    </row>
    <row r="1045" ht="15" customHeight="1">
      <c r="A1045" s="12" t="inlineStr">
        <is>
          <t>intron_domain</t>
        </is>
      </c>
      <c r="B1045" s="12" t="inlineStr">
        <is>
          <t>http://identifiers.org/so/SO:0001014</t>
        </is>
      </c>
      <c r="C1045" s="12" t="inlineStr">
        <is>
          <t>['intron base 5']</t>
        </is>
      </c>
      <c r="D1045" s="12" t="n"/>
      <c r="E1045" s="12" t="n"/>
    </row>
    <row r="1046" ht="15" customHeight="1">
      <c r="A1046" s="12" t="inlineStr">
        <is>
          <t>intron_gain_variant</t>
        </is>
      </c>
      <c r="B1046" s="12" t="inlineStr">
        <is>
          <t>http://identifiers.org/so/SO:0001573</t>
        </is>
      </c>
      <c r="C1046" s="12" t="inlineStr">
        <is>
          <t>['intron domain']</t>
        </is>
      </c>
      <c r="D1046" s="12" t="n"/>
      <c r="E1046" s="12" t="n"/>
    </row>
    <row r="1047" ht="15" customHeight="1">
      <c r="A1047" s="12" t="inlineStr">
        <is>
          <t>intron_variant</t>
        </is>
      </c>
      <c r="B1047" s="12" t="inlineStr">
        <is>
          <t>http://identifiers.org/so/SO:0001627</t>
        </is>
      </c>
      <c r="C1047" s="12" t="inlineStr">
        <is>
          <t>['intron gain', 'intron gain variant']</t>
        </is>
      </c>
      <c r="D1047" s="12" t="n"/>
      <c r="E1047" s="12" t="n"/>
    </row>
    <row r="1048" ht="15" customHeight="1">
      <c r="A1048" s="12" t="inlineStr">
        <is>
          <t>intronic_regulatory_region</t>
        </is>
      </c>
      <c r="B1048" s="12" t="inlineStr">
        <is>
          <t>http://identifiers.org/so/SO:0001492</t>
        </is>
      </c>
      <c r="C1048" s="12" t="inlineStr">
        <is>
          <t>['ANNOVAR:intronic', 'intron variant', 'VAAST:intron_variant', 'snpEff:INTRON', 'intronic', 'VEP:intron_variant', 'Seattleseq:intron-near-splice', 'intron_', 'Seattleseq:intron', 'Jannovar:intron_variant']</t>
        </is>
      </c>
      <c r="D1048" s="12" t="n"/>
      <c r="E1048" s="12" t="n"/>
    </row>
    <row r="1049" ht="15" customHeight="1">
      <c r="A1049" s="12" t="inlineStr">
        <is>
          <t>intronic_splice_enhancer</t>
        </is>
      </c>
      <c r="B1049" s="12" t="inlineStr">
        <is>
          <t>http://identifiers.org/so/SO:0000320</t>
        </is>
      </c>
      <c r="C1049" s="12" t="inlineStr">
        <is>
          <t>['intronic regulatory region']</t>
        </is>
      </c>
      <c r="D1049" s="12" t="n"/>
      <c r="E1049" s="12" t="n"/>
    </row>
    <row r="1050" ht="15" customHeight="1">
      <c r="A1050" s="12" t="inlineStr">
        <is>
          <t>intronic_splicing_enhancer</t>
        </is>
      </c>
      <c r="B1050" s="12" t="inlineStr">
        <is>
          <t>http://identifiers.org/so/SO:0002057</t>
        </is>
      </c>
      <c r="C1050" s="12" t="inlineStr">
        <is>
          <t>['intronic splice enhancer']</t>
        </is>
      </c>
      <c r="D1050" s="12" t="n"/>
      <c r="E1050" s="12" t="n"/>
    </row>
    <row r="1051" ht="15" customHeight="1">
      <c r="A1051" s="12" t="inlineStr">
        <is>
          <t>intronic_splicing_silencer</t>
        </is>
      </c>
      <c r="B1051" s="12" t="inlineStr">
        <is>
          <t>http://identifiers.org/so/SO:0002056</t>
        </is>
      </c>
      <c r="C1051" s="12" t="inlineStr">
        <is>
          <t>['ISE']</t>
        </is>
      </c>
      <c r="D1051" s="12" t="n"/>
      <c r="E1051" s="12" t="n"/>
    </row>
    <row r="1052" ht="15" customHeight="1">
      <c r="A1052" s="12" t="inlineStr">
        <is>
          <t>invalidated</t>
        </is>
      </c>
      <c r="B1052" s="12" t="inlineStr">
        <is>
          <t>http://identifiers.org/so/SO:0000790</t>
        </is>
      </c>
      <c r="C1052" s="12" t="inlineStr">
        <is>
          <t>['intronic splicing silencer', 'ISS']</t>
        </is>
      </c>
      <c r="D1052" s="12" t="n"/>
      <c r="E1052" s="12" t="n"/>
    </row>
    <row r="1053" ht="15" customHeight="1">
      <c r="A1053" s="12" t="inlineStr">
        <is>
          <t>invalidated_by_chimeric_cDNA</t>
        </is>
      </c>
      <c r="B1053" s="12" t="inlineStr">
        <is>
          <t>http://identifiers.org/so/SO:0000362</t>
        </is>
      </c>
      <c r="C1053" s="12" t="n"/>
      <c r="D1053" s="12" t="n"/>
      <c r="E1053" s="12" t="n"/>
    </row>
    <row r="1054" ht="15" customHeight="1">
      <c r="A1054" s="12" t="inlineStr">
        <is>
          <t>invalidated_by_genomic_contamination</t>
        </is>
      </c>
      <c r="B1054" s="12" t="inlineStr">
        <is>
          <t>http://identifiers.org/so/SO:0000414</t>
        </is>
      </c>
      <c r="C1054" s="12" t="inlineStr">
        <is>
          <t>['invalidated by chimeric cDNA']</t>
        </is>
      </c>
      <c r="D1054" s="12" t="n"/>
      <c r="E1054" s="12" t="n"/>
    </row>
    <row r="1055" ht="15" customHeight="1">
      <c r="A1055" s="12" t="inlineStr">
        <is>
          <t>invalidated_by_genomic_polyA_primed_cDNA</t>
        </is>
      </c>
      <c r="B1055" s="12" t="inlineStr">
        <is>
          <t>http://identifiers.org/so/SO:0000415</t>
        </is>
      </c>
      <c r="C1055" s="12" t="inlineStr">
        <is>
          <t>['invalidated by genomic contamination']</t>
        </is>
      </c>
      <c r="D1055" s="12" t="n"/>
      <c r="E1055" s="12" t="n"/>
    </row>
    <row r="1056" ht="15" customHeight="1">
      <c r="A1056" s="12" t="inlineStr">
        <is>
          <t>invalidated_by_partial_processing</t>
        </is>
      </c>
      <c r="B1056" s="12" t="inlineStr">
        <is>
          <t>http://identifiers.org/so/SO:0000416</t>
        </is>
      </c>
      <c r="C1056" s="12" t="inlineStr">
        <is>
          <t>['invalidated by genomic polyA primed cDNA']</t>
        </is>
      </c>
      <c r="D1056" s="12" t="n"/>
      <c r="E1056" s="12" t="n"/>
    </row>
    <row r="1057" ht="15" customHeight="1">
      <c r="A1057" s="12" t="inlineStr">
        <is>
          <t>invalidated_cDNA_clone</t>
        </is>
      </c>
      <c r="B1057" s="12" t="inlineStr">
        <is>
          <t>http://identifiers.org/so/SO:0000809</t>
        </is>
      </c>
      <c r="C1057" s="12" t="inlineStr">
        <is>
          <t>['invalidated by partial processing']</t>
        </is>
      </c>
      <c r="D1057" s="12" t="n"/>
      <c r="E1057" s="12" t="n"/>
    </row>
    <row r="1058" ht="15" customHeight="1">
      <c r="A1058" s="12" t="inlineStr">
        <is>
          <t>inversion</t>
        </is>
      </c>
      <c r="B1058" s="12" t="inlineStr">
        <is>
          <t>http://identifiers.org/so/SO:1000036</t>
        </is>
      </c>
      <c r="C1058" s="12" t="inlineStr">
        <is>
          <t>['invalidated cDNA clone']</t>
        </is>
      </c>
      <c r="D1058" s="12" t="n"/>
      <c r="E1058" s="12" t="n"/>
    </row>
    <row r="1059" ht="15" customHeight="1">
      <c r="A1059" s="12" t="inlineStr">
        <is>
          <t>inversion_attribute</t>
        </is>
      </c>
      <c r="B1059" s="12" t="inlineStr">
        <is>
          <t>http://identifiers.org/so/SO:0001517</t>
        </is>
      </c>
      <c r="C1059" s="12" t="inlineStr">
        <is>
          <t>['inversion']</t>
        </is>
      </c>
      <c r="D1059" s="12" t="n"/>
      <c r="E1059" s="12" t="n"/>
    </row>
    <row r="1060" ht="15" customHeight="1">
      <c r="A1060" s="12" t="inlineStr">
        <is>
          <t>inversion_breakpoint</t>
        </is>
      </c>
      <c r="B1060" s="12" t="inlineStr">
        <is>
          <t>http://identifiers.org/so/SO:0001022</t>
        </is>
      </c>
      <c r="C1060" s="12" t="inlineStr">
        <is>
          <t>['inversion attribute']</t>
        </is>
      </c>
      <c r="D1060" s="12" t="n"/>
      <c r="E1060" s="12" t="n"/>
    </row>
    <row r="1061" ht="15" customHeight="1">
      <c r="A1061" s="12" t="inlineStr">
        <is>
          <t>inversion_cum_translocation</t>
        </is>
      </c>
      <c r="B1061" s="12" t="inlineStr">
        <is>
          <t>http://identifiers.org/so/SO:1000148</t>
        </is>
      </c>
      <c r="C1061" s="12" t="inlineStr">
        <is>
          <t>['inversion breakpoint']</t>
        </is>
      </c>
      <c r="D1061" s="12" t="n"/>
      <c r="E1061" s="12" t="n"/>
    </row>
    <row r="1062" ht="15" customHeight="1">
      <c r="A1062" s="12" t="inlineStr">
        <is>
          <t>inversion_derived_aneuploid_chromosome</t>
        </is>
      </c>
      <c r="B1062" s="12" t="inlineStr">
        <is>
          <t>http://identifiers.org/so/SO:0000567</t>
        </is>
      </c>
      <c r="C1062" s="12" t="inlineStr">
        <is>
          <t>['(Drosophila)T', 'inversion cum translocation', '(Drosophila)InT']</t>
        </is>
      </c>
      <c r="D1062" s="12" t="n"/>
      <c r="E1062" s="12" t="n"/>
    </row>
    <row r="1063" ht="15" customHeight="1">
      <c r="A1063" s="12" t="inlineStr">
        <is>
          <t>inversion_derived_bipartite_deficiency</t>
        </is>
      </c>
      <c r="B1063" s="12" t="inlineStr">
        <is>
          <t>http://identifiers.org/so/SO:0000461</t>
        </is>
      </c>
      <c r="C1063" s="12" t="inlineStr">
        <is>
          <t>['inversion derived aneuploid chromosome']</t>
        </is>
      </c>
      <c r="D1063" s="12" t="n"/>
      <c r="E1063" s="12" t="n"/>
    </row>
    <row r="1064" ht="15" customHeight="1">
      <c r="A1064" s="12" t="inlineStr">
        <is>
          <t>inversion_derived_bipartite_duplication</t>
        </is>
      </c>
      <c r="B1064" s="12" t="inlineStr">
        <is>
          <t>http://identifiers.org/so/SO:0000547</t>
        </is>
      </c>
      <c r="C1064" s="12" t="inlineStr">
        <is>
          <t>['inversion derived bipartite deficiency']</t>
        </is>
      </c>
      <c r="D1064" s="12" t="n"/>
      <c r="E1064" s="12" t="n"/>
    </row>
    <row r="1065" ht="15" customHeight="1">
      <c r="A1065" s="12" t="inlineStr">
        <is>
          <t>inversion_derived_deficiency_plus_aneuploid</t>
        </is>
      </c>
      <c r="B1065" s="12" t="inlineStr">
        <is>
          <t>http://identifiers.org/so/SO:0000512</t>
        </is>
      </c>
      <c r="C1065" s="12" t="inlineStr">
        <is>
          <t>['inversion derived bipartite duplication']</t>
        </is>
      </c>
      <c r="D1065" s="12" t="n"/>
      <c r="E1065" s="12" t="n"/>
    </row>
    <row r="1066" ht="15" customHeight="1">
      <c r="A1066" s="12" t="inlineStr">
        <is>
          <t>inversion_derived_deficiency_plus_duplication</t>
        </is>
      </c>
      <c r="B1066" s="12" t="inlineStr">
        <is>
          <t>http://identifiers.org/so/SO:0000465</t>
        </is>
      </c>
      <c r="C1066" s="12" t="inlineStr">
        <is>
          <t>['inversion derived deficiency plus aneuploid']</t>
        </is>
      </c>
      <c r="D1066" s="12" t="n"/>
      <c r="E1066" s="12" t="n"/>
    </row>
    <row r="1067" ht="15" customHeight="1">
      <c r="A1067" s="12" t="inlineStr">
        <is>
          <t>inversion_derived_duplication_plus_aneuploid</t>
        </is>
      </c>
      <c r="B1067" s="12" t="inlineStr">
        <is>
          <t>http://identifiers.org/so/SO:0000549</t>
        </is>
      </c>
      <c r="C1067" s="12" t="inlineStr">
        <is>
          <t>['inversion derived deficiency plus duplication']</t>
        </is>
      </c>
      <c r="D1067" s="12" t="n"/>
      <c r="E1067" s="12" t="n"/>
    </row>
    <row r="1068" ht="15" customHeight="1">
      <c r="A1068" s="12" t="inlineStr">
        <is>
          <t>inversion_site</t>
        </is>
      </c>
      <c r="B1068" s="12" t="inlineStr">
        <is>
          <t>http://identifiers.org/so/SO:0000948</t>
        </is>
      </c>
      <c r="C1068" s="12" t="inlineStr">
        <is>
          <t>['inversion derived duplication plus aneuploid']</t>
        </is>
      </c>
      <c r="D1068" s="12" t="n"/>
      <c r="E1068" s="12" t="n"/>
    </row>
    <row r="1069" ht="15" customHeight="1">
      <c r="A1069" s="12" t="inlineStr">
        <is>
          <t>inversion_site_part</t>
        </is>
      </c>
      <c r="B1069" s="12" t="inlineStr">
        <is>
          <t>http://identifiers.org/so/SO:0001048</t>
        </is>
      </c>
      <c r="C1069" s="12" t="inlineStr">
        <is>
          <t>['inversion site']</t>
        </is>
      </c>
      <c r="D1069" s="12" t="n"/>
      <c r="E1069" s="12" t="n"/>
    </row>
    <row r="1070" ht="15" customHeight="1">
      <c r="A1070" s="12" t="inlineStr">
        <is>
          <t>invert</t>
        </is>
      </c>
      <c r="B1070" s="12" t="inlineStr">
        <is>
          <t>http://identifiers.org/so/SO:0000047</t>
        </is>
      </c>
      <c r="C1070" s="12" t="inlineStr">
        <is>
          <t>['inversion site part']</t>
        </is>
      </c>
      <c r="D1070" s="12" t="n"/>
      <c r="E1070" s="12" t="n"/>
    </row>
    <row r="1071" ht="15" customHeight="1">
      <c r="A1071" s="12" t="inlineStr">
        <is>
          <t>inverted</t>
        </is>
      </c>
      <c r="B1071" s="12" t="inlineStr">
        <is>
          <t>http://identifiers.org/so/SO:0001515</t>
        </is>
      </c>
      <c r="C1071" s="12" t="n"/>
      <c r="D1071" s="12" t="n"/>
      <c r="E1071" s="12" t="n"/>
    </row>
    <row r="1072" ht="15" customHeight="1">
      <c r="A1072" s="12" t="inlineStr">
        <is>
          <t>inverted_insertional_duplication</t>
        </is>
      </c>
      <c r="B1072" s="12" t="inlineStr">
        <is>
          <t>http://identifiers.org/so/SO:1000153</t>
        </is>
      </c>
      <c r="C1072" s="12" t="n"/>
      <c r="D1072" s="12" t="n"/>
      <c r="E1072" s="12" t="n"/>
    </row>
    <row r="1073" ht="15" customHeight="1">
      <c r="A1073" s="12" t="inlineStr">
        <is>
          <t>inverted_interchromosomal_transposition</t>
        </is>
      </c>
      <c r="B1073" s="12" t="inlineStr">
        <is>
          <t>http://identifiers.org/so/SO:1000156</t>
        </is>
      </c>
      <c r="C1073" s="12" t="inlineStr">
        <is>
          <t>['(Drosophila)iDp', 'inverted insertional duplication']</t>
        </is>
      </c>
      <c r="D1073" s="12" t="n"/>
      <c r="E1073" s="12" t="n"/>
    </row>
    <row r="1074" ht="15" customHeight="1">
      <c r="A1074" s="12" t="inlineStr">
        <is>
          <t>inverted_intrachromosomal_transposition</t>
        </is>
      </c>
      <c r="B1074" s="12" t="inlineStr">
        <is>
          <t>http://identifiers.org/so/SO:1000158</t>
        </is>
      </c>
      <c r="C1074" s="12" t="inlineStr">
        <is>
          <t>['(Drosophila)iTp', 'inverted interchromosomal transposition']</t>
        </is>
      </c>
      <c r="D1074" s="12" t="n"/>
      <c r="E1074" s="12" t="n"/>
    </row>
    <row r="1075" ht="15" customHeight="1">
      <c r="A1075" s="12" t="inlineStr">
        <is>
          <t>inverted_repeat</t>
        </is>
      </c>
      <c r="B1075" s="12" t="inlineStr">
        <is>
          <t>http://identifiers.org/so/SO:0000294</t>
        </is>
      </c>
      <c r="C1075" s="12" t="inlineStr">
        <is>
          <t>['inverted intrachromosomal transposition', '(Drosophila)iTp']</t>
        </is>
      </c>
      <c r="D1075" s="12" t="n"/>
      <c r="E1075" s="12" t="n"/>
    </row>
    <row r="1076" ht="15" customHeight="1">
      <c r="A1076" s="12" t="inlineStr">
        <is>
          <t>inverted_ring_chromosome</t>
        </is>
      </c>
      <c r="B1076" s="12" t="inlineStr">
        <is>
          <t>http://identifiers.org/so/SO:0000439</t>
        </is>
      </c>
      <c r="C1076" s="12" t="inlineStr">
        <is>
          <t>['inverted repeat sequence', 'INSDC_qualifier:inverted', 'INSDC_feature:repeat_region', 'inverted repeat']</t>
        </is>
      </c>
      <c r="D1076" s="12" t="n"/>
      <c r="E1076" s="12" t="n"/>
    </row>
    <row r="1077" ht="15" customHeight="1">
      <c r="A1077" s="12" t="inlineStr">
        <is>
          <t>inverted_tandem_duplication</t>
        </is>
      </c>
      <c r="B1077" s="12" t="inlineStr">
        <is>
          <t>http://identifiers.org/so/SO:1000040</t>
        </is>
      </c>
      <c r="C1077" s="12" t="inlineStr">
        <is>
          <t>['inverted ring chromosome']</t>
        </is>
      </c>
      <c r="D1077" s="12" t="n"/>
      <c r="E1077" s="12" t="n"/>
    </row>
    <row r="1078" ht="15" customHeight="1">
      <c r="A1078" s="12" t="inlineStr">
        <is>
          <t>IRLinv_site</t>
        </is>
      </c>
      <c r="B1078" s="12" t="inlineStr">
        <is>
          <t>http://identifiers.org/so/SO:0001046</t>
        </is>
      </c>
      <c r="C1078" s="12" t="inlineStr">
        <is>
          <t>['mirror duplication', 'inverted tandem duplication']</t>
        </is>
      </c>
      <c r="D1078" s="12" t="n"/>
      <c r="E1078" s="12" t="n"/>
    </row>
    <row r="1079" ht="15" customHeight="1">
      <c r="A1079" s="12" t="inlineStr">
        <is>
          <t>iron_repressed_GATA_element</t>
        </is>
      </c>
      <c r="B1079" s="12" t="inlineStr">
        <is>
          <t>http://identifiers.org/so/SO:0001851</t>
        </is>
      </c>
      <c r="C1079" s="12" t="inlineStr">
        <is>
          <t>['IRLinv site']</t>
        </is>
      </c>
      <c r="D1079" s="12" t="n"/>
      <c r="E1079" s="12" t="n"/>
    </row>
    <row r="1080" ht="15" customHeight="1">
      <c r="A1080" s="12" t="inlineStr">
        <is>
          <t>iron_responsive_element</t>
        </is>
      </c>
      <c r="B1080" s="12" t="inlineStr">
        <is>
          <t>http://identifiers.org/so/SO:0001182</t>
        </is>
      </c>
      <c r="C1080" s="12" t="inlineStr">
        <is>
          <t>['IDP (GATA)', 'iron repressed GATA element']</t>
        </is>
      </c>
      <c r="D1080" s="12" t="n"/>
      <c r="E1080" s="12" t="n"/>
    </row>
    <row r="1081" ht="15" customHeight="1">
      <c r="A1081" s="12" t="inlineStr">
        <is>
          <t>IRRinv_site</t>
        </is>
      </c>
      <c r="B1081" s="12" t="inlineStr">
        <is>
          <t>http://identifiers.org/so/SO:0001047</t>
        </is>
      </c>
      <c r="C1081" s="12" t="inlineStr">
        <is>
          <t>['iron responsive element', 'IRE']</t>
        </is>
      </c>
      <c r="D1081" s="12" t="n"/>
      <c r="E1081" s="12" t="n"/>
    </row>
    <row r="1082" ht="15" customHeight="1">
      <c r="A1082" s="12" t="inlineStr">
        <is>
          <t>isoleucine</t>
        </is>
      </c>
      <c r="B1082" s="12" t="inlineStr">
        <is>
          <t>http://identifiers.org/so/SO:0001438</t>
        </is>
      </c>
      <c r="C1082" s="12" t="inlineStr">
        <is>
          <t>['IRRinv site']</t>
        </is>
      </c>
      <c r="D1082" s="12" t="n"/>
      <c r="E1082" s="12" t="n"/>
    </row>
    <row r="1083" ht="15" customHeight="1">
      <c r="A1083" s="12" t="inlineStr">
        <is>
          <t>isoleucine_tRNA_primary_transcript</t>
        </is>
      </c>
      <c r="B1083" s="12" t="inlineStr">
        <is>
          <t>http://identifiers.org/so/SO:0000220</t>
        </is>
      </c>
      <c r="C1083" s="12" t="inlineStr">
        <is>
          <t>['Ile', 'I']</t>
        </is>
      </c>
      <c r="D1083" s="12" t="n"/>
      <c r="E1083" s="12" t="n"/>
    </row>
    <row r="1084" ht="15" customHeight="1">
      <c r="A1084" s="12" t="inlineStr">
        <is>
          <t>isoleucyl_tRNA</t>
        </is>
      </c>
      <c r="B1084" s="12" t="inlineStr">
        <is>
          <t>http://identifiers.org/so/SO:0000263</t>
        </is>
      </c>
      <c r="C1084" s="12" t="inlineStr">
        <is>
          <t>['isoleucine tRNA primary transcript']</t>
        </is>
      </c>
      <c r="D1084" s="12" t="n"/>
      <c r="E1084" s="12" t="n"/>
    </row>
    <row r="1085" ht="15" customHeight="1">
      <c r="A1085" s="12" t="inlineStr">
        <is>
          <t>isomiR</t>
        </is>
      </c>
      <c r="B1085" s="12" t="inlineStr">
        <is>
          <t>http://identifiers.org/so/SO:0002167</t>
        </is>
      </c>
      <c r="C1085" s="12" t="inlineStr">
        <is>
          <t>['isoleucyl-transfer RNA', 'isoleucyl tRNA', 'isoleucyl-transfer ribonucleic acid']</t>
        </is>
      </c>
      <c r="D1085" s="12" t="n"/>
      <c r="E1085" s="12" t="n"/>
    </row>
    <row r="1086" ht="15" customHeight="1">
      <c r="A1086" s="12" t="inlineStr">
        <is>
          <t>isowyosine</t>
        </is>
      </c>
      <c r="B1086" s="12" t="inlineStr">
        <is>
          <t>http://identifiers.org/so/SO:0001342</t>
        </is>
      </c>
      <c r="C1086" s="12" t="n"/>
      <c r="D1086" s="12" t="n"/>
      <c r="E1086" s="12" t="n"/>
    </row>
    <row r="1087" ht="15" customHeight="1">
      <c r="A1087" s="12" t="inlineStr">
        <is>
          <t>ISRE</t>
        </is>
      </c>
      <c r="B1087" s="12" t="inlineStr">
        <is>
          <t>http://identifiers.org/so/SO:0001715</t>
        </is>
      </c>
      <c r="C1087" s="12" t="inlineStr">
        <is>
          <t>['imG2']</t>
        </is>
      </c>
      <c r="D1087" s="12" t="n"/>
      <c r="E1087" s="12" t="n"/>
    </row>
    <row r="1088" ht="15" customHeight="1">
      <c r="A1088" s="12" t="inlineStr">
        <is>
          <t>J_C_cluster</t>
        </is>
      </c>
      <c r="B1088" s="12" t="inlineStr">
        <is>
          <t>http://identifiers.org/so/SO:0000511</t>
        </is>
      </c>
      <c r="C1088" s="12" t="inlineStr">
        <is>
          <t>['interferon stimulated response element']</t>
        </is>
      </c>
      <c r="D1088" s="12" t="n"/>
      <c r="E1088" s="12" t="n"/>
    </row>
    <row r="1089" ht="15" customHeight="1">
      <c r="A1089" s="12" t="inlineStr">
        <is>
          <t>J_cluster</t>
        </is>
      </c>
      <c r="B1089" s="12" t="inlineStr">
        <is>
          <t>http://identifiers.org/so/SO:0000513</t>
        </is>
      </c>
      <c r="C1089" s="12" t="inlineStr">
        <is>
          <t>['J C cluster', 'J-C-CLUSTER']</t>
        </is>
      </c>
      <c r="D1089" s="12" t="n"/>
      <c r="E1089" s="12" t="n"/>
    </row>
    <row r="1090" ht="15" customHeight="1">
      <c r="A1090" s="12" t="inlineStr">
        <is>
          <t>J_gene_recombination_feature</t>
        </is>
      </c>
      <c r="B1090" s="12" t="inlineStr">
        <is>
          <t>http://identifiers.org/so/SO:0000302</t>
        </is>
      </c>
      <c r="C1090" s="12" t="inlineStr">
        <is>
          <t>['J-CLUSTER', 'J cluster']</t>
        </is>
      </c>
      <c r="D1090" s="12" t="n"/>
      <c r="E1090" s="12" t="n"/>
    </row>
    <row r="1091" ht="15" customHeight="1">
      <c r="A1091" s="12" t="inlineStr">
        <is>
          <t>J_gene_segment</t>
        </is>
      </c>
      <c r="B1091" s="12" t="inlineStr">
        <is>
          <t>http://identifiers.org/so/SO:0000470</t>
        </is>
      </c>
      <c r="C1091" s="12" t="inlineStr">
        <is>
          <t>['J-RS', 'J gene recombination feature']</t>
        </is>
      </c>
      <c r="D1091" s="12" t="n"/>
      <c r="E1091" s="12" t="n"/>
    </row>
    <row r="1092" ht="15" customHeight="1">
      <c r="A1092" s="12" t="inlineStr">
        <is>
          <t>J_heptamer</t>
        </is>
      </c>
      <c r="B1092" s="12" t="inlineStr">
        <is>
          <t>http://identifiers.org/so/SO:0000515</t>
        </is>
      </c>
      <c r="C1092" s="12" t="inlineStr">
        <is>
          <t>['INSDC_feature:J_segment', 'J-GENE', 'J gene']</t>
        </is>
      </c>
      <c r="D1092" s="12" t="n"/>
      <c r="E1092" s="12" t="n"/>
    </row>
    <row r="1093" ht="15" customHeight="1">
      <c r="A1093" s="12" t="inlineStr">
        <is>
          <t>J_nonamer</t>
        </is>
      </c>
      <c r="B1093" s="12" t="inlineStr">
        <is>
          <t>http://identifiers.org/so/SO:0000514</t>
        </is>
      </c>
      <c r="C1093" s="12" t="inlineStr">
        <is>
          <t>['J-HEPTAMER', 'J heptamer']</t>
        </is>
      </c>
      <c r="D1093" s="12" t="n"/>
      <c r="E1093" s="12" t="n"/>
    </row>
    <row r="1094" ht="15" customHeight="1">
      <c r="A1094" s="12" t="inlineStr">
        <is>
          <t>J_spacer</t>
        </is>
      </c>
      <c r="B1094" s="12" t="inlineStr">
        <is>
          <t>http://identifiers.org/so/SO:0000517</t>
        </is>
      </c>
      <c r="C1094" s="12" t="inlineStr">
        <is>
          <t>['J-NONAMER', 'J nonamer']</t>
        </is>
      </c>
      <c r="D1094" s="12" t="n"/>
      <c r="E1094" s="12" t="n"/>
    </row>
    <row r="1095" ht="15" customHeight="1">
      <c r="A1095" s="12" t="inlineStr">
        <is>
          <t>Jockey_LINE_retrotransposon</t>
        </is>
      </c>
      <c r="B1095" s="12" t="inlineStr">
        <is>
          <t>http://identifiers.org/so/SO:0002271</t>
        </is>
      </c>
      <c r="C1095" s="12" t="inlineStr">
        <is>
          <t>['J-SPACER', 'J spacer']</t>
        </is>
      </c>
      <c r="D1095" s="12" t="n"/>
      <c r="E1095" s="12" t="n"/>
    </row>
    <row r="1096" ht="15" customHeight="1">
      <c r="A1096" s="12" t="inlineStr">
        <is>
          <t>junction</t>
        </is>
      </c>
      <c r="B1096" s="12" t="inlineStr">
        <is>
          <t>http://identifiers.org/so/SO:0000699</t>
        </is>
      </c>
      <c r="C1096" s="12" t="inlineStr">
        <is>
          <t>['Jockey LINE retrotransposon', 'LINE Jockey element', 'RIJ retrotransposon']</t>
        </is>
      </c>
      <c r="D1096" s="12" t="n"/>
      <c r="E1096" s="12" t="n"/>
    </row>
    <row r="1097" ht="15" customHeight="1">
      <c r="A1097" s="12" t="inlineStr">
        <is>
          <t>K_turn_RNA_motif</t>
        </is>
      </c>
      <c r="B1097" s="12" t="inlineStr">
        <is>
          <t>http://identifiers.org/so/SO:0000023</t>
        </is>
      </c>
      <c r="C1097" s="12" t="inlineStr">
        <is>
          <t>['boundary', 'breakpoint']</t>
        </is>
      </c>
      <c r="D1097" s="12" t="n"/>
      <c r="E1097" s="12" t="n"/>
    </row>
    <row r="1098" ht="15" customHeight="1">
      <c r="A1098" s="12" t="inlineStr">
        <is>
          <t>KEN_box</t>
        </is>
      </c>
      <c r="B1098" s="12" t="inlineStr">
        <is>
          <t>http://identifiers.org/so/SO:0001807</t>
        </is>
      </c>
      <c r="C1098" s="12" t="inlineStr">
        <is>
          <t>['kink turn', 'K-turn', 'K turn RNA motif', 'kink-turn motif']</t>
        </is>
      </c>
      <c r="D1098" s="12" t="n"/>
      <c r="E1098" s="12" t="n"/>
    </row>
    <row r="1099" ht="15" customHeight="1">
      <c r="A1099" s="12" t="inlineStr">
        <is>
          <t>kinetoplast</t>
        </is>
      </c>
      <c r="B1099" s="12" t="inlineStr">
        <is>
          <t>http://identifiers.org/so/SO:0000741</t>
        </is>
      </c>
      <c r="C1099" s="12" t="inlineStr">
        <is>
          <t>['KEN box']</t>
        </is>
      </c>
      <c r="D1099" s="12" t="n"/>
      <c r="E1099" s="12" t="n"/>
    </row>
    <row r="1100" ht="15" customHeight="1">
      <c r="A1100" s="12" t="inlineStr">
        <is>
          <t>kinetoplast_gene</t>
        </is>
      </c>
      <c r="B1100" s="12" t="inlineStr">
        <is>
          <t>http://identifiers.org/so/SO:0000089</t>
        </is>
      </c>
      <c r="C1100" s="12" t="inlineStr">
        <is>
          <t>['kinetoplast_chromosome']</t>
        </is>
      </c>
      <c r="D1100" s="12" t="n"/>
      <c r="E1100" s="12" t="n"/>
    </row>
    <row r="1101" ht="15" customHeight="1">
      <c r="A1101" s="12" t="inlineStr">
        <is>
          <t>knob</t>
        </is>
      </c>
      <c r="B1101" s="12" t="inlineStr">
        <is>
          <t>http://identifiers.org/so/SO:0002257</t>
        </is>
      </c>
      <c r="C1101" s="12" t="inlineStr">
        <is>
          <t>['kinetoplast gene']</t>
        </is>
      </c>
      <c r="D1101" s="12" t="n"/>
      <c r="E1101" s="12" t="n"/>
    </row>
    <row r="1102" ht="15" customHeight="1">
      <c r="A1102" s="12" t="inlineStr">
        <is>
          <t>kozak_sequence</t>
        </is>
      </c>
      <c r="B1102" s="12" t="inlineStr">
        <is>
          <t>http://identifiers.org/so/SO:0001647</t>
        </is>
      </c>
      <c r="C1102" s="12" t="inlineStr">
        <is>
          <t>['Heterochromatin Knob']</t>
        </is>
      </c>
      <c r="D1102" s="12" t="n"/>
      <c r="E1102" s="12" t="n"/>
    </row>
    <row r="1103" ht="15" customHeight="1">
      <c r="A1103" s="12" t="inlineStr">
        <is>
          <t>L_box</t>
        </is>
      </c>
      <c r="B1103" s="12" t="inlineStr">
        <is>
          <t>http://identifiers.org/so/SO:0001981</t>
        </is>
      </c>
      <c r="C1103" s="12" t="inlineStr">
        <is>
          <t>['kozak sequence', 'kozak consensus', 'kozak consensus sequence']</t>
        </is>
      </c>
      <c r="D1103" s="12" t="n"/>
      <c r="E1103" s="12" t="n"/>
    </row>
    <row r="1104" ht="15" customHeight="1">
      <c r="A1104" s="12" t="inlineStr">
        <is>
          <t>L1_LINE_retrotransposon</t>
        </is>
      </c>
      <c r="B1104" s="12" t="inlineStr">
        <is>
          <t>http://identifiers.org/so/SO:0002272</t>
        </is>
      </c>
      <c r="C1104" s="12" t="inlineStr">
        <is>
          <t>['L-box', 'L-box promoter element']</t>
        </is>
      </c>
      <c r="D1104" s="12" t="n"/>
      <c r="E1104" s="12" t="n"/>
    </row>
    <row r="1105" ht="15" customHeight="1">
      <c r="A1105" s="12" t="inlineStr">
        <is>
          <t>laevosynaptic_chromosome</t>
        </is>
      </c>
      <c r="B1105" s="12" t="inlineStr">
        <is>
          <t>http://identifiers.org/so/SO:1000143</t>
        </is>
      </c>
      <c r="C1105" s="12" t="inlineStr">
        <is>
          <t>['L1 LINE retrotransposon', 'L1 element', 'LINE-1 element', 'LINE 1 element']</t>
        </is>
      </c>
      <c r="D1105" s="12" t="n"/>
      <c r="E1105" s="12" t="n"/>
    </row>
    <row r="1106" ht="15" customHeight="1">
      <c r="A1106" s="12" t="inlineStr">
        <is>
          <t>lambda_clone</t>
        </is>
      </c>
      <c r="B1106" s="12" t="inlineStr">
        <is>
          <t>http://identifiers.org/so/SO:0000160</t>
        </is>
      </c>
      <c r="C1106" s="12" t="inlineStr">
        <is>
          <t>['laevosynaptic chromosome']</t>
        </is>
      </c>
      <c r="D1106" s="12" t="n"/>
      <c r="E1106" s="12" t="n"/>
    </row>
    <row r="1107" ht="15" customHeight="1">
      <c r="A1107" s="12" t="inlineStr">
        <is>
          <t>lambda_vector</t>
        </is>
      </c>
      <c r="B1107" s="12" t="inlineStr">
        <is>
          <t>http://identifiers.org/so/SO:0000754</t>
        </is>
      </c>
      <c r="C1107" s="12" t="n"/>
      <c r="D1107" s="12" t="n"/>
      <c r="E1107" s="12" t="n"/>
    </row>
    <row r="1108" ht="15" customHeight="1">
      <c r="A1108" s="12" t="inlineStr">
        <is>
          <t>LARD</t>
        </is>
      </c>
      <c r="B1108" s="12" t="inlineStr">
        <is>
          <t>http://identifiers.org/so/SO:0002260</t>
        </is>
      </c>
      <c r="C1108" s="12" t="inlineStr">
        <is>
          <t>['lambda vector']</t>
        </is>
      </c>
      <c r="D1108" s="12" t="n"/>
      <c r="E1108" s="12" t="n"/>
    </row>
    <row r="1109" ht="15" customHeight="1">
      <c r="A1109" s="12" t="inlineStr">
        <is>
          <t>large_subunit_rRNA</t>
        </is>
      </c>
      <c r="B1109" s="12" t="inlineStr">
        <is>
          <t>http://identifiers.org/so/SO:0000651</t>
        </is>
      </c>
      <c r="C1109" s="12" t="inlineStr">
        <is>
          <t>['Large Retrotransposon Derivative', 'large_retrotransposon_derivative']</t>
        </is>
      </c>
      <c r="D1109" s="12" t="n"/>
      <c r="E1109" s="12" t="n"/>
    </row>
    <row r="1110" ht="15" customHeight="1">
      <c r="A1110" s="12" t="inlineStr">
        <is>
          <t>lariat_intron</t>
        </is>
      </c>
      <c r="B1110" s="12" t="inlineStr">
        <is>
          <t>http://identifiers.org/so/SO:0001958</t>
        </is>
      </c>
      <c r="C1110" s="12" t="inlineStr">
        <is>
          <t>['LSU RNA', 'LSU rRNA', 'large subunit rRNA']</t>
        </is>
      </c>
      <c r="D1110" s="12" t="n"/>
      <c r="E1110" s="12" t="n"/>
    </row>
    <row r="1111" ht="15" customHeight="1">
      <c r="A1111" s="12" t="inlineStr">
        <is>
          <t>late_origin_of_replication</t>
        </is>
      </c>
      <c r="B1111" s="12" t="inlineStr">
        <is>
          <t>http://identifiers.org/so/SO:0002141</t>
        </is>
      </c>
      <c r="C1111" s="12" t="inlineStr">
        <is>
          <t>['lariat intron']</t>
        </is>
      </c>
      <c r="D1111" s="12" t="n"/>
      <c r="E1111" s="12" t="n"/>
    </row>
    <row r="1112" ht="15" customHeight="1">
      <c r="A1112" s="12" t="inlineStr">
        <is>
          <t>left_handed_peptide_helix</t>
        </is>
      </c>
      <c r="B1112" s="12" t="inlineStr">
        <is>
          <t>http://identifiers.org/so/SO:0001115</t>
        </is>
      </c>
      <c r="C1112" s="12" t="inlineStr">
        <is>
          <t>['late origin of replication', 'late replication origin', 'late origin']</t>
        </is>
      </c>
      <c r="D1112" s="12" t="n"/>
      <c r="E1112" s="12" t="n"/>
    </row>
    <row r="1113" ht="15" customHeight="1">
      <c r="A1113" s="12" t="inlineStr">
        <is>
          <t>lethal_variant</t>
        </is>
      </c>
      <c r="B1113" s="12" t="inlineStr">
        <is>
          <t>http://identifiers.org/so/SO:0001773</t>
        </is>
      </c>
      <c r="C1113" s="12" t="inlineStr">
        <is>
          <t>['helix-l', 'left handed helix']</t>
        </is>
      </c>
      <c r="D1113" s="12" t="n"/>
      <c r="E1113" s="12" t="n"/>
    </row>
    <row r="1114" ht="15" customHeight="1">
      <c r="A1114" s="12" t="inlineStr">
        <is>
          <t>leucine</t>
        </is>
      </c>
      <c r="B1114" s="12" t="inlineStr">
        <is>
          <t>http://identifiers.org/so/SO:0001437</t>
        </is>
      </c>
      <c r="C1114" s="12" t="inlineStr">
        <is>
          <t>['lethal variant']</t>
        </is>
      </c>
      <c r="D1114" s="12" t="n"/>
      <c r="E1114" s="12" t="n"/>
    </row>
    <row r="1115" ht="15" customHeight="1">
      <c r="A1115" s="12" t="inlineStr">
        <is>
          <t>leucine_tRNA_primary_transcript</t>
        </is>
      </c>
      <c r="B1115" s="12" t="inlineStr">
        <is>
          <t>http://identifiers.org/so/SO:0000221</t>
        </is>
      </c>
      <c r="C1115" s="12" t="inlineStr">
        <is>
          <t>['L', 'Leu']</t>
        </is>
      </c>
      <c r="D1115" s="12" t="n"/>
      <c r="E1115" s="12" t="n"/>
    </row>
    <row r="1116" ht="15" customHeight="1">
      <c r="A1116" s="12" t="inlineStr">
        <is>
          <t>leucoplast_chromosome</t>
        </is>
      </c>
      <c r="B1116" s="12" t="inlineStr">
        <is>
          <t>http://identifiers.org/so/SO:0000823</t>
        </is>
      </c>
      <c r="C1116" s="12" t="inlineStr">
        <is>
          <t>['leucine tRNA primary transcript']</t>
        </is>
      </c>
      <c r="D1116" s="12" t="n"/>
      <c r="E1116" s="12" t="n"/>
    </row>
    <row r="1117" ht="15" customHeight="1">
      <c r="A1117" s="12" t="inlineStr">
        <is>
          <t>leucoplast_gene</t>
        </is>
      </c>
      <c r="B1117" s="12" t="inlineStr">
        <is>
          <t>http://identifiers.org/so/SO:0000095</t>
        </is>
      </c>
      <c r="C1117" s="12" t="inlineStr">
        <is>
          <t>['leucoplast chromosome']</t>
        </is>
      </c>
      <c r="D1117" s="12" t="n"/>
      <c r="E1117" s="12" t="n"/>
    </row>
    <row r="1118" ht="15" customHeight="1">
      <c r="A1118" s="12" t="inlineStr">
        <is>
          <t>leucoplast_sequence</t>
        </is>
      </c>
      <c r="B1118" s="12" t="inlineStr">
        <is>
          <t>http://identifiers.org/so/SO:0000747</t>
        </is>
      </c>
      <c r="C1118" s="12" t="inlineStr">
        <is>
          <t>['leucoplast gene']</t>
        </is>
      </c>
      <c r="D1118" s="12" t="n"/>
      <c r="E1118" s="12" t="n"/>
    </row>
    <row r="1119" ht="15" customHeight="1">
      <c r="A1119" s="12" t="inlineStr">
        <is>
          <t>leucyl_tRNA</t>
        </is>
      </c>
      <c r="B1119" s="12" t="inlineStr">
        <is>
          <t>http://identifiers.org/so/SO:0000264</t>
        </is>
      </c>
      <c r="C1119" s="12" t="inlineStr">
        <is>
          <t>['leucoplast sequence']</t>
        </is>
      </c>
      <c r="D1119" s="12" t="n"/>
      <c r="E1119" s="12" t="n"/>
    </row>
    <row r="1120" ht="15" customHeight="1">
      <c r="A1120" s="12" t="inlineStr">
        <is>
          <t>level_of_transcript_variant</t>
        </is>
      </c>
      <c r="B1120" s="12" t="inlineStr">
        <is>
          <t>http://identifiers.org/so/SO:0001540</t>
        </is>
      </c>
      <c r="C1120" s="12" t="inlineStr">
        <is>
          <t>['leucyl tRNA', 'leucyl-transfer ribonucleic acid', 'leucyl-transfer RNA']</t>
        </is>
      </c>
      <c r="D1120" s="12" t="n"/>
      <c r="E1120" s="12" t="n"/>
    </row>
    <row r="1121" ht="15" customHeight="1">
      <c r="A1121" s="12" t="inlineStr">
        <is>
          <t>ligand_binding_site</t>
        </is>
      </c>
      <c r="B1121" s="12" t="inlineStr">
        <is>
          <t>http://identifiers.org/so/SO:0001657</t>
        </is>
      </c>
      <c r="C1121" s="12" t="inlineStr">
        <is>
          <t>['level of transcript variant']</t>
        </is>
      </c>
      <c r="D1121" s="12" t="n"/>
      <c r="E1121" s="12" t="n"/>
    </row>
    <row r="1122" ht="15" customHeight="1">
      <c r="A1122" s="12" t="inlineStr">
        <is>
          <t>ligation_based_read</t>
        </is>
      </c>
      <c r="B1122" s="12" t="inlineStr">
        <is>
          <t>http://identifiers.org/so/SO:0001425</t>
        </is>
      </c>
      <c r="C1122" s="12" t="inlineStr">
        <is>
          <t>['ligand binding site']</t>
        </is>
      </c>
      <c r="D1122" s="12" t="n"/>
      <c r="E1122" s="12" t="n"/>
    </row>
    <row r="1123" ht="15" customHeight="1">
      <c r="A1123" s="12" t="inlineStr">
        <is>
          <t>lincRNA</t>
        </is>
      </c>
      <c r="B1123" s="12" t="inlineStr">
        <is>
          <t>http://identifiers.org/so/SO:0001463</t>
        </is>
      </c>
      <c r="C1123" s="12" t="inlineStr">
        <is>
          <t>['ligation based read']</t>
        </is>
      </c>
      <c r="D1123" s="12" t="n"/>
      <c r="E1123" s="12" t="n"/>
    </row>
    <row r="1124" ht="15" customHeight="1">
      <c r="A1124" s="12" t="inlineStr">
        <is>
          <t>lincRNA_gene</t>
        </is>
      </c>
      <c r="B1124" s="12" t="inlineStr">
        <is>
          <t>http://identifiers.org/so/SO:0001641</t>
        </is>
      </c>
      <c r="C1124" s="12" t="inlineStr">
        <is>
          <t>['large intervening non-coding RNA', 'long intervening non-coding RNA', 'long intergenic non-coding RNA']</t>
        </is>
      </c>
      <c r="D1124" s="12" t="n"/>
      <c r="E1124" s="12" t="n"/>
    </row>
    <row r="1125" ht="15" customHeight="1">
      <c r="A1125" s="12" t="inlineStr">
        <is>
          <t>LINE_element</t>
        </is>
      </c>
      <c r="B1125" s="12" t="inlineStr">
        <is>
          <t>http://identifiers.org/so/SO:0000194</t>
        </is>
      </c>
      <c r="C1125" s="12" t="inlineStr">
        <is>
          <t>['lincRNA gene']</t>
        </is>
      </c>
      <c r="D1125" s="12" t="n"/>
      <c r="E1125" s="12" t="n"/>
    </row>
    <row r="1126" ht="15" customHeight="1">
      <c r="A1126" s="12" t="inlineStr">
        <is>
          <t>LINE1_deletion</t>
        </is>
      </c>
      <c r="B1126" s="12" t="inlineStr">
        <is>
          <t>http://identifiers.org/so/SO:0002069</t>
        </is>
      </c>
      <c r="C1126" s="12" t="inlineStr">
        <is>
          <t>['LINE', 'Long interspersed element', 'Long interspersed nuclear element', 'LINE element']</t>
        </is>
      </c>
      <c r="D1126" s="12" t="n"/>
      <c r="E1126" s="12" t="n"/>
    </row>
    <row r="1127" ht="15" customHeight="1">
      <c r="A1127" s="12" t="inlineStr">
        <is>
          <t>LINE1_insertion</t>
        </is>
      </c>
      <c r="B1127" s="12" t="inlineStr">
        <is>
          <t>http://identifiers.org/so/SO:0002064</t>
        </is>
      </c>
      <c r="C1127" s="12" t="inlineStr">
        <is>
          <t>['LINE1 deletion']</t>
        </is>
      </c>
      <c r="D1127" s="12" t="n"/>
      <c r="E1127" s="12" t="n"/>
    </row>
    <row r="1128" ht="15" customHeight="1">
      <c r="A1128" s="12" t="inlineStr">
        <is>
          <t>linear</t>
        </is>
      </c>
      <c r="B1128" s="12" t="inlineStr">
        <is>
          <t>http://identifiers.org/so/SO:0000987</t>
        </is>
      </c>
      <c r="C1128" s="12" t="inlineStr">
        <is>
          <t>['line1 insertion']</t>
        </is>
      </c>
      <c r="D1128" s="12" t="n"/>
      <c r="E1128" s="12" t="n"/>
    </row>
    <row r="1129" ht="15" customHeight="1">
      <c r="A1129" s="12" t="inlineStr">
        <is>
          <t>linear_double_stranded_DNA_chromosome</t>
        </is>
      </c>
      <c r="B1129" s="12" t="inlineStr">
        <is>
          <t>http://identifiers.org/so/SO:0000957</t>
        </is>
      </c>
      <c r="C1129" s="12" t="inlineStr">
        <is>
          <t>['two-ended']</t>
        </is>
      </c>
      <c r="D1129" s="12" t="n"/>
      <c r="E1129" s="12" t="n"/>
    </row>
    <row r="1130" ht="15" customHeight="1">
      <c r="A1130" s="12" t="inlineStr">
        <is>
          <t>linear_double_stranded_RNA_chromosome</t>
        </is>
      </c>
      <c r="B1130" s="12" t="inlineStr">
        <is>
          <t>http://identifiers.org/so/SO:0000964</t>
        </is>
      </c>
      <c r="C1130" s="12" t="inlineStr">
        <is>
          <t>['linear double stranded DNA chromosome']</t>
        </is>
      </c>
      <c r="D1130" s="12" t="n"/>
      <c r="E1130" s="12" t="n"/>
    </row>
    <row r="1131" ht="15" customHeight="1">
      <c r="A1131" s="12" t="inlineStr">
        <is>
          <t>linear_plasmid</t>
        </is>
      </c>
      <c r="B1131" s="12" t="inlineStr">
        <is>
          <t>http://identifiers.org/so/SO:0002212</t>
        </is>
      </c>
      <c r="C1131" s="12" t="inlineStr">
        <is>
          <t>['linear double stranded RNA chromosome']</t>
        </is>
      </c>
      <c r="D1131" s="12" t="n"/>
      <c r="E1131" s="12" t="n"/>
    </row>
    <row r="1132" ht="15" customHeight="1">
      <c r="A1132" s="12" t="inlineStr">
        <is>
          <t>linear_single_stranded_DNA_chromosome</t>
        </is>
      </c>
      <c r="B1132" s="12" t="inlineStr">
        <is>
          <t>http://identifiers.org/so/SO:0000959</t>
        </is>
      </c>
      <c r="C1132" s="12" t="inlineStr">
        <is>
          <t>['linear plasmid']</t>
        </is>
      </c>
      <c r="D1132" s="12" t="n"/>
      <c r="E1132" s="12" t="n"/>
    </row>
    <row r="1133" ht="15" customHeight="1">
      <c r="A1133" s="12" t="inlineStr">
        <is>
          <t>linear_single_stranded_RNA_chromosome</t>
        </is>
      </c>
      <c r="B1133" s="12" t="inlineStr">
        <is>
          <t>http://identifiers.org/so/SO:0000963</t>
        </is>
      </c>
      <c r="C1133" s="12" t="inlineStr">
        <is>
          <t>['linear single stranded DNA chromosome']</t>
        </is>
      </c>
      <c r="D1133" s="12" t="n"/>
      <c r="E1133" s="12" t="n"/>
    </row>
    <row r="1134" ht="15" customHeight="1">
      <c r="A1134" s="12" t="inlineStr">
        <is>
          <t>linkage_group</t>
        </is>
      </c>
      <c r="B1134" s="12" t="inlineStr">
        <is>
          <t>http://identifiers.org/so/SO:0000018</t>
        </is>
      </c>
      <c r="C1134" s="12" t="inlineStr">
        <is>
          <t>['linear single stranded RNA chromosome']</t>
        </is>
      </c>
      <c r="D1134" s="12" t="n"/>
      <c r="E1134" s="12" t="n"/>
    </row>
    <row r="1135" ht="15" customHeight="1">
      <c r="A1135" s="12" t="inlineStr">
        <is>
          <t>lipoprotein_signal_peptide</t>
        </is>
      </c>
      <c r="B1135" s="12" t="inlineStr">
        <is>
          <t>http://identifiers.org/so/SO:0100009</t>
        </is>
      </c>
      <c r="C1135" s="12" t="inlineStr">
        <is>
          <t>['linkage group']</t>
        </is>
      </c>
      <c r="D1135" s="12" t="n"/>
      <c r="E1135" s="12" t="n"/>
    </row>
    <row r="1136" ht="15" customHeight="1">
      <c r="A1136" s="12" t="inlineStr">
        <is>
          <t>LNA</t>
        </is>
      </c>
      <c r="B1136" s="12" t="inlineStr">
        <is>
          <t>http://identifiers.org/so/SO:0001188</t>
        </is>
      </c>
      <c r="C1136" s="12" t="inlineStr">
        <is>
          <t>['prokaryotic membrane lipoprotein lipid attachment site', 'lipoprotein signal peptide']</t>
        </is>
      </c>
      <c r="D1136" s="12" t="n"/>
      <c r="E1136" s="12" t="n"/>
    </row>
    <row r="1137" ht="15" customHeight="1">
      <c r="A1137" s="12" t="inlineStr">
        <is>
          <t>LNA_oligo</t>
        </is>
      </c>
      <c r="B1137" s="12" t="inlineStr">
        <is>
          <t>http://identifiers.org/so/SO:0001189</t>
        </is>
      </c>
      <c r="C1137" s="12" t="n"/>
      <c r="D1137" s="12" t="n"/>
      <c r="E1137" s="12" t="n"/>
    </row>
    <row r="1138" ht="15" customHeight="1">
      <c r="A1138" s="12" t="inlineStr">
        <is>
          <t>lnc_RNA</t>
        </is>
      </c>
      <c r="B1138" s="12" t="inlineStr">
        <is>
          <t>http://identifiers.org/so/SO:0001877</t>
        </is>
      </c>
      <c r="C1138" s="12" t="inlineStr">
        <is>
          <t>['LNA oligo', 'locked nucleic acid']</t>
        </is>
      </c>
      <c r="D1138" s="12" t="n"/>
      <c r="E1138" s="12" t="n"/>
    </row>
    <row r="1139" ht="15" customHeight="1">
      <c r="A1139" s="12" t="inlineStr">
        <is>
          <t>lncRNA_gene</t>
        </is>
      </c>
      <c r="B1139" s="12" t="inlineStr">
        <is>
          <t>http://identifiers.org/so/SO:0002127</t>
        </is>
      </c>
      <c r="C1139" s="12" t="inlineStr">
        <is>
          <t>['INSDC_qualifier:lncRNA', 'INSDC_feature:ncRNA', 'long non-coding RNA', 'lncRNA_transcript']</t>
        </is>
      </c>
      <c r="D1139" s="12" t="n"/>
      <c r="E1139" s="12" t="n"/>
    </row>
    <row r="1140" ht="15" customHeight="1">
      <c r="A1140" s="12" t="inlineStr">
        <is>
          <t>lncRNA_primary_transcript</t>
        </is>
      </c>
      <c r="B1140" s="12" t="inlineStr">
        <is>
          <t>http://identifiers.org/so/SO:0002035</t>
        </is>
      </c>
      <c r="C1140" s="12" t="inlineStr">
        <is>
          <t>['lnc_RNA_gene', 'long_non_coding_RNA_gene', 'lnc RNA gene']</t>
        </is>
      </c>
      <c r="D1140" s="12" t="n"/>
      <c r="E1140" s="12" t="n"/>
    </row>
    <row r="1141" ht="15" customHeight="1">
      <c r="A1141" s="12" t="inlineStr">
        <is>
          <t>lncRNA_with_retained_intron</t>
        </is>
      </c>
      <c r="B1141" s="12" t="inlineStr">
        <is>
          <t>http://identifiers.org/so/SO:0002113</t>
        </is>
      </c>
      <c r="C1141" s="12" t="inlineStr">
        <is>
          <t>['lncRNA primary transcript']</t>
        </is>
      </c>
      <c r="D1141" s="12" t="n"/>
      <c r="E1141" s="12" t="n"/>
    </row>
    <row r="1142" ht="15" customHeight="1">
      <c r="A1142" s="12" t="inlineStr">
        <is>
          <t>locus_control_region</t>
        </is>
      </c>
      <c r="B1142" s="12" t="inlineStr">
        <is>
          <t>http://identifiers.org/so/SO:0000037</t>
        </is>
      </c>
      <c r="C1142" s="12" t="inlineStr">
        <is>
          <t>['lncRNA with retained intron', 'lncRNA_retained_intron']</t>
        </is>
      </c>
      <c r="D1142" s="12" t="n"/>
      <c r="E1142" s="12" t="n"/>
    </row>
    <row r="1143" ht="15" customHeight="1">
      <c r="A1143" s="12" t="inlineStr">
        <is>
          <t>long_terminal_repeat</t>
        </is>
      </c>
      <c r="B1143" s="12" t="inlineStr">
        <is>
          <t>http://identifiers.org/so/SO:0000286</t>
        </is>
      </c>
      <c r="C1143" s="12" t="inlineStr">
        <is>
          <t>['INSDC_feature:regulatory', 'locus control region', 'LCR', 'INSDC_qualifier:locus_control_region', 'locus control element']</t>
        </is>
      </c>
      <c r="D1143" s="12" t="n"/>
      <c r="E1143" s="12" t="n"/>
    </row>
    <row r="1144" ht="15" customHeight="1">
      <c r="A1144" s="12" t="inlineStr">
        <is>
          <t>long_terminal_repeat_transcript</t>
        </is>
      </c>
      <c r="B1144" s="12" t="inlineStr">
        <is>
          <t>http://identifiers.org/so/SO:0002208</t>
        </is>
      </c>
      <c r="C1144" s="12" t="inlineStr">
        <is>
          <t>['INSDC_feature:repeat_region', 'LTR', 'direct terminal repeat', 'long terminal repeat', 'INSDC_qualifier:long_terminal_repeat']</t>
        </is>
      </c>
      <c r="D1144" s="12" t="n"/>
      <c r="E1144" s="12" t="n"/>
    </row>
    <row r="1145" ht="15" customHeight="1">
      <c r="A1145" s="12" t="inlineStr">
        <is>
          <t>loop</t>
        </is>
      </c>
      <c r="B1145" s="12" t="inlineStr">
        <is>
          <t>http://identifiers.org/so/SO:0002254</t>
        </is>
      </c>
      <c r="C1145" s="12" t="inlineStr">
        <is>
          <t>['LTR transcript', 'long terminal repeat transcript']</t>
        </is>
      </c>
      <c r="D1145" s="12" t="n"/>
      <c r="E1145" s="12" t="n"/>
    </row>
    <row r="1146" ht="15" customHeight="1">
      <c r="A1146" s="12" t="inlineStr">
        <is>
          <t>loR</t>
        </is>
      </c>
      <c r="B1146" s="12" t="inlineStr">
        <is>
          <t>http://identifiers.org/so/SO:0002033</t>
        </is>
      </c>
      <c r="C1146" s="12" t="inlineStr">
        <is>
          <t>['loop portion of stem loop']</t>
        </is>
      </c>
      <c r="D1146" s="12" t="n"/>
      <c r="E1146" s="12" t="n"/>
    </row>
    <row r="1147" ht="15" customHeight="1">
      <c r="A1147" s="12" t="inlineStr">
        <is>
          <t>loss_of_function_variant</t>
        </is>
      </c>
      <c r="B1147" s="12" t="inlineStr">
        <is>
          <t>http://identifiers.org/so/SO:0002054</t>
        </is>
      </c>
      <c r="C1147" s="12" t="inlineStr">
        <is>
          <t>['loop-origin miRs']</t>
        </is>
      </c>
      <c r="D1147" s="12" t="n"/>
      <c r="E1147" s="12" t="n"/>
    </row>
    <row r="1148" ht="15" customHeight="1">
      <c r="A1148" s="12" t="inlineStr">
        <is>
          <t>loss_of_heterozygosity</t>
        </is>
      </c>
      <c r="B1148" s="12" t="inlineStr">
        <is>
          <t>http://identifiers.org/so/SO:0001786</t>
        </is>
      </c>
      <c r="C1148" s="12" t="inlineStr">
        <is>
          <t>['loss of function variant']</t>
        </is>
      </c>
      <c r="D1148" s="12" t="n"/>
      <c r="E1148" s="12" t="n"/>
    </row>
    <row r="1149" ht="15" customHeight="1">
      <c r="A1149" s="12" t="inlineStr">
        <is>
          <t>low_complexity</t>
        </is>
      </c>
      <c r="B1149" s="12" t="inlineStr">
        <is>
          <t>http://identifiers.org/so/SO:0001004</t>
        </is>
      </c>
      <c r="C1149" s="12" t="inlineStr">
        <is>
          <t>['LOH', 'loss of heterozygosity']</t>
        </is>
      </c>
      <c r="D1149" s="12" t="n"/>
      <c r="E1149" s="12" t="n"/>
    </row>
    <row r="1150" ht="15" customHeight="1">
      <c r="A1150" s="12" t="inlineStr">
        <is>
          <t>low_complexity_region</t>
        </is>
      </c>
      <c r="B1150" s="12" t="inlineStr">
        <is>
          <t>http://identifiers.org/so/SO:0001005</t>
        </is>
      </c>
      <c r="C1150" s="12" t="inlineStr">
        <is>
          <t>['low complexity']</t>
        </is>
      </c>
      <c r="D1150" s="12" t="n"/>
      <c r="E1150" s="12" t="n"/>
    </row>
    <row r="1151" ht="15" customHeight="1">
      <c r="A1151" s="12" t="inlineStr">
        <is>
          <t>loxP_site</t>
        </is>
      </c>
      <c r="B1151" s="12" t="inlineStr">
        <is>
          <t>http://identifiers.org/so/SO:0000346</t>
        </is>
      </c>
      <c r="C1151" s="12" t="inlineStr">
        <is>
          <t>['low complexity region']</t>
        </is>
      </c>
      <c r="D1151" s="12" t="n"/>
      <c r="E1151" s="12" t="n"/>
    </row>
    <row r="1152" ht="15" customHeight="1">
      <c r="A1152" s="12" t="inlineStr">
        <is>
          <t>LOZ1_response_element</t>
        </is>
      </c>
      <c r="B1152" s="12" t="inlineStr">
        <is>
          <t>http://identifiers.org/so/SO:0002225</t>
        </is>
      </c>
      <c r="C1152" s="12" t="inlineStr">
        <is>
          <t>['Cre-recombination target region', 'loxP site']</t>
        </is>
      </c>
      <c r="D1152" s="12" t="n"/>
      <c r="E1152" s="12" t="n"/>
    </row>
    <row r="1153" ht="15" customHeight="1">
      <c r="A1153" s="12" t="inlineStr">
        <is>
          <t>LTR_component</t>
        </is>
      </c>
      <c r="B1153" s="12" t="inlineStr">
        <is>
          <t>http://identifiers.org/so/SO:0000848</t>
        </is>
      </c>
      <c r="C1153" s="12" t="inlineStr">
        <is>
          <t>['LRE element', 'LRE', 'Loz1 response element']</t>
        </is>
      </c>
      <c r="D1153" s="12" t="n"/>
      <c r="E1153" s="12" t="n"/>
    </row>
    <row r="1154" ht="15" customHeight="1">
      <c r="A1154" s="12" t="inlineStr">
        <is>
          <t>LTR_retrotransposon</t>
        </is>
      </c>
      <c r="B1154" s="12" t="inlineStr">
        <is>
          <t>http://identifiers.org/so/SO:0000186</t>
        </is>
      </c>
      <c r="C1154" s="12" t="inlineStr">
        <is>
          <t>['long term repeat component', 'LTR component']</t>
        </is>
      </c>
      <c r="D1154" s="12" t="n"/>
      <c r="E1154" s="12" t="n"/>
    </row>
    <row r="1155" ht="15" customHeight="1">
      <c r="A1155" s="12" t="inlineStr">
        <is>
          <t>lysidine</t>
        </is>
      </c>
      <c r="B1155" s="12" t="inlineStr">
        <is>
          <t>http://identifiers.org/so/SO:0001289</t>
        </is>
      </c>
      <c r="C1155" s="12" t="inlineStr">
        <is>
          <t>['long terminal repeat retrotransposon', 'LTR retrotransposon']</t>
        </is>
      </c>
      <c r="D1155" s="12" t="n"/>
      <c r="E1155" s="12" t="n"/>
    </row>
    <row r="1156" ht="15" customHeight="1">
      <c r="A1156" s="12" t="inlineStr">
        <is>
          <t>lysine</t>
        </is>
      </c>
      <c r="B1156" s="12" t="inlineStr">
        <is>
          <t>http://identifiers.org/so/SO:0001450</t>
        </is>
      </c>
      <c r="C1156" s="12" t="inlineStr">
        <is>
          <t>['k2C']</t>
        </is>
      </c>
      <c r="D1156" s="12" t="n"/>
      <c r="E1156" s="12" t="n"/>
    </row>
    <row r="1157" ht="15" customHeight="1">
      <c r="A1157" s="12" t="inlineStr">
        <is>
          <t>lysine_tRNA_primary_transcript</t>
        </is>
      </c>
      <c r="B1157" s="12" t="inlineStr">
        <is>
          <t>http://identifiers.org/so/SO:0000222</t>
        </is>
      </c>
      <c r="C1157" s="12" t="inlineStr">
        <is>
          <t>['Lys', 'K']</t>
        </is>
      </c>
      <c r="D1157" s="12" t="n"/>
      <c r="E1157" s="12" t="n"/>
    </row>
    <row r="1158" ht="15" customHeight="1">
      <c r="A1158" s="12" t="inlineStr">
        <is>
          <t>lysosomal_localization_signal</t>
        </is>
      </c>
      <c r="B1158" s="12" t="inlineStr">
        <is>
          <t>http://identifiers.org/so/SO:0001530</t>
        </is>
      </c>
      <c r="C1158" s="12" t="inlineStr">
        <is>
          <t>['lysine tRNA primary transcript']</t>
        </is>
      </c>
      <c r="D1158" s="12" t="n"/>
      <c r="E1158" s="12" t="n"/>
    </row>
    <row r="1159" ht="15" customHeight="1">
      <c r="A1159" s="12" t="inlineStr">
        <is>
          <t>lysyl_tRNA</t>
        </is>
      </c>
      <c r="B1159" s="12" t="inlineStr">
        <is>
          <t>http://identifiers.org/so/SO:0000265</t>
        </is>
      </c>
      <c r="C1159" s="12" t="inlineStr">
        <is>
          <t>['lysosomal localization signal']</t>
        </is>
      </c>
      <c r="D1159" s="12" t="n"/>
      <c r="E1159" s="12" t="n"/>
    </row>
    <row r="1160" ht="15" customHeight="1">
      <c r="A1160" s="12" t="inlineStr">
        <is>
          <t>macronuclear_chromosome</t>
        </is>
      </c>
      <c r="B1160" s="12" t="inlineStr">
        <is>
          <t>http://identifiers.org/so/SO:0000824</t>
        </is>
      </c>
      <c r="C1160" s="12" t="inlineStr">
        <is>
          <t>['lysyl-transfer RNA', 'lysyl-transfer ribonucleic acid', 'lysyl tRNA']</t>
        </is>
      </c>
      <c r="D1160" s="12" t="n"/>
      <c r="E1160" s="12" t="n"/>
    </row>
    <row r="1161" ht="15" customHeight="1">
      <c r="A1161" s="12" t="inlineStr">
        <is>
          <t>macronuclear_sequence</t>
        </is>
      </c>
      <c r="B1161" s="12" t="inlineStr">
        <is>
          <t>http://identifiers.org/so/SO:0000083</t>
        </is>
      </c>
      <c r="C1161" s="12" t="inlineStr">
        <is>
          <t>['macronuclear chromosome']</t>
        </is>
      </c>
      <c r="D1161" s="12" t="n"/>
      <c r="E1161" s="12" t="n"/>
    </row>
    <row r="1162" ht="15" customHeight="1">
      <c r="A1162" s="12" t="inlineStr">
        <is>
          <t>macronucleus_destined_segment</t>
        </is>
      </c>
      <c r="B1162" s="12" t="inlineStr">
        <is>
          <t>http://identifiers.org/so/SO:0000672</t>
        </is>
      </c>
      <c r="C1162" s="12" t="inlineStr">
        <is>
          <t>['macronuclear sequence']</t>
        </is>
      </c>
      <c r="D1162" s="12" t="n"/>
      <c r="E1162" s="12" t="n"/>
    </row>
    <row r="1163" ht="15" customHeight="1">
      <c r="A1163" s="12" t="inlineStr">
        <is>
          <t>major_TSS</t>
        </is>
      </c>
      <c r="B1163" s="12" t="inlineStr">
        <is>
          <t>http://identifiers.org/so/SO:0001238</t>
        </is>
      </c>
      <c r="C1163" s="12" t="inlineStr">
        <is>
          <t>['macronucleus destined segment']</t>
        </is>
      </c>
      <c r="D1163" s="12" t="n"/>
      <c r="E1163" s="12" t="n"/>
    </row>
    <row r="1164" ht="15" customHeight="1">
      <c r="A1164" s="12" t="inlineStr">
        <is>
          <t>mannosyl_queuosine</t>
        </is>
      </c>
      <c r="B1164" s="12" t="inlineStr">
        <is>
          <t>http://identifiers.org/so/SO:0001320</t>
        </is>
      </c>
      <c r="C1164" s="12" t="inlineStr">
        <is>
          <t>['major transcription start site', 'major TSS']</t>
        </is>
      </c>
      <c r="D1164" s="12" t="n"/>
      <c r="E1164" s="12" t="n"/>
    </row>
    <row r="1165" ht="15" customHeight="1">
      <c r="A1165" s="12" t="inlineStr">
        <is>
          <t>Mat2P</t>
        </is>
      </c>
      <c r="B1165" s="12" t="inlineStr">
        <is>
          <t>http://identifiers.org/so/SO:0002157</t>
        </is>
      </c>
      <c r="C1165" s="12" t="inlineStr">
        <is>
          <t>['manQ', 'mannosyl-queuosine', 'mannosyl queuosine']</t>
        </is>
      </c>
      <c r="D1165" s="12" t="n"/>
      <c r="E1165" s="12" t="n"/>
    </row>
    <row r="1166" ht="15" customHeight="1">
      <c r="A1166" s="12" t="inlineStr">
        <is>
          <t>Mat3M</t>
        </is>
      </c>
      <c r="B1166" s="12" t="inlineStr">
        <is>
          <t>http://identifiers.org/so/SO:0002158</t>
        </is>
      </c>
      <c r="C1166" s="12" t="n"/>
      <c r="D1166" s="12" t="n"/>
      <c r="E1166" s="12" t="n"/>
    </row>
    <row r="1167" ht="15" customHeight="1">
      <c r="A1167" s="12" t="inlineStr">
        <is>
          <t>match</t>
        </is>
      </c>
      <c r="B1167" s="12" t="inlineStr">
        <is>
          <t>http://identifiers.org/so/SO:0000343</t>
        </is>
      </c>
      <c r="C1167" s="12" t="n"/>
      <c r="D1167" s="12" t="n"/>
      <c r="E1167" s="12" t="n"/>
    </row>
    <row r="1168" ht="15" customHeight="1">
      <c r="A1168" s="12" t="inlineStr">
        <is>
          <t>match_part</t>
        </is>
      </c>
      <c r="B1168" s="12" t="inlineStr">
        <is>
          <t>http://identifiers.org/so/SO:0000039</t>
        </is>
      </c>
      <c r="C1168" s="12" t="n"/>
      <c r="D1168" s="12" t="n"/>
      <c r="E1168" s="12" t="n"/>
    </row>
    <row r="1169" ht="15" customHeight="1">
      <c r="A1169" s="12" t="inlineStr">
        <is>
          <t>match_set</t>
        </is>
      </c>
      <c r="B1169" s="12" t="inlineStr">
        <is>
          <t>http://identifiers.org/so/SO:0000038</t>
        </is>
      </c>
      <c r="C1169" s="12" t="inlineStr">
        <is>
          <t>['match part']</t>
        </is>
      </c>
      <c r="D1169" s="12" t="n"/>
      <c r="E1169" s="12" t="n"/>
    </row>
    <row r="1170" ht="15" customHeight="1">
      <c r="A1170" s="12" t="inlineStr">
        <is>
          <t>maternal_uniparental_disomy</t>
        </is>
      </c>
      <c r="B1170" s="12" t="inlineStr">
        <is>
          <t>http://identifiers.org/so/SO:0001745</t>
        </is>
      </c>
      <c r="C1170" s="12" t="n"/>
      <c r="D1170" s="12" t="n"/>
      <c r="E1170" s="12" t="n"/>
    </row>
    <row r="1171" ht="15" customHeight="1">
      <c r="A1171" s="12" t="inlineStr">
        <is>
          <t>maternal_variant</t>
        </is>
      </c>
      <c r="B1171" s="12" t="inlineStr">
        <is>
          <t>http://identifiers.org/so/SO:0001775</t>
        </is>
      </c>
      <c r="C1171" s="12" t="inlineStr">
        <is>
          <t>['maternal uniparental disomy']</t>
        </is>
      </c>
      <c r="D1171" s="12" t="n"/>
      <c r="E1171" s="12" t="n"/>
    </row>
    <row r="1172" ht="15" customHeight="1">
      <c r="A1172" s="12" t="inlineStr">
        <is>
          <t>maternally_imprinted</t>
        </is>
      </c>
      <c r="B1172" s="12" t="inlineStr">
        <is>
          <t>http://identifiers.org/so/SO:0000135</t>
        </is>
      </c>
      <c r="C1172" s="12" t="inlineStr">
        <is>
          <t>['maternal variant']</t>
        </is>
      </c>
      <c r="D1172" s="12" t="n"/>
      <c r="E1172" s="12" t="n"/>
    </row>
    <row r="1173" ht="15" customHeight="1">
      <c r="A1173" s="12" t="inlineStr">
        <is>
          <t>maternally_imprinted_gene</t>
        </is>
      </c>
      <c r="B1173" s="12" t="inlineStr">
        <is>
          <t>http://identifiers.org/so/SO:0000888</t>
        </is>
      </c>
      <c r="C1173" s="12" t="inlineStr">
        <is>
          <t>['maternally imprinted']</t>
        </is>
      </c>
      <c r="D1173" s="12" t="n"/>
      <c r="E1173" s="12" t="n"/>
    </row>
    <row r="1174" ht="15" customHeight="1">
      <c r="A1174" s="12" t="inlineStr">
        <is>
          <t>mathematically_defined_repeat</t>
        </is>
      </c>
      <c r="B1174" s="12" t="inlineStr">
        <is>
          <t>http://identifiers.org/so/SO:0001642</t>
        </is>
      </c>
      <c r="C1174" s="12" t="inlineStr">
        <is>
          <t>['maternally imprinted gene']</t>
        </is>
      </c>
      <c r="D1174" s="12" t="n"/>
      <c r="E1174" s="12" t="n"/>
    </row>
    <row r="1175" ht="15" customHeight="1">
      <c r="A1175" s="12" t="inlineStr">
        <is>
          <t>mating_type_M_box</t>
        </is>
      </c>
      <c r="B1175" s="12" t="inlineStr">
        <is>
          <t>http://identifiers.org/so/SO:0001852</t>
        </is>
      </c>
      <c r="C1175" s="12" t="inlineStr">
        <is>
          <t>['mathematically defined repeat']</t>
        </is>
      </c>
      <c r="D1175" s="12" t="n"/>
      <c r="E1175" s="12" t="n"/>
    </row>
    <row r="1176" ht="15" customHeight="1">
      <c r="A1176" s="12" t="inlineStr">
        <is>
          <t>mating_type_region</t>
        </is>
      </c>
      <c r="B1176" s="12" t="inlineStr">
        <is>
          <t>http://identifiers.org/so/SO:0001789</t>
        </is>
      </c>
      <c r="C1176" s="12" t="inlineStr">
        <is>
          <t>['mating type M-box']</t>
        </is>
      </c>
      <c r="D1176" s="12" t="n"/>
      <c r="E1176" s="12" t="n"/>
    </row>
    <row r="1177" ht="15" customHeight="1">
      <c r="A1177" s="12" t="inlineStr">
        <is>
          <t>mating_type_region_motif</t>
        </is>
      </c>
      <c r="B1177" s="12" t="inlineStr">
        <is>
          <t>http://identifiers.org/so/SO:0001999</t>
        </is>
      </c>
      <c r="C1177" s="12" t="inlineStr">
        <is>
          <t>['mating type region']</t>
        </is>
      </c>
      <c r="D1177" s="12" t="n"/>
      <c r="E1177" s="12" t="n"/>
    </row>
    <row r="1178" ht="15" customHeight="1">
      <c r="A1178" s="12" t="inlineStr">
        <is>
          <t>mating_type_region_replication_fork_barrier</t>
        </is>
      </c>
      <c r="B1178" s="12" t="inlineStr">
        <is>
          <t>http://identifiers.org/so/SO:0002021</t>
        </is>
      </c>
      <c r="C1178" s="12" t="inlineStr">
        <is>
          <t>['mating type region motif']</t>
        </is>
      </c>
      <c r="D1178" s="12" t="n"/>
      <c r="E1178" s="12" t="n"/>
    </row>
    <row r="1179" ht="15" customHeight="1">
      <c r="A1179" s="12" t="inlineStr">
        <is>
          <t>matrix_attachment_site</t>
        </is>
      </c>
      <c r="B1179" s="12" t="inlineStr">
        <is>
          <t>http://identifiers.org/so/SO:0000036</t>
        </is>
      </c>
      <c r="C1179" s="12" t="inlineStr">
        <is>
          <t>['mating type region replication fork barrier']</t>
        </is>
      </c>
      <c r="D1179" s="12" t="n"/>
      <c r="E1179" s="12" t="n"/>
    </row>
    <row r="1180" ht="15" customHeight="1">
      <c r="A1180" s="12" t="inlineStr">
        <is>
          <t>mature_miRNA_variant</t>
        </is>
      </c>
      <c r="B1180" s="12" t="inlineStr">
        <is>
          <t>http://identifiers.org/so/SO:0001620</t>
        </is>
      </c>
      <c r="C1180" s="12" t="inlineStr">
        <is>
      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      </is>
      </c>
      <c r="D1180" s="12" t="n"/>
      <c r="E1180" s="12" t="n"/>
    </row>
    <row r="1181" ht="15" customHeight="1">
      <c r="A1181" s="12" t="inlineStr">
        <is>
          <t>mature_protein_region</t>
        </is>
      </c>
      <c r="B1181" s="12" t="inlineStr">
        <is>
          <t>http://identifiers.org/so/SO:0000419</t>
        </is>
      </c>
      <c r="C1181" s="12" t="inlineStr">
        <is>
          <t>['VEP:mature_miRNA_variant', 'mature miRNA variant', 'within_mature_miRNA', 'snpEff:MICRO_RNA']</t>
        </is>
      </c>
      <c r="D1181" s="12" t="n"/>
      <c r="E1181" s="12" t="n"/>
    </row>
    <row r="1182" ht="15" customHeight="1">
      <c r="A1182" s="12" t="inlineStr">
        <is>
          <t>mature_protein_region_of_CDS</t>
        </is>
      </c>
      <c r="B1182" s="12" t="inlineStr">
        <is>
          <t>http://identifiers.org/so/SO:0002249</t>
        </is>
      </c>
      <c r="C1182" s="12" t="inlineStr">
        <is>
          <t>['mature peptide', 'mature protein region', 'INSDC_feature:mat_peptide', 'chain']</t>
        </is>
      </c>
      <c r="D1182" s="12" t="n"/>
      <c r="E1182" s="12" t="n"/>
    </row>
    <row r="1183" ht="15" customHeight="1">
      <c r="A1183" s="12" t="inlineStr">
        <is>
          <t>mature_transcript</t>
        </is>
      </c>
      <c r="B1183" s="12" t="inlineStr">
        <is>
          <t>http://identifiers.org/so/SO:0000233</t>
        </is>
      </c>
      <c r="C1183" s="12" t="inlineStr">
        <is>
          <t>['mature protein region of CDS', 'INSDC_feature:mat_peptide']</t>
        </is>
      </c>
      <c r="D1183" s="12" t="n"/>
      <c r="E1183" s="12" t="n"/>
    </row>
    <row r="1184" ht="15" customHeight="1">
      <c r="A1184" s="12" t="inlineStr">
        <is>
          <t>mature_transcript_region</t>
        </is>
      </c>
      <c r="B1184" s="12" t="inlineStr">
        <is>
          <t>http://identifiers.org/so/SO:0000834</t>
        </is>
      </c>
      <c r="C1184" s="12" t="inlineStr">
        <is>
          <t>['mature transcript']</t>
        </is>
      </c>
      <c r="D1184" s="12" t="n"/>
      <c r="E1184" s="12" t="n"/>
    </row>
    <row r="1185" ht="15" customHeight="1">
      <c r="A1185" s="12" t="inlineStr">
        <is>
          <t>maxicircle</t>
        </is>
      </c>
      <c r="B1185" s="12" t="inlineStr">
        <is>
          <t>http://identifiers.org/so/SO:0000742</t>
        </is>
      </c>
      <c r="C1185" s="12" t="inlineStr">
        <is>
          <t>['mature transcript region']</t>
        </is>
      </c>
      <c r="D1185" s="12" t="n"/>
      <c r="E1185" s="12" t="n"/>
    </row>
    <row r="1186" ht="15" customHeight="1">
      <c r="A1186" s="12" t="inlineStr">
        <is>
          <t>maxicircle_gene</t>
        </is>
      </c>
      <c r="B1186" s="12" t="inlineStr">
        <is>
          <t>http://identifiers.org/so/SO:0000654</t>
        </is>
      </c>
      <c r="C1186" s="12" t="inlineStr">
        <is>
          <t>['maxicircle_chromosome']</t>
        </is>
      </c>
      <c r="D1186" s="12" t="n"/>
      <c r="E1186" s="12" t="n"/>
    </row>
    <row r="1187" ht="15" customHeight="1">
      <c r="A1187" s="12" t="inlineStr">
        <is>
          <t>MCB</t>
        </is>
      </c>
      <c r="B1187" s="12" t="inlineStr">
        <is>
          <t>http://identifiers.org/so/SO:0001855</t>
        </is>
      </c>
      <c r="C1187" s="12" t="inlineStr">
        <is>
          <t>['maxi-circle gene', 'maxicircle gene']</t>
        </is>
      </c>
      <c r="D1187" s="12" t="n"/>
      <c r="E1187" s="12" t="n"/>
    </row>
    <row r="1188" ht="15" customHeight="1">
      <c r="A1188" s="12" t="inlineStr">
        <is>
          <t>meiotic_recombination_region</t>
        </is>
      </c>
      <c r="B1188" s="12" t="inlineStr">
        <is>
          <t>http://identifiers.org/so/SO:0002155</t>
        </is>
      </c>
      <c r="C1188" s="12" t="inlineStr">
        <is>
          <t>['MluI cell cycle box']</t>
        </is>
      </c>
      <c r="D1188" s="12" t="n"/>
      <c r="E1188" s="12" t="n"/>
    </row>
    <row r="1189" ht="15" customHeight="1">
      <c r="A1189" s="12" t="inlineStr">
        <is>
          <t>member_of_regulon</t>
        </is>
      </c>
      <c r="B1189" s="12" t="inlineStr">
        <is>
          <t>http://identifiers.org/so/SO:1001217</t>
        </is>
      </c>
      <c r="C1189" s="12" t="inlineStr">
        <is>
          <t>['INSDC_feature:misc_recomb', 'meiotic recombination region', 'INSDC_qualifier:meiotic_recombination', 'INSDC_qualifier:meiotic']</t>
        </is>
      </c>
      <c r="D1189" s="12" t="n"/>
      <c r="E1189" s="12" t="n"/>
    </row>
    <row r="1190" ht="15" customHeight="1">
      <c r="A1190" s="12" t="inlineStr">
        <is>
          <t>membrane_peptide_loop</t>
        </is>
      </c>
      <c r="B1190" s="12" t="inlineStr">
        <is>
          <t>http://identifiers.org/so/SO:0001076</t>
        </is>
      </c>
      <c r="C1190" s="12" t="inlineStr">
        <is>
          <t>['member of regulon']</t>
        </is>
      </c>
      <c r="D1190" s="12" t="n"/>
      <c r="E1190" s="12" t="n"/>
    </row>
    <row r="1191" ht="15" customHeight="1">
      <c r="A1191" s="12" t="inlineStr">
        <is>
          <t>membrane_structure</t>
        </is>
      </c>
      <c r="B1191" s="12" t="inlineStr">
        <is>
          <t>http://identifiers.org/so/SO:0001071</t>
        </is>
      </c>
      <c r="C1191" s="12" t="inlineStr">
        <is>
          <t>['membrane_loop', 'membrane peptide loop']</t>
        </is>
      </c>
      <c r="D1191" s="12" t="n"/>
      <c r="E1191" s="12" t="n"/>
    </row>
    <row r="1192" ht="15" customHeight="1">
      <c r="A1192" s="12" t="inlineStr">
        <is>
          <t>Merlin_TIR_transposon</t>
        </is>
      </c>
      <c r="B1192" s="12" t="inlineStr">
        <is>
          <t>http://identifiers.org/so/SO:0002281</t>
        </is>
      </c>
      <c r="C1192" s="12" t="inlineStr">
        <is>
          <t>['membrane structure']</t>
        </is>
      </c>
      <c r="D1192" s="12" t="n"/>
      <c r="E1192" s="12" t="n"/>
    </row>
    <row r="1193" ht="15" customHeight="1">
      <c r="A1193" s="12" t="inlineStr">
        <is>
          <t>metabolic_island</t>
        </is>
      </c>
      <c r="B1193" s="12" t="inlineStr">
        <is>
          <t>http://identifiers.org/so/SO:0000774</t>
        </is>
      </c>
      <c r="C1193" s="12" t="inlineStr">
        <is>
          <t>['Merlin transposon', 'Merlin TIR transposon', 'DTE transposon']</t>
        </is>
      </c>
      <c r="D1193" s="12" t="n"/>
      <c r="E1193" s="12" t="n"/>
    </row>
    <row r="1194" ht="15" customHeight="1">
      <c r="A1194" s="12" t="inlineStr">
        <is>
          <t>metal_binding_site</t>
        </is>
      </c>
      <c r="B1194" s="12" t="inlineStr">
        <is>
          <t>http://identifiers.org/so/SO:0001656</t>
        </is>
      </c>
      <c r="C1194" s="12" t="inlineStr">
        <is>
          <t>['metabolic island']</t>
        </is>
      </c>
      <c r="D1194" s="12" t="n"/>
      <c r="E1194" s="12" t="n"/>
    </row>
    <row r="1195" ht="15" customHeight="1">
      <c r="A1195" s="12" t="inlineStr">
        <is>
          <t>methionine</t>
        </is>
      </c>
      <c r="B1195" s="12" t="inlineStr">
        <is>
          <t>http://identifiers.org/so/SO:0001442</t>
        </is>
      </c>
      <c r="C1195" s="12" t="inlineStr">
        <is>
          <t>['metal binding site']</t>
        </is>
      </c>
      <c r="D1195" s="12" t="n"/>
      <c r="E1195" s="12" t="n"/>
    </row>
    <row r="1196" ht="15" customHeight="1">
      <c r="A1196" s="12" t="inlineStr">
        <is>
          <t>methionine_tRNA_primary_transcript</t>
        </is>
      </c>
      <c r="B1196" s="12" t="inlineStr">
        <is>
          <t>http://identifiers.org/so/SO:0000223</t>
        </is>
      </c>
      <c r="C1196" s="12" t="inlineStr">
        <is>
          <t>['M', 'Met']</t>
        </is>
      </c>
      <c r="D1196" s="12" t="n"/>
      <c r="E1196" s="12" t="n"/>
    </row>
    <row r="1197" ht="15" customHeight="1">
      <c r="A1197" s="12" t="inlineStr">
        <is>
          <t>methionyl_tRNA</t>
        </is>
      </c>
      <c r="B1197" s="12" t="inlineStr">
        <is>
          <t>http://identifiers.org/so/SO:0000266</t>
        </is>
      </c>
      <c r="C1197" s="12" t="inlineStr">
        <is>
          <t>['methionine tRNA primary transcript']</t>
        </is>
      </c>
      <c r="D1197" s="12" t="n"/>
      <c r="E1197" s="12" t="n"/>
    </row>
    <row r="1198" ht="15" customHeight="1">
      <c r="A1198" s="12" t="inlineStr">
        <is>
          <t>methylated_adenine</t>
        </is>
      </c>
      <c r="B1198" s="12" t="inlineStr">
        <is>
          <t>http://identifiers.org/so/SO:0000161</t>
        </is>
      </c>
      <c r="C1198" s="12" t="inlineStr">
        <is>
          <t>['methionyl-transfer RNA', 'methionyl-transfer ribonucleic acid', 'methionyl tRNA']</t>
        </is>
      </c>
      <c r="D1198" s="12" t="n"/>
      <c r="E1198" s="12" t="n"/>
    </row>
    <row r="1199" ht="15" customHeight="1">
      <c r="A1199" s="12" t="inlineStr">
        <is>
          <t>methylated_cytosine</t>
        </is>
      </c>
      <c r="B1199" s="12" t="inlineStr">
        <is>
          <t>http://identifiers.org/so/SO:0000114</t>
        </is>
      </c>
      <c r="C1199" s="12" t="inlineStr">
        <is>
          <t>['methylated A', 'methylated_A', 'methylated adenine residue', 'methylated adenine', 'methylated adenine base']</t>
        </is>
      </c>
      <c r="D1199" s="12" t="n"/>
      <c r="E1199" s="12" t="n"/>
    </row>
    <row r="1200" ht="15" customHeight="1">
      <c r="A1200" s="12" t="inlineStr">
        <is>
          <t>methylated_DNA_base_feature</t>
        </is>
      </c>
      <c r="B1200" s="12" t="inlineStr">
        <is>
          <t>http://identifiers.org/so/SO:0000306</t>
        </is>
      </c>
      <c r="C1200" s="12" t="inlineStr">
        <is>
          <t>['methylated cytosine', 'methylated_C', 'methylated C', 'methylated cytosine residue', 'methylated cytosine base']</t>
        </is>
      </c>
      <c r="D1200" s="12" t="n"/>
      <c r="E1200" s="12" t="n"/>
    </row>
    <row r="1201" ht="15" customHeight="1">
      <c r="A1201" s="12" t="inlineStr">
        <is>
          <t>methylation_guide_snoRNA</t>
        </is>
      </c>
      <c r="B1201" s="12" t="inlineStr">
        <is>
          <t>http://identifiers.org/so/SO:0005841</t>
        </is>
      </c>
      <c r="C1201" s="12" t="inlineStr">
        <is>
          <t>['methylated base feature']</t>
        </is>
      </c>
      <c r="D1201" s="12" t="n"/>
      <c r="E1201" s="12" t="n"/>
    </row>
    <row r="1202" ht="15" customHeight="1">
      <c r="A1202" s="12" t="inlineStr">
        <is>
          <t>methylation_guide_snoRNA_primary_transcript</t>
        </is>
      </c>
      <c r="B1202" s="12" t="inlineStr">
        <is>
          <t>http://identifiers.org/so/SO:0000580</t>
        </is>
      </c>
      <c r="C1202" s="12" t="inlineStr">
        <is>
          <t>['methylation guide snoRNA']</t>
        </is>
      </c>
      <c r="D1202" s="12" t="n"/>
      <c r="E1202" s="12" t="n"/>
    </row>
    <row r="1203" ht="15" customHeight="1">
      <c r="A1203" s="12" t="inlineStr">
        <is>
          <t>methylinosine</t>
        </is>
      </c>
      <c r="B1203" s="12" t="inlineStr">
        <is>
          <t>http://identifiers.org/so/SO:0001233</t>
        </is>
      </c>
      <c r="C1203" s="12" t="inlineStr">
        <is>
          <t>['methylation guide snoRNA primary transcript']</t>
        </is>
      </c>
      <c r="D1203" s="12" t="n"/>
      <c r="E1203" s="12" t="n"/>
    </row>
    <row r="1204" ht="15" customHeight="1">
      <c r="A1204" s="12" t="inlineStr">
        <is>
          <t>methylwyosine</t>
        </is>
      </c>
      <c r="B1204" s="12" t="inlineStr">
        <is>
          <t>http://identifiers.org/so/SO:0001337</t>
        </is>
      </c>
      <c r="C1204" s="12" t="n"/>
      <c r="D1204" s="12" t="n"/>
      <c r="E1204" s="12" t="n"/>
    </row>
    <row r="1205" ht="15" customHeight="1">
      <c r="A1205" s="12" t="inlineStr">
        <is>
          <t>MicF_RNA</t>
        </is>
      </c>
      <c r="B1205" s="12" t="inlineStr">
        <is>
          <t>http://identifiers.org/so/SO:0000383</t>
        </is>
      </c>
      <c r="C1205" s="12" t="inlineStr">
        <is>
          <t>['mimG']</t>
        </is>
      </c>
      <c r="D1205" s="12" t="n"/>
      <c r="E1205" s="12" t="n"/>
    </row>
    <row r="1206" ht="15" customHeight="1">
      <c r="A1206" s="12" t="inlineStr">
        <is>
          <t>microarray_oligo</t>
        </is>
      </c>
      <c r="B1206" s="12" t="inlineStr">
        <is>
          <t>http://identifiers.org/so/SO:0000328</t>
        </is>
      </c>
      <c r="C1206" s="12" t="inlineStr">
        <is>
          <t>['MicF RNA']</t>
        </is>
      </c>
      <c r="D1206" s="12" t="n"/>
      <c r="E1206" s="12" t="n"/>
    </row>
    <row r="1207" ht="15" customHeight="1">
      <c r="A1207" s="12" t="inlineStr">
        <is>
          <t>micronuclear_chromosome</t>
        </is>
      </c>
      <c r="B1207" s="12" t="inlineStr">
        <is>
          <t>http://identifiers.org/so/SO:0000825</t>
        </is>
      </c>
      <c r="C1207" s="12" t="inlineStr">
        <is>
          <t>['microarray oligo', 'microarray oligonucleotide']</t>
        </is>
      </c>
      <c r="D1207" s="12" t="n"/>
      <c r="E1207" s="12" t="n"/>
    </row>
    <row r="1208" ht="15" customHeight="1">
      <c r="A1208" s="12" t="inlineStr">
        <is>
          <t>micronuclear_sequence</t>
        </is>
      </c>
      <c r="B1208" s="12" t="inlineStr">
        <is>
          <t>http://identifiers.org/so/SO:0000084</t>
        </is>
      </c>
      <c r="C1208" s="12" t="inlineStr">
        <is>
          <t>['micronuclear chromosome']</t>
        </is>
      </c>
      <c r="D1208" s="12" t="n"/>
      <c r="E1208" s="12" t="n"/>
    </row>
    <row r="1209" ht="15" customHeight="1">
      <c r="A1209" s="12" t="inlineStr">
        <is>
          <t>microsatellite</t>
        </is>
      </c>
      <c r="B1209" s="12" t="inlineStr">
        <is>
          <t>http://identifiers.org/so/SO:0000289</t>
        </is>
      </c>
      <c r="C1209" s="12" t="inlineStr">
        <is>
          <t>['micronuclear sequence']</t>
        </is>
      </c>
      <c r="D1209" s="12" t="n"/>
      <c r="E1209" s="12" t="n"/>
    </row>
    <row r="1210" ht="15" customHeight="1">
      <c r="A1210" s="12" t="inlineStr">
        <is>
          <t>mini_exon_donor_RNA</t>
        </is>
      </c>
      <c r="B1210" s="12" t="inlineStr">
        <is>
          <t>http://identifiers.org/so/SO:0000635</t>
        </is>
      </c>
      <c r="C1210" s="12" t="inlineStr">
        <is>
          <t>['microsatellite locus', 'short tandem repeat', 'INSDC_feature:repeat_region', 'microsatellite marker', 'STR', 'INSDC_qualifier:microsatellite']</t>
        </is>
      </c>
      <c r="D1210" s="12" t="n"/>
      <c r="E1210" s="12" t="n"/>
    </row>
    <row r="1211" ht="15" customHeight="1">
      <c r="A1211" s="12" t="inlineStr">
        <is>
          <t>mini_gene</t>
        </is>
      </c>
      <c r="B1211" s="12" t="inlineStr">
        <is>
          <t>http://identifiers.org/so/SO:0000815</t>
        </is>
      </c>
      <c r="C1211" s="12" t="inlineStr">
        <is>
          <t>['mini-exon donor RNA', 'mini exon donor RNA']</t>
        </is>
      </c>
      <c r="D1211" s="12" t="n"/>
      <c r="E1211" s="12" t="n"/>
    </row>
    <row r="1212" ht="15" customHeight="1">
      <c r="A1212" s="12" t="inlineStr">
        <is>
          <t>minicircle</t>
        </is>
      </c>
      <c r="B1212" s="12" t="inlineStr">
        <is>
          <t>http://identifiers.org/so/SO:0000980</t>
        </is>
      </c>
      <c r="C1212" s="12" t="inlineStr">
        <is>
          <t>['mini gene']</t>
        </is>
      </c>
      <c r="D1212" s="12" t="n"/>
      <c r="E1212" s="12" t="n"/>
    </row>
    <row r="1213" ht="15" customHeight="1">
      <c r="A1213" s="12" t="inlineStr">
        <is>
          <t>minicircle_gene</t>
        </is>
      </c>
      <c r="B1213" s="12" t="inlineStr">
        <is>
          <t>http://identifiers.org/so/SO:0000975</t>
        </is>
      </c>
      <c r="C1213" s="12" t="inlineStr">
        <is>
          <t>['minicircle_chromosome']</t>
        </is>
      </c>
      <c r="D1213" s="12" t="n"/>
      <c r="E1213" s="12" t="n"/>
    </row>
    <row r="1214" ht="15" customHeight="1">
      <c r="A1214" s="12" t="inlineStr">
        <is>
          <t>minisatellite</t>
        </is>
      </c>
      <c r="B1214" s="12" t="inlineStr">
        <is>
          <t>http://identifiers.org/so/SO:0000643</t>
        </is>
      </c>
      <c r="C1214" s="12" t="inlineStr">
        <is>
          <t>['minicircle gene']</t>
        </is>
      </c>
      <c r="D1214" s="12" t="n"/>
      <c r="E1214" s="12" t="n"/>
    </row>
    <row r="1215" ht="15" customHeight="1">
      <c r="A1215" s="12" t="inlineStr">
        <is>
          <t>minor_TSS</t>
        </is>
      </c>
      <c r="B1215" s="12" t="inlineStr">
        <is>
          <t>http://identifiers.org/so/SO:0001239</t>
        </is>
      </c>
      <c r="C1215" s="12" t="inlineStr">
        <is>
          <t>['INSDC_feature:repeat_region', 'VNTR', 'INSDC_qualifier:minisatellite']</t>
        </is>
      </c>
      <c r="D1215" s="12" t="n"/>
      <c r="E1215" s="12" t="n"/>
    </row>
    <row r="1216" ht="15" customHeight="1">
      <c r="A1216" s="12" t="inlineStr">
        <is>
          <t>minus_1_frameshift</t>
        </is>
      </c>
      <c r="B1216" s="12" t="inlineStr">
        <is>
          <t>http://identifiers.org/so/SO:0000866</t>
        </is>
      </c>
      <c r="C1216" s="12" t="inlineStr">
        <is>
          <t>['minor TSS']</t>
        </is>
      </c>
      <c r="D1216" s="12" t="n"/>
      <c r="E1216" s="12" t="n"/>
    </row>
    <row r="1217" ht="15" customHeight="1">
      <c r="A1217" s="12" t="inlineStr">
        <is>
          <t>minus_1_frameshift_variant</t>
        </is>
      </c>
      <c r="B1217" s="12" t="inlineStr">
        <is>
          <t>http://identifiers.org/so/SO:0001592</t>
        </is>
      </c>
      <c r="C1217" s="12" t="inlineStr">
        <is>
          <t>['minus 1 frameshift']</t>
        </is>
      </c>
      <c r="D1217" s="12" t="n"/>
      <c r="E1217" s="12" t="n"/>
    </row>
    <row r="1218" ht="15" customHeight="1">
      <c r="A1218" s="12" t="inlineStr">
        <is>
          <t>minus_1_translationally_frameshifted</t>
        </is>
      </c>
      <c r="B1218" s="12" t="inlineStr">
        <is>
          <t>http://identifiers.org/so/SO:1001262</t>
        </is>
      </c>
      <c r="C1218" s="12" t="inlineStr">
        <is>
          <t>['-1 frameshift variant', 'minus 1 frameshift variant']</t>
        </is>
      </c>
      <c r="D1218" s="12" t="n"/>
      <c r="E1218" s="12" t="n"/>
    </row>
    <row r="1219" ht="15" customHeight="1">
      <c r="A1219" s="12" t="inlineStr">
        <is>
          <t>minus_10_signal</t>
        </is>
      </c>
      <c r="B1219" s="12" t="inlineStr">
        <is>
          <t>http://identifiers.org/so/SO:0000175</t>
        </is>
      </c>
      <c r="C1219" s="12" t="inlineStr">
        <is>
          <t>['minus 1 translationally frameshifted']</t>
        </is>
      </c>
      <c r="D1219" s="12" t="n"/>
      <c r="E1219" s="12" t="n"/>
    </row>
    <row r="1220" ht="15" customHeight="1">
      <c r="A1220" s="12" t="inlineStr">
        <is>
          <t>minus_12_signal</t>
        </is>
      </c>
      <c r="B1220" s="12" t="inlineStr">
        <is>
          <t>http://identifiers.org/so/SO:0001673</t>
        </is>
      </c>
      <c r="C1220" s="12" t="inlineStr">
        <is>
          <t>['Pribnow-Schaller box', 'minus 10 signal', 'Pribnow Schaller box', '-10 signal', 'INSDC_feature:regulatory', 'INSDC_qualifier:minus_10_signal', 'Pribnow box']</t>
        </is>
      </c>
      <c r="D1220" s="12" t="n"/>
      <c r="E1220" s="12" t="n"/>
    </row>
    <row r="1221" ht="15" customHeight="1">
      <c r="A1221" s="12" t="inlineStr">
        <is>
          <t>minus_2_frameshift</t>
        </is>
      </c>
      <c r="B1221" s="12" t="inlineStr">
        <is>
          <t>http://identifiers.org/so/SO:0000867</t>
        </is>
      </c>
      <c r="C1221" s="12" t="inlineStr">
        <is>
          <t>['minus 12 signal']</t>
        </is>
      </c>
      <c r="D1221" s="12" t="n"/>
      <c r="E1221" s="12" t="n"/>
    </row>
    <row r="1222" ht="15" customHeight="1">
      <c r="A1222" s="12" t="inlineStr">
        <is>
          <t>minus_2_frameshift_variant</t>
        </is>
      </c>
      <c r="B1222" s="12" t="inlineStr">
        <is>
          <t>http://identifiers.org/so/SO:0001593</t>
        </is>
      </c>
      <c r="C1222" s="12" t="inlineStr">
        <is>
          <t>['minus 2 frameshift']</t>
        </is>
      </c>
      <c r="D1222" s="12" t="n"/>
      <c r="E1222" s="12" t="n"/>
    </row>
    <row r="1223" ht="15" customHeight="1">
      <c r="A1223" s="12" t="inlineStr">
        <is>
          <t>minus_24_signal</t>
        </is>
      </c>
      <c r="B1223" s="12" t="inlineStr">
        <is>
          <t>http://identifiers.org/so/SO:0001674</t>
        </is>
      </c>
      <c r="C1223" s="12" t="inlineStr">
        <is>
          <t>['-2 frameshift variant', 'minus 2 frameshift variant']</t>
        </is>
      </c>
      <c r="D1223" s="12" t="n"/>
      <c r="E1223" s="12" t="n"/>
    </row>
    <row r="1224" ht="15" customHeight="1">
      <c r="A1224" s="12" t="inlineStr">
        <is>
          <t>minus_35_signal</t>
        </is>
      </c>
      <c r="B1224" s="12" t="inlineStr">
        <is>
          <t>http://identifiers.org/so/SO:0000176</t>
        </is>
      </c>
      <c r="C1224" s="12" t="inlineStr">
        <is>
          <t>['minus 24 signal']</t>
        </is>
      </c>
      <c r="D1224" s="12" t="n"/>
      <c r="E1224" s="12" t="n"/>
    </row>
    <row r="1225" ht="15" customHeight="1">
      <c r="A1225" s="12" t="inlineStr">
        <is>
          <t>miR_encoding_lncRNA_primary_transcript</t>
        </is>
      </c>
      <c r="B1225" s="12" t="inlineStr">
        <is>
          <t>http://identifiers.org/so/SO:0002036</t>
        </is>
      </c>
      <c r="C1225" s="12" t="inlineStr">
        <is>
          <t>['-35 signal', 'minus 35 signal', 'INSDC_feature:regulatory', 'INSDC_qualifier:minus_35_signal']</t>
        </is>
      </c>
      <c r="D1225" s="12" t="n"/>
      <c r="E1225" s="12" t="n"/>
    </row>
    <row r="1226" ht="15" customHeight="1">
      <c r="A1226" s="12" t="inlineStr">
        <is>
          <t>miR_encoding_shRNA_primary_transcript</t>
        </is>
      </c>
      <c r="B1226" s="12" t="inlineStr">
        <is>
          <t>http://identifiers.org/so/SO:0002039</t>
        </is>
      </c>
      <c r="C1226" s="12" t="inlineStr">
        <is>
          <t>['miR encoding lncRNA primary transcript']</t>
        </is>
      </c>
      <c r="D1226" s="12" t="n"/>
      <c r="E1226" s="12" t="n"/>
    </row>
    <row r="1227" ht="15" customHeight="1">
      <c r="A1227" s="12" t="inlineStr">
        <is>
          <t>miR_encoding_snoRNA_primary_transcript</t>
        </is>
      </c>
      <c r="B1227" s="12" t="inlineStr">
        <is>
          <t>http://identifiers.org/so/SO:0002034</t>
        </is>
      </c>
      <c r="C1227" s="12" t="inlineStr">
        <is>
          <t>['miR encoding shRNA primary transcript']</t>
        </is>
      </c>
      <c r="D1227" s="12" t="n"/>
      <c r="E1227" s="12" t="n"/>
    </row>
    <row r="1228" ht="15" customHeight="1">
      <c r="A1228" s="12" t="inlineStr">
        <is>
          <t>miR_encoding_tRNA_primary_transcript</t>
        </is>
      </c>
      <c r="B1228" s="12" t="inlineStr">
        <is>
          <t>http://identifiers.org/so/SO:0002037</t>
        </is>
      </c>
      <c r="C1228" s="12" t="inlineStr">
        <is>
          <t>['miR encoding snoRNA primary transcript']</t>
        </is>
      </c>
      <c r="D1228" s="12" t="n"/>
      <c r="E1228" s="12" t="n"/>
    </row>
    <row r="1229" ht="15" customHeight="1">
      <c r="A1229" s="12" t="inlineStr">
        <is>
          <t>miR_encoding_vaultRNA_primary_transcript</t>
        </is>
      </c>
      <c r="B1229" s="12" t="inlineStr">
        <is>
          <t>http://identifiers.org/so/SO:0002041</t>
        </is>
      </c>
      <c r="C1229" s="12" t="inlineStr">
        <is>
          <t>['miR encoding tRNA primary transcript']</t>
        </is>
      </c>
      <c r="D1229" s="12" t="n"/>
      <c r="E1229" s="12" t="n"/>
    </row>
    <row r="1230" ht="15" customHeight="1">
      <c r="A1230" s="12" t="inlineStr">
        <is>
          <t>miR_encoding_Y_RNA_primary_transcript</t>
        </is>
      </c>
      <c r="B1230" s="12" t="inlineStr">
        <is>
          <t>http://identifiers.org/so/SO:0002043</t>
        </is>
      </c>
      <c r="C1230" s="12" t="inlineStr">
        <is>
          <t>['miR encoding vaultRNA primary transcript']</t>
        </is>
      </c>
      <c r="D1230" s="12" t="n"/>
      <c r="E1230" s="12" t="n"/>
    </row>
    <row r="1231" ht="15" customHeight="1">
      <c r="A1231" s="12" t="inlineStr">
        <is>
          <t>miRNA</t>
        </is>
      </c>
      <c r="B1231" s="12" t="inlineStr">
        <is>
          <t>http://identifiers.org/so/SO:0000276</t>
        </is>
      </c>
      <c r="C1231" s="12" t="inlineStr">
        <is>
          <t>['miR encoding Y-RNA primary transcript']</t>
        </is>
      </c>
      <c r="D1231" s="12" t="n"/>
      <c r="E1231" s="12" t="n"/>
    </row>
    <row r="1232" ht="15" customHeight="1">
      <c r="A1232" s="12" t="inlineStr">
        <is>
          <t>miRNA_antiguide</t>
        </is>
      </c>
      <c r="B1232" s="12" t="inlineStr">
        <is>
          <t>http://identifiers.org/so/SO:0001473</t>
        </is>
      </c>
      <c r="C1232" s="12" t="inlineStr">
        <is>
          <t>['stRNA', 'INSDC_feature:ncRNA', 'small temporal RNA', 'micro RNA', 'microRNA', 'INSDC_qualifier:miRNA']</t>
        </is>
      </c>
      <c r="D1232" s="12" t="n"/>
      <c r="E1232" s="12" t="n"/>
    </row>
    <row r="1233" ht="15" customHeight="1">
      <c r="A1233" s="12" t="inlineStr">
        <is>
          <t>miRNA_encoding</t>
        </is>
      </c>
      <c r="B1233" s="12" t="inlineStr">
        <is>
          <t>http://identifiers.org/so/SO:0000571</t>
        </is>
      </c>
      <c r="C1233" s="12" t="inlineStr">
        <is>
          <t>['miRNA antiguide ', 'miRNA star', 'miRNA passenger strand']</t>
        </is>
      </c>
      <c r="D1233" s="12" t="n"/>
      <c r="E1233" s="12" t="n"/>
    </row>
    <row r="1234" ht="15" customHeight="1">
      <c r="A1234" s="12" t="inlineStr">
        <is>
          <t>miRNA_gene</t>
        </is>
      </c>
      <c r="B1234" s="12" t="inlineStr">
        <is>
          <t>http://identifiers.org/so/SO:0001265</t>
        </is>
      </c>
      <c r="C1234" s="12" t="inlineStr">
        <is>
          <t>['miRNA encoding']</t>
        </is>
      </c>
      <c r="D1234" s="12" t="n"/>
      <c r="E1234" s="12" t="n"/>
    </row>
    <row r="1235" ht="15" customHeight="1">
      <c r="A1235" s="12" t="inlineStr">
        <is>
          <t>miRNA_loop</t>
        </is>
      </c>
      <c r="B1235" s="12" t="inlineStr">
        <is>
          <t>http://identifiers.org/so/SO:0001246</t>
        </is>
      </c>
      <c r="C1235" s="12" t="inlineStr">
        <is>
          <t>['miRNA gene', 'stRNA gene', 'stRNA_gene']</t>
        </is>
      </c>
      <c r="D1235" s="12" t="n"/>
      <c r="E1235" s="12" t="n"/>
    </row>
    <row r="1236" ht="15" customHeight="1">
      <c r="A1236" s="12" t="inlineStr">
        <is>
          <t>miRNA_primary_transcript</t>
        </is>
      </c>
      <c r="B1236" s="12" t="inlineStr">
        <is>
          <t>http://identifiers.org/so/SO:0000647</t>
        </is>
      </c>
      <c r="C1236" s="12" t="inlineStr">
        <is>
          <t>['miRNA loop']</t>
        </is>
      </c>
      <c r="D1236" s="12" t="n"/>
      <c r="E1236" s="12" t="n"/>
    </row>
    <row r="1237" ht="15" customHeight="1">
      <c r="A1237" s="12" t="inlineStr">
        <is>
          <t>miRNA_primary_transcript_region</t>
        </is>
      </c>
      <c r="B1237" s="12" t="inlineStr">
        <is>
          <t>http://identifiers.org/so/SO:0001243</t>
        </is>
      </c>
      <c r="C1237" s="12" t="inlineStr">
        <is>
          <t>['micro RNA primary transcript', 'stRNA_primary_transcript', 'stRNA primary transcript', 'small temporal RNA primary transcript', 'miRNA primary transcript']</t>
        </is>
      </c>
      <c r="D1237" s="12" t="n"/>
      <c r="E1237" s="12" t="n"/>
    </row>
    <row r="1238" ht="15" customHeight="1">
      <c r="A1238" s="12" t="inlineStr">
        <is>
          <t>miRNA_stem</t>
        </is>
      </c>
      <c r="B1238" s="12" t="inlineStr">
        <is>
          <t>http://identifiers.org/so/SO:0001245</t>
        </is>
      </c>
      <c r="C1238" s="12" t="inlineStr">
        <is>
          <t>['miRNA primary transcript region']</t>
        </is>
      </c>
      <c r="D1238" s="12" t="n"/>
      <c r="E1238" s="12" t="n"/>
    </row>
    <row r="1239" ht="15" customHeight="1">
      <c r="A1239" s="12" t="inlineStr">
        <is>
          <t>miRNA_target_site</t>
        </is>
      </c>
      <c r="B1239" s="12" t="inlineStr">
        <is>
          <t>http://identifiers.org/so/SO:0000934</t>
        </is>
      </c>
      <c r="C1239" s="12" t="inlineStr">
        <is>
          <t>['miRNA stem']</t>
        </is>
      </c>
      <c r="D1239" s="12" t="n"/>
      <c r="E1239" s="12" t="n"/>
    </row>
    <row r="1240" ht="15" customHeight="1">
      <c r="A1240" s="12" t="inlineStr">
        <is>
          <t>miRtron</t>
        </is>
      </c>
      <c r="B1240" s="12" t="inlineStr">
        <is>
          <t>http://identifiers.org/so/SO:0001034</t>
        </is>
      </c>
      <c r="C1240" s="12" t="inlineStr">
        <is>
          <t>['miRNA target site']</t>
        </is>
      </c>
      <c r="D1240" s="12" t="n"/>
      <c r="E1240" s="12" t="n"/>
    </row>
    <row r="1241" ht="15" customHeight="1">
      <c r="A1241" s="12" t="inlineStr">
        <is>
          <t>missense_variant</t>
        </is>
      </c>
      <c r="B1241" s="12" t="inlineStr">
        <is>
          <t>http://identifiers.org/so/SO:0001583</t>
        </is>
      </c>
      <c r="C1241" s="12" t="n"/>
      <c r="D1241" s="12" t="n"/>
      <c r="E1241" s="12" t="n"/>
    </row>
    <row r="1242" ht="15" customHeight="1">
      <c r="A1242" s="12" t="inlineStr">
        <is>
          <t>MITE</t>
        </is>
      </c>
      <c r="B1242" s="12" t="inlineStr">
        <is>
          <t>http://identifiers.org/so/SO:0000338</t>
        </is>
      </c>
      <c r="C1242" s="12" t="inlineStr">
        <is>
      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      </is>
      </c>
      <c r="D1242" s="12" t="n"/>
      <c r="E1242" s="12" t="n"/>
    </row>
    <row r="1243" ht="15" customHeight="1">
      <c r="A1243" s="12" t="inlineStr">
        <is>
          <t>mitochondrial_chromosome</t>
        </is>
      </c>
      <c r="B1243" s="12" t="inlineStr">
        <is>
          <t>http://identifiers.org/so/SO:0000819</t>
        </is>
      </c>
      <c r="C1243" s="12" t="inlineStr">
        <is>
          <t>['miniature inverted repeat transposable element']</t>
        </is>
      </c>
      <c r="D1243" s="12" t="n"/>
      <c r="E1243" s="12" t="n"/>
    </row>
    <row r="1244" ht="15" customHeight="1">
      <c r="A1244" s="12" t="inlineStr">
        <is>
          <t>mitochondrial_contig</t>
        </is>
      </c>
      <c r="B1244" s="12" t="inlineStr">
        <is>
          <t>http://identifiers.org/so/SO:0001921</t>
        </is>
      </c>
      <c r="C1244" s="12" t="inlineStr">
        <is>
          <t>['mitochondrial chromosome']</t>
        </is>
      </c>
      <c r="D1244" s="12" t="n"/>
      <c r="E1244" s="12" t="n"/>
    </row>
    <row r="1245" ht="15" customHeight="1">
      <c r="A1245" s="12" t="inlineStr">
        <is>
          <t>mitochondrial_control_region</t>
        </is>
      </c>
      <c r="B1245" s="12" t="inlineStr">
        <is>
          <t>http://identifiers.org/so/SO:0002293</t>
        </is>
      </c>
      <c r="C1245" s="12" t="inlineStr">
        <is>
          <t>['mitochondrial contig']</t>
        </is>
      </c>
      <c r="D1245" s="12" t="n"/>
      <c r="E1245" s="12" t="n"/>
    </row>
    <row r="1246" ht="15" customHeight="1">
      <c r="A1246" s="12" t="inlineStr">
        <is>
          <t>mitochondrial_D_loop</t>
        </is>
      </c>
      <c r="B1246" s="12" t="inlineStr">
        <is>
          <t>http://identifiers.org/so/SO:0002294</t>
        </is>
      </c>
      <c r="C1246" s="12" t="inlineStr">
        <is>
          <t>['MtDNA_control_region', 'Mitochondrial noncoding region', 'Mitochondrial A+T region', 'MtDNA control region', 'Mitochondrial DNA control region', 'Mitochondrial NCR']</t>
        </is>
      </c>
      <c r="D1246" s="12" t="n"/>
      <c r="E1246" s="12" t="n"/>
    </row>
    <row r="1247" ht="15" customHeight="1">
      <c r="A1247" s="12" t="inlineStr">
        <is>
          <t>mitochondrial_DNA</t>
        </is>
      </c>
      <c r="B1247" s="12" t="inlineStr">
        <is>
          <t>http://identifiers.org/so/SO:0001032</t>
        </is>
      </c>
      <c r="C1247" s="12" t="inlineStr">
        <is>
          <t>['Mitochondrial D loop', 'Mitochondrial displacement loop']</t>
        </is>
      </c>
      <c r="D1247" s="12" t="n"/>
      <c r="E1247" s="12" t="n"/>
    </row>
    <row r="1248" ht="15" customHeight="1">
      <c r="A1248" s="12" t="inlineStr">
        <is>
          <t>mitochondrial_DNA_read</t>
        </is>
      </c>
      <c r="B1248" s="12" t="inlineStr">
        <is>
          <t>http://identifiers.org/so/SO:0001929</t>
        </is>
      </c>
      <c r="C1248" s="12" t="inlineStr">
        <is>
          <t>['mtDNA', 'mitochondrial DNA']</t>
        </is>
      </c>
      <c r="D1248" s="12" t="n"/>
      <c r="E1248" s="12" t="n"/>
    </row>
    <row r="1249" ht="15" customHeight="1">
      <c r="A1249" s="12" t="inlineStr">
        <is>
          <t>mitochondrial_sequence</t>
        </is>
      </c>
      <c r="B1249" s="12" t="inlineStr">
        <is>
          <t>http://identifiers.org/so/SO:0000737</t>
        </is>
      </c>
      <c r="C1249" s="12" t="inlineStr">
        <is>
          <t>['mitochondrial DNA read']</t>
        </is>
      </c>
      <c r="D1249" s="12" t="n"/>
      <c r="E1249" s="12" t="n"/>
    </row>
    <row r="1250" ht="15" customHeight="1">
      <c r="A1250" s="12" t="inlineStr">
        <is>
          <t>mitochondrial_supercontig</t>
        </is>
      </c>
      <c r="B1250" s="12" t="inlineStr">
        <is>
          <t>http://identifiers.org/so/SO:0001922</t>
        </is>
      </c>
      <c r="C1250" s="12" t="inlineStr">
        <is>
          <t>['mitochondrial sequence']</t>
        </is>
      </c>
      <c r="D1250" s="12" t="n"/>
      <c r="E1250" s="12" t="n"/>
    </row>
    <row r="1251" ht="15" customHeight="1">
      <c r="A1251" s="12" t="inlineStr">
        <is>
          <t>mitochondrial_targeting_signal</t>
        </is>
      </c>
      <c r="B1251" s="12" t="inlineStr">
        <is>
          <t>http://identifiers.org/so/SO:0001808</t>
        </is>
      </c>
      <c r="C1251" s="12" t="inlineStr">
        <is>
          <t>['mitochondrial supercontig', 'mitochondrial scaffold', 'mitochondrial_scaffold']</t>
        </is>
      </c>
      <c r="D1251" s="12" t="n"/>
      <c r="E1251" s="12" t="n"/>
    </row>
    <row r="1252" ht="15" customHeight="1">
      <c r="A1252" s="12" t="inlineStr">
        <is>
          <t>mitotic_recombination_region</t>
        </is>
      </c>
      <c r="B1252" s="12" t="inlineStr">
        <is>
          <t>http://identifiers.org/so/SO:0002154</t>
        </is>
      </c>
      <c r="C1252" s="12" t="inlineStr">
        <is>
          <t>['MTS', 'mitochondrial targeting signal', 'mitochondrial signal sequence']</t>
        </is>
      </c>
      <c r="D1252" s="12" t="n"/>
      <c r="E1252" s="12" t="n"/>
    </row>
    <row r="1253" ht="15" customHeight="1">
      <c r="A1253" s="12" t="inlineStr">
        <is>
          <t>MNP</t>
        </is>
      </c>
      <c r="B1253" s="12" t="inlineStr">
        <is>
          <t>http://identifiers.org/so/SO:0001013</t>
        </is>
      </c>
      <c r="C1253" s="12" t="inlineStr">
        <is>
          <t>['INSDC_feature:misc_recomb', 'INSDC_qualifier:mitotic_recombination', 'INSDC_qualifier:mitotic', 'mitotic recombination region']</t>
        </is>
      </c>
      <c r="D1253" s="12" t="n"/>
      <c r="E1253" s="12" t="n"/>
    </row>
    <row r="1254" ht="15" customHeight="1">
      <c r="A1254" s="12" t="inlineStr">
        <is>
          <t>MNV</t>
        </is>
      </c>
      <c r="B1254" s="12" t="inlineStr">
        <is>
          <t>http://identifiers.org/so/SO:0002007</t>
        </is>
      </c>
      <c r="C1254" s="12" t="inlineStr">
        <is>
          <t>['multiple nucleotide polymorphism']</t>
        </is>
      </c>
      <c r="D1254" s="12" t="n"/>
      <c r="E1254" s="12" t="n"/>
    </row>
    <row r="1255" ht="15" customHeight="1">
      <c r="A1255" s="12" t="inlineStr">
        <is>
          <t>MNV_artifact</t>
        </is>
      </c>
      <c r="B1255" s="12" t="inlineStr">
        <is>
          <t>http://identifiers.org/so/SO:0002179</t>
        </is>
      </c>
      <c r="C1255" s="12" t="inlineStr">
        <is>
          <t>['multiple nucleotide variant', 'multiple nucleotide substitution']</t>
        </is>
      </c>
      <c r="D1255" s="12" t="n"/>
      <c r="E1255" s="12" t="n"/>
    </row>
    <row r="1256" ht="15" customHeight="1">
      <c r="A1256" s="12" t="inlineStr">
        <is>
          <t>mobile</t>
        </is>
      </c>
      <c r="B1256" s="12" t="inlineStr">
        <is>
          <t>http://identifiers.org/so/SO:0001234</t>
        </is>
      </c>
      <c r="C1256" s="12" t="inlineStr">
        <is>
          <t>['MNV artifact']</t>
        </is>
      </c>
      <c r="D1256" s="12" t="n"/>
      <c r="E1256" s="12" t="n"/>
    </row>
    <row r="1257" ht="15" customHeight="1">
      <c r="A1257" s="12" t="inlineStr">
        <is>
          <t>mobile_element_deletion</t>
        </is>
      </c>
      <c r="B1257" s="12" t="inlineStr">
        <is>
          <t>http://identifiers.org/so/SO:0002066</t>
        </is>
      </c>
      <c r="C1257" s="12" t="n"/>
      <c r="D1257" s="12" t="n"/>
      <c r="E1257" s="12" t="n"/>
    </row>
    <row r="1258" ht="15" customHeight="1">
      <c r="A1258" s="12" t="inlineStr">
        <is>
          <t>mobile_element_insertion</t>
        </is>
      </c>
      <c r="B1258" s="12" t="inlineStr">
        <is>
          <t>http://identifiers.org/so/SO:0001837</t>
        </is>
      </c>
      <c r="C1258" s="12" t="inlineStr">
        <is>
          <t>['mobile element deletion']</t>
        </is>
      </c>
      <c r="D1258" s="12" t="n"/>
      <c r="E1258" s="12" t="n"/>
    </row>
    <row r="1259" ht="15" customHeight="1">
      <c r="A1259" s="12" t="inlineStr">
        <is>
          <t>mobile_genetic_element</t>
        </is>
      </c>
      <c r="B1259" s="12" t="inlineStr">
        <is>
          <t>http://identifiers.org/so/SO:0001037</t>
        </is>
      </c>
      <c r="C1259" s="12" t="inlineStr">
        <is>
          <t>['mobile element insertion']</t>
        </is>
      </c>
      <c r="D1259" s="12" t="n"/>
      <c r="E1259" s="12" t="n"/>
    </row>
    <row r="1260" ht="15" customHeight="1">
      <c r="A1260" s="12" t="inlineStr">
        <is>
          <t>mobile_intron</t>
        </is>
      </c>
      <c r="B1260" s="12" t="inlineStr">
        <is>
          <t>http://identifiers.org/so/SO:0000666</t>
        </is>
      </c>
      <c r="C1260" s="12" t="inlineStr">
        <is>
          <t>['mobile genetic element', 'INSDC_feature:mobile_element', 'MGE']</t>
        </is>
      </c>
      <c r="D1260" s="12" t="n"/>
      <c r="E1260" s="12" t="n"/>
    </row>
    <row r="1261" ht="15" customHeight="1">
      <c r="A1261" s="12" t="inlineStr">
        <is>
          <t>modified_adenine</t>
        </is>
      </c>
      <c r="B1261" s="12" t="inlineStr">
        <is>
          <t>http://identifiers.org/so/SO:0001962</t>
        </is>
      </c>
      <c r="C1261" s="12" t="inlineStr">
        <is>
          <t>['mobile intron']</t>
        </is>
      </c>
      <c r="D1261" s="12" t="n"/>
      <c r="E1261" s="12" t="n"/>
    </row>
    <row r="1262" ht="15" customHeight="1">
      <c r="A1262" s="12" t="inlineStr">
        <is>
          <t>modified_adenosine</t>
        </is>
      </c>
      <c r="B1262" s="12" t="inlineStr">
        <is>
          <t>http://identifiers.org/so/SO:0001273</t>
        </is>
      </c>
      <c r="C1262" s="12" t="n"/>
      <c r="D1262" s="12" t="n"/>
      <c r="E1262" s="12" t="n"/>
    </row>
    <row r="1263" ht="15" customHeight="1">
      <c r="A1263" s="12" t="inlineStr">
        <is>
          <t>modified_amino_acid_feature</t>
        </is>
      </c>
      <c r="B1263" s="12" t="inlineStr">
        <is>
          <t>http://identifiers.org/so/SO:0001385</t>
        </is>
      </c>
      <c r="C1263" s="12" t="inlineStr">
        <is>
          <t>['modified adenosine']</t>
        </is>
      </c>
      <c r="D1263" s="12" t="n"/>
      <c r="E1263" s="12" t="n"/>
    </row>
    <row r="1264" ht="15" customHeight="1">
      <c r="A1264" s="12" t="inlineStr">
        <is>
          <t>modified_cytidine</t>
        </is>
      </c>
      <c r="B1264" s="12" t="inlineStr">
        <is>
          <t>http://identifiers.org/so/SO:0001275</t>
        </is>
      </c>
      <c r="C1264" s="12" t="inlineStr">
        <is>
          <t>['modified amino acid feature']</t>
        </is>
      </c>
      <c r="D1264" s="12" t="n"/>
      <c r="E1264" s="12" t="n"/>
    </row>
    <row r="1265" ht="15" customHeight="1">
      <c r="A1265" s="12" t="inlineStr">
        <is>
          <t>modified_cytosine</t>
        </is>
      </c>
      <c r="B1265" s="12" t="inlineStr">
        <is>
          <t>http://identifiers.org/so/SO:0001963</t>
        </is>
      </c>
      <c r="C1265" s="12" t="inlineStr">
        <is>
          <t>['modified cytidine']</t>
        </is>
      </c>
      <c r="D1265" s="12" t="n"/>
      <c r="E1265" s="12" t="n"/>
    </row>
    <row r="1266" ht="15" customHeight="1">
      <c r="A1266" s="12" t="inlineStr">
        <is>
          <t>modified_DNA_base</t>
        </is>
      </c>
      <c r="B1266" s="12" t="inlineStr">
        <is>
          <t>http://identifiers.org/so/SO:0000305</t>
        </is>
      </c>
      <c r="C1266" s="12" t="n"/>
      <c r="D1266" s="12" t="n"/>
      <c r="E1266" s="12" t="n"/>
    </row>
    <row r="1267" ht="15" customHeight="1">
      <c r="A1267" s="12" t="inlineStr">
        <is>
          <t>modified_glycine</t>
        </is>
      </c>
      <c r="B1267" s="12" t="inlineStr">
        <is>
          <t>http://identifiers.org/so/SO:0001386</t>
        </is>
      </c>
      <c r="C1267" s="12" t="inlineStr">
        <is>
          <t>['INSDC_feature:modified_base', 'modified base site']</t>
        </is>
      </c>
      <c r="D1267" s="12" t="n"/>
      <c r="E1267" s="12" t="n"/>
    </row>
    <row r="1268" ht="15" customHeight="1">
      <c r="A1268" s="12" t="inlineStr">
        <is>
          <t>modified_guanine</t>
        </is>
      </c>
      <c r="B1268" s="12" t="inlineStr">
        <is>
          <t>http://identifiers.org/so/SO:0001964</t>
        </is>
      </c>
      <c r="C1268" s="12" t="inlineStr">
        <is>
          <t>['modified glycine', 'ModGly']</t>
        </is>
      </c>
      <c r="D1268" s="12" t="n"/>
      <c r="E1268" s="12" t="n"/>
    </row>
    <row r="1269" ht="15" customHeight="1">
      <c r="A1269" s="12" t="inlineStr">
        <is>
          <t>modified_guanosine</t>
        </is>
      </c>
      <c r="B1269" s="12" t="inlineStr">
        <is>
          <t>http://identifiers.org/so/SO:0001276</t>
        </is>
      </c>
      <c r="C1269" s="12" t="n"/>
      <c r="D1269" s="12" t="n"/>
      <c r="E1269" s="12" t="n"/>
    </row>
    <row r="1270" ht="15" customHeight="1">
      <c r="A1270" s="12" t="inlineStr">
        <is>
          <t>modified_inosine</t>
        </is>
      </c>
      <c r="B1270" s="12" t="inlineStr">
        <is>
          <t>http://identifiers.org/so/SO:0001274</t>
        </is>
      </c>
      <c r="C1270" s="12" t="inlineStr">
        <is>
          <t>['modified guanosine']</t>
        </is>
      </c>
      <c r="D1270" s="12" t="n"/>
      <c r="E1270" s="12" t="n"/>
    </row>
    <row r="1271" ht="15" customHeight="1">
      <c r="A1271" s="12" t="inlineStr">
        <is>
          <t>modified_L_alanine</t>
        </is>
      </c>
      <c r="B1271" s="12" t="inlineStr">
        <is>
          <t>http://identifiers.org/so/SO:0001387</t>
        </is>
      </c>
      <c r="C1271" s="12" t="inlineStr">
        <is>
          <t>['modified inosine']</t>
        </is>
      </c>
      <c r="D1271" s="12" t="n"/>
      <c r="E1271" s="12" t="n"/>
    </row>
    <row r="1272" ht="15" customHeight="1">
      <c r="A1272" s="12" t="inlineStr">
        <is>
          <t>modified_L_arginine</t>
        </is>
      </c>
      <c r="B1272" s="12" t="inlineStr">
        <is>
          <t>http://identifiers.org/so/SO:0001406</t>
        </is>
      </c>
      <c r="C1272" s="12" t="inlineStr">
        <is>
          <t>['ModAla', 'modified L-alanine', 'modified L alanine']</t>
        </is>
      </c>
      <c r="D1272" s="12" t="n"/>
      <c r="E1272" s="12" t="n"/>
    </row>
    <row r="1273" ht="15" customHeight="1">
      <c r="A1273" s="12" t="inlineStr">
        <is>
          <t>modified_L_asparagine</t>
        </is>
      </c>
      <c r="B1273" s="12" t="inlineStr">
        <is>
          <t>http://identifiers.org/so/SO:0001388</t>
        </is>
      </c>
      <c r="C1273" s="12" t="inlineStr">
        <is>
          <t>['modified L-arginine', 'ModArg', 'modified L arginine']</t>
        </is>
      </c>
      <c r="D1273" s="12" t="n"/>
      <c r="E1273" s="12" t="n"/>
    </row>
    <row r="1274" ht="15" customHeight="1">
      <c r="A1274" s="12" t="inlineStr">
        <is>
          <t>modified_L_aspartic_acid</t>
        </is>
      </c>
      <c r="B1274" s="12" t="inlineStr">
        <is>
          <t>http://identifiers.org/so/SO:0001389</t>
        </is>
      </c>
      <c r="C1274" s="12" t="inlineStr">
        <is>
          <t>['modified L asparagine', 'modified L-asparagine', 'ModAsn']</t>
        </is>
      </c>
      <c r="D1274" s="12" t="n"/>
      <c r="E1274" s="12" t="n"/>
    </row>
    <row r="1275" ht="15" customHeight="1">
      <c r="A1275" s="12" t="inlineStr">
        <is>
          <t>modified_L_cysteine</t>
        </is>
      </c>
      <c r="B1275" s="12" t="inlineStr">
        <is>
          <t>http://identifiers.org/so/SO:0001390</t>
        </is>
      </c>
      <c r="C1275" s="12" t="inlineStr">
        <is>
          <t>['modified L aspartic acid', 'ModAsp', 'modified L-aspartic acid']</t>
        </is>
      </c>
      <c r="D1275" s="12" t="n"/>
      <c r="E1275" s="12" t="n"/>
    </row>
    <row r="1276" ht="15" customHeight="1">
      <c r="A1276" s="12" t="inlineStr">
        <is>
          <t>modified_L_glutamic_acid</t>
        </is>
      </c>
      <c r="B1276" s="12" t="inlineStr">
        <is>
          <t>http://identifiers.org/so/SO:0001391</t>
        </is>
      </c>
      <c r="C1276" s="12" t="inlineStr">
        <is>
          <t>['modified L-cysteine', 'modified L cysteine', 'ModCys']</t>
        </is>
      </c>
      <c r="D1276" s="12" t="n"/>
      <c r="E1276" s="12" t="n"/>
    </row>
    <row r="1277" ht="15" customHeight="1">
      <c r="A1277" s="12" t="inlineStr">
        <is>
          <t>modified_L_glutamine</t>
        </is>
      </c>
      <c r="B1277" s="12" t="inlineStr">
        <is>
          <t>http://identifiers.org/so/SO:0001394</t>
        </is>
      </c>
      <c r="C1277" s="12" t="inlineStr">
        <is>
          <t>['modified L glutamic acid', 'modified L-glutamic acid', 'ModGlu']</t>
        </is>
      </c>
      <c r="D1277" s="12" t="n"/>
      <c r="E1277" s="12" t="n"/>
    </row>
    <row r="1278" ht="15" customHeight="1">
      <c r="A1278" s="12" t="inlineStr">
        <is>
          <t>modified_L_histidine</t>
        </is>
      </c>
      <c r="B1278" s="12" t="inlineStr">
        <is>
          <t>http://identifiers.org/so/SO:0001398</t>
        </is>
      </c>
      <c r="C1278" s="12" t="inlineStr">
        <is>
          <t>['modified L-glutamine', 'modified L glutamine', 'ModGln']</t>
        </is>
      </c>
      <c r="D1278" s="12" t="n"/>
      <c r="E1278" s="12" t="n"/>
    </row>
    <row r="1279" ht="15" customHeight="1">
      <c r="A1279" s="12" t="inlineStr">
        <is>
          <t>modified_L_isoleucine</t>
        </is>
      </c>
      <c r="B1279" s="12" t="inlineStr">
        <is>
          <t>http://identifiers.org/so/SO:0001396</t>
        </is>
      </c>
      <c r="C1279" s="12" t="inlineStr">
        <is>
          <t>['modified L histidine', 'ModHis', 'modified L-histidine']</t>
        </is>
      </c>
      <c r="D1279" s="12" t="n"/>
      <c r="E1279" s="12" t="n"/>
    </row>
    <row r="1280" ht="15" customHeight="1">
      <c r="A1280" s="12" t="inlineStr">
        <is>
          <t>modified_L_leucine</t>
        </is>
      </c>
      <c r="B1280" s="12" t="inlineStr">
        <is>
          <t>http://identifiers.org/so/SO:0001401</t>
        </is>
      </c>
      <c r="C1280" s="12" t="inlineStr">
        <is>
          <t>['ModIle', 'modified L-isoleucine', 'modified L isoleucine']</t>
        </is>
      </c>
      <c r="D1280" s="12" t="n"/>
      <c r="E1280" s="12" t="n"/>
    </row>
    <row r="1281" ht="15" customHeight="1">
      <c r="A1281" s="12" t="inlineStr">
        <is>
          <t>modified_L_lysine</t>
        </is>
      </c>
      <c r="B1281" s="12" t="inlineStr">
        <is>
          <t>http://identifiers.org/so/SO:0001400</t>
        </is>
      </c>
      <c r="C1281" s="12" t="inlineStr">
        <is>
          <t>['modified L leucine', 'ModLeu', 'modified L-leucine ']</t>
        </is>
      </c>
      <c r="D1281" s="12" t="n"/>
      <c r="E1281" s="12" t="n"/>
    </row>
    <row r="1282" ht="15" customHeight="1">
      <c r="A1282" s="12" t="inlineStr">
        <is>
          <t>modified_L_methionine</t>
        </is>
      </c>
      <c r="B1282" s="12" t="inlineStr">
        <is>
          <t>http://identifiers.org/so/SO:0001395</t>
        </is>
      </c>
      <c r="C1282" s="12" t="inlineStr">
        <is>
          <t>['modified L-lysine', 'modified L lysine', 'ModLys']</t>
        </is>
      </c>
      <c r="D1282" s="12" t="n"/>
      <c r="E1282" s="12" t="n"/>
    </row>
    <row r="1283" ht="15" customHeight="1">
      <c r="A1283" s="12" t="inlineStr">
        <is>
          <t>modified_L_phenylalanine</t>
        </is>
      </c>
      <c r="B1283" s="12" t="inlineStr">
        <is>
          <t>http://identifiers.org/so/SO:0001397</t>
        </is>
      </c>
      <c r="C1283" s="12" t="inlineStr">
        <is>
          <t>['modified L methionine', 'modified L-methionine', 'ModMet']</t>
        </is>
      </c>
      <c r="D1283" s="12" t="n"/>
      <c r="E1283" s="12" t="n"/>
    </row>
    <row r="1284" ht="15" customHeight="1">
      <c r="A1284" s="12" t="inlineStr">
        <is>
          <t>modified_L_proline</t>
        </is>
      </c>
      <c r="B1284" s="12" t="inlineStr">
        <is>
          <t>http://identifiers.org/so/SO:0001404</t>
        </is>
      </c>
      <c r="C1284" s="12" t="inlineStr">
        <is>
          <t>['modified L-phenylalanine', 'modified L phenylalanine', 'ModPhe']</t>
        </is>
      </c>
      <c r="D1284" s="12" t="n"/>
      <c r="E1284" s="12" t="n"/>
    </row>
    <row r="1285" ht="15" customHeight="1">
      <c r="A1285" s="12" t="inlineStr">
        <is>
          <t>modified_L_selenocysteine</t>
        </is>
      </c>
      <c r="B1285" s="12" t="inlineStr">
        <is>
          <t>http://identifiers.org/so/SO:0001402</t>
        </is>
      </c>
      <c r="C1285" s="12" t="inlineStr">
        <is>
          <t>['modified L-proline ', 'modified L proline', 'ModPro']</t>
        </is>
      </c>
      <c r="D1285" s="12" t="n"/>
      <c r="E1285" s="12" t="n"/>
    </row>
    <row r="1286" ht="15" customHeight="1">
      <c r="A1286" s="12" t="inlineStr">
        <is>
          <t>modified_L_serine</t>
        </is>
      </c>
      <c r="B1286" s="12" t="inlineStr">
        <is>
          <t>http://identifiers.org/so/SO:0001399</t>
        </is>
      </c>
      <c r="C1286" s="12" t="inlineStr">
        <is>
          <t>['modified L-selenocysteine', 'modified L selenocysteine']</t>
        </is>
      </c>
      <c r="D1286" s="12" t="n"/>
      <c r="E1286" s="12" t="n"/>
    </row>
    <row r="1287" ht="15" customHeight="1">
      <c r="A1287" s="12" t="inlineStr">
        <is>
          <t>modified_L_threonine</t>
        </is>
      </c>
      <c r="B1287" s="12" t="inlineStr">
        <is>
          <t>http://identifiers.org/so/SO:0001392</t>
        </is>
      </c>
      <c r="C1287" s="12" t="inlineStr">
        <is>
          <t>['modified L-serine', 'MosSer', 'modified L serine']</t>
        </is>
      </c>
      <c r="D1287" s="12" t="n"/>
      <c r="E1287" s="12" t="n"/>
    </row>
    <row r="1288" ht="15" customHeight="1">
      <c r="A1288" s="12" t="inlineStr">
        <is>
          <t>modified_L_tryptophan</t>
        </is>
      </c>
      <c r="B1288" s="12" t="inlineStr">
        <is>
          <t>http://identifiers.org/so/SO:0001393</t>
        </is>
      </c>
      <c r="C1288" s="12" t="inlineStr">
        <is>
          <t>['ModThr', 'modified L threonine', 'modified L-threonine']</t>
        </is>
      </c>
      <c r="D1288" s="12" t="n"/>
      <c r="E1288" s="12" t="n"/>
    </row>
    <row r="1289" ht="15" customHeight="1">
      <c r="A1289" s="12" t="inlineStr">
        <is>
          <t>modified_L_tyrosine</t>
        </is>
      </c>
      <c r="B1289" s="12" t="inlineStr">
        <is>
          <t>http://identifiers.org/so/SO:0001405</t>
        </is>
      </c>
      <c r="C1289" s="12" t="inlineStr">
        <is>
          <t>['modified L tryptophan', 'ModTrp', 'modified L-tryptophan']</t>
        </is>
      </c>
      <c r="D1289" s="12" t="n"/>
      <c r="E1289" s="12" t="n"/>
    </row>
    <row r="1290" ht="15" customHeight="1">
      <c r="A1290" s="12" t="inlineStr">
        <is>
          <t>modified_L_valine</t>
        </is>
      </c>
      <c r="B1290" s="12" t="inlineStr">
        <is>
          <t>http://identifiers.org/so/SO:0001403</t>
        </is>
      </c>
      <c r="C1290" s="12" t="inlineStr">
        <is>
          <t>['ModTry', 'modified L-tyrosine', 'modified L tyrosine']</t>
        </is>
      </c>
      <c r="D1290" s="12" t="n"/>
      <c r="E1290" s="12" t="n"/>
    </row>
    <row r="1291" ht="15" customHeight="1">
      <c r="A1291" s="12" t="inlineStr">
        <is>
          <t>modified_RNA_base_feature</t>
        </is>
      </c>
      <c r="B1291" s="12" t="inlineStr">
        <is>
          <t>http://identifiers.org/so/SO:0000250</t>
        </is>
      </c>
      <c r="C1291" s="12" t="inlineStr">
        <is>
          <t>['ModVal', 'modified L valine', 'modified L-valine']</t>
        </is>
      </c>
      <c r="D1291" s="12" t="n"/>
      <c r="E1291" s="12" t="n"/>
    </row>
    <row r="1292" ht="15" customHeight="1">
      <c r="A1292" s="12" t="inlineStr">
        <is>
          <t>modified_uridine</t>
        </is>
      </c>
      <c r="B1292" s="12" t="inlineStr">
        <is>
          <t>http://identifiers.org/so/SO:0001277</t>
        </is>
      </c>
      <c r="C1292" s="12" t="inlineStr">
        <is>
          <t>['modified RNA base feature']</t>
        </is>
      </c>
      <c r="D1292" s="12" t="n"/>
      <c r="E1292" s="12" t="n"/>
    </row>
    <row r="1293" ht="15" customHeight="1">
      <c r="A1293" s="12" t="inlineStr">
        <is>
          <t>molecular_contact_region</t>
        </is>
      </c>
      <c r="B1293" s="12" t="inlineStr">
        <is>
          <t>http://identifiers.org/so/SO:0100002</t>
        </is>
      </c>
      <c r="C1293" s="12" t="inlineStr">
        <is>
          <t>['modified uridine']</t>
        </is>
      </c>
      <c r="D1293" s="12" t="n"/>
      <c r="E1293" s="12" t="n"/>
    </row>
    <row r="1294" ht="15" customHeight="1">
      <c r="A1294" s="12" t="inlineStr">
        <is>
          <t>monocistronic</t>
        </is>
      </c>
      <c r="B1294" s="12" t="inlineStr">
        <is>
          <t>http://identifiers.org/so/SO:0000878</t>
        </is>
      </c>
      <c r="C1294" s="12" t="inlineStr">
        <is>
          <t>['molecular contact region']</t>
        </is>
      </c>
      <c r="D1294" s="12" t="n"/>
      <c r="E1294" s="12" t="n"/>
    </row>
    <row r="1295" ht="15" customHeight="1">
      <c r="A1295" s="12" t="inlineStr">
        <is>
          <t>monocistronic_mRNA</t>
        </is>
      </c>
      <c r="B1295" s="12" t="inlineStr">
        <is>
          <t>http://identifiers.org/so/SO:0000633</t>
        </is>
      </c>
      <c r="C1295" s="12" t="n"/>
      <c r="D1295" s="12" t="n"/>
      <c r="E1295" s="12" t="n"/>
    </row>
    <row r="1296" ht="15" customHeight="1">
      <c r="A1296" s="12" t="inlineStr">
        <is>
          <t>monocistronic_primary_transcript</t>
        </is>
      </c>
      <c r="B1296" s="12" t="inlineStr">
        <is>
          <t>http://identifiers.org/so/SO:0000632</t>
        </is>
      </c>
      <c r="C1296" s="12" t="inlineStr">
        <is>
          <t>['monocistronic processed transcript', 'monocistronic mRNA']</t>
        </is>
      </c>
      <c r="D1296" s="12" t="n"/>
      <c r="E1296" s="12" t="n"/>
    </row>
    <row r="1297" ht="15" customHeight="1">
      <c r="A1297" s="12" t="inlineStr">
        <is>
          <t>monocistronic_transcript</t>
        </is>
      </c>
      <c r="B1297" s="12" t="inlineStr">
        <is>
          <t>http://identifiers.org/so/SO:0000665</t>
        </is>
      </c>
      <c r="C1297" s="12" t="inlineStr">
        <is>
          <t>['monocistronic primary transcript']</t>
        </is>
      </c>
      <c r="D1297" s="12" t="n"/>
      <c r="E1297" s="12" t="n"/>
    </row>
    <row r="1298" ht="15" customHeight="1">
      <c r="A1298" s="12" t="inlineStr">
        <is>
          <t>monomeric_repeat</t>
        </is>
      </c>
      <c r="B1298" s="12" t="inlineStr">
        <is>
          <t>http://identifiers.org/so/SO:0001934</t>
        </is>
      </c>
      <c r="C1298" s="12" t="inlineStr">
        <is>
          <t>['monocistronic transcript']</t>
        </is>
      </c>
      <c r="D1298" s="12" t="n"/>
      <c r="E1298" s="12" t="n"/>
    </row>
    <row r="1299" ht="15" customHeight="1">
      <c r="A1299" s="12" t="inlineStr">
        <is>
          <t>moR</t>
        </is>
      </c>
      <c r="B1299" s="12" t="inlineStr">
        <is>
          <t>http://identifiers.org/so/SO:0002032</t>
        </is>
      </c>
      <c r="C1299" s="12" t="inlineStr">
        <is>
          <t>['monomeric repeat']</t>
        </is>
      </c>
      <c r="D1299" s="12" t="n"/>
      <c r="E1299" s="12" t="n"/>
    </row>
    <row r="1300" ht="15" customHeight="1">
      <c r="A1300" s="12" t="inlineStr">
        <is>
          <t>morpholino_backbone</t>
        </is>
      </c>
      <c r="B1300" s="12" t="inlineStr">
        <is>
          <t>http://identifiers.org/so/SO:0001183</t>
        </is>
      </c>
      <c r="C1300" s="12" t="inlineStr">
        <is>
          <t>['microRNA-offset RNA']</t>
        </is>
      </c>
      <c r="D1300" s="12" t="n"/>
      <c r="E1300" s="12" t="n"/>
    </row>
    <row r="1301" ht="15" customHeight="1">
      <c r="A1301" s="12" t="inlineStr">
        <is>
          <t>morpholino_oligo</t>
        </is>
      </c>
      <c r="B1301" s="12" t="inlineStr">
        <is>
          <t>http://identifiers.org/so/SO:0000034</t>
        </is>
      </c>
      <c r="C1301" s="12" t="inlineStr">
        <is>
          <t>['morpholino backbone']</t>
        </is>
      </c>
      <c r="D1301" s="12" t="n"/>
      <c r="E1301" s="12" t="n"/>
    </row>
    <row r="1302" ht="15" customHeight="1">
      <c r="A1302" s="12" t="inlineStr">
        <is>
          <t>mRNA</t>
        </is>
      </c>
      <c r="B1302" s="12" t="inlineStr">
        <is>
          <t>http://identifiers.org/so/SO:0000234</t>
        </is>
      </c>
      <c r="C1302" s="12" t="inlineStr">
        <is>
          <t>['morphant', 'morpholino', 'morpholino oligo']</t>
        </is>
      </c>
      <c r="D1302" s="12" t="n"/>
      <c r="E1302" s="12" t="n"/>
    </row>
    <row r="1303" ht="15" customHeight="1">
      <c r="A1303" s="12" t="inlineStr">
        <is>
          <t>mRNA_attribute</t>
        </is>
      </c>
      <c r="B1303" s="12" t="inlineStr">
        <is>
          <t>http://identifiers.org/so/SO:0000863</t>
        </is>
      </c>
      <c r="C1303" s="12" t="inlineStr">
        <is>
          <t>['messenger RNA', 'INSDC_feature:mRNA', 'protein_coding_transcript']</t>
        </is>
      </c>
      <c r="D1303" s="12" t="n"/>
      <c r="E1303" s="12" t="n"/>
    </row>
    <row r="1304" ht="15" customHeight="1">
      <c r="A1304" s="12" t="inlineStr">
        <is>
          <t>mRNA_by_polyadenylation_status</t>
        </is>
      </c>
      <c r="B1304" s="12" t="inlineStr">
        <is>
          <t>http://identifiers.org/so/SO:0000245</t>
        </is>
      </c>
      <c r="C1304" s="12" t="inlineStr">
        <is>
          <t>['mRNA attribute']</t>
        </is>
      </c>
      <c r="D1304" s="12" t="n"/>
      <c r="E1304" s="12" t="n"/>
    </row>
    <row r="1305" ht="15" customHeight="1">
      <c r="A1305" s="12" t="inlineStr">
        <is>
          <t>mRNA_contig</t>
        </is>
      </c>
      <c r="B1305" s="12" t="inlineStr">
        <is>
          <t>http://identifiers.org/so/SO:0001829</t>
        </is>
      </c>
      <c r="C1305" s="12" t="n"/>
      <c r="D1305" s="12" t="n"/>
      <c r="E1305" s="12" t="n"/>
    </row>
    <row r="1306" ht="15" customHeight="1">
      <c r="A1306" s="12" t="inlineStr">
        <is>
          <t>mRNA_not_polyadenylated</t>
        </is>
      </c>
      <c r="B1306" s="12" t="inlineStr">
        <is>
          <t>http://identifiers.org/so/SO:0000247</t>
        </is>
      </c>
      <c r="C1306" s="12" t="inlineStr">
        <is>
          <t>['mRNA contig']</t>
        </is>
      </c>
      <c r="D1306" s="12" t="n"/>
      <c r="E1306" s="12" t="n"/>
    </row>
    <row r="1307" ht="15" customHeight="1">
      <c r="A1307" s="12" t="inlineStr">
        <is>
          <t>mRNA_read</t>
        </is>
      </c>
      <c r="B1307" s="12" t="inlineStr">
        <is>
          <t>http://identifiers.org/so/SO:0001827</t>
        </is>
      </c>
      <c r="C1307" s="12" t="n"/>
      <c r="D1307" s="12" t="n"/>
      <c r="E1307" s="12" t="n"/>
    </row>
    <row r="1308" ht="15" customHeight="1">
      <c r="A1308" s="12" t="inlineStr">
        <is>
          <t>mRNA_recoded_by_codon_redefinition</t>
        </is>
      </c>
      <c r="B1308" s="12" t="inlineStr">
        <is>
          <t>http://identifiers.org/so/SO:1001265</t>
        </is>
      </c>
      <c r="C1308" s="12" t="inlineStr">
        <is>
          <t>['mRNA read']</t>
        </is>
      </c>
      <c r="D1308" s="12" t="n"/>
      <c r="E1308" s="12" t="n"/>
    </row>
    <row r="1309" ht="15" customHeight="1">
      <c r="A1309" s="12" t="inlineStr">
        <is>
          <t>mRNA_recoded_by_translational_bypass</t>
        </is>
      </c>
      <c r="B1309" s="12" t="inlineStr">
        <is>
          <t>http://identifiers.org/so/SO:1001264</t>
        </is>
      </c>
      <c r="C1309" s="12" t="inlineStr">
        <is>
          <t>['mRNA recoded by codon redefinition']</t>
        </is>
      </c>
      <c r="D1309" s="12" t="n"/>
      <c r="E1309" s="12" t="n"/>
    </row>
    <row r="1310" ht="15" customHeight="1">
      <c r="A1310" s="12" t="inlineStr">
        <is>
          <t>mRNA_region</t>
        </is>
      </c>
      <c r="B1310" s="12" t="inlineStr">
        <is>
          <t>http://identifiers.org/so/SO:0000836</t>
        </is>
      </c>
      <c r="C1310" s="12" t="inlineStr">
        <is>
          <t>['mRNA recoded by translational bypass']</t>
        </is>
      </c>
      <c r="D1310" s="12" t="n"/>
      <c r="E1310" s="12" t="n"/>
    </row>
    <row r="1311" ht="15" customHeight="1">
      <c r="A1311" s="12" t="inlineStr">
        <is>
          <t>mRNA_with_frameshift</t>
        </is>
      </c>
      <c r="B1311" s="12" t="inlineStr">
        <is>
          <t>http://identifiers.org/so/SO:0000108</t>
        </is>
      </c>
      <c r="C1311" s="12" t="inlineStr">
        <is>
          <t>['mRNA region']</t>
        </is>
      </c>
      <c r="D1311" s="12" t="n"/>
      <c r="E1311" s="12" t="n"/>
    </row>
    <row r="1312" ht="15" customHeight="1">
      <c r="A1312" s="12" t="inlineStr">
        <is>
          <t>mRNA_with_minus_1_frameshift</t>
        </is>
      </c>
      <c r="B1312" s="12" t="inlineStr">
        <is>
          <t>http://identifiers.org/so/SO:0000282</t>
        </is>
      </c>
      <c r="C1312" s="12" t="inlineStr">
        <is>
          <t>['mRNA with frameshift', 'frameshifted mRNA']</t>
        </is>
      </c>
      <c r="D1312" s="12" t="n"/>
      <c r="E1312" s="12" t="n"/>
    </row>
    <row r="1313" ht="15" customHeight="1">
      <c r="A1313" s="12" t="inlineStr">
        <is>
          <t>mRNA_with_minus_2_frameshift</t>
        </is>
      </c>
      <c r="B1313" s="12" t="inlineStr">
        <is>
          <t>http://identifiers.org/so/SO:0000335</t>
        </is>
      </c>
      <c r="C1313" s="12" t="inlineStr">
        <is>
          <t>['mRNA with minus 1 frameshift']</t>
        </is>
      </c>
      <c r="D1313" s="12" t="n"/>
      <c r="E1313" s="12" t="n"/>
    </row>
    <row r="1314" ht="15" customHeight="1">
      <c r="A1314" s="12" t="inlineStr">
        <is>
          <t>mRNA_with_plus_1_frameshift</t>
        </is>
      </c>
      <c r="B1314" s="12" t="inlineStr">
        <is>
          <t>http://identifiers.org/so/SO:0000321</t>
        </is>
      </c>
      <c r="C1314" s="12" t="inlineStr">
        <is>
          <t>['mRNA with minus 2 frameshift']</t>
        </is>
      </c>
      <c r="D1314" s="12" t="n"/>
      <c r="E1314" s="12" t="n"/>
    </row>
    <row r="1315" ht="15" customHeight="1">
      <c r="A1315" s="12" t="inlineStr">
        <is>
          <t>mRNA_with_plus_2_frameshift</t>
        </is>
      </c>
      <c r="B1315" s="12" t="inlineStr">
        <is>
          <t>http://identifiers.org/so/SO:0000329</t>
        </is>
      </c>
      <c r="C1315" s="12" t="inlineStr">
        <is>
          <t>['mRNA with plus 1 frameshift']</t>
        </is>
      </c>
      <c r="D1315" s="12" t="n"/>
      <c r="E1315" s="12" t="n"/>
    </row>
    <row r="1316" ht="15" customHeight="1">
      <c r="A1316" s="12" t="inlineStr">
        <is>
          <t>mt_gene</t>
        </is>
      </c>
      <c r="B1316" s="12" t="inlineStr">
        <is>
          <t>http://identifiers.org/so/SO:0000088</t>
        </is>
      </c>
      <c r="C1316" s="12" t="inlineStr">
        <is>
          <t>['mRNA with plus 2 frameshift']</t>
        </is>
      </c>
      <c r="D1316" s="12" t="n"/>
      <c r="E1316" s="12" t="n"/>
    </row>
    <row r="1317" ht="15" customHeight="1">
      <c r="A1317" s="12" t="inlineStr">
        <is>
          <t>mt_rRNA</t>
        </is>
      </c>
      <c r="B1317" s="12" t="inlineStr">
        <is>
          <t>http://identifiers.org/so/SO:0002128</t>
        </is>
      </c>
      <c r="C1317" s="12" t="inlineStr">
        <is>
          <t>['mt gene', 'mitochondrial gene']</t>
        </is>
      </c>
      <c r="D1317" s="12" t="n"/>
      <c r="E1317" s="12" t="n"/>
    </row>
    <row r="1318" ht="15" customHeight="1">
      <c r="A1318" s="12" t="inlineStr">
        <is>
          <t>mt_tRNA</t>
        </is>
      </c>
      <c r="B1318" s="12" t="inlineStr">
        <is>
          <t>http://identifiers.org/so/SO:0002129</t>
        </is>
      </c>
      <c r="C1318" s="12" t="inlineStr">
        <is>
          <t>['mitochondrial_rRNA', 'Mt_rRNA']</t>
        </is>
      </c>
      <c r="D1318" s="12" t="n"/>
      <c r="E1318" s="12" t="n"/>
    </row>
    <row r="1319" ht="15" customHeight="1">
      <c r="A1319" s="12" t="inlineStr">
        <is>
          <t>MTE</t>
        </is>
      </c>
      <c r="B1319" s="12" t="inlineStr">
        <is>
          <t>http://identifiers.org/so/SO:0001162</t>
        </is>
      </c>
      <c r="C1319" s="12" t="inlineStr">
        <is>
          <t>['Mt_tRNA', 'mitochondrial_tRNA']</t>
        </is>
      </c>
      <c r="D1319" s="12" t="n"/>
      <c r="E1319" s="12" t="n"/>
    </row>
    <row r="1320" ht="15" customHeight="1">
      <c r="A1320" s="12" t="inlineStr">
        <is>
          <t>multiplexing_sequence_identifier</t>
        </is>
      </c>
      <c r="B1320" s="12" t="inlineStr">
        <is>
          <t>http://identifiers.org/so/SO:0002023</t>
        </is>
      </c>
      <c r="C1320" s="12" t="inlineStr">
        <is>
          <t>['CSARCSSAACGS', 'motif_ten_element', 'motif ten element']</t>
        </is>
      </c>
      <c r="D1320" s="12" t="n"/>
      <c r="E1320" s="12" t="n"/>
    </row>
    <row r="1321" ht="15" customHeight="1">
      <c r="A1321" s="12" t="inlineStr">
        <is>
          <t>mutated_variant_site</t>
        </is>
      </c>
      <c r="B1321" s="12" t="inlineStr">
        <is>
          <t>http://identifiers.org/so/SO:0001148</t>
        </is>
      </c>
      <c r="C1321" s="12" t="inlineStr">
        <is>
          <t>['multiplexing sequence identifier']</t>
        </is>
      </c>
      <c r="D1321" s="12" t="n"/>
      <c r="E1321" s="12" t="n"/>
    </row>
    <row r="1322" ht="15" customHeight="1">
      <c r="A1322" s="12" t="inlineStr">
        <is>
          <t>mutation_causing_inframe_polypeptide_N_terminal_elongation</t>
        </is>
      </c>
      <c r="B1322" s="12" t="inlineStr">
        <is>
          <t>http://identifiers.org/so/SO:1000106</t>
        </is>
      </c>
      <c r="C1322" s="12" t="inlineStr">
        <is>
          <t>['mutated_site', 'mutagen', 'mutagenesis']</t>
        </is>
      </c>
      <c r="D1322" s="12" t="n"/>
      <c r="E1322" s="12" t="n"/>
    </row>
    <row r="1323" ht="15" customHeight="1">
      <c r="A1323" s="12" t="inlineStr">
        <is>
          <t>mutation_causing_out_of_frame_polypeptide_C_terminal_elongation</t>
        </is>
      </c>
      <c r="B1323" s="12" t="inlineStr">
        <is>
          <t>http://identifiers.org/so/SO:1000109</t>
        </is>
      </c>
      <c r="C1323" s="12" t="inlineStr">
        <is>
          <t>['inframe polypeptide N-terminal elongation', 'mutation causing inframe polypeptide N terminal elongation']</t>
        </is>
      </c>
      <c r="D1323" s="12" t="n"/>
      <c r="E1323" s="12" t="n"/>
    </row>
    <row r="1324" ht="15" customHeight="1">
      <c r="A1324" s="12" t="inlineStr">
        <is>
          <t>mutation_causing_out_of_frame_polypeptide_N_terminal_elongation</t>
        </is>
      </c>
      <c r="B1324" s="12" t="inlineStr">
        <is>
          <t>http://identifiers.org/so/SO:1000107</t>
        </is>
      </c>
      <c r="C1324" s="12" t="inlineStr">
        <is>
          <t>['mutation causing out of frame polypeptide C terminal elongation', 'out of frame polypeptide C-terminal elongation']</t>
        </is>
      </c>
      <c r="D1324" s="12" t="n"/>
      <c r="E1324" s="12" t="n"/>
    </row>
    <row r="1325" ht="15" customHeight="1">
      <c r="A1325" s="12" t="inlineStr">
        <is>
          <t>mutation_causing_polypeptide_C_terminal_elongation</t>
        </is>
      </c>
      <c r="B1325" s="12" t="inlineStr">
        <is>
          <t>http://identifiers.org/so/SO:1000101</t>
        </is>
      </c>
      <c r="C1325" s="12" t="inlineStr">
        <is>
          <t>['mutation causing out of frame polypeptide N terminal elongation', 'out of frame polypeptide N-terminal elongation']</t>
        </is>
      </c>
      <c r="D1325" s="12" t="n"/>
      <c r="E1325" s="12" t="n"/>
    </row>
    <row r="1326" ht="15" customHeight="1">
      <c r="A1326" s="12" t="inlineStr">
        <is>
          <t>mutation_causing_polypeptide_N_terminal_elongation</t>
        </is>
      </c>
      <c r="B1326" s="12" t="inlineStr">
        <is>
          <t>http://identifiers.org/so/SO:1000100</t>
        </is>
      </c>
      <c r="C1326" s="12" t="inlineStr">
        <is>
          <t>['polypeptide C-terminal elongation', 'mutation causing polypeptide C terminal elongation']</t>
        </is>
      </c>
      <c r="D1326" s="12" t="n"/>
      <c r="E1326" s="12" t="n"/>
    </row>
    <row r="1327" ht="15" customHeight="1">
      <c r="A1327" s="12" t="inlineStr">
        <is>
          <t>mutational_hotspot</t>
        </is>
      </c>
      <c r="B1327" s="12" t="inlineStr">
        <is>
          <t>http://identifiers.org/so/SO:0002186</t>
        </is>
      </c>
      <c r="C1327" s="12" t="inlineStr">
        <is>
          <t>['polypeptide N-terminal elongation', 'mutation causing polypeptide N terminal elongation']</t>
        </is>
      </c>
      <c r="D1327" s="12" t="n"/>
      <c r="E1327" s="12" t="n"/>
    </row>
    <row r="1328" ht="15" customHeight="1">
      <c r="A1328" s="12" t="inlineStr">
        <is>
          <t>mutaton_causing_inframe_polypeptide_C_terminal_elongation</t>
        </is>
      </c>
      <c r="B1328" s="12" t="inlineStr">
        <is>
          <t>http://identifiers.org/so/SO:1000108</t>
        </is>
      </c>
      <c r="C1328" s="12" t="inlineStr">
        <is>
          <t>['mutational hotspot']</t>
        </is>
      </c>
      <c r="D1328" s="12" t="n"/>
      <c r="E1328" s="12" t="n"/>
    </row>
    <row r="1329" ht="15" customHeight="1">
      <c r="A1329" s="12" t="inlineStr">
        <is>
          <t>Mutator_TIR_transposon</t>
        </is>
      </c>
      <c r="B1329" s="12" t="inlineStr">
        <is>
          <t>http://identifiers.org/so/SO:0002280</t>
        </is>
      </c>
      <c r="C1329" s="12" t="inlineStr">
        <is>
          <t>['inframe_polypeptide C-terminal elongation', 'mutaton causing inframe polypeptide C terminal elongation']</t>
        </is>
      </c>
      <c r="D1329" s="12" t="n"/>
      <c r="E1329" s="12" t="n"/>
    </row>
    <row r="1330" ht="15" customHeight="1">
      <c r="A1330" s="12" t="inlineStr">
        <is>
          <t>N_region</t>
        </is>
      </c>
      <c r="B1330" s="12" t="inlineStr">
        <is>
          <t>http://identifiers.org/so/SO:0001835</t>
        </is>
      </c>
      <c r="C1330" s="12" t="inlineStr">
        <is>
          <t>['MuDR', 'Mutator transposon', 'DTM transposon', 'MULE', 'Mutator TIR transposon', 'Mu transposon', 'MLE transposon']</t>
        </is>
      </c>
      <c r="D1330" s="12" t="n"/>
      <c r="E1330" s="12" t="n"/>
    </row>
    <row r="1331" ht="15" customHeight="1">
      <c r="A1331" s="12" t="inlineStr">
        <is>
          <t>n_terminal_region</t>
        </is>
      </c>
      <c r="B1331" s="12" t="inlineStr">
        <is>
          <t>http://identifiers.org/so/SO:0100014</t>
        </is>
      </c>
      <c r="C1331" s="12" t="inlineStr">
        <is>
          <t>['INSDC_feature:N_region', 'N-region']</t>
        </is>
      </c>
      <c r="D1331" s="12" t="n"/>
      <c r="E1331" s="12" t="n"/>
    </row>
    <row r="1332" ht="15" customHeight="1">
      <c r="A1332" s="12" t="inlineStr">
        <is>
          <t>N2_2_prime_O_dimethylguanosine</t>
        </is>
      </c>
      <c r="B1332" s="12" t="inlineStr">
        <is>
          <t>http://identifiers.org/so/SO:0001329</t>
        </is>
      </c>
      <c r="C1332" s="12" t="inlineStr">
        <is>
          <t>['N-region']</t>
        </is>
      </c>
      <c r="D1332" s="12" t="n"/>
      <c r="E1332" s="12" t="n"/>
    </row>
    <row r="1333" ht="15" customHeight="1">
      <c r="A1333" s="12" t="inlineStr">
        <is>
          <t>N2_7_2prirme_O_trimethylguanosine</t>
        </is>
      </c>
      <c r="B1333" s="12" t="inlineStr">
        <is>
          <t>http://identifiers.org/so/SO:0001343</t>
        </is>
      </c>
      <c r="C1333" s="12" t="inlineStr">
        <is>
          <t>['N2 2 prime O dimethylguanosine', "N2,2'-O-dimethylguanosine", 'm2Gm']</t>
        </is>
      </c>
      <c r="D1333" s="12" t="n"/>
      <c r="E1333" s="12" t="n"/>
    </row>
    <row r="1334" ht="15" customHeight="1">
      <c r="A1334" s="12" t="inlineStr">
        <is>
          <t>N2_7_dimethylguanosine</t>
        </is>
      </c>
      <c r="B1334" s="12" t="inlineStr">
        <is>
          <t>http://identifiers.org/so/SO:0001338</t>
        </is>
      </c>
      <c r="C1334" s="12" t="inlineStr">
        <is>
          <t>["N2,7,2'-O-trimethylguanosine", 'N2 7 2prirme O trimethylguanosine', 'm2,7Gm']</t>
        </is>
      </c>
      <c r="D1334" s="12" t="n"/>
      <c r="E1334" s="12" t="n"/>
    </row>
    <row r="1335" ht="15" customHeight="1">
      <c r="A1335" s="12" t="inlineStr">
        <is>
          <t>N2_methylguanosine</t>
        </is>
      </c>
      <c r="B1335" s="12" t="inlineStr">
        <is>
          <t>http://identifiers.org/so/SO:0001325</t>
        </is>
      </c>
      <c r="C1335" s="12" t="inlineStr">
        <is>
          <t>['m2,7G', 'N2,7-dimethylguanosine', 'N2 7 dimethylguanosine']</t>
        </is>
      </c>
      <c r="D1335" s="12" t="n"/>
      <c r="E1335" s="12" t="n"/>
    </row>
    <row r="1336" ht="15" customHeight="1">
      <c r="A1336" s="12" t="inlineStr">
        <is>
          <t>N2_N2_2_prime_O_trimethylguanosine</t>
        </is>
      </c>
      <c r="B1336" s="12" t="inlineStr">
        <is>
          <t>http://identifiers.org/so/SO:0001330</t>
        </is>
      </c>
      <c r="C1336" s="12" t="inlineStr">
        <is>
          <t>['m2G', 'N2-methylguanosine', 'N2 methylguanosine']</t>
        </is>
      </c>
      <c r="D1336" s="12" t="n"/>
      <c r="E1336" s="12" t="n"/>
    </row>
    <row r="1337" ht="15" customHeight="1">
      <c r="A1337" s="12" t="inlineStr">
        <is>
          <t>N2_N2_7_trimethylguanosine</t>
        </is>
      </c>
      <c r="B1337" s="12" t="inlineStr">
        <is>
          <t>http://identifiers.org/so/SO:0001339</t>
        </is>
      </c>
      <c r="C1337" s="12" t="inlineStr">
        <is>
          <t>['m22Gmv', "N2,N2,2'-O-trimethylguanosine"]</t>
        </is>
      </c>
      <c r="D1337" s="12" t="n"/>
      <c r="E1337" s="12" t="n"/>
    </row>
    <row r="1338" ht="15" customHeight="1">
      <c r="A1338" s="12" t="inlineStr">
        <is>
          <t>N2_N2_dimethylguanosine</t>
        </is>
      </c>
      <c r="B1338" s="12" t="inlineStr">
        <is>
          <t>http://identifiers.org/so/SO:0001328</t>
        </is>
      </c>
      <c r="C1338" s="12" t="inlineStr">
        <is>
          <t>['m2,2,7G', 'N2,N2,7-trimethylguanosine']</t>
        </is>
      </c>
      <c r="D1338" s="12" t="n"/>
      <c r="E1338" s="12" t="n"/>
    </row>
    <row r="1339" ht="15" customHeight="1">
      <c r="A1339" s="12" t="inlineStr">
        <is>
          <t>N4_2_prime_O_dimethylcytidine</t>
        </is>
      </c>
      <c r="B1339" s="12" t="inlineStr">
        <is>
          <t>http://identifiers.org/so/SO:0001291</t>
        </is>
      </c>
      <c r="C1339" s="12" t="inlineStr">
        <is>
          <t>['m22G', 'N2,N2-dimethylguanosine']</t>
        </is>
      </c>
      <c r="D1339" s="12" t="n"/>
      <c r="E1339" s="12" t="n"/>
    </row>
    <row r="1340" ht="15" customHeight="1">
      <c r="A1340" s="12" t="inlineStr">
        <is>
          <t>N4_acetyl_2_prime_O_methylcytidine</t>
        </is>
      </c>
      <c r="B1340" s="12" t="inlineStr">
        <is>
          <t>http://identifiers.org/so/SO:0001288</t>
        </is>
      </c>
      <c r="C1340" s="12" t="inlineStr">
        <is>
          <t>['m4Cm', 'N4 2 prime O dimethylcytidine', "N4,2'-O-dimethylcytidine"]</t>
        </is>
      </c>
      <c r="D1340" s="12" t="n"/>
      <c r="E1340" s="12" t="n"/>
    </row>
    <row r="1341" ht="15" customHeight="1">
      <c r="A1341" s="12" t="inlineStr">
        <is>
          <t>N4_acetylcytidine</t>
        </is>
      </c>
      <c r="B1341" s="12" t="inlineStr">
        <is>
          <t>http://identifiers.org/so/SO:0001285</t>
        </is>
      </c>
      <c r="C1341" s="12" t="inlineStr">
        <is>
          <t>['ac4Cm', "N4-acetyl-2'-O-methylcytidine", 'N4 acetyl 2 prime O methylcytidine']</t>
        </is>
      </c>
      <c r="D1341" s="12" t="n"/>
      <c r="E1341" s="12" t="n"/>
    </row>
    <row r="1342" ht="15" customHeight="1">
      <c r="A1342" s="12" t="inlineStr">
        <is>
          <t>N4_methylcytidine</t>
        </is>
      </c>
      <c r="B1342" s="12" t="inlineStr">
        <is>
          <t>http://identifiers.org/so/SO:0001290</t>
        </is>
      </c>
      <c r="C1342" s="12" t="inlineStr">
        <is>
          <t>['N4 acetylcytidine', 'N4-acetylcytidine', 'ac4C']</t>
        </is>
      </c>
      <c r="D1342" s="12" t="n"/>
      <c r="E1342" s="12" t="n"/>
    </row>
    <row r="1343" ht="15" customHeight="1">
      <c r="A1343" s="12" t="inlineStr">
        <is>
          <t>N4_N4_2_prime_O_trimethylcytidine</t>
        </is>
      </c>
      <c r="B1343" s="12" t="inlineStr">
        <is>
          <t>http://identifiers.org/so/SO:0001294</t>
        </is>
      </c>
      <c r="C1343" s="12" t="inlineStr">
        <is>
          <t>['m4C', 'N4-methylcytidine', 'N4 methylcytidine']</t>
        </is>
      </c>
      <c r="D1343" s="12" t="n"/>
      <c r="E1343" s="12" t="n"/>
    </row>
    <row r="1344" ht="15" customHeight="1">
      <c r="A1344" s="12" t="inlineStr">
        <is>
          <t>N6_2_prime_O_dimethyladenosine</t>
        </is>
      </c>
      <c r="B1344" s="12" t="inlineStr">
        <is>
          <t>http://identifiers.org/so/SO:0001312</t>
        </is>
      </c>
      <c r="C1344" s="12" t="inlineStr">
        <is>
          <t>["N4,N4,2'-O-trimethylcytidine", 'm42Cm']</t>
        </is>
      </c>
      <c r="D1344" s="12" t="n"/>
      <c r="E1344" s="12" t="n"/>
    </row>
    <row r="1345" ht="15" customHeight="1">
      <c r="A1345" s="12" t="inlineStr">
        <is>
          <t>N6_acetyladenosine</t>
        </is>
      </c>
      <c r="B1345" s="12" t="inlineStr">
        <is>
          <t>http://identifiers.org/so/SO:0001315</t>
        </is>
      </c>
      <c r="C1345" s="12" t="inlineStr">
        <is>
          <t>['N6 2 prime O dimethyladenosine', 'm6Am', "N6,2'-O-dimethyladenosine"]</t>
        </is>
      </c>
      <c r="D1345" s="12" t="n"/>
      <c r="E1345" s="12" t="n"/>
    </row>
    <row r="1346" ht="15" customHeight="1">
      <c r="A1346" s="12" t="inlineStr">
        <is>
          <t>N6_cis_hydroxyisopentenyl_adenosine</t>
        </is>
      </c>
      <c r="B1346" s="12" t="inlineStr">
        <is>
          <t>http://identifiers.org/so/SO:0001302</t>
        </is>
      </c>
      <c r="C1346" s="12" t="inlineStr">
        <is>
          <t>['N6 acetyladenosine', 'ac6A', 'N6-acetyladenosine']</t>
        </is>
      </c>
      <c r="D1346" s="12" t="n"/>
      <c r="E1346" s="12" t="n"/>
    </row>
    <row r="1347" ht="15" customHeight="1">
      <c r="A1347" s="12" t="inlineStr">
        <is>
          <t>N6_glycinylcarbamoyladenosine</t>
        </is>
      </c>
      <c r="B1347" s="12" t="inlineStr">
        <is>
          <t>http://identifiers.org/so/SO:0001304</t>
        </is>
      </c>
      <c r="C1347" s="12" t="inlineStr">
        <is>
          <t>['N6 cis hydroxyisopentenyl adenosine', 'io6A', 'N6-(cis-hydroxyisopentenyl)adenosine']</t>
        </is>
      </c>
      <c r="D1347" s="12" t="n"/>
      <c r="E1347" s="12" t="n"/>
    </row>
    <row r="1348" ht="15" customHeight="1">
      <c r="A1348" s="12" t="inlineStr">
        <is>
          <t>N6_hydroxynorvalylcarbamoyladenosine</t>
        </is>
      </c>
      <c r="B1348" s="12" t="inlineStr">
        <is>
          <t>http://identifiers.org/so/SO:0001308</t>
        </is>
      </c>
      <c r="C1348" s="12" t="inlineStr">
        <is>
          <t>['g6A', 'N6-glycinylcarbamoyladenosine', 'N6 glycinylcarbamoyladenosine']</t>
        </is>
      </c>
      <c r="D1348" s="12" t="n"/>
      <c r="E1348" s="12" t="n"/>
    </row>
    <row r="1349" ht="15" customHeight="1">
      <c r="A1349" s="12" t="inlineStr">
        <is>
          <t>N6_isopentenyladenosine</t>
        </is>
      </c>
      <c r="B1349" s="12" t="inlineStr">
        <is>
          <t>http://identifiers.org/so/SO:0001300</t>
        </is>
      </c>
      <c r="C1349" s="12" t="inlineStr">
        <is>
          <t>['N6-hydroxynorvalylcarbamoyladenosine', 'hn6A', 'N6 hydroxynorvalylcarbamoyladenosine']</t>
        </is>
      </c>
      <c r="D1349" s="12" t="n"/>
      <c r="E1349" s="12" t="n"/>
    </row>
    <row r="1350" ht="15" customHeight="1">
      <c r="A1350" s="12" t="inlineStr">
        <is>
          <t>N6_methyl_N6_threonylcarbamoyladenosine</t>
        </is>
      </c>
      <c r="B1350" s="12" t="inlineStr">
        <is>
          <t>http://identifiers.org/so/SO:0001307</t>
        </is>
      </c>
      <c r="C1350" s="12" t="inlineStr">
        <is>
          <t>['i6A', 'N6 isopentenyladenosine', 'N6-isopentenyladenosine']</t>
        </is>
      </c>
      <c r="D1350" s="12" t="n"/>
      <c r="E1350" s="12" t="n"/>
    </row>
    <row r="1351" ht="15" customHeight="1">
      <c r="A1351" s="12" t="inlineStr">
        <is>
          <t>N6_methyladenine</t>
        </is>
      </c>
      <c r="B1351" s="12" t="inlineStr">
        <is>
          <t>http://identifiers.org/so/SO:0001920</t>
        </is>
      </c>
      <c r="C1351" s="12" t="inlineStr">
        <is>
          <t>['N6-methyl-N6-threonylcarbamoyladenosine', 'N6 methyl N6 threonylcarbamoyladenosine', 'm6t6A']</t>
        </is>
      </c>
      <c r="D1351" s="12" t="n"/>
      <c r="E1351" s="12" t="n"/>
    </row>
    <row r="1352" ht="15" customHeight="1">
      <c r="A1352" s="12" t="inlineStr">
        <is>
          <t>N6_methyladenosine</t>
        </is>
      </c>
      <c r="B1352" s="12" t="inlineStr">
        <is>
          <t>http://identifiers.org/so/SO:0001297</t>
        </is>
      </c>
      <c r="C1352" s="12" t="inlineStr">
        <is>
          <t>['6-mA', '6mA', '6-methyladenine', 'm-6A', 'm6a', 'N6-methyladenine']</t>
        </is>
      </c>
      <c r="D1352" s="12" t="n"/>
      <c r="E1352" s="12" t="n"/>
    </row>
    <row r="1353" ht="15" customHeight="1">
      <c r="A1353" s="12" t="inlineStr">
        <is>
          <t>N6_N6_2_prime_O_trimethyladenosine</t>
        </is>
      </c>
      <c r="B1353" s="12" t="inlineStr">
        <is>
          <t>http://identifiers.org/so/SO:0001313</t>
        </is>
      </c>
      <c r="C1353" s="12" t="inlineStr">
        <is>
          <t>['N6 methyladenosine', 'N6-methyladenosine', 'm6A']</t>
        </is>
      </c>
      <c r="D1353" s="12" t="n"/>
      <c r="E1353" s="12" t="n"/>
    </row>
    <row r="1354" ht="15" customHeight="1">
      <c r="A1354" s="12" t="inlineStr">
        <is>
          <t>N6_N6_dimethyladenosine</t>
        </is>
      </c>
      <c r="B1354" s="12" t="inlineStr">
        <is>
          <t>http://identifiers.org/so/SO:0001311</t>
        </is>
      </c>
      <c r="C1354" s="12" t="inlineStr">
        <is>
          <t>["N6,N6,2'-O-trimethyladenosine", 'm62Am']</t>
        </is>
      </c>
      <c r="D1354" s="12" t="n"/>
      <c r="E1354" s="12" t="n"/>
    </row>
    <row r="1355" ht="15" customHeight="1">
      <c r="A1355" s="12" t="inlineStr">
        <is>
          <t>N6_threonylcarbamoyladenosine</t>
        </is>
      </c>
      <c r="B1355" s="12" t="inlineStr">
        <is>
          <t>http://identifiers.org/so/SO:0001305</t>
        </is>
      </c>
      <c r="C1355" s="12" t="inlineStr">
        <is>
          <t>['m62A', 'N6,N6-dimethyladenosine']</t>
        </is>
      </c>
      <c r="D1355" s="12" t="n"/>
      <c r="E1355" s="12" t="n"/>
    </row>
    <row r="1356" ht="15" customHeight="1">
      <c r="A1356" s="12" t="inlineStr">
        <is>
          <t>natural</t>
        </is>
      </c>
      <c r="B1356" s="12" t="inlineStr">
        <is>
          <t>http://identifiers.org/so/SO:0000782</t>
        </is>
      </c>
      <c r="C1356" s="12" t="inlineStr">
        <is>
          <t>['t6A', 'N6 threonylcarbamoyladenosine', 'N6-threonylcarbamoyladenosine']</t>
        </is>
      </c>
      <c r="D1356" s="12" t="n"/>
      <c r="E1356" s="12" t="n"/>
    </row>
    <row r="1357" ht="15" customHeight="1">
      <c r="A1357" s="12" t="inlineStr">
        <is>
          <t>natural_plasmid</t>
        </is>
      </c>
      <c r="B1357" s="12" t="inlineStr">
        <is>
          <t>http://identifiers.org/so/SO:0001476</t>
        </is>
      </c>
      <c r="C1357" s="12" t="n"/>
      <c r="D1357" s="12" t="n"/>
      <c r="E1357" s="12" t="n"/>
    </row>
    <row r="1358" ht="15" customHeight="1">
      <c r="A1358" s="12" t="inlineStr">
        <is>
          <t>natural_transposable_element</t>
        </is>
      </c>
      <c r="B1358" s="12" t="inlineStr">
        <is>
          <t>http://identifiers.org/so/SO:0000797</t>
        </is>
      </c>
      <c r="C1358" s="12" t="inlineStr">
        <is>
          <t>['natural plasmid']</t>
        </is>
      </c>
      <c r="D1358" s="12" t="n"/>
      <c r="E1358" s="12" t="n"/>
    </row>
    <row r="1359" ht="15" customHeight="1">
      <c r="A1359" s="12" t="inlineStr">
        <is>
          <t>natural_variant_site</t>
        </is>
      </c>
      <c r="B1359" s="12" t="inlineStr">
        <is>
          <t>http://identifiers.org/so/SO:0001147</t>
        </is>
      </c>
      <c r="C1359" s="12" t="inlineStr">
        <is>
          <t>['natural transposable element']</t>
        </is>
      </c>
      <c r="D1359" s="12" t="n"/>
      <c r="E1359" s="12" t="n"/>
    </row>
    <row r="1360" ht="15" customHeight="1">
      <c r="A1360" s="12" t="inlineStr">
        <is>
          <t>nc_conserved_region</t>
        </is>
      </c>
      <c r="B1360" s="12" t="inlineStr">
        <is>
          <t>http://identifiers.org/so/SO:0000334</t>
        </is>
      </c>
      <c r="C1360" s="12" t="inlineStr">
        <is>
          <t>['sequence variation', 'natural_variant', 'variant']</t>
        </is>
      </c>
      <c r="D1360" s="12" t="n"/>
      <c r="E1360" s="12" t="n"/>
    </row>
    <row r="1361" ht="15" customHeight="1">
      <c r="A1361" s="12" t="inlineStr">
        <is>
          <t>nc_primary_transcript</t>
        </is>
      </c>
      <c r="B1361" s="12" t="inlineStr">
        <is>
          <t>http://identifiers.org/so/SO:0000483</t>
        </is>
      </c>
      <c r="C1361" s="12" t="inlineStr">
        <is>
          <t>['conserved non-coding element', 'nc conserved region', 'conserved non-coding sequence', 'noncoding conserved region']</t>
        </is>
      </c>
      <c r="D1361" s="12" t="n"/>
      <c r="E1361" s="12" t="n"/>
    </row>
    <row r="1362" ht="15" customHeight="1">
      <c r="A1362" s="12" t="inlineStr">
        <is>
          <t>ncRNA</t>
        </is>
      </c>
      <c r="B1362" s="12" t="inlineStr">
        <is>
          <t>http://identifiers.org/so/SO:0000655</t>
        </is>
      </c>
      <c r="C1362" s="12" t="inlineStr">
        <is>
          <t>['noncoding primary transcript', 'nc primary transcript']</t>
        </is>
      </c>
      <c r="D1362" s="12" t="n"/>
      <c r="E1362" s="12" t="n"/>
    </row>
    <row r="1363" ht="15" customHeight="1">
      <c r="A1363" s="12" t="inlineStr">
        <is>
          <t>ncRNA_gene</t>
        </is>
      </c>
      <c r="B1363" s="12" t="inlineStr">
        <is>
          <t>http://identifiers.org/so/SO:0001263</t>
        </is>
      </c>
      <c r="C1363" s="12" t="inlineStr">
        <is>
          <t>['INSDC_qualifier:other', 'noncoding RNA', 'known_ncrna']</t>
        </is>
      </c>
      <c r="D1363" s="12" t="n"/>
      <c r="E1363" s="12" t="n"/>
    </row>
    <row r="1364" ht="15" customHeight="1">
      <c r="A1364" s="12" t="inlineStr">
        <is>
          <t>NDM2_motif</t>
        </is>
      </c>
      <c r="B1364" s="12" t="inlineStr">
        <is>
          <t>http://identifiers.org/so/SO:0001167</t>
        </is>
      </c>
      <c r="C1364" s="12" t="inlineStr">
        <is>
          <t>['ncRNA gene', 'non-coding RNA gene']</t>
        </is>
      </c>
      <c r="D1364" s="12" t="n"/>
      <c r="E1364" s="12" t="n"/>
    </row>
    <row r="1365" ht="15" customHeight="1">
      <c r="A1365" s="12" t="inlineStr">
        <is>
          <t>NDM3_motif</t>
        </is>
      </c>
      <c r="B1365" s="12" t="inlineStr">
        <is>
          <t>http://identifiers.org/so/SO:0001168</t>
        </is>
      </c>
      <c r="C1365" s="12" t="inlineStr">
        <is>
          <t>['non directional promoter motif 2', 'NDM2 motif', 'NDM2']</t>
        </is>
      </c>
      <c r="D1365" s="12" t="n"/>
      <c r="E1365" s="12" t="n"/>
    </row>
    <row r="1366" ht="15" customHeight="1">
      <c r="A1366" s="12" t="inlineStr">
        <is>
          <t>negative_sense_ssRNA_viral_sequence</t>
        </is>
      </c>
      <c r="B1366" s="12" t="inlineStr">
        <is>
          <t>http://identifiers.org/so/SO:0001200</t>
        </is>
      </c>
      <c r="C1366" s="12" t="inlineStr">
        <is>
          <t>['NDM3 motif', 'non directional motif 3', 'NDM3']</t>
        </is>
      </c>
      <c r="D1366" s="12" t="n"/>
      <c r="E1366" s="12" t="n"/>
    </row>
    <row r="1367" ht="15" customHeight="1">
      <c r="A1367" s="12" t="inlineStr">
        <is>
          <t>negatively_autoregulated</t>
        </is>
      </c>
      <c r="B1367" s="12" t="inlineStr">
        <is>
          <t>http://identifiers.org/so/SO:0000473</t>
        </is>
      </c>
      <c r="C1367" s="12" t="inlineStr">
        <is>
          <t>['negative sense single stranded RNA virus', 'negative sense ssRNA viral sequence']</t>
        </is>
      </c>
      <c r="D1367" s="12" t="n"/>
      <c r="E1367" s="12" t="n"/>
    </row>
    <row r="1368" ht="15" customHeight="1">
      <c r="A1368" s="12" t="inlineStr">
        <is>
          <t>negatively_autoregulated_gene</t>
        </is>
      </c>
      <c r="B1368" s="12" t="inlineStr">
        <is>
          <t>http://identifiers.org/so/SO:0000891</t>
        </is>
      </c>
      <c r="C1368" s="12" t="inlineStr">
        <is>
          <t>['negatively autoregulated']</t>
        </is>
      </c>
      <c r="D1368" s="12" t="n"/>
      <c r="E1368" s="12" t="n"/>
    </row>
    <row r="1369" ht="15" customHeight="1">
      <c r="A1369" s="12" t="inlineStr">
        <is>
          <t>nested_region</t>
        </is>
      </c>
      <c r="B1369" s="12" t="inlineStr">
        <is>
          <t>http://identifiers.org/so/SO:0001051</t>
        </is>
      </c>
      <c r="C1369" s="12" t="inlineStr">
        <is>
          <t>['negatively autoregulated gene']</t>
        </is>
      </c>
      <c r="D1369" s="12" t="n"/>
      <c r="E1369" s="12" t="n"/>
    </row>
    <row r="1370" ht="15" customHeight="1">
      <c r="A1370" s="12" t="inlineStr">
        <is>
          <t>nested_repeat</t>
        </is>
      </c>
      <c r="B1370" s="12" t="inlineStr">
        <is>
          <t>http://identifiers.org/so/SO:0001649</t>
        </is>
      </c>
      <c r="C1370" s="12" t="n"/>
      <c r="D1370" s="12" t="n"/>
      <c r="E1370" s="12" t="n"/>
    </row>
    <row r="1371" ht="15" customHeight="1">
      <c r="A1371" s="12" t="inlineStr">
        <is>
          <t>nested_tandem_repeat</t>
        </is>
      </c>
      <c r="B1371" s="12" t="inlineStr">
        <is>
          <t>http://identifiers.org/so/SO:0001658</t>
        </is>
      </c>
      <c r="C1371" s="12" t="n"/>
      <c r="D1371" s="12" t="n"/>
      <c r="E1371" s="12" t="n"/>
    </row>
    <row r="1372" ht="15" customHeight="1">
      <c r="A1372" s="12" t="inlineStr">
        <is>
          <t>nested_transposon</t>
        </is>
      </c>
      <c r="B1372" s="12" t="inlineStr">
        <is>
          <t>http://identifiers.org/so/SO:0001053</t>
        </is>
      </c>
      <c r="C1372" s="12" t="inlineStr">
        <is>
          <t>['INSDC_feature:repeat_region', 'nested repeat', 'INSDC_qualifier:nested']</t>
        </is>
      </c>
      <c r="D1372" s="12" t="n"/>
      <c r="E1372" s="12" t="n"/>
    </row>
    <row r="1373" ht="15" customHeight="1">
      <c r="A1373" s="12" t="inlineStr">
        <is>
          <t>Ngaro_YR_retrotransposon</t>
        </is>
      </c>
      <c r="B1373" s="12" t="inlineStr">
        <is>
          <t>http://identifiers.org/so/SO:0002288</t>
        </is>
      </c>
      <c r="C1373" s="12" t="inlineStr">
        <is>
          <t>['NTR', 'nested tandem repeat']</t>
        </is>
      </c>
      <c r="D1373" s="12" t="n"/>
      <c r="E1373" s="12" t="n"/>
    </row>
    <row r="1374" ht="15" customHeight="1">
      <c r="A1374" s="12" t="inlineStr">
        <is>
          <t>NMD_polymorphic_pseudogene_transcript</t>
        </is>
      </c>
      <c r="B1374" s="12" t="inlineStr">
        <is>
          <t>http://identifiers.org/so/SO:0002118</t>
        </is>
      </c>
      <c r="C1374" s="12" t="n"/>
      <c r="D1374" s="12" t="n"/>
      <c r="E1374" s="12" t="n"/>
    </row>
    <row r="1375" ht="15" customHeight="1">
      <c r="A1375" s="12" t="inlineStr">
        <is>
          <t>NMD_transcript</t>
        </is>
      </c>
      <c r="B1375" s="12" t="inlineStr">
        <is>
          <t>http://identifiers.org/so/SO:0002114</t>
        </is>
      </c>
      <c r="C1375" s="12" t="inlineStr">
        <is>
          <t>['nested transposon']</t>
        </is>
      </c>
      <c r="D1375" s="12" t="n"/>
      <c r="E1375" s="12" t="n"/>
    </row>
    <row r="1376" ht="15" customHeight="1">
      <c r="A1376" s="12" t="inlineStr">
        <is>
          <t>NMD_transcript_variant</t>
        </is>
      </c>
      <c r="B1376" s="12" t="inlineStr">
        <is>
          <t>http://identifiers.org/so/SO:0001621</t>
        </is>
      </c>
      <c r="C1376" s="12" t="inlineStr">
        <is>
          <t>['Ngaro YR retrotransposon', 'Ngaro retrotransposon', 'RYN retrotransposon']</t>
        </is>
      </c>
      <c r="D1376" s="12" t="n"/>
      <c r="E1376" s="12" t="n"/>
    </row>
    <row r="1377" ht="15" customHeight="1">
      <c r="A1377" s="12" t="inlineStr">
        <is>
          <t>no_output</t>
        </is>
      </c>
      <c r="B1377" s="12" t="inlineStr">
        <is>
          <t>http://identifiers.org/so/SO:0100010</t>
        </is>
      </c>
      <c r="C1377" s="12" t="inlineStr">
        <is>
          <t>['nonsense_mediated_decay_polymorphic_pseudogene', 'NMD polymorphic pseudogene transcript']</t>
        </is>
      </c>
      <c r="D1377" s="12" t="n"/>
      <c r="E1377" s="12" t="n"/>
    </row>
    <row r="1378" ht="15" customHeight="1">
      <c r="A1378" s="12" t="inlineStr">
        <is>
          <t>no_sequence_alteration</t>
        </is>
      </c>
      <c r="B1378" s="12" t="inlineStr">
        <is>
          <t>http://identifiers.org/so/SO:0002073</t>
        </is>
      </c>
      <c r="C1378" s="12" t="inlineStr">
        <is>
          <t>['protein_coding_NMD', 'NMD transcript', 'nonsense mediated decay transcript']</t>
        </is>
      </c>
      <c r="D1378" s="12" t="n"/>
      <c r="E1378" s="12" t="n"/>
    </row>
    <row r="1379" ht="15" customHeight="1">
      <c r="A1379" s="12" t="inlineStr">
        <is>
          <t>non_adjacent_residues</t>
        </is>
      </c>
      <c r="B1379" s="12" t="inlineStr">
        <is>
          <t>http://identifiers.org/so/SO:0001083</t>
        </is>
      </c>
      <c r="C1379" s="12" t="inlineStr">
        <is>
          <t>['NMD transcript variant', 'NMD_transcript', 'VEP:NMD_transcript_variant', 'Nonsense mediated decay transcript variant']</t>
        </is>
      </c>
      <c r="D1379" s="12" t="n"/>
      <c r="E1379" s="12" t="n"/>
    </row>
    <row r="1380" ht="15" customHeight="1">
      <c r="A1380" s="12" t="inlineStr">
        <is>
          <t>non_allelic_homologous_recombination_region</t>
        </is>
      </c>
      <c r="B1380" s="12" t="inlineStr">
        <is>
          <t>http://identifiers.org/so/SO:0002094</t>
        </is>
      </c>
      <c r="C1380" s="12" t="inlineStr">
        <is>
          <t>['no output']</t>
        </is>
      </c>
      <c r="D1380" s="12" t="n"/>
      <c r="E1380" s="12" t="n"/>
    </row>
    <row r="1381" ht="15" customHeight="1">
      <c r="A1381" s="12" t="inlineStr">
        <is>
          <t>non_AUG_initiated_uORF</t>
        </is>
      </c>
      <c r="B1381" s="12" t="inlineStr">
        <is>
          <t>http://identifiers.org/so/SO:0002151</t>
        </is>
      </c>
      <c r="C1381" s="12" t="inlineStr">
        <is>
          <t>['no sequence alteration']</t>
        </is>
      </c>
      <c r="D1381" s="12" t="n"/>
      <c r="E1381" s="12" t="n"/>
    </row>
    <row r="1382" ht="15" customHeight="1">
      <c r="A1382" s="12" t="inlineStr">
        <is>
          <t>non_canonical_five_prime_splice_site</t>
        </is>
      </c>
      <c r="B1382" s="12" t="inlineStr">
        <is>
          <t>http://identifiers.org/so/SO:0000679</t>
        </is>
      </c>
      <c r="C1382" s="12" t="inlineStr">
        <is>
          <t>['non consecutive', 'non_cons']</t>
        </is>
      </c>
      <c r="D1382" s="12" t="n"/>
      <c r="E1382" s="12" t="n"/>
    </row>
    <row r="1383" ht="15" customHeight="1">
      <c r="A1383" s="12" t="inlineStr">
        <is>
          <t>non_canonical_splice_site</t>
        </is>
      </c>
      <c r="B1383" s="12" t="inlineStr">
        <is>
          <t>http://identifiers.org/so/SO:0000674</t>
        </is>
      </c>
      <c r="C1383" s="12" t="inlineStr">
        <is>
          <t>['INSDC_qualifier:non_allelic_homologous', 'INSDC_feature:misc_recomb', 'NAHRR', 'INSDC_qualifier:non_allelic_homologous_recombination', 'non allelic homologous recombination region']</t>
        </is>
      </c>
      <c r="D1383" s="12" t="n"/>
      <c r="E1383" s="12" t="n"/>
    </row>
    <row r="1384" ht="15" customHeight="1">
      <c r="A1384" s="12" t="inlineStr">
        <is>
          <t>non_canonical_start_codon</t>
        </is>
      </c>
      <c r="B1384" s="12" t="inlineStr">
        <is>
          <t>http://identifiers.org/so/SO:0000680</t>
        </is>
      </c>
      <c r="C1384" s="12" t="inlineStr">
        <is>
          <t>['non AUG initiated uORF']</t>
        </is>
      </c>
      <c r="D1384" s="12" t="n"/>
      <c r="E1384" s="12" t="n"/>
    </row>
    <row r="1385" ht="15" customHeight="1">
      <c r="A1385" s="12" t="inlineStr">
        <is>
          <t>non_canonical_three_prime_splice_site</t>
        </is>
      </c>
      <c r="B1385" s="12" t="inlineStr">
        <is>
          <t>http://identifiers.org/so/SO:0000678</t>
        </is>
      </c>
      <c r="C1385" s="12" t="inlineStr">
        <is>
          <t>['non-canonical five prime splice site', "non canonical 5' splice site", 'non canonical five prime splice site']</t>
        </is>
      </c>
      <c r="D1385" s="12" t="n"/>
      <c r="E1385" s="12" t="n"/>
    </row>
    <row r="1386" ht="15" customHeight="1">
      <c r="A1386" s="12" t="inlineStr">
        <is>
          <t>non_capped_primary_transcript</t>
        </is>
      </c>
      <c r="B1386" s="12" t="inlineStr">
        <is>
          <t>http://identifiers.org/so/SO:0000106</t>
        </is>
      </c>
      <c r="C1386" s="12" t="inlineStr">
        <is>
          <t>['non-canonical splice site', 'non canonical splice site']</t>
        </is>
      </c>
      <c r="D1386" s="12" t="n"/>
      <c r="E1386" s="12" t="n"/>
    </row>
    <row r="1387" ht="15" customHeight="1">
      <c r="A1387" s="12" t="inlineStr">
        <is>
          <t>non_coding_transcript_exon_variant</t>
        </is>
      </c>
      <c r="B1387" s="12" t="inlineStr">
        <is>
          <t>http://identifiers.org/so/SO:0001792</t>
        </is>
      </c>
      <c r="C1387" s="12" t="inlineStr">
        <is>
          <t>['non-canonical start codon', 'non ATG start codon', 'non canonical start codon']</t>
        </is>
      </c>
      <c r="D1387" s="12" t="n"/>
      <c r="E1387" s="12" t="n"/>
    </row>
    <row r="1388" ht="15" customHeight="1">
      <c r="A1388" s="12" t="inlineStr">
        <is>
          <t>non_coding_transcript_intron_variant</t>
        </is>
      </c>
      <c r="B1388" s="12" t="inlineStr">
        <is>
          <t>http://identifiers.org/so/SO:0001970</t>
        </is>
      </c>
      <c r="C1388" s="12" t="inlineStr">
        <is>
          <t>['non canonical three prime splice site', "non canonical 3' splice site", 'non-canonical three prime splice site']</t>
        </is>
      </c>
      <c r="D1388" s="12" t="n"/>
      <c r="E1388" s="12" t="n"/>
    </row>
    <row r="1389" ht="15" customHeight="1">
      <c r="A1389" s="12" t="inlineStr">
        <is>
          <t>non_coding_transcript_splice_region_variant</t>
        </is>
      </c>
      <c r="B1389" s="12" t="inlineStr">
        <is>
          <t>http://identifiers.org/so/SO:0002088</t>
        </is>
      </c>
      <c r="C1389" s="12" t="n"/>
      <c r="D1389" s="12" t="n"/>
      <c r="E1389" s="12" t="n"/>
    </row>
    <row r="1390" ht="15" customHeight="1">
      <c r="A1390" s="12" t="inlineStr">
        <is>
          <t>non_coding_transcript_variant</t>
        </is>
      </c>
      <c r="B1390" s="12" t="inlineStr">
        <is>
          <t>http://identifiers.org/so/SO:0001619</t>
        </is>
      </c>
      <c r="C1390" s="12" t="inlineStr">
        <is>
      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      </is>
      </c>
      <c r="D1390" s="12" t="n"/>
      <c r="E1390" s="12" t="n"/>
    </row>
    <row r="1391" ht="15" customHeight="1">
      <c r="A1391" s="12" t="inlineStr">
        <is>
          <t>non_complimentary_stem</t>
        </is>
      </c>
      <c r="B1391" s="12" t="inlineStr">
        <is>
          <t>http://identifiers.org/so/SO:0002256</t>
        </is>
      </c>
      <c r="C1391" s="12" t="inlineStr">
        <is>
          <t>['ANNOVAR:ncRNA_intronic', 'non coding transcript intron variant', 'Jannovar:non_coding_transcript_intron_variant']</t>
        </is>
      </c>
      <c r="D1391" s="12" t="n"/>
      <c r="E1391" s="12" t="n"/>
    </row>
    <row r="1392" ht="15" customHeight="1">
      <c r="A1392" s="12" t="inlineStr">
        <is>
          <t>non_conservative_amino_acid_substitution</t>
        </is>
      </c>
      <c r="B1392" s="12" t="inlineStr">
        <is>
          <t>http://identifiers.org/so/SO:0001608</t>
        </is>
      </c>
      <c r="C1392" s="12" t="inlineStr">
        <is>
          <t>['ANNOVAR:ncRNA_splicing']</t>
        </is>
      </c>
      <c r="D1392" s="12" t="n"/>
      <c r="E1392" s="12" t="n"/>
    </row>
    <row r="1393" ht="15" customHeight="1">
      <c r="A1393" s="12" t="inlineStr">
        <is>
          <t>non_conservative_missense_variant</t>
        </is>
      </c>
      <c r="B1393" s="12" t="inlineStr">
        <is>
          <t>http://identifiers.org/so/SO:0001586</t>
        </is>
      </c>
      <c r="C1393" s="12" t="inlineStr">
        <is>
          <t>['Jannovar:non_coding_transcript_variant', 'nc transcript variant', 'within_non_coding_gene', 'non coding transcript variant', 'VEP:non_coding_transcript_variant', 'ANNOVAR:ncRNA']</t>
        </is>
      </c>
      <c r="D1393" s="12" t="n"/>
      <c r="E1393" s="12" t="n"/>
    </row>
    <row r="1394" ht="15" customHeight="1">
      <c r="A1394" s="12" t="inlineStr">
        <is>
          <t>non_covalent_binding_site</t>
        </is>
      </c>
      <c r="B1394" s="12" t="inlineStr">
        <is>
          <t>http://identifiers.org/so/SO:0001091</t>
        </is>
      </c>
      <c r="C1394" s="12" t="inlineStr">
        <is>
          <t>['noncomplimentary stem', 'non-complimentary stem']</t>
        </is>
      </c>
      <c r="D1394" s="12" t="n"/>
      <c r="E1394" s="12" t="n"/>
    </row>
    <row r="1395" ht="15" customHeight="1">
      <c r="A1395" s="12" t="inlineStr">
        <is>
          <t>non_cytoplasmic_polypeptide_region</t>
        </is>
      </c>
      <c r="B1395" s="12" t="inlineStr">
        <is>
          <t>http://identifiers.org/so/SO:0001074</t>
        </is>
      </c>
      <c r="C1395" s="12" t="inlineStr">
        <is>
          <t>['non conservative amino acid substitution']</t>
        </is>
      </c>
      <c r="D1395" s="12" t="n"/>
      <c r="E1395" s="12" t="n"/>
    </row>
    <row r="1396" ht="15" customHeight="1">
      <c r="A1396" s="12" t="inlineStr">
        <is>
          <t>non_LTR_retrotransposon</t>
        </is>
      </c>
      <c r="B1396" s="12" t="inlineStr">
        <is>
          <t>http://identifiers.org/so/SO:0000189</t>
        </is>
      </c>
      <c r="C1396" s="12" t="inlineStr">
        <is>
          <t>['binding site', 'binding', 'non covalent binding site']</t>
        </is>
      </c>
      <c r="D1396" s="12" t="n"/>
      <c r="E1396" s="12" t="n"/>
    </row>
    <row r="1397" ht="15" customHeight="1">
      <c r="A1397" s="12" t="inlineStr">
        <is>
          <t>non_LTR_retrotransposon_polymeric_tract</t>
        </is>
      </c>
      <c r="B1397" s="12" t="inlineStr">
        <is>
          <t>http://identifiers.org/so/SO:0000433</t>
        </is>
      </c>
      <c r="C1397" s="12" t="inlineStr">
        <is>
          <t>['non_cytoplasm_location', 'outside', 'non cytoplasmic polypeptide region']</t>
        </is>
      </c>
      <c r="D1397" s="12" t="n"/>
      <c r="E1397" s="12" t="n"/>
    </row>
    <row r="1398" ht="15" customHeight="1">
      <c r="A1398" s="12" t="inlineStr">
        <is>
          <t>non_processed_pseudogene</t>
        </is>
      </c>
      <c r="B1398" s="12" t="inlineStr">
        <is>
          <t>http://identifiers.org/so/SO:0001760</t>
        </is>
      </c>
      <c r="C1398" s="12" t="n"/>
      <c r="D1398" s="12" t="n"/>
      <c r="E1398" s="12" t="n"/>
    </row>
    <row r="1399" ht="15" customHeight="1">
      <c r="A1399" s="12" t="inlineStr">
        <is>
          <t>non_protein_coding</t>
        </is>
      </c>
      <c r="B1399" s="12" t="inlineStr">
        <is>
          <t>http://identifiers.org/so/SO:0000011</t>
        </is>
      </c>
      <c r="C1399" s="12" t="inlineStr">
        <is>
          <t>['non LTR retrotransposon']</t>
        </is>
      </c>
      <c r="D1399" s="12" t="n"/>
      <c r="E1399" s="12" t="n"/>
    </row>
    <row r="1400" ht="15" customHeight="1">
      <c r="A1400" s="12" t="inlineStr">
        <is>
          <t>non_synonymous</t>
        </is>
      </c>
      <c r="B1400" s="12" t="inlineStr">
        <is>
          <t>http://identifiers.org/so/SO:0001816</t>
        </is>
      </c>
      <c r="C1400" s="12" t="inlineStr">
        <is>
          <t>['INSDC_qualifier:non_ltr_retrotransposon_polymeric_tract', 'non LTR retrotransposon polymeric tract', 'INSDC_feature:repeat_region']</t>
        </is>
      </c>
      <c r="D1400" s="12" t="n"/>
      <c r="E1400" s="12" t="n"/>
    </row>
    <row r="1401" ht="15" customHeight="1">
      <c r="A1401" s="12" t="inlineStr">
        <is>
          <t>non_terminal_residue</t>
        </is>
      </c>
      <c r="B1401" s="12" t="inlineStr">
        <is>
          <t>http://identifiers.org/so/SO:0001084</t>
        </is>
      </c>
      <c r="C1401" s="12" t="inlineStr">
        <is>
          <t>['unprocessed pseudogene', 'INSDC_feature:gene', 'non processed pseudogene', 'INSDC_qualifier:unprocessed', 'unprocessed_pseudogene']</t>
        </is>
      </c>
      <c r="D1401" s="12" t="n"/>
      <c r="E1401" s="12" t="n"/>
    </row>
    <row r="1402" ht="15" customHeight="1">
      <c r="A1402" s="12" t="inlineStr">
        <is>
          <t>non_transcribed_region</t>
        </is>
      </c>
      <c r="B1402" s="12" t="inlineStr">
        <is>
          <t>http://identifiers.org/so/SO:0000183</t>
        </is>
      </c>
      <c r="C1402" s="12" t="inlineStr">
        <is>
          <t>['non protein-coding']</t>
        </is>
      </c>
      <c r="D1402" s="12" t="n"/>
      <c r="E1402" s="12" t="n"/>
    </row>
    <row r="1403" ht="15" customHeight="1">
      <c r="A1403" s="12" t="inlineStr">
        <is>
          <t>nonamer_of_recombination_feature_of_vertebrate_immune_system_gene</t>
        </is>
      </c>
      <c r="B1403" s="12" t="inlineStr">
        <is>
          <t>http://identifiers.org/so/SO:0000562</t>
        </is>
      </c>
      <c r="C1403" s="12" t="inlineStr">
        <is>
          <t>['non synonymous']</t>
        </is>
      </c>
      <c r="D1403" s="12" t="n"/>
      <c r="E1403" s="12" t="n"/>
    </row>
    <row r="1404" ht="15" customHeight="1">
      <c r="A1404" s="12" t="inlineStr">
        <is>
          <t>noncoding_exon</t>
        </is>
      </c>
      <c r="B1404" s="12" t="inlineStr">
        <is>
          <t>http://identifiers.org/so/SO:0000198</t>
        </is>
      </c>
      <c r="C1404" s="12" t="inlineStr">
        <is>
          <t>['non_ter', 'non terminal']</t>
        </is>
      </c>
      <c r="D1404" s="12" t="n"/>
      <c r="E1404" s="12" t="n"/>
    </row>
    <row r="1405" ht="15" customHeight="1">
      <c r="A1405" s="12" t="inlineStr">
        <is>
          <t>noncoding_region_of_exon</t>
        </is>
      </c>
      <c r="B1405" s="12" t="inlineStr">
        <is>
          <t>http://identifiers.org/so/SO:0001214</t>
        </is>
      </c>
      <c r="C1405" s="12" t="inlineStr">
        <is>
          <t>['non transcribed region', 'nontranscribed sequence', 'nontranscribed region', 'non-transcribed sequence']</t>
        </is>
      </c>
      <c r="D1405" s="12" t="n"/>
      <c r="E1405" s="12" t="n"/>
    </row>
    <row r="1406" ht="15" customHeight="1">
      <c r="A1406" s="12" t="inlineStr">
        <is>
          <t>noncontiguous_finished</t>
        </is>
      </c>
      <c r="B1406" s="12" t="inlineStr">
        <is>
          <t>http://identifiers.org/so/SO:0001490</t>
        </is>
      </c>
      <c r="C1406" s="12" t="inlineStr">
        <is>
          <t>['nonamer of recombination feature of vertebrate immune system gene']</t>
        </is>
      </c>
      <c r="D1406" s="12" t="n"/>
      <c r="E1406" s="12" t="n"/>
    </row>
    <row r="1407" ht="15" customHeight="1">
      <c r="A1407" s="12" t="inlineStr">
        <is>
          <t>nonsynonymous_variant</t>
        </is>
      </c>
      <c r="B1407" s="12" t="inlineStr">
        <is>
          <t>http://identifiers.org/so/SO:0001992</t>
        </is>
      </c>
      <c r="C1407" s="12" t="inlineStr">
        <is>
          <t>['noncoding exon']</t>
        </is>
      </c>
      <c r="D1407" s="12" t="n"/>
      <c r="E1407" s="12" t="n"/>
    </row>
    <row r="1408" ht="15" customHeight="1">
      <c r="A1408" s="12" t="inlineStr">
        <is>
          <t>novel_sequence_insertion</t>
        </is>
      </c>
      <c r="B1408" s="12" t="inlineStr">
        <is>
          <t>http://identifiers.org/so/SO:0001838</t>
        </is>
      </c>
      <c r="C1408" s="12" t="inlineStr">
        <is>
          <t>['noncoding region of exon']</t>
        </is>
      </c>
      <c r="D1408" s="12" t="n"/>
      <c r="E1408" s="12" t="n"/>
    </row>
    <row r="1409" ht="15" customHeight="1">
      <c r="A1409" s="12" t="inlineStr">
        <is>
          <t>NSD_transcript</t>
        </is>
      </c>
      <c r="B1409" s="12" t="inlineStr">
        <is>
          <t>http://identifiers.org/so/SO:0002130</t>
        </is>
      </c>
      <c r="C1409" s="12" t="inlineStr">
        <is>
          <t>['non contiguous finished']</t>
        </is>
      </c>
      <c r="D1409" s="12" t="n"/>
      <c r="E1409" s="12" t="n"/>
    </row>
    <row r="1410" ht="15" customHeight="1">
      <c r="A1410" s="12" t="inlineStr">
        <is>
          <t>nuclear_chromosome</t>
        </is>
      </c>
      <c r="B1410" s="12" t="inlineStr">
        <is>
          <t>http://identifiers.org/so/SO:0000828</t>
        </is>
      </c>
      <c r="C1410" s="12" t="inlineStr">
        <is>
          <t>['non_synonymous_coding', 'nonsynonymous variant']</t>
        </is>
      </c>
      <c r="D1410" s="12" t="n"/>
      <c r="E1410" s="12" t="n"/>
    </row>
    <row r="1411" ht="15" customHeight="1">
      <c r="A1411" s="12" t="inlineStr">
        <is>
          <t>nuclear_export_signal</t>
        </is>
      </c>
      <c r="B1411" s="12" t="inlineStr">
        <is>
          <t>http://identifiers.org/so/SO:0001531</t>
        </is>
      </c>
      <c r="C1411" s="12" t="inlineStr">
        <is>
          <t>['novel sequence insertion']</t>
        </is>
      </c>
      <c r="D1411" s="12" t="n"/>
      <c r="E1411" s="12" t="n"/>
    </row>
    <row r="1412" ht="15" customHeight="1">
      <c r="A1412" s="12" t="inlineStr">
        <is>
          <t>nuclear_gene</t>
        </is>
      </c>
      <c r="B1412" s="12" t="inlineStr">
        <is>
          <t>http://identifiers.org/so/SO:0000087</t>
        </is>
      </c>
      <c r="C1412" s="12" t="inlineStr">
        <is>
          <t>['non_stop_decay_transcript']</t>
        </is>
      </c>
      <c r="D1412" s="12" t="n"/>
      <c r="E1412" s="12" t="n"/>
    </row>
    <row r="1413" ht="15" customHeight="1">
      <c r="A1413" s="12" t="inlineStr">
        <is>
          <t>nuclear_localization_signal</t>
        </is>
      </c>
      <c r="B1413" s="12" t="inlineStr">
        <is>
          <t>http://identifiers.org/so/SO:0001528</t>
        </is>
      </c>
      <c r="C1413" s="12" t="inlineStr">
        <is>
          <t>['nuclear chromosome']</t>
        </is>
      </c>
      <c r="D1413" s="12" t="n"/>
      <c r="E1413" s="12" t="n"/>
    </row>
    <row r="1414" ht="15" customHeight="1">
      <c r="A1414" s="12" t="inlineStr">
        <is>
          <t>nuclear_mitochondrial</t>
        </is>
      </c>
      <c r="B1414" s="12" t="inlineStr">
        <is>
          <t>http://identifiers.org/so/SO:0000899</t>
        </is>
      </c>
      <c r="C1414" s="12" t="inlineStr">
        <is>
          <t>['nuclear export signal', 'NES']</t>
        </is>
      </c>
      <c r="D1414" s="12" t="n"/>
      <c r="E1414" s="12" t="n"/>
    </row>
    <row r="1415" ht="15" customHeight="1">
      <c r="A1415" s="12" t="inlineStr">
        <is>
          <t>nuclear_mt_pseudogene</t>
        </is>
      </c>
      <c r="B1415" s="12" t="inlineStr">
        <is>
          <t>http://identifiers.org/so/SO:0001044</t>
        </is>
      </c>
      <c r="C1415" s="12" t="inlineStr">
        <is>
          <t>['nuclear gene']</t>
        </is>
      </c>
      <c r="D1415" s="12" t="n"/>
      <c r="E1415" s="12" t="n"/>
    </row>
    <row r="1416" ht="15" customHeight="1">
      <c r="A1416" s="12" t="inlineStr">
        <is>
          <t>nuclear_rim_localization_signal</t>
        </is>
      </c>
      <c r="B1416" s="12" t="inlineStr">
        <is>
          <t>http://identifiers.org/so/SO:0001534</t>
        </is>
      </c>
      <c r="C1416" s="12" t="inlineStr">
        <is>
          <t>['NLS']</t>
        </is>
      </c>
      <c r="D1416" s="12" t="n"/>
      <c r="E1416" s="12" t="n"/>
    </row>
    <row r="1417" ht="15" customHeight="1">
      <c r="A1417" s="12" t="inlineStr">
        <is>
          <t>nuclear_sequence</t>
        </is>
      </c>
      <c r="B1417" s="12" t="inlineStr">
        <is>
          <t>http://identifiers.org/so/SO:0000738</t>
        </is>
      </c>
      <c r="C1417" s="12" t="inlineStr">
        <is>
          <t>['nuclear mitochondrial']</t>
        </is>
      </c>
      <c r="D1417" s="12" t="n"/>
      <c r="E1417" s="12" t="n"/>
    </row>
    <row r="1418" ht="15" customHeight="1">
      <c r="A1418" s="12" t="inlineStr">
        <is>
          <t>nuclease_binding_site</t>
        </is>
      </c>
      <c r="B1418" s="12" t="inlineStr">
        <is>
          <t>http://identifiers.org/so/SO:0000059</t>
        </is>
      </c>
      <c r="C1418" s="12" t="inlineStr">
        <is>
          <t>['NUMT', 'nuclear mt pseudogene', 'nuclear mitochondrial pseudogene']</t>
        </is>
      </c>
      <c r="D1418" s="12" t="n"/>
      <c r="E1418" s="12" t="n"/>
    </row>
    <row r="1419" ht="15" customHeight="1">
      <c r="A1419" s="12" t="inlineStr">
        <is>
          <t>nuclease_hypersensitive_site</t>
        </is>
      </c>
      <c r="B1419" s="12" t="inlineStr">
        <is>
          <t>http://identifiers.org/so/SO:0000322</t>
        </is>
      </c>
      <c r="C1419" s="12" t="inlineStr">
        <is>
          <t>['nuclear rim localization signal']</t>
        </is>
      </c>
      <c r="D1419" s="12" t="n"/>
      <c r="E1419" s="12" t="n"/>
    </row>
    <row r="1420" ht="15" customHeight="1">
      <c r="A1420" s="12" t="inlineStr">
        <is>
          <t>nuclease_sensitive_site</t>
        </is>
      </c>
      <c r="B1420" s="12" t="inlineStr">
        <is>
          <t>http://identifiers.org/so/SO:0000684</t>
        </is>
      </c>
      <c r="C1420" s="12" t="inlineStr">
        <is>
          <t>['nuclear sequence']</t>
        </is>
      </c>
      <c r="D1420" s="12" t="n"/>
      <c r="E1420" s="12" t="n"/>
    </row>
    <row r="1421" ht="15" customHeight="1">
      <c r="A1421" s="12" t="inlineStr">
        <is>
          <t>nucleic_acid</t>
        </is>
      </c>
      <c r="B1421" s="12" t="inlineStr">
        <is>
          <t>http://identifiers.org/so/SO:0000348</t>
        </is>
      </c>
      <c r="C1421" s="12" t="inlineStr">
        <is>
          <t>['nuclease binding site']</t>
        </is>
      </c>
      <c r="D1421" s="12" t="n"/>
      <c r="E1421" s="12" t="n"/>
    </row>
    <row r="1422" ht="15" customHeight="1">
      <c r="A1422" s="12" t="inlineStr">
        <is>
          <t>nucleomorph_gene</t>
        </is>
      </c>
      <c r="B1422" s="12" t="inlineStr">
        <is>
          <t>http://identifiers.org/so/SO:0000097</t>
        </is>
      </c>
      <c r="C1422" s="12" t="inlineStr">
        <is>
          <t>['nuclease hypersensitive site']</t>
        </is>
      </c>
      <c r="D1422" s="12" t="n"/>
      <c r="E1422" s="12" t="n"/>
    </row>
    <row r="1423" ht="15" customHeight="1">
      <c r="A1423" s="12" t="inlineStr">
        <is>
          <t>nucleomorphic_chromosome</t>
        </is>
      </c>
      <c r="B1423" s="12" t="inlineStr">
        <is>
          <t>http://identifiers.org/so/SO:0000829</t>
        </is>
      </c>
      <c r="C1423" s="12" t="inlineStr">
        <is>
          <t>['nuclease sensitive site']</t>
        </is>
      </c>
      <c r="D1423" s="12" t="n"/>
      <c r="E1423" s="12" t="n"/>
    </row>
    <row r="1424" ht="15" customHeight="1">
      <c r="A1424" s="12" t="inlineStr">
        <is>
          <t>nucleomorphic_sequence</t>
        </is>
      </c>
      <c r="B1424" s="12" t="inlineStr">
        <is>
          <t>http://identifiers.org/so/SO:0000739</t>
        </is>
      </c>
      <c r="C1424" s="12" t="inlineStr">
        <is>
          <t>['nucleic acid']</t>
        </is>
      </c>
      <c r="D1424" s="12" t="n"/>
      <c r="E1424" s="12" t="n"/>
    </row>
    <row r="1425" ht="15" customHeight="1">
      <c r="A1425" s="12" t="inlineStr">
        <is>
          <t>nucleotide_binding_site</t>
        </is>
      </c>
      <c r="B1425" s="12" t="inlineStr">
        <is>
          <t>http://identifiers.org/so/SO:0001655</t>
        </is>
      </c>
      <c r="C1425" s="12" t="inlineStr">
        <is>
          <t>['nucleomorph gene']</t>
        </is>
      </c>
      <c r="D1425" s="12" t="n"/>
      <c r="E1425" s="12" t="n"/>
    </row>
    <row r="1426" ht="15" customHeight="1">
      <c r="A1426" s="12" t="inlineStr">
        <is>
          <t>nucleotide_cleavage_site</t>
        </is>
      </c>
      <c r="B1426" s="12" t="inlineStr">
        <is>
          <t>http://identifiers.org/so/SO:0002204</t>
        </is>
      </c>
      <c r="C1426" s="12" t="inlineStr">
        <is>
          <t>['nucleomorphic chromosome']</t>
        </is>
      </c>
      <c r="D1426" s="12" t="n"/>
      <c r="E1426" s="12" t="n"/>
    </row>
    <row r="1427" ht="15" customHeight="1">
      <c r="A1427" s="12" t="inlineStr">
        <is>
          <t>nucleotide_match</t>
        </is>
      </c>
      <c r="B1427" s="12" t="inlineStr">
        <is>
          <t>http://identifiers.org/so/SO:0000347</t>
        </is>
      </c>
      <c r="C1427" s="12" t="inlineStr">
        <is>
          <t>['nucleomorphic sequence']</t>
        </is>
      </c>
      <c r="D1427" s="12" t="n"/>
      <c r="E1427" s="12" t="n"/>
    </row>
    <row r="1428" ht="15" customHeight="1">
      <c r="A1428" s="12" t="inlineStr">
        <is>
          <t>nucleotide_motif</t>
        </is>
      </c>
      <c r="B1428" s="12" t="inlineStr">
        <is>
          <t>http://identifiers.org/so/SO:0000714</t>
        </is>
      </c>
      <c r="C1428" s="12" t="inlineStr">
        <is>
          <t>['np_bind', 'nucleotide binding site']</t>
        </is>
      </c>
      <c r="D1428" s="12" t="n"/>
      <c r="E1428" s="12" t="n"/>
    </row>
    <row r="1429" ht="15" customHeight="1">
      <c r="A1429" s="12" t="inlineStr">
        <is>
          <t>nucleotide_to_protein_binding_site</t>
        </is>
      </c>
      <c r="B1429" s="12" t="inlineStr">
        <is>
          <t>http://identifiers.org/so/SO:0001654</t>
        </is>
      </c>
      <c r="C1429" s="12" t="inlineStr">
        <is>
          <t>['INSDC_feature:misc_feature', 'nucleotide cleavage site', 'INSDC_note:nucleotide_cleavage_site']</t>
        </is>
      </c>
      <c r="D1429" s="12" t="n"/>
      <c r="E1429" s="12" t="n"/>
    </row>
    <row r="1430" ht="15" customHeight="1">
      <c r="A1430" s="12" t="inlineStr">
        <is>
          <t>null_mutation</t>
        </is>
      </c>
      <c r="B1430" s="12" t="inlineStr">
        <is>
          <t>http://identifiers.org/so/SO:0002055</t>
        </is>
      </c>
      <c r="C1430" s="12" t="inlineStr">
        <is>
          <t>['nucleotide match']</t>
        </is>
      </c>
      <c r="D1430" s="12" t="n"/>
      <c r="E1430" s="12" t="n"/>
    </row>
    <row r="1431" ht="15" customHeight="1">
      <c r="A1431" s="12" t="inlineStr">
        <is>
          <t>octamer_motif</t>
        </is>
      </c>
      <c r="B1431" s="12" t="inlineStr">
        <is>
          <t>http://identifiers.org/so/SO:0001258</t>
        </is>
      </c>
      <c r="C1431" s="12" t="inlineStr">
        <is>
          <t>['INSDC_feature:misc_feature', 'INSDC_note:nucleotide_motif', 'nucleotide motif']</t>
        </is>
      </c>
      <c r="D1431" s="12" t="n"/>
      <c r="E1431" s="12" t="n"/>
    </row>
    <row r="1432" ht="15" customHeight="1">
      <c r="A1432" s="12" t="inlineStr">
        <is>
          <t>Okazaki_fragment</t>
        </is>
      </c>
      <c r="B1432" s="12" t="inlineStr">
        <is>
          <t>http://identifiers.org/so/SO:0001985</t>
        </is>
      </c>
      <c r="C1432" s="12" t="inlineStr">
        <is>
          <t>['nucleotide to protein binding site']</t>
        </is>
      </c>
      <c r="D1432" s="12" t="n"/>
      <c r="E1432" s="12" t="n"/>
    </row>
    <row r="1433" ht="15" customHeight="1">
      <c r="A1433" s="12" t="inlineStr">
        <is>
          <t>oligo</t>
        </is>
      </c>
      <c r="B1433" s="12" t="inlineStr">
        <is>
          <t>http://identifiers.org/so/SO:0000696</t>
        </is>
      </c>
      <c r="C1433" s="12" t="inlineStr">
        <is>
          <t>['null mutation']</t>
        </is>
      </c>
      <c r="D1433" s="12" t="n"/>
      <c r="E1433" s="12" t="n"/>
    </row>
    <row r="1434" ht="15" customHeight="1">
      <c r="A1434" s="12" t="inlineStr">
        <is>
          <t>oligo_U_tail</t>
        </is>
      </c>
      <c r="B1434" s="12" t="inlineStr">
        <is>
          <t>http://identifiers.org/so/SO:0000609</t>
        </is>
      </c>
      <c r="C1434" s="12" t="inlineStr">
        <is>
          <t>['octamer motif']</t>
        </is>
      </c>
      <c r="D1434" s="12" t="n"/>
      <c r="E1434" s="12" t="n"/>
    </row>
    <row r="1435" ht="15" customHeight="1">
      <c r="A1435" s="12" t="inlineStr">
        <is>
          <t>one_methyl_three_three_amino_three_carboxypropyl_pseudouridine</t>
        </is>
      </c>
      <c r="B1435" s="12" t="inlineStr">
        <is>
          <t>http://identifiers.org/so/SO:0001373</t>
        </is>
      </c>
      <c r="C1435" s="12" t="inlineStr">
        <is>
          <t>['Okazaki fragment']</t>
        </is>
      </c>
      <c r="D1435" s="12" t="n"/>
      <c r="E1435" s="12" t="n"/>
    </row>
    <row r="1436" ht="15" customHeight="1">
      <c r="A1436" s="12" t="inlineStr">
        <is>
          <t>one_methyladenosine</t>
        </is>
      </c>
      <c r="B1436" s="12" t="inlineStr">
        <is>
          <t>http://identifiers.org/so/SO:0001295</t>
        </is>
      </c>
      <c r="C1436" s="12" t="inlineStr">
        <is>
          <t>['oligonucleotide']</t>
        </is>
      </c>
      <c r="D1436" s="12" t="n"/>
      <c r="E1436" s="12" t="n"/>
    </row>
    <row r="1437" ht="15" customHeight="1">
      <c r="A1437" s="12" t="inlineStr">
        <is>
          <t>one_methylguanosine</t>
        </is>
      </c>
      <c r="B1437" s="12" t="inlineStr">
        <is>
          <t>http://identifiers.org/so/SO:0001324</t>
        </is>
      </c>
      <c r="C1437" s="12" t="inlineStr">
        <is>
          <t>['oligo U tail']</t>
        </is>
      </c>
      <c r="D1437" s="12" t="n"/>
      <c r="E1437" s="12" t="n"/>
    </row>
    <row r="1438" ht="15" customHeight="1">
      <c r="A1438" s="12" t="inlineStr">
        <is>
          <t>one_methylinosine</t>
        </is>
      </c>
      <c r="B1438" s="12" t="inlineStr">
        <is>
          <t>http://identifiers.org/so/SO:0001278</t>
        </is>
      </c>
      <c r="C1438" s="12" t="inlineStr">
        <is>
          <t>['m1acp3Y', '1-methyl-3-(3-amino-3-carboxypropyl) pseudouridine']</t>
        </is>
      </c>
      <c r="D1438" s="12" t="n"/>
      <c r="E1438" s="12" t="n"/>
    </row>
    <row r="1439" ht="15" customHeight="1">
      <c r="A1439" s="12" t="inlineStr">
        <is>
          <t>one_methylpseudouridine</t>
        </is>
      </c>
      <c r="B1439" s="12" t="inlineStr">
        <is>
          <t>http://identifiers.org/so/SO:0001347</t>
        </is>
      </c>
      <c r="C1439" s="12" t="inlineStr">
        <is>
          <t>['one methyladenosine', 'm1A', '1-methyladenosine']</t>
        </is>
      </c>
      <c r="D1439" s="12" t="n"/>
      <c r="E1439" s="12" t="n"/>
    </row>
    <row r="1440" ht="15" customHeight="1">
      <c r="A1440" s="12" t="inlineStr">
        <is>
          <t>one_two_prime_O_dimethyladenosine</t>
        </is>
      </c>
      <c r="B1440" s="12" t="inlineStr">
        <is>
          <t>http://identifiers.org/so/SO:0001314</t>
        </is>
      </c>
      <c r="C1440" s="12" t="inlineStr">
        <is>
          <t>['1-methylguanosine', 'm1G', 'one methylguanosine']</t>
        </is>
      </c>
      <c r="D1440" s="12" t="n"/>
      <c r="E1440" s="12" t="n"/>
    </row>
    <row r="1441" ht="15" customHeight="1">
      <c r="A1441" s="12" t="inlineStr">
        <is>
          <t>one_two_prime_O_dimethylguanosine</t>
        </is>
      </c>
      <c r="B1441" s="12" t="inlineStr">
        <is>
          <t>http://identifiers.org/so/SO:0001340</t>
        </is>
      </c>
      <c r="C1441" s="12" t="inlineStr">
        <is>
          <t>['one methylinosine', '1-methylinosine', 'm1I']</t>
        </is>
      </c>
      <c r="D1441" s="12" t="n"/>
      <c r="E1441" s="12" t="n"/>
    </row>
    <row r="1442" ht="15" customHeight="1">
      <c r="A1442" s="12" t="inlineStr">
        <is>
          <t>one_two_prime_O_dimethylinosine</t>
        </is>
      </c>
      <c r="B1442" s="12" t="inlineStr">
        <is>
          <t>http://identifiers.org/so/SO:0001279</t>
        </is>
      </c>
      <c r="C1442" s="12" t="inlineStr">
        <is>
          <t>['m1Y', 'one methylpseudouridine', '1-methylpseudouridine']</t>
        </is>
      </c>
      <c r="D1442" s="12" t="n"/>
      <c r="E1442" s="12" t="n"/>
    </row>
    <row r="1443" ht="15" customHeight="1">
      <c r="A1443" s="12" t="inlineStr">
        <is>
          <t>open_chromatin_region</t>
        </is>
      </c>
      <c r="B1443" s="12" t="inlineStr">
        <is>
          <t>http://identifiers.org/so/SO:0001747</t>
        </is>
      </c>
      <c r="C1443" s="12" t="inlineStr">
        <is>
          <t>["1,2'-O-dimethyladenosine", 'one two prime O dimethyladenosine', 'm1Am']</t>
        </is>
      </c>
      <c r="D1443" s="12" t="n"/>
      <c r="E1443" s="12" t="n"/>
    </row>
    <row r="1444" ht="15" customHeight="1">
      <c r="A1444" s="12" t="inlineStr">
        <is>
          <t>operator</t>
        </is>
      </c>
      <c r="B1444" s="12" t="inlineStr">
        <is>
          <t>http://identifiers.org/so/SO:0000057</t>
        </is>
      </c>
      <c r="C1444" s="12" t="inlineStr">
        <is>
          <t>["1,2'-O-dimethylguanosine", 'm1Gm', 'one two prime O dimethylguanosine']</t>
        </is>
      </c>
      <c r="D1444" s="12" t="n"/>
      <c r="E1444" s="12" t="n"/>
    </row>
    <row r="1445" ht="15" customHeight="1">
      <c r="A1445" s="12" t="inlineStr">
        <is>
          <t>operon</t>
        </is>
      </c>
      <c r="B1445" s="12" t="inlineStr">
        <is>
          <t>http://identifiers.org/so/SO:0000178</t>
        </is>
      </c>
      <c r="C1445" s="12" t="inlineStr">
        <is>
          <t>["1,2'-O-dimethylinosine", 'one two prime O dimethylinosine', "m'Im"]</t>
        </is>
      </c>
      <c r="D1445" s="12" t="n"/>
      <c r="E1445" s="12" t="n"/>
    </row>
    <row r="1446" ht="15" customHeight="1">
      <c r="A1446" s="12" t="inlineStr">
        <is>
          <t>operon_member</t>
        </is>
      </c>
      <c r="B1446" s="12" t="inlineStr">
        <is>
          <t>http://identifiers.org/so/SO:0000080</t>
        </is>
      </c>
      <c r="C1446" s="12" t="inlineStr">
        <is>
          <t>['open chromatin region']</t>
        </is>
      </c>
      <c r="D1446" s="12" t="n"/>
      <c r="E1446" s="12" t="n"/>
    </row>
    <row r="1447" ht="15" customHeight="1">
      <c r="A1447" s="12" t="inlineStr">
        <is>
          <t>ORF</t>
        </is>
      </c>
      <c r="B1447" s="12" t="inlineStr">
        <is>
          <t>http://identifiers.org/so/SO:0000236</t>
        </is>
      </c>
      <c r="C1447" s="12" t="inlineStr">
        <is>
          <t>['operator segment']</t>
        </is>
      </c>
      <c r="D1447" s="12" t="n"/>
      <c r="E1447" s="12" t="n"/>
    </row>
    <row r="1448" ht="15" customHeight="1">
      <c r="A1448" s="12" t="inlineStr">
        <is>
          <t>organelle_sequence</t>
        </is>
      </c>
      <c r="B1448" s="12" t="inlineStr">
        <is>
          <t>http://identifiers.org/so/SO:0000736</t>
        </is>
      </c>
      <c r="C1448" s="12" t="inlineStr">
        <is>
          <t>['INSDC_feature:operon']</t>
        </is>
      </c>
      <c r="D1448" s="12" t="n"/>
      <c r="E1448" s="12" t="n"/>
    </row>
    <row r="1449" ht="15" customHeight="1">
      <c r="A1449" s="12" t="inlineStr">
        <is>
          <t>oriC</t>
        </is>
      </c>
      <c r="B1449" s="12" t="inlineStr">
        <is>
          <t>http://identifiers.org/so/SO:0000953</t>
        </is>
      </c>
      <c r="C1449" s="12" t="inlineStr">
        <is>
          <t>['operon member']</t>
        </is>
      </c>
      <c r="D1449" s="12" t="n"/>
      <c r="E1449" s="12" t="n"/>
    </row>
    <row r="1450" ht="15" customHeight="1">
      <c r="A1450" s="12" t="inlineStr">
        <is>
          <t>orphan</t>
        </is>
      </c>
      <c r="B1450" s="12" t="inlineStr">
        <is>
          <t>http://identifiers.org/so/SO:0000910</t>
        </is>
      </c>
      <c r="C1450" s="12" t="inlineStr">
        <is>
          <t>['open reading frame']</t>
        </is>
      </c>
      <c r="D1450" s="12" t="n"/>
      <c r="E1450" s="12" t="n"/>
    </row>
    <row r="1451" ht="15" customHeight="1">
      <c r="A1451" s="12" t="inlineStr">
        <is>
          <t>orphan_CDS</t>
        </is>
      </c>
      <c r="B1451" s="12" t="inlineStr">
        <is>
          <t>http://identifiers.org/so/SO:1001247</t>
        </is>
      </c>
      <c r="C1451" s="12" t="inlineStr">
        <is>
          <t>['organelle sequence']</t>
        </is>
      </c>
      <c r="D1451" s="12" t="n"/>
      <c r="E1451" s="12" t="n"/>
    </row>
    <row r="1452" ht="15" customHeight="1">
      <c r="A1452" s="12" t="inlineStr">
        <is>
          <t>orthologous</t>
        </is>
      </c>
      <c r="B1452" s="12" t="inlineStr">
        <is>
          <t>http://identifiers.org/so/SO:0000858</t>
        </is>
      </c>
      <c r="C1452" s="12" t="inlineStr">
        <is>
          <t>['origin of bacterial chromosome replication']</t>
        </is>
      </c>
      <c r="D1452" s="12" t="n"/>
      <c r="E1452" s="12" t="n"/>
    </row>
    <row r="1453" ht="15" customHeight="1">
      <c r="A1453" s="12" t="inlineStr">
        <is>
          <t>orthologous_region</t>
        </is>
      </c>
      <c r="B1453" s="12" t="inlineStr">
        <is>
          <t>http://identifiers.org/so/SO:0000855</t>
        </is>
      </c>
      <c r="C1453" s="12" t="n"/>
      <c r="D1453" s="12" t="n"/>
      <c r="E1453" s="12" t="n"/>
    </row>
    <row r="1454" ht="15" customHeight="1">
      <c r="A1454" s="12" t="inlineStr">
        <is>
          <t>outron</t>
        </is>
      </c>
      <c r="B1454" s="12" t="inlineStr">
        <is>
          <t>http://identifiers.org/so/SO:0001475</t>
        </is>
      </c>
      <c r="C1454" s="12" t="inlineStr">
        <is>
          <t>['orphan CDS']</t>
        </is>
      </c>
      <c r="D1454" s="12" t="n"/>
      <c r="E1454" s="12" t="n"/>
    </row>
    <row r="1455" ht="15" customHeight="1">
      <c r="A1455" s="12" t="inlineStr">
        <is>
          <t>overlapping</t>
        </is>
      </c>
      <c r="B1455" s="12" t="inlineStr">
        <is>
          <t>http://identifiers.org/so/SO:0000068</t>
        </is>
      </c>
      <c r="C1455" s="12" t="n"/>
      <c r="D1455" s="12" t="n"/>
      <c r="E1455" s="12" t="n"/>
    </row>
    <row r="1456" ht="15" customHeight="1">
      <c r="A1456" s="12" t="inlineStr">
        <is>
          <t>overlapping_EST_set</t>
        </is>
      </c>
      <c r="B1456" s="12" t="inlineStr">
        <is>
          <t>http://identifiers.org/so/SO:0001262</t>
        </is>
      </c>
      <c r="C1456" s="12" t="inlineStr">
        <is>
          <t>['orthologue', 'ortholog', 'orthologous region']</t>
        </is>
      </c>
      <c r="D1456" s="12" t="n"/>
      <c r="E1456" s="12" t="n"/>
    </row>
    <row r="1457" ht="15" customHeight="1">
      <c r="A1457" s="12" t="inlineStr">
        <is>
          <t>overlapping_feature_set</t>
        </is>
      </c>
      <c r="B1457" s="12" t="inlineStr">
        <is>
          <t>http://identifiers.org/so/SO:0001261</t>
        </is>
      </c>
      <c r="C1457" s="12" t="n"/>
      <c r="D1457" s="12" t="n"/>
      <c r="E1457" s="12" t="n"/>
    </row>
    <row r="1458" ht="15" customHeight="1">
      <c r="A1458" s="12" t="inlineStr">
        <is>
          <t>OxyS_RNA</t>
        </is>
      </c>
      <c r="B1458" s="12" t="inlineStr">
        <is>
          <t>http://identifiers.org/so/SO:0000384</t>
        </is>
      </c>
      <c r="C1458" s="12" t="n"/>
      <c r="D1458" s="12" t="n"/>
      <c r="E1458" s="12" t="n"/>
    </row>
    <row r="1459" ht="15" customHeight="1">
      <c r="A1459" s="12" t="inlineStr">
        <is>
          <t>P_TIR_transposon</t>
        </is>
      </c>
      <c r="B1459" s="12" t="inlineStr">
        <is>
          <t>http://identifiers.org/so/SO:0001535</t>
        </is>
      </c>
      <c r="C1459" s="12" t="inlineStr">
        <is>
          <t>['overlapping EST set']</t>
        </is>
      </c>
      <c r="D1459" s="12" t="n"/>
      <c r="E1459" s="12" t="n"/>
    </row>
    <row r="1460" ht="15" customHeight="1">
      <c r="A1460" s="12" t="inlineStr">
        <is>
          <t>PAC</t>
        </is>
      </c>
      <c r="B1460" s="12" t="inlineStr">
        <is>
          <t>http://identifiers.org/so/SO:0000154</t>
        </is>
      </c>
      <c r="C1460" s="12" t="inlineStr">
        <is>
          <t>['overlapping feature set']</t>
        </is>
      </c>
      <c r="D1460" s="12" t="n"/>
      <c r="E1460" s="12" t="n"/>
    </row>
    <row r="1461" ht="15" customHeight="1">
      <c r="A1461" s="12" t="inlineStr">
        <is>
          <t>PAC_clone</t>
        </is>
      </c>
      <c r="B1461" s="12" t="inlineStr">
        <is>
          <t>http://identifiers.org/so/SO:0000762</t>
        </is>
      </c>
      <c r="C1461" s="12" t="inlineStr">
        <is>
          <t>['OxyS RNA']</t>
        </is>
      </c>
      <c r="D1461" s="12" t="n"/>
      <c r="E1461" s="12" t="n"/>
    </row>
    <row r="1462" ht="15" customHeight="1">
      <c r="A1462" s="12" t="inlineStr">
        <is>
          <t>PAC_end</t>
        </is>
      </c>
      <c r="B1462" s="12" t="inlineStr">
        <is>
          <t>http://identifiers.org/so/SO:0001480</t>
        </is>
      </c>
      <c r="C1462" s="12" t="inlineStr">
        <is>
          <t>['P-element', 'DTP transposon', 'P TIR transposon', 'P element', 'P transposable element']</t>
        </is>
      </c>
      <c r="D1462" s="12" t="n"/>
      <c r="E1462" s="12" t="n"/>
    </row>
    <row r="1463" ht="15" customHeight="1">
      <c r="A1463" s="12" t="inlineStr">
        <is>
          <t>paired_end_fragment</t>
        </is>
      </c>
      <c r="B1463" s="12" t="inlineStr">
        <is>
          <t>http://identifiers.org/so/SO:0001790</t>
        </is>
      </c>
      <c r="C1463" s="12" t="inlineStr">
        <is>
          <t>['P1 artificial chromosome', 'P1']</t>
        </is>
      </c>
      <c r="D1463" s="12" t="n"/>
      <c r="E1463" s="12" t="n"/>
    </row>
    <row r="1464" ht="15" customHeight="1">
      <c r="A1464" s="12" t="inlineStr">
        <is>
          <t>paracentric</t>
        </is>
      </c>
      <c r="B1464" s="12" t="inlineStr">
        <is>
          <t>http://identifiers.org/so/SO:0001519</t>
        </is>
      </c>
      <c r="C1464" s="12" t="inlineStr">
        <is>
          <t>['P1_clone']</t>
        </is>
      </c>
      <c r="D1464" s="12" t="n"/>
      <c r="E1464" s="12" t="n"/>
    </row>
    <row r="1465" ht="15" customHeight="1">
      <c r="A1465" s="12" t="inlineStr">
        <is>
          <t>paracentric_inversion</t>
        </is>
      </c>
      <c r="B1465" s="12" t="inlineStr">
        <is>
          <t>http://identifiers.org/so/SO:1000047</t>
        </is>
      </c>
      <c r="C1465" s="12" t="inlineStr">
        <is>
          <t>['PAC end']</t>
        </is>
      </c>
      <c r="D1465" s="12" t="n"/>
      <c r="E1465" s="12" t="n"/>
    </row>
    <row r="1466" ht="15" customHeight="1">
      <c r="A1466" s="12" t="inlineStr">
        <is>
          <t>parallel_beta_strand</t>
        </is>
      </c>
      <c r="B1466" s="12" t="inlineStr">
        <is>
          <t>http://identifiers.org/so/SO:0001113</t>
        </is>
      </c>
      <c r="C1466" s="12" t="inlineStr">
        <is>
          <t>['paired end fragment']</t>
        </is>
      </c>
      <c r="D1466" s="12" t="n"/>
      <c r="E1466" s="12" t="n"/>
    </row>
    <row r="1467" ht="15" customHeight="1">
      <c r="A1467" s="12" t="inlineStr">
        <is>
          <t>paralogous</t>
        </is>
      </c>
      <c r="B1467" s="12" t="inlineStr">
        <is>
          <t>http://identifiers.org/so/SO:0000859</t>
        </is>
      </c>
      <c r="C1467" s="12" t="n"/>
      <c r="D1467" s="12" t="n"/>
      <c r="E1467" s="12" t="n"/>
    </row>
    <row r="1468" ht="15" customHeight="1">
      <c r="A1468" s="12" t="inlineStr">
        <is>
          <t>paralogous_region</t>
        </is>
      </c>
      <c r="B1468" s="12" t="inlineStr">
        <is>
          <t>http://identifiers.org/so/SO:0000854</t>
        </is>
      </c>
      <c r="C1468" s="12" t="inlineStr">
        <is>
          <t>['paracentric inversion']</t>
        </is>
      </c>
      <c r="D1468" s="12" t="n"/>
      <c r="E1468" s="12" t="n"/>
    </row>
    <row r="1469" ht="15" customHeight="1">
      <c r="A1469" s="12" t="inlineStr">
        <is>
          <t>partial_genomic_sequence_assembly</t>
        </is>
      </c>
      <c r="B1469" s="12" t="inlineStr">
        <is>
          <t>http://identifiers.org/so/SO:0001876</t>
        </is>
      </c>
      <c r="C1469" s="12" t="inlineStr">
        <is>
          <t>['parallel beta strand']</t>
        </is>
      </c>
      <c r="D1469" s="12" t="n"/>
      <c r="E1469" s="12" t="n"/>
    </row>
    <row r="1470" ht="15" customHeight="1">
      <c r="A1470" s="12" t="inlineStr">
        <is>
          <t>partially_characterized_chromosomal_mutation</t>
        </is>
      </c>
      <c r="B1470" s="12" t="inlineStr">
        <is>
          <t>http://identifiers.org/so/SO:1000175</t>
        </is>
      </c>
      <c r="C1470" s="12" t="n"/>
      <c r="D1470" s="12" t="n"/>
      <c r="E1470" s="12" t="n"/>
    </row>
    <row r="1471" ht="15" customHeight="1">
      <c r="A1471" s="12" t="inlineStr">
        <is>
          <t>partially_duplicated_transcript</t>
        </is>
      </c>
      <c r="B1471" s="12" t="inlineStr">
        <is>
          <t>http://identifiers.org/so/SO:0002244</t>
        </is>
      </c>
      <c r="C1471" s="12" t="inlineStr">
        <is>
          <t>['paralogous region', 'paralog', 'paralogue']</t>
        </is>
      </c>
      <c r="D1471" s="12" t="n"/>
      <c r="E1471" s="12" t="n"/>
    </row>
    <row r="1472" ht="15" customHeight="1">
      <c r="A1472" s="12" t="inlineStr">
        <is>
          <t>partially_processed_cDNA_clone</t>
        </is>
      </c>
      <c r="B1472" s="12" t="inlineStr">
        <is>
          <t>http://identifiers.org/so/SO:0000813</t>
        </is>
      </c>
      <c r="C1472" s="12" t="inlineStr">
        <is>
          <t>['partial genomic sequence assembly', 'sequence assembly with N-gaps', 'pseudomolecule']</t>
        </is>
      </c>
      <c r="D1472" s="12" t="n"/>
      <c r="E1472" s="12" t="n"/>
    </row>
    <row r="1473" ht="15" customHeight="1">
      <c r="A1473" s="12" t="inlineStr">
        <is>
          <t>paternal_uniparental_disomy</t>
        </is>
      </c>
      <c r="B1473" s="12" t="inlineStr">
        <is>
          <t>http://identifiers.org/so/SO:0001746</t>
        </is>
      </c>
      <c r="C1473" s="12" t="inlineStr">
        <is>
          <t>['partially characterized chromosomal mutation']</t>
        </is>
      </c>
      <c r="D1473" s="12" t="n"/>
      <c r="E1473" s="12" t="n"/>
    </row>
    <row r="1474" ht="15" customHeight="1">
      <c r="A1474" s="12" t="inlineStr">
        <is>
          <t>paternal_variant</t>
        </is>
      </c>
      <c r="B1474" s="12" t="inlineStr">
        <is>
          <t>http://identifiers.org/so/SO:0001776</t>
        </is>
      </c>
      <c r="C1474" s="12" t="inlineStr">
        <is>
          <t>['partially duplicated transcript']</t>
        </is>
      </c>
      <c r="D1474" s="12" t="n"/>
      <c r="E1474" s="12" t="n"/>
    </row>
    <row r="1475" ht="15" customHeight="1">
      <c r="A1475" s="12" t="inlineStr">
        <is>
          <t>paternally_imprinted</t>
        </is>
      </c>
      <c r="B1475" s="12" t="inlineStr">
        <is>
          <t>http://identifiers.org/so/SO:0000136</t>
        </is>
      </c>
      <c r="C1475" s="12" t="inlineStr">
        <is>
          <t>['partially processed cDNA clone']</t>
        </is>
      </c>
      <c r="D1475" s="12" t="n"/>
      <c r="E1475" s="12" t="n"/>
    </row>
    <row r="1476" ht="15" customHeight="1">
      <c r="A1476" s="12" t="inlineStr">
        <is>
          <t>paternally_imprinted_gene</t>
        </is>
      </c>
      <c r="B1476" s="12" t="inlineStr">
        <is>
          <t>http://identifiers.org/so/SO:0000889</t>
        </is>
      </c>
      <c r="C1476" s="12" t="inlineStr">
        <is>
          <t>['paternal uniparental disomy']</t>
        </is>
      </c>
      <c r="D1476" s="12" t="n"/>
      <c r="E1476" s="12" t="n"/>
    </row>
    <row r="1477" ht="15" customHeight="1">
      <c r="A1477" s="12" t="inlineStr">
        <is>
          <t>pathogenic_island</t>
        </is>
      </c>
      <c r="B1477" s="12" t="inlineStr">
        <is>
          <t>http://identifiers.org/so/SO:0000773</t>
        </is>
      </c>
      <c r="C1477" s="12" t="inlineStr">
        <is>
          <t>['paternal variant']</t>
        </is>
      </c>
      <c r="D1477" s="12" t="n"/>
      <c r="E1477" s="12" t="n"/>
    </row>
    <row r="1478" ht="15" customHeight="1">
      <c r="A1478" s="12" t="inlineStr">
        <is>
          <t>PCB</t>
        </is>
      </c>
      <c r="B1478" s="12" t="inlineStr">
        <is>
          <t>http://identifiers.org/so/SO:0001871</t>
        </is>
      </c>
      <c r="C1478" s="12" t="inlineStr">
        <is>
          <t>['paternally imprinted']</t>
        </is>
      </c>
      <c r="D1478" s="12" t="n"/>
      <c r="E1478" s="12" t="n"/>
    </row>
    <row r="1479" ht="15" customHeight="1">
      <c r="A1479" s="12" t="inlineStr">
        <is>
          <t>PCR_product</t>
        </is>
      </c>
      <c r="B1479" s="12" t="inlineStr">
        <is>
          <t>http://identifiers.org/so/SO:0000006</t>
        </is>
      </c>
      <c r="C1479" s="12" t="inlineStr">
        <is>
          <t>['paternally imprinted gene']</t>
        </is>
      </c>
      <c r="D1479" s="12" t="n"/>
      <c r="E1479" s="12" t="n"/>
    </row>
    <row r="1480" ht="15" customHeight="1">
      <c r="A1480" s="12" t="inlineStr">
        <is>
          <t>pedigree_specific_variant</t>
        </is>
      </c>
      <c r="B1480" s="12" t="inlineStr">
        <is>
          <t>http://identifiers.org/so/SO:0001779</t>
        </is>
      </c>
      <c r="C1480" s="12" t="inlineStr">
        <is>
          <t>['pathogenic island']</t>
        </is>
      </c>
      <c r="D1480" s="12" t="n"/>
      <c r="E1480" s="12" t="n"/>
    </row>
    <row r="1481" ht="15" customHeight="1">
      <c r="A1481" s="12" t="inlineStr">
        <is>
          <t>Penelope_retrotransposon</t>
        </is>
      </c>
      <c r="B1481" s="12" t="inlineStr">
        <is>
          <t>http://identifiers.org/so/SO:0002290</t>
        </is>
      </c>
      <c r="C1481" s="12" t="n"/>
      <c r="D1481" s="12" t="n"/>
      <c r="E1481" s="12" t="n"/>
    </row>
    <row r="1482" ht="15" customHeight="1">
      <c r="A1482" s="12" t="inlineStr">
        <is>
          <t>peptide_coil</t>
        </is>
      </c>
      <c r="B1482" s="12" t="inlineStr">
        <is>
          <t>http://identifiers.org/so/SO:0100012</t>
        </is>
      </c>
      <c r="C1482" s="12" t="inlineStr">
        <is>
          <t>['amplicon', 'PCR product']</t>
        </is>
      </c>
      <c r="D1482" s="12" t="n"/>
      <c r="E1482" s="12" t="n"/>
    </row>
    <row r="1483" ht="15" customHeight="1">
      <c r="A1483" s="12" t="inlineStr">
        <is>
          <t>peptide_collection</t>
        </is>
      </c>
      <c r="B1483" s="12" t="inlineStr">
        <is>
          <t>http://identifiers.org/so/SO:0001501</t>
        </is>
      </c>
      <c r="C1483" s="12" t="inlineStr">
        <is>
          <t>['pedigree specific variant']</t>
        </is>
      </c>
      <c r="D1483" s="12" t="n"/>
      <c r="E1483" s="12" t="n"/>
    </row>
    <row r="1484" ht="15" customHeight="1">
      <c r="A1484" s="12" t="inlineStr">
        <is>
          <t>peptide_helix</t>
        </is>
      </c>
      <c r="B1484" s="12" t="inlineStr">
        <is>
          <t>http://identifiers.org/so/SO:0001114</t>
        </is>
      </c>
      <c r="C1484" s="12" t="inlineStr">
        <is>
          <t>['RPP retrotransposon', 'Penelope retrotransposon']</t>
        </is>
      </c>
      <c r="D1484" s="12" t="n"/>
      <c r="E1484" s="12" t="n"/>
    </row>
    <row r="1485" ht="15" customHeight="1">
      <c r="A1485" s="12" t="inlineStr">
        <is>
          <t>peptide_localization_signal</t>
        </is>
      </c>
      <c r="B1485" s="12" t="inlineStr">
        <is>
          <t>http://identifiers.org/so/SO:0001527</t>
        </is>
      </c>
      <c r="C1485" s="12" t="inlineStr">
        <is>
          <t>['peptide coil', 'random coil', 'coil']</t>
        </is>
      </c>
      <c r="D1485" s="12" t="n"/>
      <c r="E1485" s="12" t="n"/>
    </row>
    <row r="1486" ht="15" customHeight="1">
      <c r="A1486" s="12" t="inlineStr">
        <is>
          <t>peptidyl</t>
        </is>
      </c>
      <c r="B1486" s="12" t="inlineStr">
        <is>
          <t>http://identifiers.org/so/SO:0001407</t>
        </is>
      </c>
      <c r="C1486" s="12" t="inlineStr">
        <is>
          <t>['peptide set', 'peptide collection']</t>
        </is>
      </c>
      <c r="D1486" s="12" t="n"/>
      <c r="E1486" s="12" t="n"/>
    </row>
    <row r="1487" ht="15" customHeight="1">
      <c r="A1487" s="12" t="inlineStr">
        <is>
          <t>pericentric</t>
        </is>
      </c>
      <c r="B1487" s="12" t="inlineStr">
        <is>
          <t>http://identifiers.org/so/SO:0001518</t>
        </is>
      </c>
      <c r="C1487" s="12" t="inlineStr">
        <is>
          <t>['helix']</t>
        </is>
      </c>
      <c r="D1487" s="12" t="n"/>
      <c r="E1487" s="12" t="n"/>
    </row>
    <row r="1488" ht="15" customHeight="1">
      <c r="A1488" s="12" t="inlineStr">
        <is>
          <t>pericentric_inversion</t>
        </is>
      </c>
      <c r="B1488" s="12" t="inlineStr">
        <is>
          <t>http://identifiers.org/so/SO:1000046</t>
        </is>
      </c>
      <c r="C1488" s="12" t="inlineStr">
        <is>
          <t>['peptide localization signal', 'localization signal']</t>
        </is>
      </c>
      <c r="D1488" s="12" t="n"/>
      <c r="E1488" s="12" t="n"/>
    </row>
    <row r="1489" ht="15" customHeight="1">
      <c r="A1489" s="12" t="inlineStr">
        <is>
          <t>peroxywybutosine</t>
        </is>
      </c>
      <c r="B1489" s="12" t="inlineStr">
        <is>
          <t>http://identifiers.org/so/SO:0001333</t>
        </is>
      </c>
      <c r="C1489" s="12" t="n"/>
      <c r="D1489" s="12" t="n"/>
      <c r="E1489" s="12" t="n"/>
    </row>
    <row r="1490" ht="15" customHeight="1">
      <c r="A1490" s="12" t="inlineStr">
        <is>
          <t>Phage_RNA_Polymerase_Promoter</t>
        </is>
      </c>
      <c r="B1490" s="12" t="inlineStr">
        <is>
          <t>http://identifiers.org/so/SO:0001204</t>
        </is>
      </c>
      <c r="C1490" s="12" t="n"/>
      <c r="D1490" s="12" t="n"/>
      <c r="E1490" s="12" t="n"/>
    </row>
    <row r="1491" ht="15" customHeight="1">
      <c r="A1491" s="12" t="inlineStr">
        <is>
          <t>phage_sequence</t>
        </is>
      </c>
      <c r="B1491" s="12" t="inlineStr">
        <is>
          <t>http://identifiers.org/so/SO:0001042</t>
        </is>
      </c>
      <c r="C1491" s="12" t="inlineStr">
        <is>
          <t>['pericentric inversion']</t>
        </is>
      </c>
      <c r="D1491" s="12" t="n"/>
      <c r="E1491" s="12" t="n"/>
    </row>
    <row r="1492" ht="15" customHeight="1">
      <c r="A1492" s="12" t="inlineStr">
        <is>
          <t>phagemid</t>
        </is>
      </c>
      <c r="B1492" s="12" t="inlineStr">
        <is>
          <t>http://identifiers.org/so/SO:0000157</t>
        </is>
      </c>
      <c r="C1492" s="12" t="inlineStr">
        <is>
          <t>['o2yW']</t>
        </is>
      </c>
      <c r="D1492" s="12" t="n"/>
      <c r="E1492" s="12" t="n"/>
    </row>
    <row r="1493" ht="15" customHeight="1">
      <c r="A1493" s="12" t="inlineStr">
        <is>
          <t>phagemid_clone</t>
        </is>
      </c>
      <c r="B1493" s="12" t="inlineStr">
        <is>
          <t>http://identifiers.org/so/SO:0000761</t>
        </is>
      </c>
      <c r="C1493" s="12" t="inlineStr">
        <is>
          <t>['Phage RNA Polymerase Promoter']</t>
        </is>
      </c>
      <c r="D1493" s="12" t="n"/>
      <c r="E1493" s="12" t="n"/>
    </row>
    <row r="1494" ht="15" customHeight="1">
      <c r="A1494" s="12" t="inlineStr">
        <is>
          <t>phenylalanine</t>
        </is>
      </c>
      <c r="B1494" s="12" t="inlineStr">
        <is>
          <t>http://identifiers.org/so/SO:0001441</t>
        </is>
      </c>
      <c r="C1494" s="12" t="inlineStr">
        <is>
          <t>['bacteriophage', 'phage', 'phage sequence']</t>
        </is>
      </c>
      <c r="D1494" s="12" t="n"/>
      <c r="E1494" s="12" t="n"/>
    </row>
    <row r="1495" ht="15" customHeight="1">
      <c r="A1495" s="12" t="inlineStr">
        <is>
          <t>phenylalanine_tRNA_primary_transcript</t>
        </is>
      </c>
      <c r="B1495" s="12" t="inlineStr">
        <is>
          <t>http://identifiers.org/so/SO:0000224</t>
        </is>
      </c>
      <c r="C1495" s="12" t="inlineStr">
        <is>
          <t>['phagemid vector']</t>
        </is>
      </c>
      <c r="D1495" s="12" t="n"/>
      <c r="E1495" s="12" t="n"/>
    </row>
    <row r="1496" ht="15" customHeight="1">
      <c r="A1496" s="12" t="inlineStr">
        <is>
          <t>phenylalanyl_tRNA</t>
        </is>
      </c>
      <c r="B1496" s="12" t="inlineStr">
        <is>
          <t>http://identifiers.org/so/SO:0000267</t>
        </is>
      </c>
      <c r="C1496" s="12" t="n"/>
      <c r="D1496" s="12" t="n"/>
      <c r="E1496" s="12" t="n"/>
    </row>
    <row r="1497" ht="15" customHeight="1">
      <c r="A1497" s="12" t="inlineStr">
        <is>
          <t>pheromone_response_element</t>
        </is>
      </c>
      <c r="B1497" s="12" t="inlineStr">
        <is>
          <t>http://identifiers.org/so/SO:0002045</t>
        </is>
      </c>
      <c r="C1497" s="12" t="inlineStr">
        <is>
          <t>['Phe', 'F']</t>
        </is>
      </c>
      <c r="D1497" s="12" t="n"/>
      <c r="E1497" s="12" t="n"/>
    </row>
    <row r="1498" ht="15" customHeight="1">
      <c r="A1498" s="12" t="inlineStr">
        <is>
          <t>Pho7_binding_site</t>
        </is>
      </c>
      <c r="B1498" s="12" t="inlineStr">
        <is>
          <t>http://identifiers.org/so/SO:0002216</t>
        </is>
      </c>
      <c r="C1498" s="12" t="inlineStr">
        <is>
          <t>['phenylalanine tRNA primary transcript']</t>
        </is>
      </c>
      <c r="D1498" s="12" t="n"/>
      <c r="E1498" s="12" t="n"/>
    </row>
    <row r="1499" ht="15" customHeight="1">
      <c r="A1499" s="12" t="inlineStr">
        <is>
          <t>phosphorylation_site</t>
        </is>
      </c>
      <c r="B1499" s="12" t="inlineStr">
        <is>
          <t>http://identifiers.org/so/SO:0001811</t>
        </is>
      </c>
      <c r="C1499" s="12" t="inlineStr">
        <is>
          <t>['phenylalanyl-transfer RNA', 'phenylalanyl-transfer ribonucleic acid', 'phenylalanyl tRNA']</t>
        </is>
      </c>
      <c r="D1499" s="12" t="n"/>
      <c r="E1499" s="12" t="n"/>
    </row>
    <row r="1500" ht="15" customHeight="1">
      <c r="A1500" s="12" t="inlineStr">
        <is>
          <t>pi_helix</t>
        </is>
      </c>
      <c r="B1500" s="12" t="inlineStr">
        <is>
          <t>http://identifiers.org/so/SO:0001118</t>
        </is>
      </c>
      <c r="C1500" s="12" t="inlineStr">
        <is>
          <t>['PRE', 'pheromone response element']</t>
        </is>
      </c>
      <c r="D1500" s="12" t="n"/>
      <c r="E1500" s="12" t="n"/>
    </row>
    <row r="1501" ht="15" customHeight="1">
      <c r="A1501" s="12" t="inlineStr">
        <is>
          <t>PIF_Harbinger_TIR_transposon</t>
        </is>
      </c>
      <c r="B1501" s="12" t="inlineStr">
        <is>
          <t>http://identifiers.org/so/SO:0002284</t>
        </is>
      </c>
      <c r="C1501" s="12" t="inlineStr">
        <is>
          <t>['Pho7 binding site']</t>
        </is>
      </c>
      <c r="D1501" s="12" t="n"/>
      <c r="E1501" s="12" t="n"/>
    </row>
    <row r="1502" ht="15" customHeight="1">
      <c r="A1502" s="12" t="inlineStr">
        <is>
          <t>piggyBac_TIR_transposon</t>
        </is>
      </c>
      <c r="B1502" s="12" t="inlineStr">
        <is>
          <t>http://identifiers.org/so/SO:0002283</t>
        </is>
      </c>
      <c r="C1502" s="12" t="inlineStr">
        <is>
          <t>['phosphorylation site']</t>
        </is>
      </c>
      <c r="D1502" s="12" t="n"/>
      <c r="E1502" s="12" t="n"/>
    </row>
    <row r="1503" ht="15" customHeight="1">
      <c r="A1503" s="12" t="inlineStr">
        <is>
          <t>PIP_box</t>
        </is>
      </c>
      <c r="B1503" s="12" t="inlineStr">
        <is>
          <t>http://identifiers.org/so/SO:0001810</t>
        </is>
      </c>
      <c r="C1503" s="12" t="inlineStr">
        <is>
          <t>['pi helix']</t>
        </is>
      </c>
      <c r="D1503" s="12" t="n"/>
      <c r="E1503" s="12" t="n"/>
    </row>
    <row r="1504" ht="15" customHeight="1">
      <c r="A1504" s="12" t="inlineStr">
        <is>
          <t>piRNA</t>
        </is>
      </c>
      <c r="B1504" s="12" t="inlineStr">
        <is>
          <t>http://identifiers.org/so/SO:0001035</t>
        </is>
      </c>
      <c r="C1504" s="12" t="inlineStr">
        <is>
          <t>['PIF transposon', 'Harbinger transposon', 'Tourist transposon element', 'PIF Harbinger TIR transposon', 'DTH transposon']</t>
        </is>
      </c>
      <c r="D1504" s="12" t="n"/>
      <c r="E1504" s="12" t="n"/>
    </row>
    <row r="1505" ht="15" customHeight="1">
      <c r="A1505" s="12" t="inlineStr">
        <is>
          <t>piRNA_gene</t>
        </is>
      </c>
      <c r="B1505" s="12" t="inlineStr">
        <is>
          <t>http://identifiers.org/so/SO:0001638</t>
        </is>
      </c>
      <c r="C1505" s="12" t="inlineStr">
        <is>
          <t>['PiggyBac transposable element', 'piggyBac TIR transposon', 'DTB transposon']</t>
        </is>
      </c>
      <c r="D1505" s="12" t="n"/>
      <c r="E1505" s="12" t="n"/>
    </row>
    <row r="1506" ht="15" customHeight="1">
      <c r="A1506" s="12" t="inlineStr">
        <is>
          <t>plasmid</t>
        </is>
      </c>
      <c r="B1506" s="12" t="inlineStr">
        <is>
          <t>http://identifiers.org/so/SO:0000155</t>
        </is>
      </c>
      <c r="C1506" s="12" t="inlineStr">
        <is>
          <t>['PIP box']</t>
        </is>
      </c>
      <c r="D1506" s="12" t="n"/>
      <c r="E1506" s="12" t="n"/>
    </row>
    <row r="1507" ht="15" customHeight="1">
      <c r="A1507" s="12" t="inlineStr">
        <is>
          <t>plasmid_clone</t>
        </is>
      </c>
      <c r="B1507" s="12" t="inlineStr">
        <is>
          <t>http://identifiers.org/so/SO:0000759</t>
        </is>
      </c>
      <c r="C1507" s="12" t="inlineStr">
        <is>
          <t>['INSDC_feature:ncRNA', 'INSDC_qualifier:piRNA', 'piwi-associated RNA']</t>
        </is>
      </c>
      <c r="D1507" s="12" t="n"/>
      <c r="E1507" s="12" t="n"/>
    </row>
    <row r="1508" ht="15" customHeight="1">
      <c r="A1508" s="12" t="inlineStr">
        <is>
          <t>plasmid_gene</t>
        </is>
      </c>
      <c r="B1508" s="12" t="inlineStr">
        <is>
          <t>http://identifiers.org/so/SO:0000098</t>
        </is>
      </c>
      <c r="C1508" s="12" t="inlineStr">
        <is>
          <t>['piRNA gene']</t>
        </is>
      </c>
      <c r="D1508" s="12" t="n"/>
      <c r="E1508" s="12" t="n"/>
    </row>
    <row r="1509" ht="15" customHeight="1">
      <c r="A1509" s="12" t="inlineStr">
        <is>
          <t>plasmid_location</t>
        </is>
      </c>
      <c r="B1509" s="12" t="inlineStr">
        <is>
          <t>http://identifiers.org/so/SO:0000749</t>
        </is>
      </c>
      <c r="C1509" s="12" t="inlineStr">
        <is>
          <t>['plasmid sequence']</t>
        </is>
      </c>
      <c r="D1509" s="12" t="n"/>
      <c r="E1509" s="12" t="n"/>
    </row>
    <row r="1510" ht="15" customHeight="1">
      <c r="A1510" s="12" t="inlineStr">
        <is>
          <t>plasmid_vector</t>
        </is>
      </c>
      <c r="B1510" s="12" t="inlineStr">
        <is>
          <t>http://identifiers.org/so/SO:0000755</t>
        </is>
      </c>
      <c r="C1510" s="12" t="n"/>
      <c r="D1510" s="12" t="n"/>
      <c r="E1510" s="12" t="n"/>
    </row>
    <row r="1511" ht="15" customHeight="1">
      <c r="A1511" s="12" t="inlineStr">
        <is>
          <t>plastid_gene</t>
        </is>
      </c>
      <c r="B1511" s="12" t="inlineStr">
        <is>
          <t>http://identifiers.org/so/SO:0000090</t>
        </is>
      </c>
      <c r="C1511" s="12" t="inlineStr">
        <is>
          <t>['plasmid gene']</t>
        </is>
      </c>
      <c r="D1511" s="12" t="n"/>
      <c r="E1511" s="12" t="n"/>
    </row>
    <row r="1512" ht="15" customHeight="1">
      <c r="A1512" s="12" t="inlineStr">
        <is>
          <t>plastid_sequence</t>
        </is>
      </c>
      <c r="B1512" s="12" t="inlineStr">
        <is>
          <t>http://identifiers.org/so/SO:0000740</t>
        </is>
      </c>
      <c r="C1512" s="12" t="inlineStr">
        <is>
          <t>['plasmid location']</t>
        </is>
      </c>
      <c r="D1512" s="12" t="n"/>
      <c r="E1512" s="12" t="n"/>
    </row>
    <row r="1513" ht="15" customHeight="1">
      <c r="A1513" s="12" t="inlineStr">
        <is>
          <t>plus_1_frameshift</t>
        </is>
      </c>
      <c r="B1513" s="12" t="inlineStr">
        <is>
          <t>http://identifiers.org/so/SO:0000868</t>
        </is>
      </c>
      <c r="C1513" s="12" t="inlineStr">
        <is>
          <t>['plasmid vector']</t>
        </is>
      </c>
      <c r="D1513" s="12" t="n"/>
      <c r="E1513" s="12" t="n"/>
    </row>
    <row r="1514" ht="15" customHeight="1">
      <c r="A1514" s="12" t="inlineStr">
        <is>
          <t>plus_1_frameshift_variant</t>
        </is>
      </c>
      <c r="B1514" s="12" t="inlineStr">
        <is>
          <t>http://identifiers.org/so/SO:0001594</t>
        </is>
      </c>
      <c r="C1514" s="12" t="inlineStr">
        <is>
          <t>['plastid gene']</t>
        </is>
      </c>
      <c r="D1514" s="12" t="n"/>
      <c r="E1514" s="12" t="n"/>
    </row>
    <row r="1515" ht="15" customHeight="1">
      <c r="A1515" s="12" t="inlineStr">
        <is>
          <t>plus_1_translational_frameshift</t>
        </is>
      </c>
      <c r="B1515" s="12" t="inlineStr">
        <is>
          <t>http://identifiers.org/so/SO:0001211</t>
        </is>
      </c>
      <c r="C1515" s="12" t="inlineStr">
        <is>
          <t>['plastid sequence']</t>
        </is>
      </c>
      <c r="D1515" s="12" t="n"/>
      <c r="E1515" s="12" t="n"/>
    </row>
    <row r="1516" ht="15" customHeight="1">
      <c r="A1516" s="12" t="inlineStr">
        <is>
          <t>plus_1_translationally_frameshifted</t>
        </is>
      </c>
      <c r="B1516" s="12" t="inlineStr">
        <is>
          <t>http://identifiers.org/so/SO:1001263</t>
        </is>
      </c>
      <c r="C1516" s="12" t="inlineStr">
        <is>
          <t>['plus 1 frameshift']</t>
        </is>
      </c>
      <c r="D1516" s="12" t="n"/>
      <c r="E1516" s="12" t="n"/>
    </row>
    <row r="1517" ht="15" customHeight="1">
      <c r="A1517" s="12" t="inlineStr">
        <is>
          <t>plus_2_frameshift_variant</t>
        </is>
      </c>
      <c r="B1517" s="12" t="inlineStr">
        <is>
          <t>http://identifiers.org/so/SO:0001595</t>
        </is>
      </c>
      <c r="C1517" s="12" t="inlineStr">
        <is>
          <t>['+1 frameshift variant', 'plus 1 frameshift variant']</t>
        </is>
      </c>
      <c r="D1517" s="12" t="n"/>
      <c r="E1517" s="12" t="n"/>
    </row>
    <row r="1518" ht="15" customHeight="1">
      <c r="A1518" s="12" t="inlineStr">
        <is>
          <t>plus_2_framshift</t>
        </is>
      </c>
      <c r="B1518" s="12" t="inlineStr">
        <is>
          <t>http://identifiers.org/so/SO:0000869</t>
        </is>
      </c>
      <c r="C1518" s="12" t="inlineStr">
        <is>
          <t>['plus 1 translational frameshift', 'plus 1 ribosomal frameshift']</t>
        </is>
      </c>
      <c r="D1518" s="12" t="n"/>
      <c r="E1518" s="12" t="n"/>
    </row>
    <row r="1519" ht="15" customHeight="1">
      <c r="A1519" s="12" t="inlineStr">
        <is>
          <t>plus_2_translational_frameshift</t>
        </is>
      </c>
      <c r="B1519" s="12" t="inlineStr">
        <is>
          <t>http://identifiers.org/so/SO:0001212</t>
        </is>
      </c>
      <c r="C1519" s="12" t="inlineStr">
        <is>
          <t>['plus 1 translationally frameshifted']</t>
        </is>
      </c>
      <c r="D1519" s="12" t="n"/>
      <c r="E1519" s="12" t="n"/>
    </row>
    <row r="1520" ht="15" customHeight="1">
      <c r="A1520" s="12" t="inlineStr">
        <is>
          <t>PNA</t>
        </is>
      </c>
      <c r="B1520" s="12" t="inlineStr">
        <is>
          <t>http://identifiers.org/so/SO:0001184</t>
        </is>
      </c>
      <c r="C1520" s="12" t="inlineStr">
        <is>
          <t>['+2 frameshift variant', 'plus 2 frameshift variant']</t>
        </is>
      </c>
      <c r="D1520" s="12" t="n"/>
      <c r="E1520" s="12" t="n"/>
    </row>
    <row r="1521" ht="15" customHeight="1">
      <c r="A1521" s="12" t="inlineStr">
        <is>
          <t>PNA_oligo</t>
        </is>
      </c>
      <c r="B1521" s="12" t="inlineStr">
        <is>
          <t>http://identifiers.org/so/SO:0001011</t>
        </is>
      </c>
      <c r="C1521" s="12" t="inlineStr">
        <is>
          <t>['plus 2 framshift']</t>
        </is>
      </c>
      <c r="D1521" s="12" t="n"/>
      <c r="E1521" s="12" t="n"/>
    </row>
    <row r="1522" ht="15" customHeight="1">
      <c r="A1522" s="12" t="inlineStr">
        <is>
          <t>point_centromere</t>
        </is>
      </c>
      <c r="B1522" s="12" t="inlineStr">
        <is>
          <t>http://identifiers.org/so/SO:0001794</t>
        </is>
      </c>
      <c r="C1522" s="12" t="inlineStr">
        <is>
          <t>['plus 2 ribosomal frameshift', 'plus 2 translational frameshift']</t>
        </is>
      </c>
      <c r="D1522" s="12" t="n"/>
      <c r="E1522" s="12" t="n"/>
    </row>
    <row r="1523" ht="15" customHeight="1">
      <c r="A1523" s="12" t="inlineStr">
        <is>
          <t>point_mutation</t>
        </is>
      </c>
      <c r="B1523" s="12" t="inlineStr">
        <is>
          <t>http://identifiers.org/so/SO:1000008</t>
        </is>
      </c>
      <c r="C1523" s="12" t="inlineStr">
        <is>
          <t>['peptide nucleic acid']</t>
        </is>
      </c>
      <c r="D1523" s="12" t="n"/>
      <c r="E1523" s="12" t="n"/>
    </row>
    <row r="1524" ht="15" customHeight="1">
      <c r="A1524" s="12" t="inlineStr">
        <is>
          <t>polinton</t>
        </is>
      </c>
      <c r="B1524" s="12" t="inlineStr">
        <is>
          <t>http://identifiers.org/so/SO:0001170</t>
        </is>
      </c>
      <c r="C1524" s="12" t="inlineStr">
        <is>
          <t>['peptide nucleic acid', 'PNA oligo']</t>
        </is>
      </c>
      <c r="D1524" s="12" t="n"/>
      <c r="E1524" s="12" t="n"/>
    </row>
    <row r="1525" ht="15" customHeight="1">
      <c r="A1525" s="12" t="inlineStr">
        <is>
          <t>polyA_primed_cDNA_clone</t>
        </is>
      </c>
      <c r="B1525" s="12" t="inlineStr">
        <is>
          <t>http://identifiers.org/so/SO:0000812</t>
        </is>
      </c>
      <c r="C1525" s="12" t="inlineStr">
        <is>
          <t>['point centromere']</t>
        </is>
      </c>
      <c r="D1525" s="12" t="n"/>
      <c r="E1525" s="12" t="n"/>
    </row>
    <row r="1526" ht="15" customHeight="1">
      <c r="A1526" s="12" t="inlineStr">
        <is>
          <t>polyA_sequence</t>
        </is>
      </c>
      <c r="B1526" s="12" t="inlineStr">
        <is>
          <t>http://identifiers.org/so/SO:0000610</t>
        </is>
      </c>
      <c r="C1526" s="12" t="inlineStr">
        <is>
          <t>['point mutation']</t>
        </is>
      </c>
      <c r="D1526" s="12" t="n"/>
      <c r="E1526" s="12" t="n"/>
    </row>
    <row r="1527" ht="15" customHeight="1">
      <c r="A1527" s="12" t="inlineStr">
        <is>
          <t>polyA_signal_sequence</t>
        </is>
      </c>
      <c r="B1527" s="12" t="inlineStr">
        <is>
          <t>http://identifiers.org/so/SO:0000551</t>
        </is>
      </c>
      <c r="C1527" s="12" t="inlineStr">
        <is>
          <t>['maverick element']</t>
        </is>
      </c>
      <c r="D1527" s="12" t="n"/>
      <c r="E1527" s="12" t="n"/>
    </row>
    <row r="1528" ht="15" customHeight="1">
      <c r="A1528" s="12" t="inlineStr">
        <is>
          <t>polyA_site</t>
        </is>
      </c>
      <c r="B1528" s="12" t="inlineStr">
        <is>
          <t>http://identifiers.org/so/SO:0000553</t>
        </is>
      </c>
      <c r="C1528" s="12" t="inlineStr">
        <is>
          <t>['polyA primed cDNA clone']</t>
        </is>
      </c>
      <c r="D1528" s="12" t="n"/>
      <c r="E1528" s="12" t="n"/>
    </row>
    <row r="1529" ht="15" customHeight="1">
      <c r="A1529" s="12" t="inlineStr">
        <is>
          <t>polyA_site_cluster</t>
        </is>
      </c>
      <c r="B1529" s="12" t="inlineStr">
        <is>
          <t>http://identifiers.org/so/SO:0002259</t>
        </is>
      </c>
      <c r="C1529" s="12" t="inlineStr">
        <is>
          <t>['polyA sequence']</t>
        </is>
      </c>
      <c r="D1529" s="12" t="n"/>
      <c r="E1529" s="12" t="n"/>
    </row>
    <row r="1530" ht="15" customHeight="1">
      <c r="A1530" s="12" t="inlineStr">
        <is>
          <t>polyadenylated</t>
        </is>
      </c>
      <c r="B1530" s="12" t="inlineStr">
        <is>
          <t>http://identifiers.org/so/SO:0000246</t>
        </is>
      </c>
      <c r="C1530" s="12" t="inlineStr">
        <is>
          <t>['INSDC_qualifier:polyA_signal_sequence', 'polyA signal sequence', 'INSDC_feature:regulatory', 'polyadenylation termination signal', 'poly(A) signal']</t>
        </is>
      </c>
      <c r="D1530" s="12" t="n"/>
      <c r="E1530" s="12" t="n"/>
    </row>
    <row r="1531" ht="15" customHeight="1">
      <c r="A1531" s="12" t="inlineStr">
        <is>
          <t>polyadenylated_mRNA</t>
        </is>
      </c>
      <c r="B1531" s="12" t="inlineStr">
        <is>
          <t>http://identifiers.org/so/SO:0000871</t>
        </is>
      </c>
      <c r="C1531" s="12" t="inlineStr">
        <is>
          <t>['polyA site', 'INSDC_feature:polyA_site', 'polyadenylation site', 'polyA_junction', 'polyA junction', 'polyA cleavage site']</t>
        </is>
      </c>
      <c r="D1531" s="12" t="n"/>
      <c r="E1531" s="12" t="n"/>
    </row>
    <row r="1532" ht="15" customHeight="1">
      <c r="A1532" s="12" t="inlineStr">
        <is>
          <t>polyadenylation_variant</t>
        </is>
      </c>
      <c r="B1532" s="12" t="inlineStr">
        <is>
          <t>http://identifiers.org/so/SO:0001545</t>
        </is>
      </c>
      <c r="C1532" s="12" t="inlineStr">
        <is>
          <t>['polyA cluster', 'polyA site cluster', 'polyA_cluster']</t>
        </is>
      </c>
      <c r="D1532" s="12" t="n"/>
      <c r="E1532" s="12" t="n"/>
    </row>
    <row r="1533" ht="15" customHeight="1">
      <c r="A1533" s="12" t="inlineStr">
        <is>
          <t>polycistronic</t>
        </is>
      </c>
      <c r="B1533" s="12" t="inlineStr">
        <is>
          <t>http://identifiers.org/so/SO:0000880</t>
        </is>
      </c>
      <c r="C1533" s="12" t="n"/>
      <c r="D1533" s="12" t="n"/>
      <c r="E1533" s="12" t="n"/>
    </row>
    <row r="1534" ht="15" customHeight="1">
      <c r="A1534" s="12" t="inlineStr">
        <is>
          <t>polycistronic_gene</t>
        </is>
      </c>
      <c r="B1534" s="12" t="inlineStr">
        <is>
          <t>http://identifiers.org/so/SO:0000477</t>
        </is>
      </c>
      <c r="C1534" s="12" t="inlineStr">
        <is>
          <t>['polyadenylated mRNA']</t>
        </is>
      </c>
      <c r="D1534" s="12" t="n"/>
      <c r="E1534" s="12" t="n"/>
    </row>
    <row r="1535" ht="15" customHeight="1">
      <c r="A1535" s="12" t="inlineStr">
        <is>
          <t>polycistronic_mRNA</t>
        </is>
      </c>
      <c r="B1535" s="12" t="inlineStr">
        <is>
          <t>http://identifiers.org/so/SO:0000634</t>
        </is>
      </c>
      <c r="C1535" s="12" t="inlineStr">
        <is>
          <t>['polyadenylation variant']</t>
        </is>
      </c>
      <c r="D1535" s="12" t="n"/>
      <c r="E1535" s="12" t="n"/>
    </row>
    <row r="1536" ht="15" customHeight="1">
      <c r="A1536" s="12" t="inlineStr">
        <is>
          <t>polycistronic_primary_transcript</t>
        </is>
      </c>
      <c r="B1536" s="12" t="inlineStr">
        <is>
          <t>http://identifiers.org/so/SO:0000631</t>
        </is>
      </c>
      <c r="C1536" s="12" t="n"/>
      <c r="D1536" s="12" t="n"/>
      <c r="E1536" s="12" t="n"/>
    </row>
    <row r="1537" ht="15" customHeight="1">
      <c r="A1537" s="12" t="inlineStr">
        <is>
          <t>polycistronic_transcript</t>
        </is>
      </c>
      <c r="B1537" s="12" t="inlineStr">
        <is>
          <t>http://identifiers.org/so/SO:0000078</t>
        </is>
      </c>
      <c r="C1537" s="12" t="n"/>
      <c r="D1537" s="12" t="n"/>
      <c r="E1537" s="12" t="n"/>
    </row>
    <row r="1538" ht="15" customHeight="1">
      <c r="A1538" s="12" t="inlineStr">
        <is>
          <t>polymer_attribute</t>
        </is>
      </c>
      <c r="B1538" s="12" t="inlineStr">
        <is>
          <t>http://identifiers.org/so/SO:0000443</t>
        </is>
      </c>
      <c r="C1538" s="12" t="inlineStr">
        <is>
          <t>['polycistronic processed transcript', 'polycistronic mRNA']</t>
        </is>
      </c>
      <c r="D1538" s="12" t="n"/>
      <c r="E1538" s="12" t="n"/>
    </row>
    <row r="1539" ht="15" customHeight="1">
      <c r="A1539" s="12" t="inlineStr">
        <is>
          <t>polymerase_synthesis_read</t>
        </is>
      </c>
      <c r="B1539" s="12" t="inlineStr">
        <is>
          <t>http://identifiers.org/so/SO:0001426</t>
        </is>
      </c>
      <c r="C1539" s="12" t="inlineStr">
        <is>
          <t>['polycistronic primary transcript']</t>
        </is>
      </c>
      <c r="D1539" s="12" t="n"/>
      <c r="E1539" s="12" t="n"/>
    </row>
    <row r="1540" ht="15" customHeight="1">
      <c r="A1540" s="12" t="inlineStr">
        <is>
          <t>polymorphic_pseudogene</t>
        </is>
      </c>
      <c r="B1540" s="12" t="inlineStr">
        <is>
          <t>http://identifiers.org/so/SO:0001841</t>
        </is>
      </c>
      <c r="C1540" s="12" t="inlineStr">
        <is>
          <t>['polycistronic transcript']</t>
        </is>
      </c>
      <c r="D1540" s="12" t="n"/>
      <c r="E1540" s="12" t="n"/>
    </row>
    <row r="1541" ht="15" customHeight="1">
      <c r="A1541" s="12" t="inlineStr">
        <is>
          <t>polymorphic_pseudogene_processed_transcript</t>
        </is>
      </c>
      <c r="B1541" s="12" t="inlineStr">
        <is>
          <t>http://identifiers.org/so/SO:0002116</t>
        </is>
      </c>
      <c r="C1541" s="12" t="inlineStr">
        <is>
          <t>['polymer attribute']</t>
        </is>
      </c>
      <c r="D1541" s="12" t="n"/>
      <c r="E1541" s="12" t="n"/>
    </row>
    <row r="1542" ht="15" customHeight="1">
      <c r="A1542" s="12" t="inlineStr">
        <is>
          <t>polymorphic_pseudogene_with_retained_intron</t>
        </is>
      </c>
      <c r="B1542" s="12" t="inlineStr">
        <is>
          <t>http://identifiers.org/so/SO:0002110</t>
        </is>
      </c>
      <c r="C1542" s="12" t="inlineStr">
        <is>
          <t>['polymerase synthesis read']</t>
        </is>
      </c>
      <c r="D1542" s="12" t="n"/>
      <c r="E1542" s="12" t="n"/>
    </row>
    <row r="1543" ht="15" customHeight="1">
      <c r="A1543" s="12" t="inlineStr">
        <is>
          <t>polymorphic_sequence_variant</t>
        </is>
      </c>
      <c r="B1543" s="12" t="inlineStr">
        <is>
          <t>http://identifiers.org/so/SO:0001025</t>
        </is>
      </c>
      <c r="C1543" s="12" t="inlineStr">
        <is>
          <t>['polymorphic psuedogene']</t>
        </is>
      </c>
      <c r="D1543" s="12" t="n"/>
      <c r="E1543" s="12" t="n"/>
    </row>
    <row r="1544" ht="15" customHeight="1">
      <c r="A1544" s="12" t="inlineStr">
        <is>
          <t>polymorphic_variant</t>
        </is>
      </c>
      <c r="B1544" s="12" t="inlineStr">
        <is>
          <t>http://identifiers.org/so/SO:0001766</t>
        </is>
      </c>
      <c r="C1544" s="12" t="inlineStr">
        <is>
          <t>['polymorphic pseudogene processed transcript']</t>
        </is>
      </c>
      <c r="D1544" s="12" t="n"/>
      <c r="E1544" s="12" t="n"/>
    </row>
    <row r="1545" ht="15" customHeight="1">
      <c r="A1545" s="12" t="inlineStr">
        <is>
          <t>polypeptide</t>
        </is>
      </c>
      <c r="B1545" s="12" t="inlineStr">
        <is>
          <t>http://identifiers.org/so/SO:0000104</t>
        </is>
      </c>
      <c r="C1545" s="12" t="inlineStr">
        <is>
          <t>['polymorphic pseudogene with retained intron']</t>
        </is>
      </c>
      <c r="D1545" s="12" t="n"/>
      <c r="E1545" s="12" t="n"/>
    </row>
    <row r="1546" ht="15" customHeight="1">
      <c r="A1546" s="12" t="inlineStr">
        <is>
          <t>polypeptide_binding_motif</t>
        </is>
      </c>
      <c r="B1546" s="12" t="inlineStr">
        <is>
          <t>http://identifiers.org/so/SO:0100018</t>
        </is>
      </c>
      <c r="C1546" s="12" t="inlineStr">
        <is>
          <t>['polymorphic sequence variant']</t>
        </is>
      </c>
      <c r="D1546" s="12" t="n"/>
      <c r="E1546" s="12" t="n"/>
    </row>
    <row r="1547" ht="15" customHeight="1">
      <c r="A1547" s="12" t="inlineStr">
        <is>
          <t>polypeptide_calcium_ion_contact_site</t>
        </is>
      </c>
      <c r="B1547" s="12" t="inlineStr">
        <is>
          <t>http://identifiers.org/so/SO:0001094</t>
        </is>
      </c>
      <c r="C1547" s="12" t="inlineStr">
        <is>
          <t>['polymorphic variant']</t>
        </is>
      </c>
      <c r="D1547" s="12" t="n"/>
      <c r="E1547" s="12" t="n"/>
    </row>
    <row r="1548" ht="15" customHeight="1">
      <c r="A1548" s="12" t="inlineStr">
        <is>
          <t>polypeptide_catalytic_motif</t>
        </is>
      </c>
      <c r="B1548" s="12" t="inlineStr">
        <is>
          <t>http://identifiers.org/so/SO:0100019</t>
        </is>
      </c>
      <c r="C1548" s="12" t="inlineStr">
        <is>
          <t>['protein']</t>
        </is>
      </c>
      <c r="D1548" s="12" t="n"/>
      <c r="E1548" s="12" t="n"/>
    </row>
    <row r="1549" ht="15" customHeight="1">
      <c r="A1549" s="12" t="inlineStr">
        <is>
          <t>polypeptide_cobalt_ion_contact_site</t>
        </is>
      </c>
      <c r="B1549" s="12" t="inlineStr">
        <is>
          <t>http://identifiers.org/so/SO:0001095</t>
        </is>
      </c>
      <c r="C1549" s="12" t="inlineStr">
        <is>
          <t>['polypeptide binding motif', 'binding']</t>
        </is>
      </c>
      <c r="D1549" s="12" t="n"/>
      <c r="E1549" s="12" t="n"/>
    </row>
    <row r="1550" ht="15" customHeight="1">
      <c r="A1550" s="12" t="inlineStr">
        <is>
          <t>polypeptide_conserved_motif</t>
        </is>
      </c>
      <c r="B1550" s="12" t="inlineStr">
        <is>
          <t>http://identifiers.org/so/SO:0100017</t>
        </is>
      </c>
      <c r="C1550" s="12" t="inlineStr">
        <is>
          <t>['polypeptide calcium ion contact site', 'ca bind', 'Ca_contact_site', 'ca_bind']</t>
        </is>
      </c>
      <c r="D1550" s="12" t="n"/>
      <c r="E1550" s="12" t="n"/>
    </row>
    <row r="1551" ht="15" customHeight="1">
      <c r="A1551" s="12" t="inlineStr">
        <is>
          <t>polypeptide_conserved_region</t>
        </is>
      </c>
      <c r="B1551" s="12" t="inlineStr">
        <is>
          <t>http://identifiers.org/so/SO:0100021</t>
        </is>
      </c>
      <c r="C1551" s="12" t="inlineStr">
        <is>
          <t>['polypeptide catalytic motif', 'catalytic_motif']</t>
        </is>
      </c>
      <c r="D1551" s="12" t="n"/>
      <c r="E1551" s="12" t="n"/>
    </row>
    <row r="1552" ht="15" customHeight="1">
      <c r="A1552" s="12" t="inlineStr">
        <is>
          <t>polypeptide_copper_ion_contact_site</t>
        </is>
      </c>
      <c r="B1552" s="12" t="inlineStr">
        <is>
          <t>http://identifiers.org/so/SO:0001096</t>
        </is>
      </c>
      <c r="C1552" s="12" t="inlineStr">
        <is>
          <t>['polypeptide cobalt ion contact site', 'Co_contact_site']</t>
        </is>
      </c>
      <c r="D1552" s="12" t="n"/>
      <c r="E1552" s="12" t="n"/>
    </row>
    <row r="1553" ht="15" customHeight="1">
      <c r="A1553" s="12" t="inlineStr">
        <is>
          <t>polypeptide_DNA_contact</t>
        </is>
      </c>
      <c r="B1553" s="12" t="inlineStr">
        <is>
          <t>http://identifiers.org/so/SO:0100020</t>
        </is>
      </c>
      <c r="C1553" s="12" t="inlineStr">
        <is>
          <t>['motif']</t>
        </is>
      </c>
      <c r="D1553" s="12" t="n"/>
      <c r="E1553" s="12" t="n"/>
    </row>
    <row r="1554" ht="15" customHeight="1">
      <c r="A1554" s="12" t="inlineStr">
        <is>
          <t>polypeptide_domain</t>
        </is>
      </c>
      <c r="B1554" s="12" t="inlineStr">
        <is>
          <t>http://identifiers.org/so/SO:0000417</t>
        </is>
      </c>
      <c r="C1554" s="12" t="inlineStr">
        <is>
          <t>['polypeptide conserved region']</t>
        </is>
      </c>
      <c r="D1554" s="12" t="n"/>
      <c r="E1554" s="12" t="n"/>
    </row>
    <row r="1555" ht="15" customHeight="1">
      <c r="A1555" s="12" t="inlineStr">
        <is>
          <t>polypeptide_function_variant</t>
        </is>
      </c>
      <c r="B1555" s="12" t="inlineStr">
        <is>
          <t>http://identifiers.org/so/SO:0001554</t>
        </is>
      </c>
      <c r="C1555" s="12" t="inlineStr">
        <is>
          <t>['Cu_contact_site', 'polypeptide copper ion contact site']</t>
        </is>
      </c>
      <c r="D1555" s="12" t="n"/>
      <c r="E1555" s="12" t="n"/>
    </row>
    <row r="1556" ht="15" customHeight="1">
      <c r="A1556" s="12" t="inlineStr">
        <is>
          <t>polypeptide_fusion</t>
        </is>
      </c>
      <c r="B1556" s="12" t="inlineStr">
        <is>
          <t>http://identifiers.org/so/SO:0001616</t>
        </is>
      </c>
      <c r="C1556" s="12" t="inlineStr">
        <is>
          <t>['DNA_bind', 'polypeptide DNA contact']</t>
        </is>
      </c>
      <c r="D1556" s="12" t="n"/>
      <c r="E1556" s="12" t="n"/>
    </row>
    <row r="1557" ht="15" customHeight="1">
      <c r="A1557" s="12" t="inlineStr">
        <is>
          <t>polypeptide_gain_of_function_variant</t>
        </is>
      </c>
      <c r="B1557" s="12" t="inlineStr">
        <is>
          <t>http://identifiers.org/so/SO:0001557</t>
        </is>
      </c>
      <c r="C1557" s="12" t="n"/>
      <c r="D1557" s="12" t="n"/>
      <c r="E1557" s="12" t="n"/>
    </row>
    <row r="1558" ht="15" customHeight="1">
      <c r="A1558" s="12" t="inlineStr">
        <is>
          <t>polypeptide_iron_ion_contact_site</t>
        </is>
      </c>
      <c r="B1558" s="12" t="inlineStr">
        <is>
          <t>http://identifiers.org/so/SO:0001097</t>
        </is>
      </c>
      <c r="C1558" s="12" t="inlineStr">
        <is>
          <t>['polypeptide domain', 'polypeptide_structural_domain', 'domain', 'structural domain']</t>
        </is>
      </c>
      <c r="D1558" s="12" t="n"/>
      <c r="E1558" s="12" t="n"/>
    </row>
    <row r="1559" ht="15" customHeight="1">
      <c r="A1559" s="12" t="inlineStr">
        <is>
          <t>polypeptide_ligand_contact</t>
        </is>
      </c>
      <c r="B1559" s="12" t="inlineStr">
        <is>
          <t>http://identifiers.org/so/SO:0001105</t>
        </is>
      </c>
      <c r="C1559" s="12" t="inlineStr">
        <is>
          <t>['polypeptide function variant']</t>
        </is>
      </c>
      <c r="D1559" s="12" t="n"/>
      <c r="E1559" s="12" t="n"/>
    </row>
    <row r="1560" ht="15" customHeight="1">
      <c r="A1560" s="12" t="inlineStr">
        <is>
          <t>polypeptide_localization_variant</t>
        </is>
      </c>
      <c r="B1560" s="12" t="inlineStr">
        <is>
          <t>http://identifiers.org/so/SO:0001558</t>
        </is>
      </c>
      <c r="C1560" s="12" t="inlineStr">
        <is>
          <t>['polypeptide fusion']</t>
        </is>
      </c>
      <c r="D1560" s="12" t="n"/>
      <c r="E1560" s="12" t="n"/>
    </row>
    <row r="1561" ht="15" customHeight="1">
      <c r="A1561" s="12" t="inlineStr">
        <is>
          <t>polypeptide_loss_of_function_variant</t>
        </is>
      </c>
      <c r="B1561" s="12" t="inlineStr">
        <is>
          <t>http://identifiers.org/so/SO:0001559</t>
        </is>
      </c>
      <c r="C1561" s="12" t="inlineStr">
        <is>
          <t>['polypeptide gain of function variant']</t>
        </is>
      </c>
      <c r="D1561" s="12" t="n"/>
      <c r="E1561" s="12" t="n"/>
    </row>
    <row r="1562" ht="15" customHeight="1">
      <c r="A1562" s="12" t="inlineStr">
        <is>
          <t>polypeptide_magnesium_ion_contact_site</t>
        </is>
      </c>
      <c r="B1562" s="12" t="inlineStr">
        <is>
          <t>http://identifiers.org/so/SO:0001098</t>
        </is>
      </c>
      <c r="C1562" s="12" t="inlineStr">
        <is>
          <t>['Fe_contact_site', 'polypeptide iron ion contact site']</t>
        </is>
      </c>
      <c r="D1562" s="12" t="n"/>
      <c r="E1562" s="12" t="n"/>
    </row>
    <row r="1563" ht="15" customHeight="1">
      <c r="A1563" s="12" t="inlineStr">
        <is>
          <t>polypeptide_manganese_ion_contact_site</t>
        </is>
      </c>
      <c r="B1563" s="12" t="inlineStr">
        <is>
          <t>http://identifiers.org/so/SO:0001099</t>
        </is>
      </c>
      <c r="C1563" s="12" t="inlineStr">
        <is>
          <t>['polypeptide ligand contact', 'protein-ligand interaction']</t>
        </is>
      </c>
      <c r="D1563" s="12" t="n"/>
      <c r="E1563" s="12" t="n"/>
    </row>
    <row r="1564" ht="15" customHeight="1">
      <c r="A1564" s="12" t="inlineStr">
        <is>
          <t>polypeptide_metal_contact</t>
        </is>
      </c>
      <c r="B1564" s="12" t="inlineStr">
        <is>
          <t>http://identifiers.org/so/SO:0001092</t>
        </is>
      </c>
      <c r="C1564" s="12" t="inlineStr">
        <is>
          <t>['polypeptide localization variant']</t>
        </is>
      </c>
      <c r="D1564" s="12" t="n"/>
      <c r="E1564" s="12" t="n"/>
    </row>
    <row r="1565" ht="15" customHeight="1">
      <c r="A1565" s="12" t="inlineStr">
        <is>
          <t>polypeptide_molybdenum_ion_contact_site</t>
        </is>
      </c>
      <c r="B1565" s="12" t="inlineStr">
        <is>
          <t>http://identifiers.org/so/SO:0001100</t>
        </is>
      </c>
      <c r="C1565" s="12" t="inlineStr">
        <is>
          <t>['polypeptide loss of function variant']</t>
        </is>
      </c>
      <c r="D1565" s="12" t="n"/>
      <c r="E1565" s="12" t="n"/>
    </row>
    <row r="1566" ht="15" customHeight="1">
      <c r="A1566" s="12" t="inlineStr">
        <is>
          <t>polypeptide_motif</t>
        </is>
      </c>
      <c r="B1566" s="12" t="inlineStr">
        <is>
          <t>http://identifiers.org/so/SO:0001067</t>
        </is>
      </c>
      <c r="C1566" s="12" t="inlineStr">
        <is>
          <t>['polypeptide magnesium ion contact site', 'Mg_contact_site']</t>
        </is>
      </c>
      <c r="D1566" s="12" t="n"/>
      <c r="E1566" s="12" t="n"/>
    </row>
    <row r="1567" ht="15" customHeight="1">
      <c r="A1567" s="12" t="inlineStr">
        <is>
          <t>polypeptide_nest_left_right_motif</t>
        </is>
      </c>
      <c r="B1567" s="12" t="inlineStr">
        <is>
          <t>http://identifiers.org/so/SO:0001121</t>
        </is>
      </c>
      <c r="C1567" s="12" t="inlineStr">
        <is>
          <t>['Mn_contact_site', 'polypeptide manganese ion contact site']</t>
        </is>
      </c>
      <c r="D1567" s="12" t="n"/>
      <c r="E1567" s="12" t="n"/>
    </row>
    <row r="1568" ht="15" customHeight="1">
      <c r="A1568" s="12" t="inlineStr">
        <is>
          <t>polypeptide_nest_motif</t>
        </is>
      </c>
      <c r="B1568" s="12" t="inlineStr">
        <is>
          <t>http://identifiers.org/so/SO:0001120</t>
        </is>
      </c>
      <c r="C1568" s="12" t="inlineStr">
        <is>
          <t>['metal_binding']</t>
        </is>
      </c>
      <c r="D1568" s="12" t="n"/>
      <c r="E1568" s="12" t="n"/>
    </row>
    <row r="1569" ht="15" customHeight="1">
      <c r="A1569" s="12" t="inlineStr">
        <is>
          <t>polypeptide_nest_right_left_motif</t>
        </is>
      </c>
      <c r="B1569" s="12" t="inlineStr">
        <is>
          <t>http://identifiers.org/so/SO:0001122</t>
        </is>
      </c>
      <c r="C1569" s="12" t="inlineStr">
        <is>
          <t>['Mo_contact_site', 'polypeptide molybdenum ion contact site']</t>
        </is>
      </c>
      <c r="D1569" s="12" t="n"/>
      <c r="E1569" s="12" t="n"/>
    </row>
    <row r="1570" ht="15" customHeight="1">
      <c r="A1570" s="12" t="inlineStr">
        <is>
          <t>polypeptide_nickel_ion_contact_site</t>
        </is>
      </c>
      <c r="B1570" s="12" t="inlineStr">
        <is>
          <t>http://identifiers.org/so/SO:0001101</t>
        </is>
      </c>
      <c r="C1570" s="12" t="inlineStr">
        <is>
          <t>['polypeptide motif', 'motif']</t>
        </is>
      </c>
      <c r="D1570" s="12" t="n"/>
      <c r="E1570" s="12" t="n"/>
    </row>
    <row r="1571" ht="15" customHeight="1">
      <c r="A1571" s="12" t="inlineStr">
        <is>
          <t>polypeptide_partial_loss_of_function</t>
        </is>
      </c>
      <c r="B1571" s="12" t="inlineStr">
        <is>
          <t>http://identifiers.org/so/SO:0001561</t>
        </is>
      </c>
      <c r="C1571" s="12" t="inlineStr">
        <is>
          <t>['polypeptide nest left right motif', 'nest_left_right', 'nest_lr']</t>
        </is>
      </c>
      <c r="D1571" s="12" t="n"/>
      <c r="E1571" s="12" t="n"/>
    </row>
    <row r="1572" ht="15" customHeight="1">
      <c r="A1572" s="12" t="inlineStr">
        <is>
          <t>polypeptide_post_translational_processing_affected</t>
        </is>
      </c>
      <c r="B1572" s="12" t="inlineStr">
        <is>
          <t>http://identifiers.org/so/SO:1000123</t>
        </is>
      </c>
      <c r="C1572" s="12" t="inlineStr">
        <is>
          <t>['nest_motif', 'polypeptide nest motif', 'nest']</t>
        </is>
      </c>
      <c r="D1572" s="12" t="n"/>
      <c r="E1572" s="12" t="n"/>
    </row>
    <row r="1573" ht="15" customHeight="1">
      <c r="A1573" s="12" t="inlineStr">
        <is>
          <t>polypeptide_post_translational_processing_variant</t>
        </is>
      </c>
      <c r="B1573" s="12" t="inlineStr">
        <is>
          <t>http://identifiers.org/so/SO:0001562</t>
        </is>
      </c>
      <c r="C1573" s="12" t="inlineStr">
        <is>
          <t>['nest_right_left', 'nest_rl', 'polypeptide nest right left motif']</t>
        </is>
      </c>
      <c r="D1573" s="12" t="n"/>
      <c r="E1573" s="12" t="n"/>
    </row>
    <row r="1574" ht="15" customHeight="1">
      <c r="A1574" s="12" t="inlineStr">
        <is>
          <t>polypeptide_region</t>
        </is>
      </c>
      <c r="B1574" s="12" t="inlineStr">
        <is>
          <t>http://identifiers.org/so/SO:0000839</t>
        </is>
      </c>
      <c r="C1574" s="12" t="inlineStr">
        <is>
          <t>['polypeptide nickel ion contact site', 'Ni_contact_site']</t>
        </is>
      </c>
      <c r="D1574" s="12" t="n"/>
      <c r="E1574" s="12" t="n"/>
    </row>
    <row r="1575" ht="15" customHeight="1">
      <c r="A1575" s="12" t="inlineStr">
        <is>
          <t>polypeptide_repeat</t>
        </is>
      </c>
      <c r="B1575" s="12" t="inlineStr">
        <is>
          <t>http://identifiers.org/so/SO:0001068</t>
        </is>
      </c>
      <c r="C1575" s="12" t="inlineStr">
        <is>
          <t>['polypeptide partial loss of function']</t>
        </is>
      </c>
      <c r="D1575" s="12" t="n"/>
      <c r="E1575" s="12" t="n"/>
    </row>
    <row r="1576" ht="15" customHeight="1">
      <c r="A1576" s="12" t="inlineStr">
        <is>
          <t>polypeptide_secondary_structure</t>
        </is>
      </c>
      <c r="B1576" s="12" t="inlineStr">
        <is>
          <t>http://identifiers.org/so/SO:0001078</t>
        </is>
      </c>
      <c r="C1576" s="12" t="inlineStr">
        <is>
          <t>['polypeptide_post-translational_processing_affected']</t>
        </is>
      </c>
      <c r="D1576" s="12" t="n"/>
      <c r="E1576" s="12" t="n"/>
    </row>
    <row r="1577" ht="15" customHeight="1">
      <c r="A1577" s="12" t="inlineStr">
        <is>
          <t>polypeptide_sequence_variant</t>
        </is>
      </c>
      <c r="B1577" s="12" t="inlineStr">
        <is>
          <t>http://identifiers.org/so/SO:0001603</t>
        </is>
      </c>
      <c r="C1577" s="12" t="inlineStr">
        <is>
          <t>['polypeptide post translational processing variant']</t>
        </is>
      </c>
      <c r="D1577" s="12" t="n"/>
      <c r="E1577" s="12" t="n"/>
    </row>
    <row r="1578" ht="15" customHeight="1">
      <c r="A1578" s="12" t="inlineStr">
        <is>
          <t>polypeptide_sequencing_information</t>
        </is>
      </c>
      <c r="B1578" s="12" t="inlineStr">
        <is>
          <t>http://identifiers.org/so/SO:0001082</t>
        </is>
      </c>
      <c r="C1578" s="12" t="inlineStr">
        <is>
          <t>['region', 'region or site annotation', 'site', 'positional polypeptide feature', 'positional']</t>
        </is>
      </c>
      <c r="D1578" s="12" t="n"/>
      <c r="E1578" s="12" t="n"/>
    </row>
    <row r="1579" ht="15" customHeight="1">
      <c r="A1579" s="12" t="inlineStr">
        <is>
          <t>polypeptide_structural_motif</t>
        </is>
      </c>
      <c r="B1579" s="12" t="inlineStr">
        <is>
          <t>http://identifiers.org/so/SO:0001079</t>
        </is>
      </c>
      <c r="C1579" s="12" t="inlineStr">
        <is>
          <t>['polypeptide repeat', 'repeat']</t>
        </is>
      </c>
      <c r="D1579" s="12" t="n"/>
      <c r="E1579" s="12" t="n"/>
    </row>
    <row r="1580" ht="15" customHeight="1">
      <c r="A1580" s="12" t="inlineStr">
        <is>
          <t>polypeptide_structural_region</t>
        </is>
      </c>
      <c r="B1580" s="12" t="inlineStr">
        <is>
          <t>http://identifiers.org/so/SO:0001070</t>
        </is>
      </c>
      <c r="C1580" s="12" t="inlineStr">
        <is>
          <t>['2nary structure', 'polypeptide secondary structure', 'secondary structure', 'secondary_structure', 'secondary structure region']</t>
        </is>
      </c>
      <c r="D1580" s="12" t="n"/>
      <c r="E1580" s="12" t="n"/>
    </row>
    <row r="1581" ht="15" customHeight="1">
      <c r="A1581" s="12" t="inlineStr">
        <is>
          <t>polypeptide_truncation</t>
        </is>
      </c>
      <c r="B1581" s="12" t="inlineStr">
        <is>
          <t>http://identifiers.org/so/SO:0001617</t>
        </is>
      </c>
      <c r="C1581" s="12" t="inlineStr">
        <is>
          <t>['polypeptide sequence variant']</t>
        </is>
      </c>
      <c r="D1581" s="12" t="n"/>
      <c r="E1581" s="12" t="n"/>
    </row>
    <row r="1582" ht="15" customHeight="1">
      <c r="A1582" s="12" t="inlineStr">
        <is>
          <t>polypeptide_tungsten_ion_contact_site</t>
        </is>
      </c>
      <c r="B1582" s="12" t="inlineStr">
        <is>
          <t>http://identifiers.org/so/SO:0001102</t>
        </is>
      </c>
      <c r="C1582" s="12" t="inlineStr">
        <is>
          <t>['sequencing_information']</t>
        </is>
      </c>
      <c r="D1582" s="12" t="n"/>
      <c r="E1582" s="12" t="n"/>
    </row>
    <row r="1583" ht="15" customHeight="1">
      <c r="A1583" s="12" t="inlineStr">
        <is>
          <t>polypeptide_turn_motif</t>
        </is>
      </c>
      <c r="B1583" s="12" t="inlineStr">
        <is>
          <t>http://identifiers.org/so/SO:0001128</t>
        </is>
      </c>
      <c r="C1583" s="12" t="inlineStr">
        <is>
          <t>['polypeptide structural motif', 'structural_motif']</t>
        </is>
      </c>
      <c r="D1583" s="12" t="n"/>
      <c r="E1583" s="12" t="n"/>
    </row>
    <row r="1584" ht="15" customHeight="1">
      <c r="A1584" s="12" t="inlineStr">
        <is>
          <t>polypeptide_variation_site</t>
        </is>
      </c>
      <c r="B1584" s="12" t="inlineStr">
        <is>
          <t>http://identifiers.org/so/SO:0001146</t>
        </is>
      </c>
      <c r="C1584" s="12" t="inlineStr">
        <is>
          <t>['structural_region', 'polypeptide structural region']</t>
        </is>
      </c>
      <c r="D1584" s="12" t="n"/>
      <c r="E1584" s="12" t="n"/>
    </row>
    <row r="1585" ht="15" customHeight="1">
      <c r="A1585" s="12" t="inlineStr">
        <is>
          <t>polypeptide_zinc_ion_contact_site</t>
        </is>
      </c>
      <c r="B1585" s="12" t="inlineStr">
        <is>
          <t>http://identifiers.org/so/SO:0001103</t>
        </is>
      </c>
      <c r="C1585" s="12" t="inlineStr">
        <is>
          <t>['polypeptide truncation']</t>
        </is>
      </c>
      <c r="D1585" s="12" t="n"/>
      <c r="E1585" s="12" t="n"/>
    </row>
    <row r="1586" ht="15" customHeight="1">
      <c r="A1586" s="12" t="inlineStr">
        <is>
          <t>polyploid</t>
        </is>
      </c>
      <c r="B1586" s="12" t="inlineStr">
        <is>
          <t>http://identifiers.org/so/SO:0001254</t>
        </is>
      </c>
      <c r="C1586" s="12" t="inlineStr">
        <is>
          <t>['W_contact_site', 'polypeptide tungsten ion contact site']</t>
        </is>
      </c>
      <c r="D1586" s="12" t="n"/>
      <c r="E1586" s="12" t="n"/>
    </row>
    <row r="1587" ht="15" customHeight="1">
      <c r="A1587" s="12" t="inlineStr">
        <is>
          <t>polypyrimidine_tract</t>
        </is>
      </c>
      <c r="B1587" s="12" t="inlineStr">
        <is>
          <t>http://identifiers.org/so/SO:0000612</t>
        </is>
      </c>
      <c r="C1587" s="12" t="inlineStr">
        <is>
          <t>['turn']</t>
        </is>
      </c>
      <c r="D1587" s="12" t="n"/>
      <c r="E1587" s="12" t="n"/>
    </row>
    <row r="1588" ht="15" customHeight="1">
      <c r="A1588" s="12" t="inlineStr">
        <is>
          <t>population_specific_variant</t>
        </is>
      </c>
      <c r="B1588" s="12" t="inlineStr">
        <is>
          <t>http://identifiers.org/so/SO:0001780</t>
        </is>
      </c>
      <c r="C1588" s="12" t="inlineStr">
        <is>
          <t>['sequence_variations']</t>
        </is>
      </c>
      <c r="D1588" s="12" t="n"/>
      <c r="E1588" s="12" t="n"/>
    </row>
    <row r="1589" ht="15" customHeight="1">
      <c r="A1589" s="12" t="inlineStr">
        <is>
          <t>positional_candidate_gene</t>
        </is>
      </c>
      <c r="B1589" s="12" t="inlineStr">
        <is>
          <t>http://identifiers.org/so/SO:0001868</t>
        </is>
      </c>
      <c r="C1589" s="12" t="inlineStr">
        <is>
          <t>['Zn_contact_site', 'polypeptide zinc ion contact site']</t>
        </is>
      </c>
      <c r="D1589" s="12" t="n"/>
      <c r="E1589" s="12" t="n"/>
    </row>
    <row r="1590" ht="15" customHeight="1">
      <c r="A1590" s="12" t="inlineStr">
        <is>
          <t>positive_sense_ssRNA_viral_sequence</t>
        </is>
      </c>
      <c r="B1590" s="12" t="inlineStr">
        <is>
          <t>http://identifiers.org/so/SO:0001201</t>
        </is>
      </c>
      <c r="C1590" s="12" t="n"/>
      <c r="D1590" s="12" t="n"/>
      <c r="E1590" s="12" t="n"/>
    </row>
    <row r="1591" ht="15" customHeight="1">
      <c r="A1591" s="12" t="inlineStr">
        <is>
          <t>positively_autoregulated</t>
        </is>
      </c>
      <c r="B1591" s="12" t="inlineStr">
        <is>
          <t>http://identifiers.org/so/SO:0000475</t>
        </is>
      </c>
      <c r="C1591" s="12" t="inlineStr">
        <is>
          <t>['polypyrimidine tract']</t>
        </is>
      </c>
      <c r="D1591" s="12" t="n"/>
      <c r="E1591" s="12" t="n"/>
    </row>
    <row r="1592" ht="15" customHeight="1">
      <c r="A1592" s="12" t="inlineStr">
        <is>
          <t>positively_autoregulated_gene</t>
        </is>
      </c>
      <c r="B1592" s="12" t="inlineStr">
        <is>
          <t>http://identifiers.org/so/SO:0000892</t>
        </is>
      </c>
      <c r="C1592" s="12" t="inlineStr">
        <is>
          <t>['population specific variant']</t>
        </is>
      </c>
      <c r="D1592" s="12" t="n"/>
      <c r="E1592" s="12" t="n"/>
    </row>
    <row r="1593" ht="15" customHeight="1">
      <c r="A1593" s="12" t="inlineStr">
        <is>
          <t>possible_assembly_error</t>
        </is>
      </c>
      <c r="B1593" s="12" t="inlineStr">
        <is>
          <t>http://identifiers.org/so/SO:0000702</t>
        </is>
      </c>
      <c r="C1593" s="12" t="inlineStr">
        <is>
          <t>['positional target gene', 'positional candidate gene']</t>
        </is>
      </c>
      <c r="D1593" s="12" t="n"/>
      <c r="E1593" s="12" t="n"/>
    </row>
    <row r="1594" ht="15" customHeight="1">
      <c r="A1594" s="12" t="inlineStr">
        <is>
          <t>possible_base_call_error</t>
        </is>
      </c>
      <c r="B1594" s="12" t="inlineStr">
        <is>
          <t>http://identifiers.org/so/SO:0000701</t>
        </is>
      </c>
      <c r="C1594" s="12" t="inlineStr">
        <is>
          <t>['positive sense ssRNA viral sequence', 'positive sense single stranded RNA virus']</t>
        </is>
      </c>
      <c r="D1594" s="12" t="n"/>
      <c r="E1594" s="12" t="n"/>
    </row>
    <row r="1595" ht="15" customHeight="1">
      <c r="A1595" s="12" t="inlineStr">
        <is>
          <t>post_translationally_modified_region</t>
        </is>
      </c>
      <c r="B1595" s="12" t="inlineStr">
        <is>
          <t>http://identifiers.org/so/SO:0001089</t>
        </is>
      </c>
      <c r="C1595" s="12" t="inlineStr">
        <is>
          <t>['positively autoregulated']</t>
        </is>
      </c>
      <c r="D1595" s="12" t="n"/>
      <c r="E1595" s="12" t="n"/>
    </row>
    <row r="1596" ht="15" customHeight="1">
      <c r="A1596" s="12" t="inlineStr">
        <is>
          <t>post_translationally_regulated</t>
        </is>
      </c>
      <c r="B1596" s="12" t="inlineStr">
        <is>
          <t>http://identifiers.org/so/SO:0000130</t>
        </is>
      </c>
      <c r="C1596" s="12" t="inlineStr">
        <is>
          <t>['positively autoregulated gene']</t>
        </is>
      </c>
      <c r="D1596" s="12" t="n"/>
      <c r="E1596" s="12" t="n"/>
    </row>
    <row r="1597" ht="15" customHeight="1">
      <c r="A1597" s="12" t="inlineStr">
        <is>
          <t>post_translationally_regulated_by_protein_modification</t>
        </is>
      </c>
      <c r="B1597" s="12" t="inlineStr">
        <is>
          <t>http://identifiers.org/so/SO:0000469</t>
        </is>
      </c>
      <c r="C1597" s="12" t="inlineStr">
        <is>
          <t>['possible assembly error']</t>
        </is>
      </c>
      <c r="D1597" s="12" t="n"/>
      <c r="E1597" s="12" t="n"/>
    </row>
    <row r="1598" ht="15" customHeight="1">
      <c r="A1598" s="12" t="inlineStr">
        <is>
          <t>post_translationally_regulated_by_protein_stability</t>
        </is>
      </c>
      <c r="B1598" s="12" t="inlineStr">
        <is>
          <t>http://identifiers.org/so/SO:0000467</t>
        </is>
      </c>
      <c r="C1598" s="12" t="inlineStr">
        <is>
          <t>['possible base call error']</t>
        </is>
      </c>
      <c r="D1598" s="12" t="n"/>
      <c r="E1598" s="12" t="n"/>
    </row>
    <row r="1599" ht="15" customHeight="1">
      <c r="A1599" s="12" t="inlineStr">
        <is>
          <t>post_translationally_regulated_gene</t>
        </is>
      </c>
      <c r="B1599" s="12" t="inlineStr">
        <is>
          <t>http://identifiers.org/so/SO:0000890</t>
        </is>
      </c>
      <c r="C1599" s="12" t="inlineStr">
        <is>
          <t>['post_translational_modification', 'modified residue', 'mod_res']</t>
        </is>
      </c>
      <c r="D1599" s="12" t="n"/>
      <c r="E1599" s="12" t="n"/>
    </row>
    <row r="1600" ht="15" customHeight="1">
      <c r="A1600" s="12" t="inlineStr">
        <is>
          <t>pre_edited_mRNA</t>
        </is>
      </c>
      <c r="B1600" s="12" t="inlineStr">
        <is>
          <t>http://identifiers.org/so/SO:0000932</t>
        </is>
      </c>
      <c r="C1600" s="12" t="inlineStr">
        <is>
          <t>['post translationally regulated', 'post-translationally regulated']</t>
        </is>
      </c>
      <c r="D1600" s="12" t="n"/>
      <c r="E1600" s="12" t="n"/>
    </row>
    <row r="1601" ht="15" customHeight="1">
      <c r="A1601" s="12" t="inlineStr">
        <is>
          <t>pre_edited_region</t>
        </is>
      </c>
      <c r="B1601" s="12" t="inlineStr">
        <is>
          <t>http://identifiers.org/so/SO:0000583</t>
        </is>
      </c>
      <c r="C1601" s="12" t="inlineStr">
        <is>
          <t>['post-translationally regulated by protein modification', 'post translationally regulated by protein modification']</t>
        </is>
      </c>
      <c r="D1601" s="12" t="n"/>
      <c r="E1601" s="12" t="n"/>
    </row>
    <row r="1602" ht="15" customHeight="1">
      <c r="A1602" s="12" t="inlineStr">
        <is>
          <t>pre_miRNA</t>
        </is>
      </c>
      <c r="B1602" s="12" t="inlineStr">
        <is>
          <t>http://identifiers.org/so/SO:0001244</t>
        </is>
      </c>
      <c r="C1602" s="12" t="inlineStr">
        <is>
          <t>['post-translationally regulated by protein stability', 'post translationally regulated by protein stability']</t>
        </is>
      </c>
      <c r="D1602" s="12" t="n"/>
      <c r="E1602" s="12" t="n"/>
    </row>
    <row r="1603" ht="15" customHeight="1">
      <c r="A1603" s="12" t="inlineStr">
        <is>
          <t>predicted</t>
        </is>
      </c>
      <c r="B1603" s="12" t="inlineStr">
        <is>
          <t>http://identifiers.org/so/SO:0000732</t>
        </is>
      </c>
      <c r="C1603" s="12" t="inlineStr">
        <is>
          <t>['post translationally regulated gene']</t>
        </is>
      </c>
      <c r="D1603" s="12" t="n"/>
      <c r="E1603" s="12" t="n"/>
    </row>
    <row r="1604" ht="15" customHeight="1">
      <c r="A1604" s="12" t="inlineStr">
        <is>
          <t>predicted_ab_initio_computation</t>
        </is>
      </c>
      <c r="B1604" s="12" t="inlineStr">
        <is>
          <t>http://identifiers.org/so/SO:0000310</t>
        </is>
      </c>
      <c r="C1604" s="12" t="inlineStr">
        <is>
          <t>['pre-edited mRNA']</t>
        </is>
      </c>
      <c r="D1604" s="12" t="n"/>
      <c r="E1604" s="12" t="n"/>
    </row>
    <row r="1605" ht="15" customHeight="1">
      <c r="A1605" s="12" t="inlineStr">
        <is>
          <t>predicted_by_ab_initio_computation</t>
        </is>
      </c>
      <c r="B1605" s="12" t="inlineStr">
        <is>
          <t>http://identifiers.org/so/SO:0000911</t>
        </is>
      </c>
      <c r="C1605" s="12" t="inlineStr">
        <is>
          <t>['pre-edited region', 'pre edited region']</t>
        </is>
      </c>
      <c r="D1605" s="12" t="n"/>
      <c r="E1605" s="12" t="n"/>
    </row>
    <row r="1606" ht="15" customHeight="1">
      <c r="A1606" s="12" t="inlineStr">
        <is>
          <t>predicted_gene</t>
        </is>
      </c>
      <c r="B1606" s="12" t="inlineStr">
        <is>
          <t>http://identifiers.org/so/SO:0000996</t>
        </is>
      </c>
      <c r="C1606" s="12" t="inlineStr">
        <is>
          <t>['pre-miRNA']</t>
        </is>
      </c>
      <c r="D1606" s="12" t="n"/>
      <c r="E1606" s="12" t="n"/>
    </row>
    <row r="1607" ht="15" customHeight="1">
      <c r="A1607" s="12" t="inlineStr">
        <is>
          <t>predicted_transcript</t>
        </is>
      </c>
      <c r="B1607" s="12" t="inlineStr">
        <is>
          <t>http://identifiers.org/so/SO:0002138</t>
        </is>
      </c>
      <c r="C1607" s="12" t="n"/>
      <c r="D1607" s="12" t="n"/>
      <c r="E1607" s="12" t="n"/>
    </row>
    <row r="1608" ht="15" customHeight="1">
      <c r="A1608" s="12" t="inlineStr">
        <is>
          <t>presence_absence_variation</t>
        </is>
      </c>
      <c r="B1608" s="12" t="inlineStr">
        <is>
          <t>http://identifiers.org/so/SO:0002210</t>
        </is>
      </c>
      <c r="C1608" s="12" t="n"/>
      <c r="D1608" s="12" t="n"/>
      <c r="E1608" s="12" t="n"/>
    </row>
    <row r="1609" ht="15" customHeight="1">
      <c r="A1609" s="12" t="inlineStr">
        <is>
          <t>primary_transcript</t>
        </is>
      </c>
      <c r="B1609" s="12" t="inlineStr">
        <is>
          <t>http://identifiers.org/so/SO:0000185</t>
        </is>
      </c>
      <c r="C1609" s="12" t="inlineStr">
        <is>
          <t>['predicted by ab initio computation']</t>
        </is>
      </c>
      <c r="D1609" s="12" t="n"/>
      <c r="E1609" s="12" t="n"/>
    </row>
    <row r="1610" ht="15" customHeight="1">
      <c r="A1610" s="12" t="inlineStr">
        <is>
          <t>primary_transcript_attribute</t>
        </is>
      </c>
      <c r="B1610" s="12" t="inlineStr">
        <is>
          <t>http://identifiers.org/so/SO:0000144</t>
        </is>
      </c>
      <c r="C1610" s="12" t="inlineStr">
        <is>
          <t>['predicted gene']</t>
        </is>
      </c>
      <c r="D1610" s="12" t="n"/>
      <c r="E1610" s="12" t="n"/>
    </row>
    <row r="1611" ht="15" customHeight="1">
      <c r="A1611" s="12" t="inlineStr">
        <is>
          <t>primary_transcript_region</t>
        </is>
      </c>
      <c r="B1611" s="12" t="inlineStr">
        <is>
          <t>http://identifiers.org/so/SO:0000835</t>
        </is>
      </c>
      <c r="C1611" s="12" t="inlineStr">
        <is>
          <t>['predicted transcript']</t>
        </is>
      </c>
      <c r="D1611" s="12" t="n"/>
      <c r="E1611" s="12" t="n"/>
    </row>
    <row r="1612" ht="15" customHeight="1">
      <c r="A1612" s="12" t="inlineStr">
        <is>
          <t>primer</t>
        </is>
      </c>
      <c r="B1612" s="12" t="inlineStr">
        <is>
          <t>http://identifiers.org/so/SO:0000112</t>
        </is>
      </c>
      <c r="C1612" s="12" t="inlineStr">
        <is>
          <t>['presence/absence variation', 'presence/absence_variation', 'presence-absence_variation', 'PAV', 'presence-absence variation', 'presence absence variation']</t>
        </is>
      </c>
      <c r="D1612" s="12" t="n"/>
      <c r="E1612" s="12" t="n"/>
    </row>
    <row r="1613" ht="15" customHeight="1">
      <c r="A1613" s="12" t="inlineStr">
        <is>
          <t>primer_binding_site</t>
        </is>
      </c>
      <c r="B1613" s="12" t="inlineStr">
        <is>
          <t>http://identifiers.org/so/SO:0005850</t>
        </is>
      </c>
      <c r="C1613" s="12" t="inlineStr">
        <is>
          <t>['primary transcript', 'INSDC_feature:precursor_RNA', 'INSDC_feature:prim_transcript', 'precursor RNA']</t>
        </is>
      </c>
      <c r="D1613" s="12" t="n"/>
      <c r="E1613" s="12" t="n"/>
    </row>
    <row r="1614" ht="15" customHeight="1">
      <c r="A1614" s="12" t="inlineStr">
        <is>
          <t>primer_match</t>
        </is>
      </c>
      <c r="B1614" s="12" t="inlineStr">
        <is>
          <t>http://identifiers.org/so/SO:0001472</t>
        </is>
      </c>
      <c r="C1614" s="12" t="n"/>
      <c r="D1614" s="12" t="n"/>
      <c r="E1614" s="12" t="n"/>
    </row>
    <row r="1615" ht="15" customHeight="1">
      <c r="A1615" s="12" t="inlineStr">
        <is>
          <t>priRNA</t>
        </is>
      </c>
      <c r="B1615" s="12" t="inlineStr">
        <is>
          <t>http://identifiers.org/so/SO:0002022</t>
        </is>
      </c>
      <c r="C1615" s="12" t="inlineStr">
        <is>
          <t>['primary transcript region']</t>
        </is>
      </c>
      <c r="D1615" s="12" t="n"/>
      <c r="E1615" s="12" t="n"/>
    </row>
    <row r="1616" ht="15" customHeight="1">
      <c r="A1616" s="12" t="inlineStr">
        <is>
          <t>probe</t>
        </is>
      </c>
      <c r="B1616" s="12" t="inlineStr">
        <is>
          <t>http://identifiers.org/so/SO:0000051</t>
        </is>
      </c>
      <c r="C1616" s="12" t="inlineStr">
        <is>
          <t>['primer polynucleotide', 'primer oligonucleotide', 'primer sequence', 'DNA primer']</t>
        </is>
      </c>
      <c r="D1616" s="12" t="n"/>
      <c r="E1616" s="12" t="n"/>
    </row>
    <row r="1617" ht="15" customHeight="1">
      <c r="A1617" s="12" t="inlineStr">
        <is>
          <t>processed</t>
        </is>
      </c>
      <c r="B1617" s="12" t="inlineStr">
        <is>
          <t>http://identifiers.org/so/SO:0000900</t>
        </is>
      </c>
      <c r="C1617" s="12" t="inlineStr">
        <is>
          <t>['INSDC_feature:primer_bind', 'primer binding site']</t>
        </is>
      </c>
      <c r="D1617" s="12" t="n"/>
      <c r="E1617" s="12" t="n"/>
    </row>
    <row r="1618" ht="15" customHeight="1">
      <c r="A1618" s="12" t="inlineStr">
        <is>
          <t>processed_pseudogene</t>
        </is>
      </c>
      <c r="B1618" s="12" t="inlineStr">
        <is>
          <t>http://identifiers.org/so/SO:0000043</t>
        </is>
      </c>
      <c r="C1618" s="12" t="inlineStr">
        <is>
          <t>['primer match']</t>
        </is>
      </c>
      <c r="D1618" s="12" t="n"/>
      <c r="E1618" s="12" t="n"/>
    </row>
    <row r="1619" ht="15" customHeight="1">
      <c r="A1619" s="12" t="inlineStr">
        <is>
          <t>processed_pseudogenic_rRNA</t>
        </is>
      </c>
      <c r="B1619" s="12" t="inlineStr">
        <is>
          <t>http://identifiers.org/so/SO:0002193</t>
        </is>
      </c>
      <c r="C1619" s="12" t="inlineStr">
        <is>
          <t>['primal small RNA']</t>
        </is>
      </c>
      <c r="D1619" s="12" t="n"/>
      <c r="E1619" s="12" t="n"/>
    </row>
    <row r="1620" ht="15" customHeight="1">
      <c r="A1620" s="12" t="inlineStr">
        <is>
          <t>processed_pseudogenic_tRNA</t>
        </is>
      </c>
      <c r="B1620" s="12" t="inlineStr">
        <is>
          <t>http://identifiers.org/so/SO:0002197</t>
        </is>
      </c>
      <c r="C1620" s="12" t="n"/>
      <c r="D1620" s="12" t="n"/>
      <c r="E1620" s="12" t="n"/>
    </row>
    <row r="1621" ht="15" customHeight="1">
      <c r="A1621" s="12" t="inlineStr">
        <is>
          <t>processed_transcript</t>
        </is>
      </c>
      <c r="B1621" s="12" t="inlineStr">
        <is>
          <t>http://identifiers.org/so/SO:0001503</t>
        </is>
      </c>
      <c r="C1621" s="12" t="n"/>
      <c r="D1621" s="12" t="n"/>
      <c r="E1621" s="12" t="n"/>
    </row>
    <row r="1622" ht="15" customHeight="1">
      <c r="A1622" s="12" t="inlineStr">
        <is>
          <t>processed_transcript_attribute</t>
        </is>
      </c>
      <c r="B1622" s="12" t="inlineStr">
        <is>
          <t>http://identifiers.org/so/SO:0000082</t>
        </is>
      </c>
      <c r="C1622" s="12" t="inlineStr">
        <is>
          <t>['pseudogene by reverse transcription', 'retropseudogene', 'INSDC_qualifier:processed', 'INSDC_feature:gene', 'R psi G', 'processed pseudogene']</t>
        </is>
      </c>
      <c r="D1622" s="12" t="n"/>
      <c r="E1622" s="12" t="n"/>
    </row>
    <row r="1623" ht="15" customHeight="1">
      <c r="A1623" s="12" t="inlineStr">
        <is>
          <t>prokaryotic_promoter</t>
        </is>
      </c>
      <c r="B1623" s="12" t="inlineStr">
        <is>
          <t>http://identifiers.org/so/SO:0002222</t>
        </is>
      </c>
      <c r="C1623" s="12" t="inlineStr">
        <is>
          <t>['INSDC_feature:rRNA', 'INSDC_qualifier:processed', 'processed pseudogenic rRNA']</t>
        </is>
      </c>
      <c r="D1623" s="12" t="n"/>
      <c r="E1623" s="12" t="n"/>
    </row>
    <row r="1624" ht="15" customHeight="1">
      <c r="A1624" s="12" t="inlineStr">
        <is>
          <t>proline</t>
        </is>
      </c>
      <c r="B1624" s="12" t="inlineStr">
        <is>
          <t>http://identifiers.org/so/SO:0001439</t>
        </is>
      </c>
      <c r="C1624" s="12" t="inlineStr">
        <is>
          <t>['INSDC_qualifier:processed', 'INSDC_feature:tRNA', 'processed pseudogenic tRNA']</t>
        </is>
      </c>
      <c r="D1624" s="12" t="n"/>
      <c r="E1624" s="12" t="n"/>
    </row>
    <row r="1625" ht="15" customHeight="1">
      <c r="A1625" s="12" t="inlineStr">
        <is>
          <t>proline_tRNA_primary_transcript</t>
        </is>
      </c>
      <c r="B1625" s="12" t="inlineStr">
        <is>
          <t>http://identifiers.org/so/SO:0000225</t>
        </is>
      </c>
      <c r="C1625" s="12" t="inlineStr">
        <is>
          <t>['processed transcript']</t>
        </is>
      </c>
      <c r="D1625" s="12" t="n"/>
      <c r="E1625" s="12" t="n"/>
    </row>
    <row r="1626" ht="15" customHeight="1">
      <c r="A1626" s="12" t="inlineStr">
        <is>
          <t>prolyl_tRNA</t>
        </is>
      </c>
      <c r="B1626" s="12" t="inlineStr">
        <is>
          <t>http://identifiers.org/so/SO:0000268</t>
        </is>
      </c>
      <c r="C1626" s="12" t="n"/>
      <c r="D1626" s="12" t="n"/>
      <c r="E1626" s="12" t="n"/>
    </row>
    <row r="1627" ht="15" customHeight="1">
      <c r="A1627" s="12" t="inlineStr">
        <is>
          <t>promoter_element</t>
        </is>
      </c>
      <c r="B1627" s="12" t="inlineStr">
        <is>
          <t>http://identifiers.org/so/SO:0001659</t>
        </is>
      </c>
      <c r="C1627" s="12" t="inlineStr">
        <is>
          <t>['Prokaryotic promoter']</t>
        </is>
      </c>
      <c r="D1627" s="12" t="n"/>
      <c r="E1627" s="12" t="n"/>
    </row>
    <row r="1628" ht="15" customHeight="1">
      <c r="A1628" s="12" t="inlineStr">
        <is>
          <t>promoter_flanking_region</t>
        </is>
      </c>
      <c r="B1628" s="12" t="inlineStr">
        <is>
          <t>http://identifiers.org/so/SO:0001952</t>
        </is>
      </c>
      <c r="C1628" s="12" t="inlineStr">
        <is>
          <t>['Pro', 'P']</t>
        </is>
      </c>
      <c r="D1628" s="12" t="n"/>
      <c r="E1628" s="12" t="n"/>
    </row>
    <row r="1629" ht="15" customHeight="1">
      <c r="A1629" s="12" t="inlineStr">
        <is>
          <t>promoter_region</t>
        </is>
      </c>
      <c r="B1629" s="12" t="inlineStr">
        <is>
          <t>http://identifiers.org/so/SO:0000832</t>
        </is>
      </c>
      <c r="C1629" s="12" t="inlineStr">
        <is>
          <t>['proline tRNA primary transcript']</t>
        </is>
      </c>
      <c r="D1629" s="12" t="n"/>
      <c r="E1629" s="12" t="n"/>
    </row>
    <row r="1630" ht="15" customHeight="1">
      <c r="A1630" s="12" t="inlineStr">
        <is>
          <t>promoter_targeting_sequence</t>
        </is>
      </c>
      <c r="B1630" s="12" t="inlineStr">
        <is>
          <t>http://identifiers.org/so/SO:0001058</t>
        </is>
      </c>
      <c r="C1630" s="12" t="inlineStr">
        <is>
          <t>['prolyl tRNA', 'prolyl-transfer RNA', 'prolyl-transfer ribonucleic acid']</t>
        </is>
      </c>
      <c r="D1630" s="12" t="n"/>
      <c r="E1630" s="12" t="n"/>
    </row>
    <row r="1631" ht="15" customHeight="1">
      <c r="A1631" s="12" t="inlineStr">
        <is>
          <t>promoter_trap_construct</t>
        </is>
      </c>
      <c r="B1631" s="12" t="inlineStr">
        <is>
          <t>http://identifiers.org/so/SO:0001478</t>
        </is>
      </c>
      <c r="C1631" s="12" t="inlineStr">
        <is>
          <t>['promoter element']</t>
        </is>
      </c>
      <c r="D1631" s="12" t="n"/>
      <c r="E1631" s="12" t="n"/>
    </row>
    <row r="1632" ht="15" customHeight="1">
      <c r="A1632" s="12" t="inlineStr">
        <is>
          <t>propeptide</t>
        </is>
      </c>
      <c r="B1632" s="12" t="inlineStr">
        <is>
          <t>http://identifiers.org/so/SO:0001062</t>
        </is>
      </c>
      <c r="C1632" s="12" t="inlineStr">
        <is>
          <t>['promoter flanking region']</t>
        </is>
      </c>
      <c r="D1632" s="12" t="n"/>
      <c r="E1632" s="12" t="n"/>
    </row>
    <row r="1633" ht="15" customHeight="1">
      <c r="A1633" s="12" t="inlineStr">
        <is>
          <t>propeptide_cleavage_site</t>
        </is>
      </c>
      <c r="B1633" s="12" t="inlineStr">
        <is>
          <t>http://identifiers.org/so/SO:0001061</t>
        </is>
      </c>
      <c r="C1633" s="12" t="n"/>
      <c r="D1633" s="12" t="n"/>
      <c r="E1633" s="12" t="n"/>
    </row>
    <row r="1634" ht="15" customHeight="1">
      <c r="A1634" s="12" t="inlineStr">
        <is>
          <t>propeptide_region_of_CDS</t>
        </is>
      </c>
      <c r="B1634" s="12" t="inlineStr">
        <is>
          <t>http://identifiers.org/so/SO:0002250</t>
        </is>
      </c>
      <c r="C1634" s="12" t="inlineStr">
        <is>
          <t>['promoter targeting sequence']</t>
        </is>
      </c>
      <c r="D1634" s="12" t="n"/>
      <c r="E1634" s="12" t="n"/>
    </row>
    <row r="1635" ht="15" customHeight="1">
      <c r="A1635" s="12" t="inlineStr">
        <is>
          <t>prophage</t>
        </is>
      </c>
      <c r="B1635" s="12" t="inlineStr">
        <is>
          <t>http://identifiers.org/so/SO:0001006</t>
        </is>
      </c>
      <c r="C1635" s="12" t="inlineStr">
        <is>
          <t>['promoter trap construct']</t>
        </is>
      </c>
      <c r="D1635" s="12" t="n"/>
      <c r="E1635" s="12" t="n"/>
    </row>
    <row r="1636" ht="15" customHeight="1">
      <c r="A1636" s="12" t="inlineStr">
        <is>
          <t>proplastid_gene</t>
        </is>
      </c>
      <c r="B1636" s="12" t="inlineStr">
        <is>
          <t>http://identifiers.org/so/SO:0000096</t>
        </is>
      </c>
      <c r="C1636" s="12" t="inlineStr">
        <is>
          <t>['propep', 'INSDC_feature:propeptide']</t>
        </is>
      </c>
      <c r="D1636" s="12" t="n"/>
      <c r="E1636" s="12" t="n"/>
    </row>
    <row r="1637" ht="15" customHeight="1">
      <c r="A1637" s="12" t="inlineStr">
        <is>
          <t>proplastid_sequence</t>
        </is>
      </c>
      <c r="B1637" s="12" t="inlineStr">
        <is>
          <t>http://identifiers.org/so/SO:0000748</t>
        </is>
      </c>
      <c r="C1637" s="12" t="inlineStr">
        <is>
          <t>['propeptide cleavage site']</t>
        </is>
      </c>
      <c r="D1637" s="12" t="n"/>
      <c r="E1637" s="12" t="n"/>
    </row>
    <row r="1638" ht="15" customHeight="1">
      <c r="A1638" s="12" t="inlineStr">
        <is>
          <t>protease_site</t>
        </is>
      </c>
      <c r="B1638" s="12" t="inlineStr">
        <is>
          <t>http://identifiers.org/so/SO:0001956</t>
        </is>
      </c>
      <c r="C1638" s="12" t="inlineStr">
        <is>
          <t>['propeptide region of CDS', 'INSDC_feature:propeptide']</t>
        </is>
      </c>
      <c r="D1638" s="12" t="n"/>
      <c r="E1638" s="12" t="n"/>
    </row>
    <row r="1639" ht="15" customHeight="1">
      <c r="A1639" s="12" t="inlineStr">
        <is>
          <t>protein_altering_variant</t>
        </is>
      </c>
      <c r="B1639" s="12" t="inlineStr">
        <is>
          <t>http://identifiers.org/so/SO:0001818</t>
        </is>
      </c>
      <c r="C1639" s="12" t="n"/>
      <c r="D1639" s="12" t="n"/>
      <c r="E1639" s="12" t="n"/>
    </row>
    <row r="1640" ht="15" customHeight="1">
      <c r="A1640" s="12" t="inlineStr">
        <is>
          <t>protein_binding_site</t>
        </is>
      </c>
      <c r="B1640" s="12" t="inlineStr">
        <is>
          <t>http://identifiers.org/so/SO:0000410</t>
        </is>
      </c>
      <c r="C1640" s="12" t="inlineStr">
        <is>
          <t>['proplastid gene']</t>
        </is>
      </c>
      <c r="D1640" s="12" t="n"/>
      <c r="E1640" s="12" t="n"/>
    </row>
    <row r="1641" ht="15" customHeight="1">
      <c r="A1641" s="12" t="inlineStr">
        <is>
          <t>protein_coding</t>
        </is>
      </c>
      <c r="B1641" s="12" t="inlineStr">
        <is>
          <t>http://identifiers.org/so/SO:0000010</t>
        </is>
      </c>
      <c r="C1641" s="12" t="inlineStr">
        <is>
          <t>['proplastid sequence']</t>
        </is>
      </c>
      <c r="D1641" s="12" t="n"/>
      <c r="E1641" s="12" t="n"/>
    </row>
    <row r="1642" ht="15" customHeight="1">
      <c r="A1642" s="12" t="inlineStr">
        <is>
          <t>protein_coding_gene</t>
        </is>
      </c>
      <c r="B1642" s="12" t="inlineStr">
        <is>
          <t>http://identifiers.org/so/SO:0001217</t>
        </is>
      </c>
      <c r="C1642" s="12" t="inlineStr">
        <is>
          <t>['protease site']</t>
        </is>
      </c>
      <c r="D1642" s="12" t="n"/>
      <c r="E1642" s="12" t="n"/>
    </row>
    <row r="1643" ht="15" customHeight="1">
      <c r="A1643" s="12" t="inlineStr">
        <is>
          <t>protein_coding_primary_transcript</t>
        </is>
      </c>
      <c r="B1643" s="12" t="inlineStr">
        <is>
          <t>http://identifiers.org/so/SO:0000120</t>
        </is>
      </c>
      <c r="C1643" s="12" t="inlineStr">
        <is>
          <t>['VEP:protein_altering_variant', 'protein altering variant']</t>
        </is>
      </c>
      <c r="D1643" s="12" t="n"/>
      <c r="E1643" s="12" t="n"/>
    </row>
    <row r="1644" ht="15" customHeight="1">
      <c r="A1644" s="12" t="inlineStr">
        <is>
          <t>protein_hmm_match</t>
        </is>
      </c>
      <c r="B1644" s="12" t="inlineStr">
        <is>
          <t>http://identifiers.org/so/SO:0001831</t>
        </is>
      </c>
      <c r="C1644" s="12" t="inlineStr">
        <is>
          <t>['INSDC_feature:protein_bind', 'protein binding site']</t>
        </is>
      </c>
      <c r="D1644" s="12" t="n"/>
      <c r="E1644" s="12" t="n"/>
    </row>
    <row r="1645" ht="15" customHeight="1">
      <c r="A1645" s="12" t="inlineStr">
        <is>
          <t>protein_match</t>
        </is>
      </c>
      <c r="B1645" s="12" t="inlineStr">
        <is>
          <t>http://identifiers.org/so/SO:0000349</t>
        </is>
      </c>
      <c r="C1645" s="12" t="inlineStr">
        <is>
          <t>['protein-coding']</t>
        </is>
      </c>
      <c r="D1645" s="12" t="n"/>
      <c r="E1645" s="12" t="n"/>
    </row>
    <row r="1646" ht="15" customHeight="1">
      <c r="A1646" s="12" t="inlineStr">
        <is>
          <t>protein_protein_contact</t>
        </is>
      </c>
      <c r="B1646" s="12" t="inlineStr">
        <is>
          <t>http://identifiers.org/so/SO:0001093</t>
        </is>
      </c>
      <c r="C1646" s="12" t="inlineStr">
        <is>
          <t>['protein coding gene']</t>
        </is>
      </c>
      <c r="D1646" s="12" t="n"/>
      <c r="E1646" s="12" t="n"/>
    </row>
    <row r="1647" ht="15" customHeight="1">
      <c r="A1647" s="12" t="inlineStr">
        <is>
          <t>protein_stability_element</t>
        </is>
      </c>
      <c r="B1647" s="12" t="inlineStr">
        <is>
          <t>http://identifiers.org/so/SO:0001955</t>
        </is>
      </c>
      <c r="C1647" s="12" t="inlineStr">
        <is>
          <t>['pre mRNA', 'protein coding primary transcript']</t>
        </is>
      </c>
      <c r="D1647" s="12" t="n"/>
      <c r="E1647" s="12" t="n"/>
    </row>
    <row r="1648" ht="15" customHeight="1">
      <c r="A1648" s="12" t="inlineStr">
        <is>
          <t>proviral_gene</t>
        </is>
      </c>
      <c r="B1648" s="12" t="inlineStr">
        <is>
          <t>http://identifiers.org/so/SO:0000099</t>
        </is>
      </c>
      <c r="C1648" s="12" t="inlineStr">
        <is>
          <t>['protein hmm match']</t>
        </is>
      </c>
      <c r="D1648" s="12" t="n"/>
      <c r="E1648" s="12" t="n"/>
    </row>
    <row r="1649" ht="15" customHeight="1">
      <c r="A1649" s="12" t="inlineStr">
        <is>
          <t>proviral_location</t>
        </is>
      </c>
      <c r="B1649" s="12" t="inlineStr">
        <is>
          <t>http://identifiers.org/so/SO:0000751</t>
        </is>
      </c>
      <c r="C1649" s="12" t="inlineStr">
        <is>
          <t>['protein match']</t>
        </is>
      </c>
      <c r="D1649" s="12" t="n"/>
      <c r="E1649" s="12" t="n"/>
    </row>
    <row r="1650" ht="15" customHeight="1">
      <c r="A1650" s="12" t="inlineStr">
        <is>
          <t>proviral_region</t>
        </is>
      </c>
      <c r="B1650" s="12" t="inlineStr">
        <is>
          <t>http://identifiers.org/so/SO:0000113</t>
        </is>
      </c>
      <c r="C1650" s="12" t="inlineStr">
        <is>
          <t>['protein_protein_interaction', 'protein protein contact site', 'protein protein contact']</t>
        </is>
      </c>
      <c r="D1650" s="12" t="n"/>
      <c r="E1650" s="12" t="n"/>
    </row>
    <row r="1651" ht="15" customHeight="1">
      <c r="A1651" s="12" t="inlineStr">
        <is>
          <t>proximal_promoter_element</t>
        </is>
      </c>
      <c r="B1651" s="12" t="inlineStr">
        <is>
          <t>http://identifiers.org/so/SO:0001668</t>
        </is>
      </c>
      <c r="C1651" s="12" t="inlineStr">
        <is>
          <t>['protein stability element']</t>
        </is>
      </c>
      <c r="D1651" s="12" t="n"/>
      <c r="E1651" s="12" t="n"/>
    </row>
    <row r="1652" ht="15" customHeight="1">
      <c r="A1652" s="12" t="inlineStr">
        <is>
          <t>PSE_motif</t>
        </is>
      </c>
      <c r="B1652" s="12" t="inlineStr">
        <is>
          <t>http://identifiers.org/so/SO:0000017</t>
        </is>
      </c>
      <c r="C1652" s="12" t="inlineStr">
        <is>
          <t>['proviral gene']</t>
        </is>
      </c>
      <c r="D1652" s="12" t="n"/>
      <c r="E1652" s="12" t="n"/>
    </row>
    <row r="1653" ht="15" customHeight="1">
      <c r="A1653" s="12" t="inlineStr">
        <is>
          <t>pseudogene</t>
        </is>
      </c>
      <c r="B1653" s="12" t="inlineStr">
        <is>
          <t>http://identifiers.org/so/SO:0000336</t>
        </is>
      </c>
      <c r="C1653" s="12" t="inlineStr">
        <is>
          <t>['proviral location']</t>
        </is>
      </c>
      <c r="D1653" s="12" t="n"/>
      <c r="E1653" s="12" t="n"/>
    </row>
    <row r="1654" ht="15" customHeight="1">
      <c r="A1654" s="12" t="inlineStr">
        <is>
          <t>pseudogene_attribute</t>
        </is>
      </c>
      <c r="B1654" s="12" t="inlineStr">
        <is>
          <t>http://identifiers.org/so/SO:0000042</t>
        </is>
      </c>
      <c r="C1654" s="12" t="inlineStr">
        <is>
          <t>['proviral region', 'proviral sequence']</t>
        </is>
      </c>
      <c r="D1654" s="12" t="n"/>
      <c r="E1654" s="12" t="n"/>
    </row>
    <row r="1655" ht="15" customHeight="1">
      <c r="A1655" s="12" t="inlineStr">
        <is>
          <t>pseudogene_by_unequal_crossing_over</t>
        </is>
      </c>
      <c r="B1655" s="12" t="inlineStr">
        <is>
          <t>http://identifiers.org/so/SO:0000044</t>
        </is>
      </c>
      <c r="C1655" s="12" t="inlineStr">
        <is>
          <t>['specific transcription factor binding site', 'proximal promoter element']</t>
        </is>
      </c>
      <c r="D1655" s="12" t="n"/>
      <c r="E1655" s="12" t="n"/>
    </row>
    <row r="1656" ht="15" customHeight="1">
      <c r="A1656" s="12" t="inlineStr">
        <is>
          <t>pseudogene_processed_transcript</t>
        </is>
      </c>
      <c r="B1656" s="12" t="inlineStr">
        <is>
          <t>http://identifiers.org/so/SO:0002111</t>
        </is>
      </c>
      <c r="C1656" s="12" t="inlineStr">
        <is>
          <t>['PSE motif', 'proximal sequence element']</t>
        </is>
      </c>
      <c r="D1656" s="12" t="n"/>
      <c r="E1656" s="12" t="n"/>
    </row>
    <row r="1657" ht="15" customHeight="1">
      <c r="A1657" s="12" t="inlineStr">
        <is>
          <t>pseudogenic_CDS</t>
        </is>
      </c>
      <c r="B1657" s="12" t="inlineStr">
        <is>
          <t>http://identifiers.org/so/SO:0002087</t>
        </is>
      </c>
      <c r="C1657" s="12" t="inlineStr">
        <is>
          <t>['INSDC_qualifier:pseudo', 'INSDC_qualifier:unknown', 'INSDC_feature:gene']</t>
        </is>
      </c>
      <c r="D1657" s="12" t="n"/>
      <c r="E1657" s="12" t="n"/>
    </row>
    <row r="1658" ht="15" customHeight="1">
      <c r="A1658" s="12" t="inlineStr">
        <is>
          <t>pseudogenic_exon</t>
        </is>
      </c>
      <c r="B1658" s="12" t="inlineStr">
        <is>
          <t>http://identifiers.org/so/SO:0000507</t>
        </is>
      </c>
      <c r="C1658" s="12" t="inlineStr">
        <is>
          <t>['pseudogene attribute']</t>
        </is>
      </c>
      <c r="D1658" s="12" t="n"/>
      <c r="E1658" s="12" t="n"/>
    </row>
    <row r="1659" ht="15" customHeight="1">
      <c r="A1659" s="12" t="inlineStr">
        <is>
          <t>pseudogenic_gene_segment</t>
        </is>
      </c>
      <c r="B1659" s="12" t="inlineStr">
        <is>
          <t>http://identifiers.org/so/SO:0001741</t>
        </is>
      </c>
      <c r="C1659" s="12" t="inlineStr">
        <is>
          <t>['pseudogene by unequal crossing over']</t>
        </is>
      </c>
      <c r="D1659" s="12" t="n"/>
      <c r="E1659" s="12" t="n"/>
    </row>
    <row r="1660" ht="15" customHeight="1">
      <c r="A1660" s="12" t="inlineStr">
        <is>
          <t>pseudogenic_region</t>
        </is>
      </c>
      <c r="B1660" s="12" t="inlineStr">
        <is>
          <t>http://identifiers.org/so/SO:0000462</t>
        </is>
      </c>
      <c r="C1660" s="12" t="inlineStr">
        <is>
          <t>['pseudogene processed transcript']</t>
        </is>
      </c>
      <c r="D1660" s="12" t="n"/>
      <c r="E1660" s="12" t="n"/>
    </row>
    <row r="1661" ht="15" customHeight="1">
      <c r="A1661" s="12" t="inlineStr">
        <is>
          <t>pseudogenic_rRNA</t>
        </is>
      </c>
      <c r="B1661" s="12" t="inlineStr">
        <is>
          <t>http://identifiers.org/so/SO:0000777</t>
        </is>
      </c>
      <c r="C1661" s="12" t="inlineStr">
        <is>
          <t>['pseudogenic CDS', 'INSDC_qualifier:pseudo', 'INSDC_feature:CDS']</t>
        </is>
      </c>
      <c r="D1661" s="12" t="n"/>
      <c r="E1661" s="12" t="n"/>
    </row>
    <row r="1662" ht="15" customHeight="1">
      <c r="A1662" s="12" t="inlineStr">
        <is>
          <t>pseudogenic_transcript</t>
        </is>
      </c>
      <c r="B1662" s="12" t="inlineStr">
        <is>
          <t>http://identifiers.org/so/SO:0000516</t>
        </is>
      </c>
      <c r="C1662" s="12" t="inlineStr">
        <is>
          <t>['pseudogenic exon']</t>
        </is>
      </c>
      <c r="D1662" s="12" t="n"/>
      <c r="E1662" s="12" t="n"/>
    </row>
    <row r="1663" ht="15" customHeight="1">
      <c r="A1663" s="12" t="inlineStr">
        <is>
          <t>pseudogenic_transcript_with_retained_intron</t>
        </is>
      </c>
      <c r="B1663" s="12" t="inlineStr">
        <is>
          <t>http://identifiers.org/so/SO:0002115</t>
        </is>
      </c>
      <c r="C1663" s="12" t="inlineStr">
        <is>
          <t>['pseudogenic gene segment']</t>
        </is>
      </c>
      <c r="D1663" s="12" t="n"/>
      <c r="E1663" s="12" t="n"/>
    </row>
    <row r="1664" ht="15" customHeight="1">
      <c r="A1664" s="12" t="inlineStr">
        <is>
          <t>pseudogenic_tRNA</t>
        </is>
      </c>
      <c r="B1664" s="12" t="inlineStr">
        <is>
          <t>http://identifiers.org/so/SO:0000778</t>
        </is>
      </c>
      <c r="C1664" s="12" t="inlineStr">
        <is>
          <t>['pseudogenic region']</t>
        </is>
      </c>
      <c r="D1664" s="12" t="n"/>
      <c r="E1664" s="12" t="n"/>
    </row>
    <row r="1665" ht="15" customHeight="1">
      <c r="A1665" s="12" t="inlineStr">
        <is>
          <t>pseudoknot</t>
        </is>
      </c>
      <c r="B1665" s="12" t="inlineStr">
        <is>
          <t>http://identifiers.org/so/SO:0000591</t>
        </is>
      </c>
      <c r="C1665" s="12" t="inlineStr">
        <is>
          <t>['INSDC_qualifier:pseudo', 'pseudogenic rRNA', 'INSDC_feature:rRNA']</t>
        </is>
      </c>
      <c r="D1665" s="12" t="n"/>
      <c r="E1665" s="12" t="n"/>
    </row>
    <row r="1666" ht="15" customHeight="1">
      <c r="A1666" s="12" t="inlineStr">
        <is>
          <t>pseudouridine</t>
        </is>
      </c>
      <c r="B1666" s="12" t="inlineStr">
        <is>
          <t>http://identifiers.org/so/SO:0001229</t>
        </is>
      </c>
      <c r="C1666" s="12" t="inlineStr">
        <is>
          <t>['pseudogenic transcript', 'INSDC_feature:misc_RNA', 'INSDC_qualifier:pseudo']</t>
        </is>
      </c>
      <c r="D1666" s="12" t="n"/>
      <c r="E1666" s="12" t="n"/>
    </row>
    <row r="1667" ht="15" customHeight="1">
      <c r="A1667" s="12" t="inlineStr">
        <is>
          <t>pseudouridylation_guide_snoRNA</t>
        </is>
      </c>
      <c r="B1667" s="12" t="inlineStr">
        <is>
          <t>http://identifiers.org/so/SO:0001187</t>
        </is>
      </c>
      <c r="C1667" s="12" t="inlineStr">
        <is>
          <t>['pseudogene retained intron']</t>
        </is>
      </c>
      <c r="D1667" s="12" t="n"/>
      <c r="E1667" s="12" t="n"/>
    </row>
    <row r="1668" ht="15" customHeight="1">
      <c r="A1668" s="12" t="inlineStr">
        <is>
          <t>pumilio_response_element</t>
        </is>
      </c>
      <c r="B1668" s="12" t="inlineStr">
        <is>
          <t>http://identifiers.org/so/SO:0002234</t>
        </is>
      </c>
      <c r="C1668" s="12" t="inlineStr">
        <is>
          <t>['INSDC_feature:tRNA', 'pseudogenic tRNA', 'INSDC_qualifier:pseudo']</t>
        </is>
      </c>
      <c r="D1668" s="12" t="n"/>
      <c r="E1668" s="12" t="n"/>
    </row>
    <row r="1669" ht="15" customHeight="1">
      <c r="A1669" s="12" t="inlineStr">
        <is>
          <t>purine_to_pyrimidine_transversion</t>
        </is>
      </c>
      <c r="B1669" s="12" t="inlineStr">
        <is>
          <t>http://identifiers.org/so/SO:1000023</t>
        </is>
      </c>
      <c r="C1669" s="12" t="n"/>
      <c r="D1669" s="12" t="n"/>
      <c r="E1669" s="12" t="n"/>
    </row>
    <row r="1670" ht="15" customHeight="1">
      <c r="A1670" s="12" t="inlineStr">
        <is>
          <t>purine_transition</t>
        </is>
      </c>
      <c r="B1670" s="12" t="inlineStr">
        <is>
          <t>http://identifiers.org/so/SO:1000014</t>
        </is>
      </c>
      <c r="C1670" s="12" t="inlineStr">
        <is>
          <t>[' Y']</t>
        </is>
      </c>
      <c r="D1670" s="12" t="n"/>
      <c r="E1670" s="12" t="n"/>
    </row>
    <row r="1671" ht="15" customHeight="1">
      <c r="A1671" s="12" t="inlineStr">
        <is>
          <t>pyrimidine_to_purine_transversion</t>
        </is>
      </c>
      <c r="B1671" s="12" t="inlineStr">
        <is>
          <t>http://identifiers.org/so/SO:1000018</t>
        </is>
      </c>
      <c r="C1671" s="12" t="inlineStr">
        <is>
          <t>['pseudouridylation guide snoRNA']</t>
        </is>
      </c>
      <c r="D1671" s="12" t="n"/>
      <c r="E1671" s="12" t="n"/>
    </row>
    <row r="1672" ht="15" customHeight="1">
      <c r="A1672" s="12" t="inlineStr">
        <is>
          <t>pyrimidine_transition</t>
        </is>
      </c>
      <c r="B1672" s="12" t="inlineStr">
        <is>
          <t>http://identifiers.org/so/SO:1000010</t>
        </is>
      </c>
      <c r="C1672" s="12" t="inlineStr">
        <is>
          <t>['pumilio response element', 'PRE binding RNA']</t>
        </is>
      </c>
      <c r="D1672" s="12" t="n"/>
      <c r="E1672" s="12" t="n"/>
    </row>
    <row r="1673" ht="15" customHeight="1">
      <c r="A1673" s="12" t="inlineStr">
        <is>
          <t>pyrosequenced_read</t>
        </is>
      </c>
      <c r="B1673" s="12" t="inlineStr">
        <is>
          <t>http://identifiers.org/so/SO:0001424</t>
        </is>
      </c>
      <c r="C1673" s="12" t="inlineStr">
        <is>
          <t>['purine to pyrimidine transversion']</t>
        </is>
      </c>
      <c r="D1673" s="12" t="n"/>
      <c r="E1673" s="12" t="n"/>
    </row>
    <row r="1674" ht="15" customHeight="1">
      <c r="A1674" s="12" t="inlineStr">
        <is>
          <t>pyrrolysine</t>
        </is>
      </c>
      <c r="B1674" s="12" t="inlineStr">
        <is>
          <t>http://identifiers.org/so/SO:0001456</t>
        </is>
      </c>
      <c r="C1674" s="12" t="inlineStr">
        <is>
          <t>['purine transition']</t>
        </is>
      </c>
      <c r="D1674" s="12" t="n"/>
      <c r="E1674" s="12" t="n"/>
    </row>
    <row r="1675" ht="15" customHeight="1">
      <c r="A1675" s="12" t="inlineStr">
        <is>
          <t>pyrrolysine_loss</t>
        </is>
      </c>
      <c r="B1675" s="12" t="inlineStr">
        <is>
          <t>http://identifiers.org/so/SO:0002010</t>
        </is>
      </c>
      <c r="C1675" s="12" t="inlineStr">
        <is>
          <t>['pyrimidine to purine transversion']</t>
        </is>
      </c>
      <c r="D1675" s="12" t="n"/>
      <c r="E1675" s="12" t="n"/>
    </row>
    <row r="1676" ht="15" customHeight="1">
      <c r="A1676" s="12" t="inlineStr">
        <is>
          <t>pyrrolysine_tRNA_primary_transcript</t>
        </is>
      </c>
      <c r="B1676" s="12" t="inlineStr">
        <is>
          <t>http://identifiers.org/so/SO:0001178</t>
        </is>
      </c>
      <c r="C1676" s="12" t="inlineStr">
        <is>
          <t>['pyrimidine transition']</t>
        </is>
      </c>
      <c r="D1676" s="12" t="n"/>
      <c r="E1676" s="12" t="n"/>
    </row>
    <row r="1677" ht="15" customHeight="1">
      <c r="A1677" s="12" t="inlineStr">
        <is>
          <t>pyrrolysyl_tRNA</t>
        </is>
      </c>
      <c r="B1677" s="12" t="inlineStr">
        <is>
          <t>http://identifiers.org/so/SO:0000766</t>
        </is>
      </c>
      <c r="C1677" s="12" t="inlineStr">
        <is>
          <t>['pyorsequenced read']</t>
        </is>
      </c>
      <c r="D1677" s="12" t="n"/>
      <c r="E1677" s="12" t="n"/>
    </row>
    <row r="1678" ht="15" customHeight="1">
      <c r="A1678" s="12" t="inlineStr">
        <is>
          <t>QTL</t>
        </is>
      </c>
      <c r="B1678" s="12" t="inlineStr">
        <is>
          <t>http://identifiers.org/so/SO:0000771</t>
        </is>
      </c>
      <c r="C1678" s="12" t="inlineStr">
        <is>
          <t>['Pyl', 'O']</t>
        </is>
      </c>
      <c r="D1678" s="12" t="n"/>
      <c r="E1678" s="12" t="n"/>
    </row>
    <row r="1679" ht="15" customHeight="1">
      <c r="A1679" s="12" t="inlineStr">
        <is>
          <t>quality_value</t>
        </is>
      </c>
      <c r="B1679" s="12" t="inlineStr">
        <is>
          <t>http://identifiers.org/so/SO:0001686</t>
        </is>
      </c>
      <c r="C1679" s="12" t="inlineStr">
        <is>
          <t>['pyrrolysine loss']</t>
        </is>
      </c>
      <c r="D1679" s="12" t="n"/>
      <c r="E1679" s="12" t="n"/>
    </row>
    <row r="1680" ht="15" customHeight="1">
      <c r="A1680" s="12" t="inlineStr">
        <is>
          <t>quantitative_variant</t>
        </is>
      </c>
      <c r="B1680" s="12" t="inlineStr">
        <is>
          <t>http://identifiers.org/so/SO:0001774</t>
        </is>
      </c>
      <c r="C1680" s="12" t="inlineStr">
        <is>
          <t>['pyrrolysine tRNA primary transcript']</t>
        </is>
      </c>
      <c r="D1680" s="12" t="n"/>
      <c r="E1680" s="12" t="n"/>
    </row>
    <row r="1681" ht="15" customHeight="1">
      <c r="A1681" s="12" t="inlineStr">
        <is>
          <t>queuosine</t>
        </is>
      </c>
      <c r="B1681" s="12" t="inlineStr">
        <is>
          <t>http://identifiers.org/so/SO:0001317</t>
        </is>
      </c>
      <c r="C1681" s="12" t="inlineStr">
        <is>
          <t>['pyrrolysyl tRNA', 'pyrrolysyl-transfer RNA', 'pyrrolysyl-transfer ribonucleic acid']</t>
        </is>
      </c>
      <c r="D1681" s="12" t="n"/>
      <c r="E1681" s="12" t="n"/>
    </row>
    <row r="1682" ht="15" customHeight="1">
      <c r="A1682" s="12" t="inlineStr">
        <is>
          <t>R_five_prime_LTR_region</t>
        </is>
      </c>
      <c r="B1682" s="12" t="inlineStr">
        <is>
          <t>http://identifiers.org/so/SO:0000427</t>
        </is>
      </c>
      <c r="C1682" s="12" t="inlineStr">
        <is>
          <t>['quantitative trait locus']</t>
        </is>
      </c>
      <c r="D1682" s="12" t="n"/>
      <c r="E1682" s="12" t="n"/>
    </row>
    <row r="1683" ht="15" customHeight="1">
      <c r="A1683" s="12" t="inlineStr">
        <is>
          <t>R_GNA</t>
        </is>
      </c>
      <c r="B1683" s="12" t="inlineStr">
        <is>
          <t>http://identifiers.org/so/SO:0001194</t>
        </is>
      </c>
      <c r="C1683" s="12" t="inlineStr">
        <is>
          <t>['quality value']</t>
        </is>
      </c>
      <c r="D1683" s="12" t="n"/>
      <c r="E1683" s="12" t="n"/>
    </row>
    <row r="1684" ht="15" customHeight="1">
      <c r="A1684" s="12" t="inlineStr">
        <is>
          <t>R_GNA_oligo</t>
        </is>
      </c>
      <c r="B1684" s="12" t="inlineStr">
        <is>
          <t>http://identifiers.org/so/SO:0001195</t>
        </is>
      </c>
      <c r="C1684" s="12" t="inlineStr">
        <is>
          <t>['quantitative variant']</t>
        </is>
      </c>
      <c r="D1684" s="12" t="n"/>
      <c r="E1684" s="12" t="n"/>
    </row>
    <row r="1685" ht="15" customHeight="1">
      <c r="A1685" s="12" t="inlineStr">
        <is>
          <t>R_LTR_region</t>
        </is>
      </c>
      <c r="B1685" s="12" t="inlineStr">
        <is>
          <t>http://identifiers.org/so/SO:0000423</t>
        </is>
      </c>
      <c r="C1685" s="12" t="inlineStr">
        <is>
          <t>[' Q']</t>
        </is>
      </c>
      <c r="D1685" s="12" t="n"/>
      <c r="E1685" s="12" t="n"/>
    </row>
    <row r="1686" ht="15" customHeight="1">
      <c r="A1686" s="12" t="inlineStr">
        <is>
          <t>R_three_prime_LTR_region</t>
        </is>
      </c>
      <c r="B1686" s="12" t="inlineStr">
        <is>
          <t>http://identifiers.org/so/SO:0000430</t>
        </is>
      </c>
      <c r="C1686" s="12" t="inlineStr">
        <is>
          <t>["R 5' long term repeat region", 'R five prime LTR region']</t>
        </is>
      </c>
      <c r="D1686" s="12" t="n"/>
      <c r="E1686" s="12" t="n"/>
    </row>
    <row r="1687" ht="15" customHeight="1">
      <c r="A1687" s="12" t="inlineStr">
        <is>
          <t>R2_LINE_retrotransposon</t>
        </is>
      </c>
      <c r="B1687" s="12" t="inlineStr">
        <is>
          <t>http://identifiers.org/so/SO:0002269</t>
        </is>
      </c>
      <c r="C1687" s="12" t="inlineStr">
        <is>
          <t>['R GNA']</t>
        </is>
      </c>
      <c r="D1687" s="12" t="n"/>
      <c r="E1687" s="12" t="n"/>
    </row>
    <row r="1688" ht="15" customHeight="1">
      <c r="A1688" s="12" t="inlineStr">
        <is>
          <t>random_sequence</t>
        </is>
      </c>
      <c r="B1688" s="12" t="inlineStr">
        <is>
          <t>http://identifiers.org/so/SO:0000449</t>
        </is>
      </c>
      <c r="C1688" s="12" t="inlineStr">
        <is>
          <t>['(R)-glycol nucleic acid', '(R)-glycerol nucleic acid', 'R GNA oligo']</t>
        </is>
      </c>
      <c r="D1688" s="12" t="n"/>
      <c r="E1688" s="12" t="n"/>
    </row>
    <row r="1689" ht="15" customHeight="1">
      <c r="A1689" s="12" t="inlineStr">
        <is>
          <t>RAPD</t>
        </is>
      </c>
      <c r="B1689" s="12" t="inlineStr">
        <is>
          <t>http://identifiers.org/so/SO:0001481</t>
        </is>
      </c>
      <c r="C1689" s="12" t="inlineStr">
        <is>
          <t>['R long terminal repeat region', 'R LTR region']</t>
        </is>
      </c>
      <c r="D1689" s="12" t="n"/>
      <c r="E1689" s="12" t="n"/>
    </row>
    <row r="1690" ht="15" customHeight="1">
      <c r="A1690" s="12" t="inlineStr">
        <is>
          <t>rare_amino_acid_variant</t>
        </is>
      </c>
      <c r="B1690" s="12" t="inlineStr">
        <is>
          <t>http://identifiers.org/so/SO:0002008</t>
        </is>
      </c>
      <c r="C1690" s="12" t="inlineStr">
        <is>
          <t>["R 3' long terminal repeat region", 'R three prime LTR region']</t>
        </is>
      </c>
      <c r="D1690" s="12" t="n"/>
      <c r="E1690" s="12" t="n"/>
    </row>
    <row r="1691" ht="15" customHeight="1">
      <c r="A1691" s="12" t="inlineStr">
        <is>
          <t>rare_variant</t>
        </is>
      </c>
      <c r="B1691" s="12" t="inlineStr">
        <is>
          <t>http://identifiers.org/so/SO:0001765</t>
        </is>
      </c>
      <c r="C1691" s="12" t="inlineStr">
        <is>
          <t>['R2 retrotransposon', 'RIR retrotransposon', 'R2 LINE retrotransposon']</t>
        </is>
      </c>
      <c r="D1691" s="12" t="n"/>
      <c r="E1691" s="12" t="n"/>
    </row>
    <row r="1692" ht="15" customHeight="1">
      <c r="A1692" s="12" t="inlineStr">
        <is>
          <t>rasiRNA</t>
        </is>
      </c>
      <c r="B1692" s="12" t="inlineStr">
        <is>
          <t>http://identifiers.org/so/SO:0000454</t>
        </is>
      </c>
      <c r="C1692" s="12" t="inlineStr">
        <is>
          <t>['random sequence']</t>
        </is>
      </c>
      <c r="D1692" s="12" t="n"/>
      <c r="E1692" s="12" t="n"/>
    </row>
    <row r="1693" ht="15" customHeight="1">
      <c r="A1693" s="12" t="inlineStr">
        <is>
          <t>rate_of_transcription_variant</t>
        </is>
      </c>
      <c r="B1693" s="12" t="inlineStr">
        <is>
          <t>http://identifiers.org/so/SO:0001550</t>
        </is>
      </c>
      <c r="C1693" s="12" t="inlineStr">
        <is>
          <t>['Random Amplification Polymorphic DNA']</t>
        </is>
      </c>
      <c r="D1693" s="12" t="n"/>
      <c r="E1693" s="12" t="n"/>
    </row>
    <row r="1694" ht="15" customHeight="1">
      <c r="A1694" s="12" t="inlineStr">
        <is>
          <t>rDNA_intergenic_spacer_element</t>
        </is>
      </c>
      <c r="B1694" s="12" t="inlineStr">
        <is>
          <t>http://identifiers.org/so/SO:0001860</t>
        </is>
      </c>
      <c r="C1694" s="12" t="inlineStr">
        <is>
          <t>['Jannovar:rare_amino_acid_variant', 'snpEff:RARE_AMINO_ACID', 'rare amino acid variant']</t>
        </is>
      </c>
      <c r="D1694" s="12" t="n"/>
      <c r="E1694" s="12" t="n"/>
    </row>
    <row r="1695" ht="15" customHeight="1">
      <c r="A1695" s="12" t="inlineStr">
        <is>
          <t>rDNA_replication_fork_barrier</t>
        </is>
      </c>
      <c r="B1695" s="12" t="inlineStr">
        <is>
          <t>http://identifiers.org/so/SO:0001914</t>
        </is>
      </c>
      <c r="C1695" s="12" t="inlineStr">
        <is>
          <t>['rare variant']</t>
        </is>
      </c>
      <c r="D1695" s="12" t="n"/>
      <c r="E1695" s="12" t="n"/>
    </row>
    <row r="1696" ht="15" customHeight="1">
      <c r="A1696" s="12" t="inlineStr">
        <is>
          <t>read</t>
        </is>
      </c>
      <c r="B1696" s="12" t="inlineStr">
        <is>
          <t>http://identifiers.org/so/SO:0000150</t>
        </is>
      </c>
      <c r="C1696" s="12" t="inlineStr">
        <is>
          <t>['repeat associated small interfering RNA', 'INSDC_feature:ncRNA', 'INSDC_qualifier:rasiRNA']</t>
        </is>
      </c>
      <c r="D1696" s="12" t="n"/>
      <c r="E1696" s="12" t="n"/>
    </row>
    <row r="1697" ht="15" customHeight="1">
      <c r="A1697" s="12" t="inlineStr">
        <is>
          <t>read_pair</t>
        </is>
      </c>
      <c r="B1697" s="12" t="inlineStr">
        <is>
          <t>http://identifiers.org/so/SO:0000007</t>
        </is>
      </c>
      <c r="C1697" s="12" t="inlineStr">
        <is>
          <t>['rate of transcription variant']</t>
        </is>
      </c>
      <c r="D1697" s="12" t="n"/>
      <c r="E1697" s="12" t="n"/>
    </row>
    <row r="1698" ht="15" customHeight="1">
      <c r="A1698" s="12" t="inlineStr">
        <is>
          <t>reading_frame</t>
        </is>
      </c>
      <c r="B1698" s="12" t="inlineStr">
        <is>
          <t>http://identifiers.org/so/SO:0000717</t>
        </is>
      </c>
      <c r="C1698" s="12" t="inlineStr">
        <is>
          <t>['rDIS']</t>
        </is>
      </c>
      <c r="D1698" s="12" t="n"/>
      <c r="E1698" s="12" t="n"/>
    </row>
    <row r="1699" ht="15" customHeight="1">
      <c r="A1699" s="12" t="inlineStr">
        <is>
          <t>reagent</t>
        </is>
      </c>
      <c r="B1699" s="12" t="inlineStr">
        <is>
          <t>http://identifiers.org/so/SO:0000695</t>
        </is>
      </c>
      <c r="C1699" s="12" t="inlineStr">
        <is>
          <t>['RFB', 'RTS1 element', 'rDNA replication fork barrier', 'RTS1 barrier', 'DNA spacer replication fork barrier']</t>
        </is>
      </c>
      <c r="D1699" s="12" t="n"/>
      <c r="E1699" s="12" t="n"/>
    </row>
    <row r="1700" ht="15" customHeight="1">
      <c r="A1700" s="12" t="inlineStr">
        <is>
          <t>reagent_attribute</t>
        </is>
      </c>
      <c r="B1700" s="12" t="inlineStr">
        <is>
          <t>http://identifiers.org/so/SO:0000786</t>
        </is>
      </c>
      <c r="C1700" s="12" t="n"/>
      <c r="D1700" s="12" t="n"/>
      <c r="E1700" s="12" t="n"/>
    </row>
    <row r="1701" ht="15" customHeight="1">
      <c r="A1701" s="12" t="inlineStr">
        <is>
          <t>rearranged_at_DNA_level</t>
        </is>
      </c>
      <c r="B1701" s="12" t="inlineStr">
        <is>
          <t>http://identifiers.org/so/SO:0000904</t>
        </is>
      </c>
      <c r="C1701" s="12" t="inlineStr">
        <is>
          <t>['mate pair', 'read-pair']</t>
        </is>
      </c>
      <c r="D1701" s="12" t="n"/>
      <c r="E1701" s="12" t="n"/>
    </row>
    <row r="1702" ht="15" customHeight="1">
      <c r="A1702" s="12" t="inlineStr">
        <is>
          <t>rearrangement_region</t>
        </is>
      </c>
      <c r="B1702" s="12" t="inlineStr">
        <is>
          <t>http://identifiers.org/so/SO:0001872</t>
        </is>
      </c>
      <c r="C1702" s="12" t="inlineStr">
        <is>
          <t>['reading frame']</t>
        </is>
      </c>
      <c r="D1702" s="12" t="n"/>
      <c r="E1702" s="12" t="n"/>
    </row>
    <row r="1703" ht="15" customHeight="1">
      <c r="A1703" s="12" t="inlineStr">
        <is>
          <t>reciprocal</t>
        </is>
      </c>
      <c r="B1703" s="12" t="inlineStr">
        <is>
          <t>http://identifiers.org/so/SO:0001521</t>
        </is>
      </c>
      <c r="C1703" s="12" t="n"/>
      <c r="D1703" s="12" t="n"/>
      <c r="E1703" s="12" t="n"/>
    </row>
    <row r="1704" ht="15" customHeight="1">
      <c r="A1704" s="12" t="inlineStr">
        <is>
          <t>reciprocal_chromosomal_translocation</t>
        </is>
      </c>
      <c r="B1704" s="12" t="inlineStr">
        <is>
          <t>http://identifiers.org/so/SO:1000048</t>
        </is>
      </c>
      <c r="C1704" s="12" t="inlineStr">
        <is>
          <t>['reagent attribute']</t>
        </is>
      </c>
      <c r="D1704" s="12" t="n"/>
      <c r="E1704" s="12" t="n"/>
    </row>
    <row r="1705" ht="15" customHeight="1">
      <c r="A1705" s="12" t="inlineStr">
        <is>
          <t>recoded</t>
        </is>
      </c>
      <c r="B1705" s="12" t="inlineStr">
        <is>
          <t>http://identifiers.org/so/SO:0000881</t>
        </is>
      </c>
      <c r="C1705" s="12" t="inlineStr">
        <is>
          <t>['rearranged at DNA level']</t>
        </is>
      </c>
      <c r="D1705" s="12" t="n"/>
      <c r="E1705" s="12" t="n"/>
    </row>
    <row r="1706" ht="15" customHeight="1">
      <c r="A1706" s="12" t="inlineStr">
        <is>
          <t>recoded_by_translational_bypass</t>
        </is>
      </c>
      <c r="B1706" s="12" t="inlineStr">
        <is>
          <t>http://identifiers.org/so/SO:0000886</t>
        </is>
      </c>
      <c r="C1706" s="12" t="inlineStr">
        <is>
          <t>['rearrangement region']</t>
        </is>
      </c>
      <c r="D1706" s="12" t="n"/>
      <c r="E1706" s="12" t="n"/>
    </row>
    <row r="1707" ht="15" customHeight="1">
      <c r="A1707" s="12" t="inlineStr">
        <is>
          <t>recoded_codon</t>
        </is>
      </c>
      <c r="B1707" s="12" t="inlineStr">
        <is>
          <t>http://identifiers.org/so/SO:0000145</t>
        </is>
      </c>
      <c r="C1707" s="12" t="n"/>
      <c r="D1707" s="12" t="n"/>
      <c r="E1707" s="12" t="n"/>
    </row>
    <row r="1708" ht="15" customHeight="1">
      <c r="A1708" s="12" t="inlineStr">
        <is>
          <t>recoded_mRNA</t>
        </is>
      </c>
      <c r="B1708" s="12" t="inlineStr">
        <is>
          <t>http://identifiers.org/so/SO:1001261</t>
        </is>
      </c>
      <c r="C1708" s="12" t="inlineStr">
        <is>
          <t>['reciprocal chromosomal translocation']</t>
        </is>
      </c>
      <c r="D1708" s="12" t="n"/>
      <c r="E1708" s="12" t="n"/>
    </row>
    <row r="1709" ht="15" customHeight="1">
      <c r="A1709" s="12" t="inlineStr">
        <is>
          <t>recoding_pseudoknot</t>
        </is>
      </c>
      <c r="B1709" s="12" t="inlineStr">
        <is>
          <t>http://identifiers.org/so/SO:0000545</t>
        </is>
      </c>
      <c r="C1709" s="12" t="n"/>
      <c r="D1709" s="12" t="n"/>
      <c r="E1709" s="12" t="n"/>
    </row>
    <row r="1710" ht="15" customHeight="1">
      <c r="A1710" s="12" t="inlineStr">
        <is>
          <t>recoding_stimulatory_region</t>
        </is>
      </c>
      <c r="B1710" s="12" t="inlineStr">
        <is>
          <t>http://identifiers.org/so/SO:1001268</t>
        </is>
      </c>
      <c r="C1710" s="12" t="inlineStr">
        <is>
          <t>['recoded by translational bypass']</t>
        </is>
      </c>
      <c r="D1710" s="12" t="n"/>
      <c r="E1710" s="12" t="n"/>
    </row>
    <row r="1711" ht="15" customHeight="1">
      <c r="A1711" s="12" t="inlineStr">
        <is>
          <t>recombination_enhancer</t>
        </is>
      </c>
      <c r="B1711" s="12" t="inlineStr">
        <is>
          <t>http://identifiers.org/so/SO:0002059</t>
        </is>
      </c>
      <c r="C1711" s="12" t="inlineStr">
        <is>
          <t>['recoded codon']</t>
        </is>
      </c>
      <c r="D1711" s="12" t="n"/>
      <c r="E1711" s="12" t="n"/>
    </row>
    <row r="1712" ht="15" customHeight="1">
      <c r="A1712" s="12" t="inlineStr">
        <is>
          <t>recombination_feature</t>
        </is>
      </c>
      <c r="B1712" s="12" t="inlineStr">
        <is>
          <t>http://identifiers.org/so/SO:0000298</t>
        </is>
      </c>
      <c r="C1712" s="12" t="inlineStr">
        <is>
          <t>['recoded mRNA']</t>
        </is>
      </c>
      <c r="D1712" s="12" t="n"/>
      <c r="E1712" s="12" t="n"/>
    </row>
    <row r="1713" ht="15" customHeight="1">
      <c r="A1713" s="12" t="inlineStr">
        <is>
          <t>recombination_feature_of_rearranged_gene</t>
        </is>
      </c>
      <c r="B1713" s="12" t="inlineStr">
        <is>
          <t>http://identifiers.org/so/SO:0000300</t>
        </is>
      </c>
      <c r="C1713" s="12" t="inlineStr">
        <is>
          <t>['recoding pseudoknot']</t>
        </is>
      </c>
      <c r="D1713" s="12" t="n"/>
      <c r="E1713" s="12" t="n"/>
    </row>
    <row r="1714" ht="15" customHeight="1">
      <c r="A1714" s="12" t="inlineStr">
        <is>
          <t>recombination_hotspot</t>
        </is>
      </c>
      <c r="B1714" s="12" t="inlineStr">
        <is>
          <t>http://identifiers.org/so/SO:0000339</t>
        </is>
      </c>
      <c r="C1714" s="12" t="inlineStr">
        <is>
          <t>['INSDC_feature:regulatory', 'recoding stimulatory signal', 'INSDC_qualifier:recoding_stimulatory_region', 'recoding stimulatory region']</t>
        </is>
      </c>
      <c r="D1714" s="12" t="n"/>
      <c r="E1714" s="12" t="n"/>
    </row>
    <row r="1715" ht="15" customHeight="1">
      <c r="A1715" s="12" t="inlineStr">
        <is>
          <t>recombination_regulatory_region</t>
        </is>
      </c>
      <c r="B1715" s="12" t="inlineStr">
        <is>
          <t>http://identifiers.org/so/SO:0001681</t>
        </is>
      </c>
      <c r="C1715" s="12" t="inlineStr">
        <is>
          <t>['recombination enhancer']</t>
        </is>
      </c>
      <c r="D1715" s="12" t="n"/>
      <c r="E1715" s="12" t="n"/>
    </row>
    <row r="1716" ht="15" customHeight="1">
      <c r="A1716" s="12" t="inlineStr">
        <is>
          <t>recombination_signal_sequence</t>
        </is>
      </c>
      <c r="B1716" s="12" t="inlineStr">
        <is>
          <t>http://identifiers.org/so/SO:0001532</t>
        </is>
      </c>
      <c r="C1716" s="12" t="inlineStr">
        <is>
          <t>['recombination feature', 'INSDC_qualifier:other', 'INSDC_feature:misc_recomb']</t>
        </is>
      </c>
      <c r="D1716" s="12" t="n"/>
      <c r="E1716" s="12" t="n"/>
    </row>
    <row r="1717" ht="15" customHeight="1">
      <c r="A1717" s="12" t="inlineStr">
        <is>
          <t>recombinationally_inverted_gene</t>
        </is>
      </c>
      <c r="B1717" s="12" t="inlineStr">
        <is>
          <t>http://identifiers.org/so/SO:0000373</t>
        </is>
      </c>
      <c r="C1717" s="12" t="inlineStr">
        <is>
          <t>['recombination feature of rearranged gene']</t>
        </is>
      </c>
      <c r="D1717" s="12" t="n"/>
      <c r="E1717" s="12" t="n"/>
    </row>
    <row r="1718" ht="15" customHeight="1">
      <c r="A1718" s="12" t="inlineStr">
        <is>
          <t>recombinationally_rearranged</t>
        </is>
      </c>
      <c r="B1718" s="12" t="inlineStr">
        <is>
          <t>http://identifiers.org/so/SO:0000940</t>
        </is>
      </c>
      <c r="C1718" s="12" t="inlineStr">
        <is>
          <t>['recombination hotspot']</t>
        </is>
      </c>
      <c r="D1718" s="12" t="n"/>
      <c r="E1718" s="12" t="n"/>
    </row>
    <row r="1719" ht="15" customHeight="1">
      <c r="A1719" s="12" t="inlineStr">
        <is>
          <t>recombinationally_rearranged_gene</t>
        </is>
      </c>
      <c r="B1719" s="12" t="inlineStr">
        <is>
          <t>http://identifiers.org/so/SO:0000456</t>
        </is>
      </c>
      <c r="C1719" s="12" t="inlineStr">
        <is>
          <t>['recombination regulatory region']</t>
        </is>
      </c>
      <c r="D1719" s="12" t="n"/>
      <c r="E1719" s="12" t="n"/>
    </row>
    <row r="1720" ht="15" customHeight="1">
      <c r="A1720" s="12" t="inlineStr">
        <is>
          <t>recombinationally_rearranged_vertebrate_immune_system_gene</t>
        </is>
      </c>
      <c r="B1720" s="12" t="inlineStr">
        <is>
          <t>http://identifiers.org/so/SO:0000941</t>
        </is>
      </c>
      <c r="C1720" s="12" t="inlineStr">
        <is>
          <t>['recombination signal sequence']</t>
        </is>
      </c>
      <c r="D1720" s="12" t="n"/>
      <c r="E1720" s="12" t="n"/>
    </row>
    <row r="1721" ht="15" customHeight="1">
      <c r="A1721" s="12" t="inlineStr">
        <is>
          <t>recursive_splice_site</t>
        </is>
      </c>
      <c r="B1721" s="12" t="inlineStr">
        <is>
          <t>http://identifiers.org/so/SO:0000998</t>
        </is>
      </c>
      <c r="C1721" s="12" t="inlineStr">
        <is>
          <t>['recombinationally inverted gene']</t>
        </is>
      </c>
      <c r="D1721" s="12" t="n"/>
      <c r="E1721" s="12" t="n"/>
    </row>
    <row r="1722" ht="15" customHeight="1">
      <c r="A1722" s="12" t="inlineStr">
        <is>
          <t>redundant_inserted_stop_gained</t>
        </is>
      </c>
      <c r="B1722" s="12" t="inlineStr">
        <is>
          <t>http://identifiers.org/so/SO:0002214</t>
        </is>
      </c>
      <c r="C1722" s="12" t="inlineStr">
        <is>
          <t>['recombinationally rearranged']</t>
        </is>
      </c>
      <c r="D1722" s="12" t="n"/>
      <c r="E1722" s="12" t="n"/>
    </row>
    <row r="1723" ht="15" customHeight="1">
      <c r="A1723" s="12" t="inlineStr">
        <is>
          <t>ref_miRNA</t>
        </is>
      </c>
      <c r="B1723" s="12" t="inlineStr">
        <is>
          <t>http://identifiers.org/so/SO:0002166</t>
        </is>
      </c>
      <c r="C1723" s="12" t="inlineStr">
        <is>
          <t>['recombinationally rearranged gene']</t>
        </is>
      </c>
      <c r="D1723" s="12" t="n"/>
      <c r="E1723" s="12" t="n"/>
    </row>
    <row r="1724" ht="15" customHeight="1">
      <c r="A1724" s="12" t="inlineStr">
        <is>
          <t>reference_genome</t>
        </is>
      </c>
      <c r="B1724" s="12" t="inlineStr">
        <is>
          <t>http://identifiers.org/so/SO:0001505</t>
        </is>
      </c>
      <c r="C1724" s="12" t="inlineStr">
        <is>
          <t>['recombinationally rearranged vertebrate immune system gene']</t>
        </is>
      </c>
      <c r="D1724" s="12" t="n"/>
      <c r="E1724" s="12" t="n"/>
    </row>
    <row r="1725" ht="15" customHeight="1">
      <c r="A1725" s="12" t="inlineStr">
        <is>
          <t>region</t>
        </is>
      </c>
      <c r="B1725" s="12" t="inlineStr">
        <is>
          <t>http://identifiers.org/so/SO:0000001</t>
        </is>
      </c>
      <c r="C1725" s="12" t="inlineStr">
        <is>
          <t>['recursive splice site']</t>
        </is>
      </c>
      <c r="D1725" s="12" t="n"/>
      <c r="E1725" s="12" t="n"/>
    </row>
    <row r="1726" ht="15" customHeight="1">
      <c r="A1726" s="12" t="inlineStr">
        <is>
          <t>regional_centromere</t>
        </is>
      </c>
      <c r="B1726" s="12" t="inlineStr">
        <is>
          <t>http://identifiers.org/so/SO:0001795</t>
        </is>
      </c>
      <c r="C1726" s="12" t="inlineStr">
        <is>
          <t>['redundant inserted stop gained']</t>
        </is>
      </c>
      <c r="D1726" s="12" t="n"/>
      <c r="E1726" s="12" t="n"/>
    </row>
    <row r="1727" ht="15" customHeight="1">
      <c r="A1727" s="12" t="inlineStr">
        <is>
          <t>regional_centromere_central_core</t>
        </is>
      </c>
      <c r="B1727" s="12" t="inlineStr">
        <is>
          <t>http://identifiers.org/so/SO:0001796</t>
        </is>
      </c>
      <c r="C1727" s="12" t="inlineStr">
        <is>
          <t>['RefSeq-miRNA', 'RefSeq miRNA', 'ref miRNA']</t>
        </is>
      </c>
      <c r="D1727" s="12" t="n"/>
      <c r="E1727" s="12" t="n"/>
    </row>
    <row r="1728" ht="15" customHeight="1">
      <c r="A1728" s="12" t="inlineStr">
        <is>
          <t>regional_centromere_inner_repeat_region</t>
        </is>
      </c>
      <c r="B1728" s="12" t="inlineStr">
        <is>
          <t>http://identifiers.org/so/SO:0001798</t>
        </is>
      </c>
      <c r="C1728" s="12" t="inlineStr">
        <is>
          <t>['reference genome']</t>
        </is>
      </c>
      <c r="D1728" s="12" t="n"/>
      <c r="E1728" s="12" t="n"/>
    </row>
    <row r="1729" ht="15" customHeight="1">
      <c r="A1729" s="12" t="inlineStr">
        <is>
          <t>regional_centromere_outer_repeat_region</t>
        </is>
      </c>
      <c r="B1729" s="12" t="inlineStr">
        <is>
          <t>http://identifiers.org/so/SO:0001799</t>
        </is>
      </c>
      <c r="C1729" s="12" t="inlineStr">
        <is>
          <t>['sequence']</t>
        </is>
      </c>
      <c r="D1729" s="12" t="n"/>
      <c r="E1729" s="12" t="n"/>
    </row>
    <row r="1730" ht="15" customHeight="1">
      <c r="A1730" s="12" t="inlineStr">
        <is>
          <t>regional_centromere_outer_repeat_transcript</t>
        </is>
      </c>
      <c r="B1730" s="12" t="inlineStr">
        <is>
          <t>http://identifiers.org/so/SO:0001905</t>
        </is>
      </c>
      <c r="C1730" s="12" t="inlineStr">
        <is>
          <t>['regional centromere']</t>
        </is>
      </c>
      <c r="D1730" s="12" t="n"/>
      <c r="E1730" s="12" t="n"/>
    </row>
    <row r="1731" ht="15" customHeight="1">
      <c r="A1731" s="12" t="inlineStr">
        <is>
          <t>regulated</t>
        </is>
      </c>
      <c r="B1731" s="12" t="inlineStr">
        <is>
          <t>http://identifiers.org/so/SO:0000119</t>
        </is>
      </c>
      <c r="C1731" s="12" t="inlineStr">
        <is>
          <t>['regional centromere central core']</t>
        </is>
      </c>
      <c r="D1731" s="12" t="n"/>
      <c r="E1731" s="12" t="n"/>
    </row>
    <row r="1732" ht="15" customHeight="1">
      <c r="A1732" s="12" t="inlineStr">
        <is>
          <t>regulatory_promoter_element</t>
        </is>
      </c>
      <c r="B1732" s="12" t="inlineStr">
        <is>
          <t>http://identifiers.org/so/SO:0001678</t>
        </is>
      </c>
      <c r="C1732" s="12" t="inlineStr">
        <is>
          <t>['lmr repeat', 'lmr1L', 'lmr1R', 'regional centromere inner repeat region']</t>
        </is>
      </c>
      <c r="D1732" s="12" t="n"/>
      <c r="E1732" s="12" t="n"/>
    </row>
    <row r="1733" ht="15" customHeight="1">
      <c r="A1733" s="12" t="inlineStr">
        <is>
          <t>regulatory_region</t>
        </is>
      </c>
      <c r="B1733" s="12" t="inlineStr">
        <is>
          <t>http://identifiers.org/so/SO:0005836</t>
        </is>
      </c>
      <c r="C1733" s="12" t="inlineStr">
        <is>
          <t>['regional centromere outer repeat region']</t>
        </is>
      </c>
      <c r="D1733" s="12" t="n"/>
      <c r="E1733" s="12" t="n"/>
    </row>
    <row r="1734" ht="15" customHeight="1">
      <c r="A1734" s="12" t="inlineStr">
        <is>
          <t>regulatory_region_ablation</t>
        </is>
      </c>
      <c r="B1734" s="12" t="inlineStr">
        <is>
          <t>http://identifiers.org/so/SO:0001894</t>
        </is>
      </c>
      <c r="C1734" s="12" t="inlineStr">
        <is>
          <t>['regional_centromere_outer_repeat_region_transcript', 'regional centromere outer repeat region transcript', 'centromere outer repeat transcript']</t>
        </is>
      </c>
      <c r="D1734" s="12" t="n"/>
      <c r="E1734" s="12" t="n"/>
    </row>
    <row r="1735" ht="15" customHeight="1">
      <c r="A1735" s="12" t="inlineStr">
        <is>
          <t>regulatory_region_amplification</t>
        </is>
      </c>
      <c r="B1735" s="12" t="inlineStr">
        <is>
          <t>http://identifiers.org/so/SO:0001891</t>
        </is>
      </c>
      <c r="C1735" s="12" t="n"/>
      <c r="D1735" s="12" t="n"/>
      <c r="E1735" s="12" t="n"/>
    </row>
    <row r="1736" ht="15" customHeight="1">
      <c r="A1736" s="12" t="inlineStr">
        <is>
          <t>regulatory_region_fusion</t>
        </is>
      </c>
      <c r="B1736" s="12" t="inlineStr">
        <is>
          <t>http://identifiers.org/so/SO:0001887</t>
        </is>
      </c>
      <c r="C1736" s="12" t="inlineStr">
        <is>
          <t>['regulatory promoter element']</t>
        </is>
      </c>
      <c r="D1736" s="12" t="n"/>
      <c r="E1736" s="12" t="n"/>
    </row>
    <row r="1737" ht="15" customHeight="1">
      <c r="A1737" s="12" t="inlineStr">
        <is>
          <t>regulatory_region_translocation</t>
        </is>
      </c>
      <c r="B1737" s="12" t="inlineStr">
        <is>
          <t>http://identifiers.org/so/SO:0001884</t>
        </is>
      </c>
      <c r="C1737" s="12" t="inlineStr">
        <is>
          <t>['INSDC_feature:regulatory', 'regulatory region', 'INSDC_qualifier:other']</t>
        </is>
      </c>
      <c r="D1737" s="12" t="n"/>
      <c r="E1737" s="12" t="n"/>
    </row>
    <row r="1738" ht="15" customHeight="1">
      <c r="A1738" s="12" t="inlineStr">
        <is>
          <t>regulatory_region_variant</t>
        </is>
      </c>
      <c r="B1738" s="12" t="inlineStr">
        <is>
          <t>http://identifiers.org/so/SO:0001566</t>
        </is>
      </c>
      <c r="C1738" s="12" t="inlineStr">
        <is>
          <t>['VEP:regulatory_region_ablation', 'regulatory region ablation']</t>
        </is>
      </c>
      <c r="D1738" s="12" t="n"/>
      <c r="E1738" s="12" t="n"/>
    </row>
    <row r="1739" ht="15" customHeight="1">
      <c r="A1739" s="12" t="inlineStr">
        <is>
          <t>regulon</t>
        </is>
      </c>
      <c r="B1739" s="12" t="inlineStr">
        <is>
          <t>http://identifiers.org/so/SO:1001284</t>
        </is>
      </c>
      <c r="C1739" s="12" t="inlineStr">
        <is>
          <t>['VEP:regulatory_region_amplification', 'regulatory region amplification']</t>
        </is>
      </c>
      <c r="D1739" s="12" t="n"/>
      <c r="E1739" s="12" t="n"/>
    </row>
    <row r="1740" ht="15" customHeight="1">
      <c r="A1740" s="12" t="inlineStr">
        <is>
          <t>remark</t>
        </is>
      </c>
      <c r="B1740" s="12" t="inlineStr">
        <is>
          <t>http://identifiers.org/so/SO:0000700</t>
        </is>
      </c>
      <c r="C1740" s="12" t="inlineStr">
        <is>
          <t>['regulatory region fusion']</t>
        </is>
      </c>
      <c r="D1740" s="12" t="n"/>
      <c r="E1740" s="12" t="n"/>
    </row>
    <row r="1741" ht="15" customHeight="1">
      <c r="A1741" s="12" t="inlineStr">
        <is>
          <t>repeat_component</t>
        </is>
      </c>
      <c r="B1741" s="12" t="inlineStr">
        <is>
          <t>http://identifiers.org/so/SO:0000840</t>
        </is>
      </c>
      <c r="C1741" s="12" t="inlineStr">
        <is>
          <t>['regulatory region translocation']</t>
        </is>
      </c>
      <c r="D1741" s="12" t="n"/>
      <c r="E1741" s="12" t="n"/>
    </row>
    <row r="1742" ht="15" customHeight="1">
      <c r="A1742" s="12" t="inlineStr">
        <is>
          <t>repeat_family</t>
        </is>
      </c>
      <c r="B1742" s="12" t="inlineStr">
        <is>
          <t>http://identifiers.org/so/SO:0000187</t>
        </is>
      </c>
      <c r="C1742" s="12" t="inlineStr">
        <is>
          <t>['regulatory region variant', 'regulatory_region_', 'VEP:regulatory_region_variant', 'snpEff:REGULATION', 'Jannovar:regulatory_region_variant']</t>
        </is>
      </c>
      <c r="D1742" s="12" t="n"/>
      <c r="E1742" s="12" t="n"/>
    </row>
    <row r="1743" ht="15" customHeight="1">
      <c r="A1743" s="12" t="inlineStr">
        <is>
          <t>repeat_fragment</t>
        </is>
      </c>
      <c r="B1743" s="12" t="inlineStr">
        <is>
          <t>http://identifiers.org/so/SO:0001050</t>
        </is>
      </c>
      <c r="C1743" s="12" t="n"/>
      <c r="D1743" s="12" t="n"/>
      <c r="E1743" s="12" t="n"/>
    </row>
    <row r="1744" ht="15" customHeight="1">
      <c r="A1744" s="12" t="inlineStr">
        <is>
          <t>repeat_instability_region</t>
        </is>
      </c>
      <c r="B1744" s="12" t="inlineStr">
        <is>
          <t>http://identifiers.org/so/SO:0002202</t>
        </is>
      </c>
      <c r="C1744" s="12" t="n"/>
      <c r="D1744" s="12" t="n"/>
      <c r="E1744" s="12" t="n"/>
    </row>
    <row r="1745" ht="15" customHeight="1">
      <c r="A1745" s="12" t="inlineStr">
        <is>
          <t>repeat_region</t>
        </is>
      </c>
      <c r="B1745" s="12" t="inlineStr">
        <is>
          <t>http://identifiers.org/so/SO:0000657</t>
        </is>
      </c>
      <c r="C1745" s="12" t="inlineStr">
        <is>
          <t>['repeat component']</t>
        </is>
      </c>
      <c r="D1745" s="12" t="n"/>
      <c r="E1745" s="12" t="n"/>
    </row>
    <row r="1746" ht="15" customHeight="1">
      <c r="A1746" s="12" t="inlineStr">
        <is>
          <t>repeat_unit</t>
        </is>
      </c>
      <c r="B1746" s="12" t="inlineStr">
        <is>
          <t>http://identifiers.org/so/SO:0000726</t>
        </is>
      </c>
      <c r="C1746" s="12" t="n"/>
      <c r="D1746" s="12" t="n"/>
      <c r="E1746" s="12" t="n"/>
    </row>
    <row r="1747" ht="15" customHeight="1">
      <c r="A1747" s="12" t="inlineStr">
        <is>
          <t>repetitive_element</t>
        </is>
      </c>
      <c r="B1747" s="12" t="inlineStr">
        <is>
          <t>http://identifiers.org/so/SO:0000292</t>
        </is>
      </c>
      <c r="C1747" s="12" t="inlineStr">
        <is>
          <t>['repeat fragment']</t>
        </is>
      </c>
      <c r="D1747" s="12" t="n"/>
      <c r="E1747" s="12" t="n"/>
    </row>
    <row r="1748" ht="15" customHeight="1">
      <c r="A1748" s="12" t="inlineStr">
        <is>
          <t>replication_regulatory_region</t>
        </is>
      </c>
      <c r="B1748" s="12" t="inlineStr">
        <is>
          <t>http://identifiers.org/so/SO:0001682</t>
        </is>
      </c>
      <c r="C1748" s="12" t="inlineStr">
        <is>
          <t>['repeat instability region', 'INSDC_feature:misc_feature', 'INSDC_note:repeat_instability_region']</t>
        </is>
      </c>
      <c r="D1748" s="12" t="n"/>
      <c r="E1748" s="12" t="n"/>
    </row>
    <row r="1749" ht="15" customHeight="1">
      <c r="A1749" s="12" t="inlineStr">
        <is>
          <t>replication_start_site</t>
        </is>
      </c>
      <c r="B1749" s="12" t="inlineStr">
        <is>
          <t>http://identifiers.org/so/SO:0002203</t>
        </is>
      </c>
      <c r="C1749" s="12" t="inlineStr">
        <is>
          <t>['INSDC_qualifier:other', 'repeat region', 'INSDC_feature:repeat_region']</t>
        </is>
      </c>
      <c r="D1749" s="12" t="n"/>
      <c r="E1749" s="12" t="n"/>
    </row>
    <row r="1750" ht="15" customHeight="1">
      <c r="A1750" s="12" t="inlineStr">
        <is>
          <t>replicon</t>
        </is>
      </c>
      <c r="B1750" s="12" t="inlineStr">
        <is>
          <t>http://identifiers.org/so/SO:0001235</t>
        </is>
      </c>
      <c r="C1750" s="12" t="inlineStr">
        <is>
          <t>['repeat unit']</t>
        </is>
      </c>
      <c r="D1750" s="12" t="n"/>
      <c r="E1750" s="12" t="n"/>
    </row>
    <row r="1751" ht="15" customHeight="1">
      <c r="A1751" s="12" t="inlineStr">
        <is>
          <t>rescue</t>
        </is>
      </c>
      <c r="B1751" s="12" t="inlineStr">
        <is>
          <t>http://identifiers.org/so/SO:0000814</t>
        </is>
      </c>
      <c r="C1751" s="12" t="n"/>
      <c r="D1751" s="12" t="n"/>
      <c r="E1751" s="12" t="n"/>
    </row>
    <row r="1752" ht="15" customHeight="1">
      <c r="A1752" s="12" t="inlineStr">
        <is>
          <t>rescue_gene</t>
        </is>
      </c>
      <c r="B1752" s="12" t="inlineStr">
        <is>
          <t>http://identifiers.org/so/SO:0000816</t>
        </is>
      </c>
      <c r="C1752" s="12" t="inlineStr">
        <is>
          <t>['INSDC_qualifier:replication_regulatory_region', 'replication regulatory region', 'INSDC_feature:regulatory']</t>
        </is>
      </c>
      <c r="D1752" s="12" t="n"/>
      <c r="E1752" s="12" t="n"/>
    </row>
    <row r="1753" ht="15" customHeight="1">
      <c r="A1753" s="12" t="inlineStr">
        <is>
          <t>rescue_mini_gene</t>
        </is>
      </c>
      <c r="B1753" s="12" t="inlineStr">
        <is>
          <t>http://identifiers.org/so/SO:0000795</t>
        </is>
      </c>
      <c r="C1753" s="12" t="inlineStr">
        <is>
          <t>['replication start site', 'INSDC_feature:misc_feature', 'INSDC_note:replication_start_site']</t>
        </is>
      </c>
      <c r="D1753" s="12" t="n"/>
      <c r="E1753" s="12" t="n"/>
    </row>
    <row r="1754" ht="15" customHeight="1">
      <c r="A1754" s="12" t="inlineStr">
        <is>
          <t>rescue_region</t>
        </is>
      </c>
      <c r="B1754" s="12" t="inlineStr">
        <is>
          <t>http://identifiers.org/so/SO:0000411</t>
        </is>
      </c>
      <c r="C1754" s="12" t="n"/>
      <c r="D1754" s="12" t="n"/>
      <c r="E1754" s="12" t="n"/>
    </row>
    <row r="1755" ht="15" customHeight="1">
      <c r="A1755" s="12" t="inlineStr">
        <is>
          <t>resolution_site</t>
        </is>
      </c>
      <c r="B1755" s="12" t="inlineStr">
        <is>
          <t>http://identifiers.org/so/SO:0000947</t>
        </is>
      </c>
      <c r="C1755" s="12" t="n"/>
      <c r="D1755" s="12" t="n"/>
      <c r="E1755" s="12" t="n"/>
    </row>
    <row r="1756" ht="15" customHeight="1">
      <c r="A1756" s="12" t="inlineStr">
        <is>
          <t>response_element</t>
        </is>
      </c>
      <c r="B1756" s="12" t="inlineStr">
        <is>
          <t>http://identifiers.org/so/SO:0002205</t>
        </is>
      </c>
      <c r="C1756" s="12" t="inlineStr">
        <is>
          <t>['rescue gene']</t>
        </is>
      </c>
      <c r="D1756" s="12" t="n"/>
      <c r="E1756" s="12" t="n"/>
    </row>
    <row r="1757" ht="15" customHeight="1">
      <c r="A1757" s="12" t="inlineStr">
        <is>
          <t>restriction_enzyme_assembly_scar</t>
        </is>
      </c>
      <c r="B1757" s="12" t="inlineStr">
        <is>
          <t>http://identifiers.org/so/SO:0001953</t>
        </is>
      </c>
      <c r="C1757" s="12" t="inlineStr">
        <is>
          <t>['rescue mini gene', 'rescue mini-gene']</t>
        </is>
      </c>
      <c r="D1757" s="12" t="n"/>
      <c r="E1757" s="12" t="n"/>
    </row>
    <row r="1758" ht="15" customHeight="1">
      <c r="A1758" s="12" t="inlineStr">
        <is>
          <t>restriction_enzyme_binding_site</t>
        </is>
      </c>
      <c r="B1758" s="12" t="inlineStr">
        <is>
          <t>http://identifiers.org/so/SO:0000061</t>
        </is>
      </c>
      <c r="C1758" s="12" t="inlineStr">
        <is>
          <t>['rescue segment', 'rescue region', 'rescue fragment']</t>
        </is>
      </c>
      <c r="D1758" s="12" t="n"/>
      <c r="E1758" s="12" t="n"/>
    </row>
    <row r="1759" ht="15" customHeight="1">
      <c r="A1759" s="12" t="inlineStr">
        <is>
          <t>restriction_enzyme_cleavage_junction</t>
        </is>
      </c>
      <c r="B1759" s="12" t="inlineStr">
        <is>
          <t>http://identifiers.org/so/SO:0001688</t>
        </is>
      </c>
      <c r="C1759" s="12" t="inlineStr">
        <is>
          <t>['res site', 'resolution site']</t>
        </is>
      </c>
      <c r="D1759" s="12" t="n"/>
      <c r="E1759" s="12" t="n"/>
    </row>
    <row r="1760" ht="15" customHeight="1">
      <c r="A1760" s="12" t="inlineStr">
        <is>
          <t>restriction_enzyme_cut_site</t>
        </is>
      </c>
      <c r="B1760" s="12" t="inlineStr">
        <is>
          <t>http://identifiers.org/so/SO:0000168</t>
        </is>
      </c>
      <c r="C1760" s="12" t="inlineStr">
        <is>
          <t>['response element', 'INSDC_qualifier:response_element', 'INSDC_feature:regulatory']</t>
        </is>
      </c>
      <c r="D1760" s="12" t="n"/>
      <c r="E1760" s="12" t="n"/>
    </row>
    <row r="1761" ht="15" customHeight="1">
      <c r="A1761" s="12" t="inlineStr">
        <is>
          <t>restriction_enzyme_five_prime_single_strand_overhang</t>
        </is>
      </c>
      <c r="B1761" s="12" t="inlineStr">
        <is>
          <t>http://identifiers.org/so/SO:0001932</t>
        </is>
      </c>
      <c r="C1761" s="12" t="n"/>
      <c r="D1761" s="12" t="n"/>
      <c r="E1761" s="12" t="n"/>
    </row>
    <row r="1762" ht="15" customHeight="1">
      <c r="A1762" s="12" t="inlineStr">
        <is>
          <t>restriction_enzyme_recognition_site</t>
        </is>
      </c>
      <c r="B1762" s="12" t="inlineStr">
        <is>
          <t>http://identifiers.org/so/SO:0001687</t>
        </is>
      </c>
      <c r="C1762" s="12" t="inlineStr">
        <is>
          <t>['restriction endonuclease binding site', 'restriction enzyme binding site']</t>
        </is>
      </c>
      <c r="D1762" s="12" t="n"/>
      <c r="E1762" s="12" t="n"/>
    </row>
    <row r="1763" ht="15" customHeight="1">
      <c r="A1763" s="12" t="inlineStr">
        <is>
          <t>restriction_enzyme_region</t>
        </is>
      </c>
      <c r="B1763" s="12" t="inlineStr">
        <is>
          <t>http://identifiers.org/so/SO:0001954</t>
        </is>
      </c>
      <c r="C1763" s="12" t="inlineStr">
        <is>
          <t>['restriction enzyme cleavage junction']</t>
        </is>
      </c>
      <c r="D1763" s="12" t="n"/>
      <c r="E1763" s="12" t="n"/>
    </row>
    <row r="1764" ht="15" customHeight="1">
      <c r="A1764" s="12" t="inlineStr">
        <is>
          <t>restriction_enzyme_single_strand_overhang</t>
        </is>
      </c>
      <c r="B1764" s="12" t="inlineStr">
        <is>
          <t>http://identifiers.org/so/SO:0001695</t>
        </is>
      </c>
      <c r="C1764" s="12" t="n"/>
      <c r="D1764" s="12" t="n"/>
      <c r="E1764" s="12" t="n"/>
    </row>
    <row r="1765" ht="15" customHeight="1">
      <c r="A1765" s="12" t="inlineStr">
        <is>
          <t>restriction_enzyme_three_prime_single_strand_overhang</t>
        </is>
      </c>
      <c r="B1765" s="12" t="inlineStr">
        <is>
          <t>http://identifiers.org/so/SO:0001933</t>
        </is>
      </c>
      <c r="C1765" s="12" t="inlineStr">
        <is>
          <t>['restriction enzyme five prime single strand overhang']</t>
        </is>
      </c>
      <c r="D1765" s="12" t="n"/>
      <c r="E1765" s="12" t="n"/>
    </row>
    <row r="1766" ht="15" customHeight="1">
      <c r="A1766" s="12" t="inlineStr">
        <is>
          <t>restriction_fragment</t>
        </is>
      </c>
      <c r="B1766" s="12" t="inlineStr">
        <is>
          <t>http://identifiers.org/so/SO:0000412</t>
        </is>
      </c>
      <c r="C1766" s="12" t="inlineStr">
        <is>
          <t>['restriction endonuclease recognition site', 'restriction enzyme recognition site']</t>
        </is>
      </c>
      <c r="D1766" s="12" t="n"/>
      <c r="E1766" s="12" t="n"/>
    </row>
    <row r="1767" ht="15" customHeight="1">
      <c r="A1767" s="12" t="inlineStr">
        <is>
          <t>retinoic_acid_responsive_element</t>
        </is>
      </c>
      <c r="B1767" s="12" t="inlineStr">
        <is>
          <t>http://identifiers.org/so/SO:0001653</t>
        </is>
      </c>
      <c r="C1767" s="12" t="inlineStr">
        <is>
          <t>['restriction enzyme region']</t>
        </is>
      </c>
      <c r="D1767" s="12" t="n"/>
      <c r="E1767" s="12" t="n"/>
    </row>
    <row r="1768" ht="15" customHeight="1">
      <c r="A1768" s="12" t="inlineStr">
        <is>
          <t>retrogene</t>
        </is>
      </c>
      <c r="B1768" s="12" t="inlineStr">
        <is>
          <t>http://identifiers.org/so/SO:0001219</t>
        </is>
      </c>
      <c r="C1768" s="12" t="inlineStr">
        <is>
          <t>['sticky end', 'single strand overhang']</t>
        </is>
      </c>
      <c r="D1768" s="12" t="n"/>
      <c r="E1768" s="12" t="n"/>
    </row>
    <row r="1769" ht="15" customHeight="1">
      <c r="A1769" s="12" t="inlineStr">
        <is>
          <t>retron</t>
        </is>
      </c>
      <c r="B1769" s="12" t="inlineStr">
        <is>
          <t>http://identifiers.org/so/SO:1001275</t>
        </is>
      </c>
      <c r="C1769" s="12" t="inlineStr">
        <is>
          <t>['restriction enzyme three prime single strand overhang']</t>
        </is>
      </c>
      <c r="D1769" s="12" t="n"/>
      <c r="E1769" s="12" t="n"/>
    </row>
    <row r="1770" ht="15" customHeight="1">
      <c r="A1770" s="12" t="inlineStr">
        <is>
          <t>retrotransposed</t>
        </is>
      </c>
      <c r="B1770" s="12" t="inlineStr">
        <is>
          <t>http://identifiers.org/so/SO:0000569</t>
        </is>
      </c>
      <c r="C1770" s="12" t="inlineStr">
        <is>
          <t>['restriction fragment']</t>
        </is>
      </c>
      <c r="D1770" s="12" t="n"/>
      <c r="E1770" s="12" t="n"/>
    </row>
    <row r="1771" ht="15" customHeight="1">
      <c r="A1771" s="12" t="inlineStr">
        <is>
          <t>retrotransposon</t>
        </is>
      </c>
      <c r="B1771" s="12" t="inlineStr">
        <is>
          <t>http://identifiers.org/so/SO:0000180</t>
        </is>
      </c>
      <c r="C1771" s="12" t="inlineStr">
        <is>
          <t>['retinoic acid responsive element', 'RARE']</t>
        </is>
      </c>
      <c r="D1771" s="12" t="n"/>
      <c r="E1771" s="12" t="n"/>
    </row>
    <row r="1772" ht="15" customHeight="1">
      <c r="A1772" s="12" t="inlineStr">
        <is>
          <t>Retrovirus_LTR_retrotransposon</t>
        </is>
      </c>
      <c r="B1772" s="12" t="inlineStr">
        <is>
          <t>http://identifiers.org/so/SO:0002267</t>
        </is>
      </c>
      <c r="C1772" s="12" t="n"/>
      <c r="D1772" s="12" t="n"/>
      <c r="E1772" s="12" t="n"/>
    </row>
    <row r="1773" ht="15" customHeight="1">
      <c r="A1773" s="12" t="inlineStr">
        <is>
          <t>reverse</t>
        </is>
      </c>
      <c r="B1773" s="12" t="inlineStr">
        <is>
          <t>http://identifiers.org/so/SO:0001031</t>
        </is>
      </c>
      <c r="C1773" s="12" t="n"/>
      <c r="D1773" s="12" t="n"/>
      <c r="E1773" s="12" t="n"/>
    </row>
    <row r="1774" ht="15" customHeight="1">
      <c r="A1774" s="12" t="inlineStr">
        <is>
          <t>reverse_Hoogsteen_base_pair</t>
        </is>
      </c>
      <c r="B1774" s="12" t="inlineStr">
        <is>
          <t>http://identifiers.org/so/SO:0000501</t>
        </is>
      </c>
      <c r="C1774" s="12" t="n"/>
      <c r="D1774" s="12" t="n"/>
      <c r="E1774" s="12" t="n"/>
    </row>
    <row r="1775" ht="15" customHeight="1">
      <c r="A1775" s="12" t="inlineStr">
        <is>
          <t>reverse_primer</t>
        </is>
      </c>
      <c r="B1775" s="12" t="inlineStr">
        <is>
          <t>http://identifiers.org/so/SO:0000132</t>
        </is>
      </c>
      <c r="C1775" s="12" t="inlineStr">
        <is>
          <t>['class I', 'retrotransposon element', 'class I transposon']</t>
        </is>
      </c>
      <c r="D1775" s="12" t="n"/>
      <c r="E1775" s="12" t="n"/>
    </row>
    <row r="1776" ht="15" customHeight="1">
      <c r="A1776" s="12" t="inlineStr">
        <is>
          <t>RFLP_fragment</t>
        </is>
      </c>
      <c r="B1776" s="12" t="inlineStr">
        <is>
          <t>http://identifiers.org/so/SO:0000193</t>
        </is>
      </c>
      <c r="C1776" s="12" t="inlineStr">
        <is>
          <t>['RLR retrotransposon', 'Retrovirus LTR retrotransposon']</t>
        </is>
      </c>
      <c r="D1776" s="12" t="n"/>
      <c r="E1776" s="12" t="n"/>
    </row>
    <row r="1777" ht="15" customHeight="1">
      <c r="A1777" s="12" t="inlineStr">
        <is>
          <t>RH_map</t>
        </is>
      </c>
      <c r="B1777" s="12" t="inlineStr">
        <is>
          <t>http://identifiers.org/so/SO:0001252</t>
        </is>
      </c>
      <c r="C1777" s="12" t="n"/>
      <c r="D1777" s="12" t="n"/>
      <c r="E1777" s="12" t="n"/>
    </row>
    <row r="1778" ht="15" customHeight="1">
      <c r="A1778" s="12" t="inlineStr">
        <is>
          <t>rho_dependent_bacterial_terminator</t>
        </is>
      </c>
      <c r="B1778" s="12" t="inlineStr">
        <is>
          <t>http://identifiers.org/so/SO:0000981</t>
        </is>
      </c>
      <c r="C1778" s="12" t="inlineStr">
        <is>
          <t>['reverse Hoogsteen base pair']</t>
        </is>
      </c>
      <c r="D1778" s="12" t="n"/>
      <c r="E1778" s="12" t="n"/>
    </row>
    <row r="1779" ht="15" customHeight="1">
      <c r="A1779" s="12" t="inlineStr">
        <is>
          <t>rho_independent_bacterial_terminator</t>
        </is>
      </c>
      <c r="B1779" s="12" t="inlineStr">
        <is>
          <t>http://identifiers.org/so/SO:0000982</t>
        </is>
      </c>
      <c r="C1779" s="12" t="inlineStr">
        <is>
          <t>['reverse primer oligonucleotide', 'reverse primer', 'DNA reverse primer', 'reverse DNA primer', 'reverse primer sequence', 'reverse primer oligo']</t>
        </is>
      </c>
      <c r="D1779" s="12" t="n"/>
      <c r="E1779" s="12" t="n"/>
    </row>
    <row r="1780" ht="15" customHeight="1">
      <c r="A1780" s="12" t="inlineStr">
        <is>
          <t>ribonuclease_site</t>
        </is>
      </c>
      <c r="B1780" s="12" t="inlineStr">
        <is>
          <t>http://identifiers.org/so/SO:0001977</t>
        </is>
      </c>
      <c r="C1780" s="12" t="inlineStr">
        <is>
          <t>['RFLP fragment', 'RFLP', 'restriction fragment length polymorphism']</t>
        </is>
      </c>
      <c r="D1780" s="12" t="n"/>
      <c r="E1780" s="12" t="n"/>
    </row>
    <row r="1781" ht="15" customHeight="1">
      <c r="A1781" s="12" t="inlineStr">
        <is>
          <t>riboswitch</t>
        </is>
      </c>
      <c r="B1781" s="12" t="inlineStr">
        <is>
          <t>http://identifiers.org/so/SO:0000035</t>
        </is>
      </c>
      <c r="C1781" s="12" t="inlineStr">
        <is>
          <t>['RH map', 'radiation hybrid map']</t>
        </is>
      </c>
      <c r="D1781" s="12" t="n"/>
      <c r="E1781" s="12" t="n"/>
    </row>
    <row r="1782" ht="15" customHeight="1">
      <c r="A1782" s="12" t="inlineStr">
        <is>
          <t>ribothymidine</t>
        </is>
      </c>
      <c r="B1782" s="12" t="inlineStr">
        <is>
          <t>http://identifiers.org/so/SO:0001232</t>
        </is>
      </c>
      <c r="C1782" s="12" t="inlineStr">
        <is>
          <t>['rho dependent bacterial terminator']</t>
        </is>
      </c>
      <c r="D1782" s="12" t="n"/>
      <c r="E1782" s="12" t="n"/>
    </row>
    <row r="1783" ht="15" customHeight="1">
      <c r="A1783" s="12" t="inlineStr">
        <is>
          <t>ribozyme</t>
        </is>
      </c>
      <c r="B1783" s="12" t="inlineStr">
        <is>
          <t>http://identifiers.org/so/SO:0000374</t>
        </is>
      </c>
      <c r="C1783" s="12" t="inlineStr">
        <is>
          <t>['rho independent bacterial terminator']</t>
        </is>
      </c>
      <c r="D1783" s="12" t="n"/>
      <c r="E1783" s="12" t="n"/>
    </row>
    <row r="1784" ht="15" customHeight="1">
      <c r="A1784" s="12" t="inlineStr">
        <is>
          <t>ribozyme_gene</t>
        </is>
      </c>
      <c r="B1784" s="12" t="inlineStr">
        <is>
          <t>http://identifiers.org/so/SO:0002181</t>
        </is>
      </c>
      <c r="C1784" s="12" t="inlineStr">
        <is>
          <t>['ribonuclease site']</t>
        </is>
      </c>
      <c r="D1784" s="12" t="n"/>
      <c r="E1784" s="12" t="n"/>
    </row>
    <row r="1785" ht="15" customHeight="1">
      <c r="A1785" s="12" t="inlineStr">
        <is>
          <t>ribozymic</t>
        </is>
      </c>
      <c r="B1785" s="12" t="inlineStr">
        <is>
          <t>http://identifiers.org/so/SO:0001186</t>
        </is>
      </c>
      <c r="C1785" s="12" t="inlineStr">
        <is>
          <t>['INSDC_feature:regulatory', 'INSDC_qualifier:riboswitch', 'riboswitch RNA']</t>
        </is>
      </c>
      <c r="D1785" s="12" t="n"/>
      <c r="E1785" s="12" t="n"/>
    </row>
    <row r="1786" ht="15" customHeight="1">
      <c r="A1786" s="12" t="inlineStr">
        <is>
          <t>right_handed_peptide_helix</t>
        </is>
      </c>
      <c r="B1786" s="12" t="inlineStr">
        <is>
          <t>http://identifiers.org/so/SO:0001116</t>
        </is>
      </c>
      <c r="C1786" s="12" t="n"/>
      <c r="D1786" s="12" t="n"/>
      <c r="E1786" s="12" t="n"/>
    </row>
    <row r="1787" ht="15" customHeight="1">
      <c r="A1787" s="12" t="inlineStr">
        <is>
          <t>ring_chromosome</t>
        </is>
      </c>
      <c r="B1787" s="12" t="inlineStr">
        <is>
          <t>http://identifiers.org/so/SO:1000045</t>
        </is>
      </c>
      <c r="C1787" s="12" t="inlineStr">
        <is>
          <t>['INSDC_feature:ncRNA', 'INSDC_qualifier:ribozyme']</t>
        </is>
      </c>
      <c r="D1787" s="12" t="n"/>
      <c r="E1787" s="12" t="n"/>
    </row>
    <row r="1788" ht="15" customHeight="1">
      <c r="A1788" s="12" t="inlineStr">
        <is>
          <t>RNA</t>
        </is>
      </c>
      <c r="B1788" s="12" t="inlineStr">
        <is>
          <t>http://identifiers.org/so/SO:0000356</t>
        </is>
      </c>
      <c r="C1788" s="12" t="inlineStr">
        <is>
          <t>['ribozyme gene']</t>
        </is>
      </c>
      <c r="D1788" s="12" t="n"/>
      <c r="E1788" s="12" t="n"/>
    </row>
    <row r="1789" ht="15" customHeight="1">
      <c r="A1789" s="12" t="inlineStr">
        <is>
          <t>RNA_6S</t>
        </is>
      </c>
      <c r="B1789" s="12" t="inlineStr">
        <is>
          <t>http://identifiers.org/so/SO:0000376</t>
        </is>
      </c>
      <c r="C1789" s="12" t="n"/>
      <c r="D1789" s="12" t="n"/>
      <c r="E1789" s="12" t="n"/>
    </row>
    <row r="1790" ht="15" customHeight="1">
      <c r="A1790" s="12" t="inlineStr">
        <is>
          <t>RNA_aptamer</t>
        </is>
      </c>
      <c r="B1790" s="12" t="inlineStr">
        <is>
          <t>http://identifiers.org/so/SO:0000033</t>
        </is>
      </c>
      <c r="C1790" s="12" t="inlineStr">
        <is>
          <t>['right handed helix', 'helix']</t>
        </is>
      </c>
      <c r="D1790" s="12" t="n"/>
      <c r="E1790" s="12" t="n"/>
    </row>
    <row r="1791" ht="15" customHeight="1">
      <c r="A1791" s="12" t="inlineStr">
        <is>
          <t>RNA_chromosome</t>
        </is>
      </c>
      <c r="B1791" s="12" t="inlineStr">
        <is>
          <t>http://identifiers.org/so/SO:0000961</t>
        </is>
      </c>
      <c r="C1791" s="12" t="inlineStr">
        <is>
          <t>['(Drosophila)R', 'ring chromosome', '(fungi)C']</t>
        </is>
      </c>
      <c r="D1791" s="12" t="n"/>
      <c r="E1791" s="12" t="n"/>
    </row>
    <row r="1792" ht="15" customHeight="1">
      <c r="A1792" s="12" t="inlineStr">
        <is>
          <t>RNA_hook_turn</t>
        </is>
      </c>
      <c r="B1792" s="12" t="inlineStr">
        <is>
          <t>http://identifiers.org/so/SO:0000027</t>
        </is>
      </c>
      <c r="C1792" s="12" t="n"/>
      <c r="D1792" s="12" t="n"/>
      <c r="E1792" s="12" t="n"/>
    </row>
    <row r="1793" ht="15" customHeight="1">
      <c r="A1793" s="12" t="inlineStr">
        <is>
          <t>RNA_internal_loop</t>
        </is>
      </c>
      <c r="B1793" s="12" t="inlineStr">
        <is>
          <t>http://identifiers.org/so/SO:0000020</t>
        </is>
      </c>
      <c r="C1793" s="12" t="inlineStr">
        <is>
          <t>['6S RNA', 'RNA 6S']</t>
        </is>
      </c>
      <c r="D1793" s="12" t="n"/>
      <c r="E1793" s="12" t="n"/>
    </row>
    <row r="1794" ht="15" customHeight="1">
      <c r="A1794" s="12" t="inlineStr">
        <is>
          <t>RNA_junction_loop</t>
        </is>
      </c>
      <c r="B1794" s="12" t="inlineStr">
        <is>
          <t>http://identifiers.org/so/SO:0000026</t>
        </is>
      </c>
      <c r="C1794" s="12" t="inlineStr">
        <is>
          <t>['RNA aptamer']</t>
        </is>
      </c>
      <c r="D1794" s="12" t="n"/>
      <c r="E1794" s="12" t="n"/>
    </row>
    <row r="1795" ht="15" customHeight="1">
      <c r="A1795" s="12" t="inlineStr">
        <is>
          <t>RNA_motif</t>
        </is>
      </c>
      <c r="B1795" s="12" t="inlineStr">
        <is>
          <t>http://identifiers.org/so/SO:0000715</t>
        </is>
      </c>
      <c r="C1795" s="12" t="inlineStr">
        <is>
          <t>['RNA chromosome']</t>
        </is>
      </c>
      <c r="D1795" s="12" t="n"/>
      <c r="E1795" s="12" t="n"/>
    </row>
    <row r="1796" ht="15" customHeight="1">
      <c r="A1796" s="12" t="inlineStr">
        <is>
          <t>RNA_polymerase_II_TATA_box</t>
        </is>
      </c>
      <c r="B1796" s="12" t="inlineStr">
        <is>
          <t>http://identifiers.org/so/SO:0001661</t>
        </is>
      </c>
      <c r="C1796" s="12" t="inlineStr">
        <is>
          <t>['hook turn', 'hook-turn motif', 'RNA hook turn']</t>
        </is>
      </c>
      <c r="D1796" s="12" t="n"/>
      <c r="E1796" s="12" t="n"/>
    </row>
    <row r="1797" ht="15" customHeight="1">
      <c r="A1797" s="12" t="inlineStr">
        <is>
          <t>RNA_polymerase_III_TATA_box</t>
        </is>
      </c>
      <c r="B1797" s="12" t="inlineStr">
        <is>
          <t>http://identifiers.org/so/SO:0001662</t>
        </is>
      </c>
      <c r="C1797" s="12" t="inlineStr">
        <is>
          <t>['RNA internal loop']</t>
        </is>
      </c>
      <c r="D1797" s="12" t="n"/>
      <c r="E1797" s="12" t="n"/>
    </row>
    <row r="1798" ht="15" customHeight="1">
      <c r="A1798" s="12" t="inlineStr">
        <is>
          <t>RNA_polymerase_promoter</t>
        </is>
      </c>
      <c r="B1798" s="12" t="inlineStr">
        <is>
          <t>http://identifiers.org/so/SO:0001203</t>
        </is>
      </c>
      <c r="C1798" s="12" t="inlineStr">
        <is>
          <t>['RNA junction loop']</t>
        </is>
      </c>
      <c r="D1798" s="12" t="n"/>
      <c r="E1798" s="12" t="n"/>
    </row>
    <row r="1799" ht="15" customHeight="1">
      <c r="A1799" s="12" t="inlineStr">
        <is>
          <t>RNA_replication_mode</t>
        </is>
      </c>
      <c r="B1799" s="12" t="inlineStr">
        <is>
          <t>http://identifiers.org/so/SO:0000972</t>
        </is>
      </c>
      <c r="C1799" s="12" t="inlineStr">
        <is>
          <t>['RNA motif']</t>
        </is>
      </c>
      <c r="D1799" s="12" t="n"/>
      <c r="E1799" s="12" t="n"/>
    </row>
    <row r="1800" ht="15" customHeight="1">
      <c r="A1800" s="12" t="inlineStr">
        <is>
          <t>RNA_sequence_secondary_structure</t>
        </is>
      </c>
      <c r="B1800" s="12" t="inlineStr">
        <is>
          <t>http://identifiers.org/so/SO:0000122</t>
        </is>
      </c>
      <c r="C1800" s="12" t="inlineStr">
        <is>
          <t>['RNA polymerase II TATA box']</t>
        </is>
      </c>
      <c r="D1800" s="12" t="n"/>
      <c r="E1800" s="12" t="n"/>
    </row>
    <row r="1801" ht="15" customHeight="1">
      <c r="A1801" s="12" t="inlineStr">
        <is>
          <t>RNA_stability_element</t>
        </is>
      </c>
      <c r="B1801" s="12" t="inlineStr">
        <is>
          <t>http://identifiers.org/so/SO:0001979</t>
        </is>
      </c>
      <c r="C1801" s="12" t="inlineStr">
        <is>
          <t>['RNA polymerase III TATA box']</t>
        </is>
      </c>
      <c r="D1801" s="12" t="n"/>
      <c r="E1801" s="12" t="n"/>
    </row>
    <row r="1802" ht="15" customHeight="1">
      <c r="A1802" s="12" t="inlineStr">
        <is>
          <t>RNA_thermometer</t>
        </is>
      </c>
      <c r="B1802" s="12" t="inlineStr">
        <is>
          <t>http://identifiers.org/so/SO:0002168</t>
        </is>
      </c>
      <c r="C1802" s="12" t="inlineStr">
        <is>
          <t>['RNA polymerase promoter']</t>
        </is>
      </c>
      <c r="D1802" s="12" t="n"/>
      <c r="E1802" s="12" t="n"/>
    </row>
    <row r="1803" ht="15" customHeight="1">
      <c r="A1803" s="12" t="inlineStr">
        <is>
          <t>RNAi_reagent</t>
        </is>
      </c>
      <c r="B1803" s="12" t="inlineStr">
        <is>
          <t>http://identifiers.org/so/SO:0000337</t>
        </is>
      </c>
      <c r="C1803" s="12" t="inlineStr">
        <is>
          <t>['RNA replication mode']</t>
        </is>
      </c>
      <c r="D1803" s="12" t="n"/>
      <c r="E1803" s="12" t="n"/>
    </row>
    <row r="1804" ht="15" customHeight="1">
      <c r="A1804" s="12" t="inlineStr">
        <is>
          <t>RNApol_I_promoter</t>
        </is>
      </c>
      <c r="B1804" s="12" t="inlineStr">
        <is>
          <t>http://identifiers.org/so/SO:0000169</t>
        </is>
      </c>
      <c r="C1804" s="12" t="inlineStr">
        <is>
          <t>['RNA sequence secondary structure']</t>
        </is>
      </c>
      <c r="D1804" s="12" t="n"/>
      <c r="E1804" s="12" t="n"/>
    </row>
    <row r="1805" ht="15" customHeight="1">
      <c r="A1805" s="12" t="inlineStr">
        <is>
          <t>RNApol_II_core_promoter</t>
        </is>
      </c>
      <c r="B1805" s="12" t="inlineStr">
        <is>
          <t>http://identifiers.org/so/SO:0001669</t>
        </is>
      </c>
      <c r="C1805" s="12" t="inlineStr">
        <is>
          <t>['RNA stability element']</t>
        </is>
      </c>
      <c r="D1805" s="12" t="n"/>
      <c r="E1805" s="12" t="n"/>
    </row>
    <row r="1806" ht="15" customHeight="1">
      <c r="A1806" s="12" t="inlineStr">
        <is>
          <t>RNApol_II_promoter</t>
        </is>
      </c>
      <c r="B1806" s="12" t="inlineStr">
        <is>
          <t>http://identifiers.org/so/SO:0000170</t>
        </is>
      </c>
      <c r="C1806" s="12" t="inlineStr">
        <is>
          <t>['RNAT', 'thermoregulator', 'RNA thermometer', 'RNA thermoregulator']</t>
        </is>
      </c>
      <c r="D1806" s="12" t="n"/>
      <c r="E1806" s="12" t="n"/>
    </row>
    <row r="1807" ht="15" customHeight="1">
      <c r="A1807" s="12" t="inlineStr">
        <is>
          <t>RNApol_II_promoter_region</t>
        </is>
      </c>
      <c r="B1807" s="12" t="inlineStr">
        <is>
          <t>http://identifiers.org/so/SO:0000844</t>
        </is>
      </c>
      <c r="C1807" s="12" t="inlineStr">
        <is>
          <t>['RNAi reagent']</t>
        </is>
      </c>
      <c r="D1807" s="12" t="n"/>
      <c r="E1807" s="12" t="n"/>
    </row>
    <row r="1808" ht="15" customHeight="1">
      <c r="A1808" s="12" t="inlineStr">
        <is>
          <t>RNApol_III_promoter</t>
        </is>
      </c>
      <c r="B1808" s="12" t="inlineStr">
        <is>
          <t>http://identifiers.org/so/SO:0000171</t>
        </is>
      </c>
      <c r="C1808" s="12" t="inlineStr">
        <is>
          <t>['pol I promoter', 'RNA polymerase A promoter', 'polymerase I promoter', 'RNApol I promoter']</t>
        </is>
      </c>
      <c r="D1808" s="12" t="n"/>
      <c r="E1808" s="12" t="n"/>
    </row>
    <row r="1809" ht="15" customHeight="1">
      <c r="A1809" s="12" t="inlineStr">
        <is>
          <t>RNApol_III_promoter_type_1</t>
        </is>
      </c>
      <c r="B1809" s="12" t="inlineStr">
        <is>
          <t>http://identifiers.org/so/SO:0000617</t>
        </is>
      </c>
      <c r="C1809" s="12" t="inlineStr">
        <is>
          <t>['RNApol II core promoter']</t>
        </is>
      </c>
      <c r="D1809" s="12" t="n"/>
      <c r="E1809" s="12" t="n"/>
    </row>
    <row r="1810" ht="15" customHeight="1">
      <c r="A1810" s="12" t="inlineStr">
        <is>
          <t>RNApol_III_promoter_type_1_region</t>
        </is>
      </c>
      <c r="B1810" s="12" t="inlineStr">
        <is>
          <t>http://identifiers.org/so/SO:0000845</t>
        </is>
      </c>
      <c r="C1810" s="12" t="inlineStr">
        <is>
          <t>['polymerase II promoter', 'RNA polymerase B promoter', 'pol II promoter', 'RNApol II promoter']</t>
        </is>
      </c>
      <c r="D1810" s="12" t="n"/>
      <c r="E1810" s="12" t="n"/>
    </row>
    <row r="1811" ht="15" customHeight="1">
      <c r="A1811" s="12" t="inlineStr">
        <is>
          <t>RNApol_III_promoter_type_2</t>
        </is>
      </c>
      <c r="B1811" s="12" t="inlineStr">
        <is>
          <t>http://identifiers.org/so/SO:0000618</t>
        </is>
      </c>
      <c r="C1811" s="12" t="n"/>
      <c r="D1811" s="12" t="n"/>
      <c r="E1811" s="12" t="n"/>
    </row>
    <row r="1812" ht="15" customHeight="1">
      <c r="A1812" s="12" t="inlineStr">
        <is>
          <t>RNApol_III_promoter_type_2_region</t>
        </is>
      </c>
      <c r="B1812" s="12" t="inlineStr">
        <is>
          <t>http://identifiers.org/so/SO:0000846</t>
        </is>
      </c>
      <c r="C1812" s="12" t="inlineStr">
        <is>
          <t>['RNApol III promoter', 'polymerase III promoter', 'pol III promoter', 'RNA polymerase C promoter']</t>
        </is>
      </c>
      <c r="D1812" s="12" t="n"/>
      <c r="E1812" s="12" t="n"/>
    </row>
    <row r="1813" ht="15" customHeight="1">
      <c r="A1813" s="12" t="inlineStr">
        <is>
          <t>RNApol_III_promoter_type_3</t>
        </is>
      </c>
      <c r="B1813" s="12" t="inlineStr">
        <is>
          <t>http://identifiers.org/so/SO:0000621</t>
        </is>
      </c>
      <c r="C1813" s="12" t="inlineStr">
        <is>
          <t>['RNApol III promoter type 1']</t>
        </is>
      </c>
      <c r="D1813" s="12" t="n"/>
      <c r="E1813" s="12" t="n"/>
    </row>
    <row r="1814" ht="15" customHeight="1">
      <c r="A1814" s="12" t="inlineStr">
        <is>
          <t>RNase_MRP_RNA</t>
        </is>
      </c>
      <c r="B1814" s="12" t="inlineStr">
        <is>
          <t>http://identifiers.org/so/SO:0000385</t>
        </is>
      </c>
      <c r="C1814" s="12" t="n"/>
      <c r="D1814" s="12" t="n"/>
      <c r="E1814" s="12" t="n"/>
    </row>
    <row r="1815" ht="15" customHeight="1">
      <c r="A1815" s="12" t="inlineStr">
        <is>
          <t>RNase_MRP_RNA_gene</t>
        </is>
      </c>
      <c r="B1815" s="12" t="inlineStr">
        <is>
          <t>http://identifiers.org/so/SO:0001640</t>
        </is>
      </c>
      <c r="C1815" s="12" t="inlineStr">
        <is>
          <t>['RNApol III promoter type 2', 'tRNA promoter']</t>
        </is>
      </c>
      <c r="D1815" s="12" t="n"/>
      <c r="E1815" s="12" t="n"/>
    </row>
    <row r="1816" ht="15" customHeight="1">
      <c r="A1816" s="12" t="inlineStr">
        <is>
          <t>RNase_P_RNA</t>
        </is>
      </c>
      <c r="B1816" s="12" t="inlineStr">
        <is>
          <t>http://identifiers.org/so/SO:0000386</t>
        </is>
      </c>
      <c r="C1816" s="12" t="n"/>
      <c r="D1816" s="12" t="n"/>
      <c r="E1816" s="12" t="n"/>
    </row>
    <row r="1817" ht="15" customHeight="1">
      <c r="A1817" s="12" t="inlineStr">
        <is>
          <t>RNase_P_RNA_gene</t>
        </is>
      </c>
      <c r="B1817" s="12" t="inlineStr">
        <is>
          <t>http://identifiers.org/so/SO:0001639</t>
        </is>
      </c>
      <c r="C1817" s="12" t="inlineStr">
        <is>
          <t>['RNApol III promoter type 3']</t>
        </is>
      </c>
      <c r="D1817" s="12" t="n"/>
      <c r="E1817" s="12" t="n"/>
    </row>
    <row r="1818" ht="15" customHeight="1">
      <c r="A1818" s="12" t="inlineStr">
        <is>
          <t>Robertsonian_fusion</t>
        </is>
      </c>
      <c r="B1818" s="12" t="inlineStr">
        <is>
          <t>http://identifiers.org/so/SO:1000043</t>
        </is>
      </c>
      <c r="C1818" s="12" t="inlineStr">
        <is>
          <t>['INSDC_qualifier:RNase_MRP_RNA', 'INSDC_feature:ncRNA', 'RNase MRP RNA']</t>
        </is>
      </c>
      <c r="D1818" s="12" t="n"/>
      <c r="E1818" s="12" t="n"/>
    </row>
    <row r="1819" ht="15" customHeight="1">
      <c r="A1819" s="12" t="inlineStr">
        <is>
          <t>rolling_circle</t>
        </is>
      </c>
      <c r="B1819" s="12" t="inlineStr">
        <is>
          <t>http://identifiers.org/so/SO:0000969</t>
        </is>
      </c>
      <c r="C1819" s="12" t="inlineStr">
        <is>
          <t>['RNase MRP RNA gene']</t>
        </is>
      </c>
      <c r="D1819" s="12" t="n"/>
      <c r="E1819" s="12" t="n"/>
    </row>
    <row r="1820" ht="15" customHeight="1">
      <c r="A1820" s="12" t="inlineStr">
        <is>
          <t>RprA_RNA</t>
        </is>
      </c>
      <c r="B1820" s="12" t="inlineStr">
        <is>
          <t>http://identifiers.org/so/SO:0000387</t>
        </is>
      </c>
      <c r="C1820" s="12" t="inlineStr">
        <is>
          <t>['INSDC_feature:ncRNA', 'RNase P RNA', 'INSDC_qualifier:RNase_P_RNA']</t>
        </is>
      </c>
      <c r="D1820" s="12" t="n"/>
      <c r="E1820" s="12" t="n"/>
    </row>
    <row r="1821" ht="15" customHeight="1">
      <c r="A1821" s="12" t="inlineStr">
        <is>
          <t>RR_tract</t>
        </is>
      </c>
      <c r="B1821" s="12" t="inlineStr">
        <is>
          <t>http://identifiers.org/so/SO:0000435</t>
        </is>
      </c>
      <c r="C1821" s="12" t="inlineStr">
        <is>
          <t>['RNase P RNA gene']</t>
        </is>
      </c>
      <c r="D1821" s="12" t="n"/>
      <c r="E1821" s="12" t="n"/>
    </row>
    <row r="1822" ht="15" customHeight="1">
      <c r="A1822" s="12" t="inlineStr">
        <is>
          <t>RRE_RNA</t>
        </is>
      </c>
      <c r="B1822" s="12" t="inlineStr">
        <is>
          <t>http://identifiers.org/so/SO:0000388</t>
        </is>
      </c>
      <c r="C1822" s="12" t="inlineStr">
        <is>
          <t>['centric-fusion translocations', 'whole-arm translocations', 'Robertsonian fusion']</t>
        </is>
      </c>
      <c r="D1822" s="12" t="n"/>
      <c r="E1822" s="12" t="n"/>
    </row>
    <row r="1823" ht="15" customHeight="1">
      <c r="A1823" s="12" t="inlineStr">
        <is>
          <t>rRNA</t>
        </is>
      </c>
      <c r="B1823" s="12" t="inlineStr">
        <is>
          <t>http://identifiers.org/so/SO:0000252</t>
        </is>
      </c>
      <c r="C1823" s="12" t="inlineStr">
        <is>
          <t>['rolling circle']</t>
        </is>
      </c>
      <c r="D1823" s="12" t="n"/>
      <c r="E1823" s="12" t="n"/>
    </row>
    <row r="1824" ht="15" customHeight="1">
      <c r="A1824" s="12" t="inlineStr">
        <is>
          <t>rRNA_16S</t>
        </is>
      </c>
      <c r="B1824" s="12" t="inlineStr">
        <is>
          <t>http://identifiers.org/so/SO:0001000</t>
        </is>
      </c>
      <c r="C1824" s="12" t="inlineStr">
        <is>
          <t>['RprA RNA']</t>
        </is>
      </c>
      <c r="D1824" s="12" t="n"/>
      <c r="E1824" s="12" t="n"/>
    </row>
    <row r="1825" ht="15" customHeight="1">
      <c r="A1825" s="12" t="inlineStr">
        <is>
          <t>rRNA_16S_gene</t>
        </is>
      </c>
      <c r="B1825" s="12" t="inlineStr">
        <is>
          <t>http://identifiers.org/so/SO:0002237</t>
        </is>
      </c>
      <c r="C1825" s="12" t="inlineStr">
        <is>
          <t>['RR tract', 'LTR retrotransposon poly purine tract']</t>
        </is>
      </c>
      <c r="D1825" s="12" t="n"/>
      <c r="E1825" s="12" t="n"/>
    </row>
    <row r="1826" ht="15" customHeight="1">
      <c r="A1826" s="12" t="inlineStr">
        <is>
          <t>rRNA_18S</t>
        </is>
      </c>
      <c r="B1826" s="12" t="inlineStr">
        <is>
          <t>http://identifiers.org/so/SO:0000407</t>
        </is>
      </c>
      <c r="C1826" s="12" t="inlineStr">
        <is>
          <t>['RRE RNA']</t>
        </is>
      </c>
      <c r="D1826" s="12" t="n"/>
      <c r="E1826" s="12" t="n"/>
    </row>
    <row r="1827" ht="15" customHeight="1">
      <c r="A1827" s="12" t="inlineStr">
        <is>
          <t>rRNA_18S_gene</t>
        </is>
      </c>
      <c r="B1827" s="12" t="inlineStr">
        <is>
          <t>http://identifiers.org/so/SO:0002236</t>
        </is>
      </c>
      <c r="C1827" s="12" t="inlineStr">
        <is>
          <t>['ribosomal ribonucleic acid', 'INSDC_qualifier:unknown', 'ribosomal RNA', 'INSDC_feature:rRNA']</t>
        </is>
      </c>
      <c r="D1827" s="12" t="n"/>
      <c r="E1827" s="12" t="n"/>
    </row>
    <row r="1828" ht="15" customHeight="1">
      <c r="A1828" s="12" t="inlineStr">
        <is>
          <t>rRNA_21S</t>
        </is>
      </c>
      <c r="B1828" s="12" t="inlineStr">
        <is>
          <t>http://identifiers.org/so/SO:0001171</t>
        </is>
      </c>
      <c r="C1828" s="12" t="inlineStr">
        <is>
          <t>['16S ribosomal RNA', 'rRNA 16S', '16S SSU RNA', '16S rRNA']</t>
        </is>
      </c>
      <c r="D1828" s="12" t="n"/>
      <c r="E1828" s="12" t="n"/>
    </row>
    <row r="1829" ht="15" customHeight="1">
      <c r="A1829" s="12" t="inlineStr">
        <is>
          <t>rRNA_21S_gene</t>
        </is>
      </c>
      <c r="B1829" s="12" t="inlineStr">
        <is>
          <t>http://identifiers.org/so/SO:0002241</t>
        </is>
      </c>
      <c r="C1829" s="12" t="inlineStr">
        <is>
          <t>['16S_rRNA_gene', '16S rRNA gene']</t>
        </is>
      </c>
      <c r="D1829" s="12" t="n"/>
      <c r="E1829" s="12" t="n"/>
    </row>
    <row r="1830" ht="15" customHeight="1">
      <c r="A1830" s="12" t="inlineStr">
        <is>
          <t>rRNA_23S</t>
        </is>
      </c>
      <c r="B1830" s="12" t="inlineStr">
        <is>
          <t>http://identifiers.org/so/SO:0001001</t>
        </is>
      </c>
      <c r="C1830" s="12" t="inlineStr">
        <is>
          <t>['rRNA 18S', '18S ribosomal RNA', '18S rRNA']</t>
        </is>
      </c>
      <c r="D1830" s="12" t="n"/>
      <c r="E1830" s="12" t="n"/>
    </row>
    <row r="1831" ht="15" customHeight="1">
      <c r="A1831" s="12" t="inlineStr">
        <is>
          <t>rRNA_23S_gene</t>
        </is>
      </c>
      <c r="B1831" s="12" t="inlineStr">
        <is>
          <t>http://identifiers.org/so/SO:0002243</t>
        </is>
      </c>
      <c r="C1831" s="12" t="inlineStr">
        <is>
          <t>['18S_rRNA_gene', '18S rRNA gene']</t>
        </is>
      </c>
      <c r="D1831" s="12" t="n"/>
      <c r="E1831" s="12" t="n"/>
    </row>
    <row r="1832" ht="15" customHeight="1">
      <c r="A1832" s="12" t="inlineStr">
        <is>
          <t>rRNA_25S</t>
        </is>
      </c>
      <c r="B1832" s="12" t="inlineStr">
        <is>
          <t>http://identifiers.org/so/SO:0001002</t>
        </is>
      </c>
      <c r="C1832" s="12" t="inlineStr">
        <is>
          <t>['rRNA 21S', '21S LSU rRNA', '21S rRNA', '21S ribosomal RNA']</t>
        </is>
      </c>
      <c r="D1832" s="12" t="n"/>
      <c r="E1832" s="12" t="n"/>
    </row>
    <row r="1833" ht="15" customHeight="1">
      <c r="A1833" s="12" t="inlineStr">
        <is>
          <t>rRNA_25S_gene</t>
        </is>
      </c>
      <c r="B1833" s="12" t="inlineStr">
        <is>
          <t>http://identifiers.org/so/SO:0002242</t>
        </is>
      </c>
      <c r="C1833" s="12" t="inlineStr">
        <is>
          <t>['21S_rRNA_gene', '21S rRNA gene']</t>
        </is>
      </c>
      <c r="D1833" s="12" t="n"/>
      <c r="E1833" s="12" t="n"/>
    </row>
    <row r="1834" ht="15" customHeight="1">
      <c r="A1834" s="12" t="inlineStr">
        <is>
          <t>rRNA_28S</t>
        </is>
      </c>
      <c r="B1834" s="12" t="inlineStr">
        <is>
          <t>http://identifiers.org/so/SO:0000653</t>
        </is>
      </c>
      <c r="C1834" s="12" t="inlineStr">
        <is>
          <t>['23S rRNA', 'rRNA 23S', '23S ribosomal RNA', '23S LSU rRNA']</t>
        </is>
      </c>
      <c r="D1834" s="12" t="n"/>
      <c r="E1834" s="12" t="n"/>
    </row>
    <row r="1835" ht="15" customHeight="1">
      <c r="A1835" s="12" t="inlineStr">
        <is>
          <t>rRNA_28S_gene</t>
        </is>
      </c>
      <c r="B1835" s="12" t="inlineStr">
        <is>
          <t>http://identifiers.org/so/SO:0002239</t>
        </is>
      </c>
      <c r="C1835" s="12" t="inlineStr">
        <is>
          <t>['23S_rRNA_gene', '23S rRNA gene']</t>
        </is>
      </c>
      <c r="D1835" s="12" t="n"/>
      <c r="E1835" s="12" t="n"/>
    </row>
    <row r="1836" ht="15" customHeight="1">
      <c r="A1836" s="12" t="inlineStr">
        <is>
          <t>rRNA_5_8S</t>
        </is>
      </c>
      <c r="B1836" s="12" t="inlineStr">
        <is>
          <t>http://identifiers.org/so/SO:0000375</t>
        </is>
      </c>
      <c r="C1836" s="12" t="inlineStr">
        <is>
          <t>['25S LSU rRNA', '25S rRNA', '25S ribosomal RNA', 'rRNA 25S']</t>
        </is>
      </c>
      <c r="D1836" s="12" t="n"/>
      <c r="E1836" s="12" t="n"/>
    </row>
    <row r="1837" ht="15" customHeight="1">
      <c r="A1837" s="12" t="inlineStr">
        <is>
          <t>rRNA_5_8S_gene</t>
        </is>
      </c>
      <c r="B1837" s="12" t="inlineStr">
        <is>
          <t>http://identifiers.org/so/SO:0002240</t>
        </is>
      </c>
      <c r="C1837" s="12" t="inlineStr">
        <is>
          <t>['25S_rRNA_gene', '25S rRNA gene']</t>
        </is>
      </c>
      <c r="D1837" s="12" t="n"/>
      <c r="E1837" s="12" t="n"/>
    </row>
    <row r="1838" ht="15" customHeight="1">
      <c r="A1838" s="12" t="inlineStr">
        <is>
          <t>rRNA_5S</t>
        </is>
      </c>
      <c r="B1838" s="12" t="inlineStr">
        <is>
          <t>http://identifiers.org/so/SO:0000652</t>
        </is>
      </c>
      <c r="C1838" s="12" t="inlineStr">
        <is>
          <t>['28S LSU rRNA', '28S rRNA', 'rRNA 28S', '28S ribosomal RNA']</t>
        </is>
      </c>
      <c r="D1838" s="12" t="n"/>
      <c r="E1838" s="12" t="n"/>
    </row>
    <row r="1839" ht="15" customHeight="1">
      <c r="A1839" s="12" t="inlineStr">
        <is>
          <t>rRNA_5S_gene</t>
        </is>
      </c>
      <c r="B1839" s="12" t="inlineStr">
        <is>
          <t>http://identifiers.org/so/SO:0002238</t>
        </is>
      </c>
      <c r="C1839" s="12" t="inlineStr">
        <is>
          <t>['28S rRNA gene', '28S_rRNA_gene']</t>
        </is>
      </c>
      <c r="D1839" s="12" t="n"/>
      <c r="E1839" s="12" t="n"/>
    </row>
    <row r="1840" ht="15" customHeight="1">
      <c r="A1840" s="12" t="inlineStr">
        <is>
          <t>rRNA_cleavage_RNA</t>
        </is>
      </c>
      <c r="B1840" s="12" t="inlineStr">
        <is>
          <t>http://identifiers.org/so/SO:0005843</t>
        </is>
      </c>
      <c r="C1840" s="12" t="inlineStr">
        <is>
          <t>['5.8S ribosomal RNA', 'rRNA 5 8S', '5.8S rRNA', '5.8S LSU rRNA']</t>
        </is>
      </c>
      <c r="D1840" s="12" t="n"/>
      <c r="E1840" s="12" t="n"/>
    </row>
    <row r="1841" ht="15" customHeight="1">
      <c r="A1841" s="12" t="inlineStr">
        <is>
          <t>rRNA_cleavage_snoRNA_primary_transcript</t>
        </is>
      </c>
      <c r="B1841" s="12" t="inlineStr">
        <is>
          <t>http://identifiers.org/so/SO:0000582</t>
        </is>
      </c>
      <c r="C1841" s="12" t="inlineStr">
        <is>
          <t>['5_8S rRNA gene', '5_8S_rRNA_gene', '5.8S rRNA gene']</t>
        </is>
      </c>
      <c r="D1841" s="12" t="n"/>
      <c r="E1841" s="12" t="n"/>
    </row>
    <row r="1842" ht="15" customHeight="1">
      <c r="A1842" s="12" t="inlineStr">
        <is>
          <t>rRNA_encoding</t>
        </is>
      </c>
      <c r="B1842" s="12" t="inlineStr">
        <is>
          <t>http://identifiers.org/so/SO:0000573</t>
        </is>
      </c>
      <c r="C1842" s="12" t="inlineStr">
        <is>
          <t>['5S ribosomal RNA', '5S rRNA', '5S LSU rRNA', 'rRNA 5S']</t>
        </is>
      </c>
      <c r="D1842" s="12" t="n"/>
      <c r="E1842" s="12" t="n"/>
    </row>
    <row r="1843" ht="15" customHeight="1">
      <c r="A1843" s="12" t="inlineStr">
        <is>
          <t>rRNA_gene</t>
        </is>
      </c>
      <c r="B1843" s="12" t="inlineStr">
        <is>
          <t>http://identifiers.org/so/SO:0001637</t>
        </is>
      </c>
      <c r="C1843" s="12" t="inlineStr">
        <is>
          <t>['5S rRNA gene', '5S_rRNA_gene']</t>
        </is>
      </c>
      <c r="D1843" s="12" t="n"/>
      <c r="E1843" s="12" t="n"/>
    </row>
    <row r="1844" ht="15" customHeight="1">
      <c r="A1844" s="12" t="inlineStr">
        <is>
          <t>rRNA_large_subunit_primary_transcript</t>
        </is>
      </c>
      <c r="B1844" s="12" t="inlineStr">
        <is>
          <t>http://identifiers.org/so/SO:0000325</t>
        </is>
      </c>
      <c r="C1844" s="12" t="inlineStr">
        <is>
          <t>['rRNA cleavage RNA']</t>
        </is>
      </c>
      <c r="D1844" s="12" t="n"/>
      <c r="E1844" s="12" t="n"/>
    </row>
    <row r="1845" ht="15" customHeight="1">
      <c r="A1845" s="12" t="inlineStr">
        <is>
          <t>rRNA_primary_transcript</t>
        </is>
      </c>
      <c r="B1845" s="12" t="inlineStr">
        <is>
          <t>http://identifiers.org/so/SO:0000209</t>
        </is>
      </c>
      <c r="C1845" s="12" t="inlineStr">
        <is>
          <t>['rRNA cleavage snoRNA primary transcript']</t>
        </is>
      </c>
      <c r="D1845" s="12" t="n"/>
      <c r="E1845" s="12" t="n"/>
    </row>
    <row r="1846" ht="15" customHeight="1">
      <c r="A1846" s="12" t="inlineStr">
        <is>
          <t>rRNA_primary_transcript_region</t>
        </is>
      </c>
      <c r="B1846" s="12" t="inlineStr">
        <is>
          <t>http://identifiers.org/so/SO:0000838</t>
        </is>
      </c>
      <c r="C1846" s="12" t="inlineStr">
        <is>
          <t>['rRNA encoding']</t>
        </is>
      </c>
      <c r="D1846" s="12" t="n"/>
      <c r="E1846" s="12" t="n"/>
    </row>
    <row r="1847" ht="15" customHeight="1">
      <c r="A1847" s="12" t="inlineStr">
        <is>
          <t>rRNA_small_subunit_primary_transcript</t>
        </is>
      </c>
      <c r="B1847" s="12" t="inlineStr">
        <is>
          <t>http://identifiers.org/so/SO:0000255</t>
        </is>
      </c>
      <c r="C1847" s="12" t="inlineStr">
        <is>
          <t>['rDNA', 'rRNA gene']</t>
        </is>
      </c>
      <c r="D1847" s="12" t="n"/>
      <c r="E1847" s="12" t="n"/>
    </row>
    <row r="1848" ht="15" customHeight="1">
      <c r="A1848" s="12" t="inlineStr">
        <is>
          <t>RST</t>
        </is>
      </c>
      <c r="B1848" s="12" t="inlineStr">
        <is>
          <t>http://identifiers.org/so/SO:0001467</t>
        </is>
      </c>
      <c r="C1848" s="12" t="inlineStr">
        <is>
          <t>['35S rRNA primary transcript', 'rRNA large subunit primary transcript']</t>
        </is>
      </c>
      <c r="D1848" s="12" t="n"/>
      <c r="E1848" s="12" t="n"/>
    </row>
    <row r="1849" ht="15" customHeight="1">
      <c r="A1849" s="12" t="inlineStr">
        <is>
          <t>RST_match</t>
        </is>
      </c>
      <c r="B1849" s="12" t="inlineStr">
        <is>
          <t>http://identifiers.org/so/SO:0001471</t>
        </is>
      </c>
      <c r="C1849" s="12" t="inlineStr">
        <is>
          <t>['ribosomal RNA primary transcript', 'rRNA primary transcript']</t>
        </is>
      </c>
      <c r="D1849" s="12" t="n"/>
      <c r="E1849" s="12" t="n"/>
    </row>
    <row r="1850" ht="15" customHeight="1">
      <c r="A1850" s="12" t="inlineStr">
        <is>
          <t>RTE_LINE_retrotransposon</t>
        </is>
      </c>
      <c r="B1850" s="12" t="inlineStr">
        <is>
          <t>http://identifiers.org/so/SO:0002270</t>
        </is>
      </c>
      <c r="C1850" s="12" t="inlineStr">
        <is>
          <t>['rRNA primary transcript region']</t>
        </is>
      </c>
      <c r="D1850" s="12" t="n"/>
      <c r="E1850" s="12" t="n"/>
    </row>
    <row r="1851" ht="15" customHeight="1">
      <c r="A1851" s="12" t="inlineStr">
        <is>
          <t>S_GNA</t>
        </is>
      </c>
      <c r="B1851" s="12" t="inlineStr">
        <is>
          <t>http://identifiers.org/so/SO:0001196</t>
        </is>
      </c>
      <c r="C1851" s="12" t="inlineStr">
        <is>
          <t>['rRNA small subunit primary transcript']</t>
        </is>
      </c>
      <c r="D1851" s="12" t="n"/>
      <c r="E1851" s="12" t="n"/>
    </row>
    <row r="1852" ht="15" customHeight="1">
      <c r="A1852" s="12" t="inlineStr">
        <is>
          <t>S_GNA_oligo</t>
        </is>
      </c>
      <c r="B1852" s="12" t="inlineStr">
        <is>
          <t>http://identifiers.org/so/SO:0001197</t>
        </is>
      </c>
      <c r="C1852" s="12" t="inlineStr">
        <is>
          <t>['RACE sequence tag']</t>
        </is>
      </c>
      <c r="D1852" s="12" t="n"/>
      <c r="E1852" s="12" t="n"/>
    </row>
    <row r="1853" ht="15" customHeight="1">
      <c r="A1853" s="12" t="inlineStr">
        <is>
          <t>S_region</t>
        </is>
      </c>
      <c r="B1853" s="12" t="inlineStr">
        <is>
          <t>http://identifiers.org/so/SO:0001836</t>
        </is>
      </c>
      <c r="C1853" s="12" t="inlineStr">
        <is>
          <t>['RST match']</t>
        </is>
      </c>
      <c r="D1853" s="12" t="n"/>
      <c r="E1853" s="12" t="n"/>
    </row>
    <row r="1854" ht="15" customHeight="1">
      <c r="A1854" s="12" t="inlineStr">
        <is>
          <t>SAGE_tag</t>
        </is>
      </c>
      <c r="B1854" s="12" t="inlineStr">
        <is>
          <t>http://identifiers.org/so/SO:0000326</t>
        </is>
      </c>
      <c r="C1854" s="12" t="inlineStr">
        <is>
          <t>['RTE retrotransposon', 'RIT retrotransposon', 'RTE LINE retrotransposon']</t>
        </is>
      </c>
      <c r="D1854" s="12" t="n"/>
      <c r="E1854" s="12" t="n"/>
    </row>
    <row r="1855" ht="15" customHeight="1">
      <c r="A1855" s="12" t="inlineStr">
        <is>
          <t>Sap1_recognition_motif</t>
        </is>
      </c>
      <c r="B1855" s="12" t="inlineStr">
        <is>
          <t>http://identifiers.org/so/SO:0001864</t>
        </is>
      </c>
      <c r="C1855" s="12" t="inlineStr">
        <is>
          <t>['S GNA']</t>
        </is>
      </c>
      <c r="D1855" s="12" t="n"/>
      <c r="E1855" s="12" t="n"/>
    </row>
    <row r="1856" ht="15" customHeight="1">
      <c r="A1856" s="12" t="inlineStr">
        <is>
          <t>sarcin_like_RNA_motif</t>
        </is>
      </c>
      <c r="B1856" s="12" t="inlineStr">
        <is>
          <t>http://identifiers.org/so/SO:0000024</t>
        </is>
      </c>
      <c r="C1856" s="12" t="inlineStr">
        <is>
          <t>['S GNA oligo', '(S)-glycerol nucleic acid', '(S)-glycol nucleic acid']</t>
        </is>
      </c>
      <c r="D1856" s="12" t="n"/>
      <c r="E1856" s="12" t="n"/>
    </row>
    <row r="1857" ht="15" customHeight="1">
      <c r="A1857" s="12" t="inlineStr">
        <is>
          <t>satellite_DNA</t>
        </is>
      </c>
      <c r="B1857" s="12" t="inlineStr">
        <is>
          <t>http://identifiers.org/so/SO:0000005</t>
        </is>
      </c>
      <c r="C1857" s="12" t="inlineStr">
        <is>
          <t>['INSDC_feature:S_region', 'S region']</t>
        </is>
      </c>
      <c r="D1857" s="12" t="n"/>
      <c r="E1857" s="12" t="n"/>
    </row>
    <row r="1858" ht="15" customHeight="1">
      <c r="A1858" s="12" t="inlineStr">
        <is>
          <t>scaRNA</t>
        </is>
      </c>
      <c r="B1858" s="12" t="inlineStr">
        <is>
          <t>http://identifiers.org/so/SO:0002095</t>
        </is>
      </c>
      <c r="C1858" s="12" t="inlineStr">
        <is>
          <t>['SAGE tag']</t>
        </is>
      </c>
      <c r="D1858" s="12" t="n"/>
      <c r="E1858" s="12" t="n"/>
    </row>
    <row r="1859" ht="15" customHeight="1">
      <c r="A1859" s="12" t="inlineStr">
        <is>
          <t>schellmann_loop</t>
        </is>
      </c>
      <c r="B1859" s="12" t="inlineStr">
        <is>
          <t>http://identifiers.org/so/SO:0001123</t>
        </is>
      </c>
      <c r="C1859" s="12" t="inlineStr">
        <is>
          <t>['Sap1 recognitions site']</t>
        </is>
      </c>
      <c r="D1859" s="12" t="n"/>
      <c r="E1859" s="12" t="n"/>
    </row>
    <row r="1860" ht="15" customHeight="1">
      <c r="A1860" s="12" t="inlineStr">
        <is>
          <t>schellmann_loop_seven</t>
        </is>
      </c>
      <c r="B1860" s="12" t="inlineStr">
        <is>
          <t>http://identifiers.org/so/SO:0001124</t>
        </is>
      </c>
      <c r="C1860" s="12" t="inlineStr">
        <is>
          <t>['sarcin/ricin domain', 'sarcin/ricin loop', 'sarcin like RNA motif', 'sarcin/ricin RNA domain']</t>
        </is>
      </c>
      <c r="D1860" s="12" t="n"/>
      <c r="E1860" s="12" t="n"/>
    </row>
    <row r="1861" ht="15" customHeight="1">
      <c r="A1861" s="12" t="inlineStr">
        <is>
          <t>schellmann_loop_six</t>
        </is>
      </c>
      <c r="B1861" s="12" t="inlineStr">
        <is>
          <t>http://identifiers.org/so/SO:0001125</t>
        </is>
      </c>
      <c r="C1861" s="12" t="inlineStr">
        <is>
          <t>['satellite DNA', 'INSDC_qualifier:satellite', 'INSDC_feature:repeat_region']</t>
        </is>
      </c>
      <c r="D1861" s="12" t="n"/>
      <c r="E1861" s="12" t="n"/>
    </row>
    <row r="1862" ht="15" customHeight="1">
      <c r="A1862" s="12" t="inlineStr">
        <is>
          <t>score</t>
        </is>
      </c>
      <c r="B1862" s="12" t="inlineStr">
        <is>
          <t>http://identifiers.org/so/SO:0001685</t>
        </is>
      </c>
      <c r="C1862" s="12" t="inlineStr">
        <is>
          <t>['small Cajal body-specific RNA', 'small Cajal body specific RNA']</t>
        </is>
      </c>
      <c r="D1862" s="12" t="n"/>
      <c r="E1862" s="12" t="n"/>
    </row>
    <row r="1863" ht="15" customHeight="1">
      <c r="A1863" s="12" t="inlineStr">
        <is>
          <t>scRNA</t>
        </is>
      </c>
      <c r="B1863" s="12" t="inlineStr">
        <is>
          <t>http://identifiers.org/so/SO:0000013</t>
        </is>
      </c>
      <c r="C1863" s="12" t="inlineStr">
        <is>
          <t>['schellmann loop', 'paperclip loop', 'paperclip']</t>
        </is>
      </c>
      <c r="D1863" s="12" t="n"/>
      <c r="E1863" s="12" t="n"/>
    </row>
    <row r="1864" ht="15" customHeight="1">
      <c r="A1864" s="12" t="inlineStr">
        <is>
          <t>scRNA_encoding</t>
        </is>
      </c>
      <c r="B1864" s="12" t="inlineStr">
        <is>
          <t>http://identifiers.org/so/SO:0000575</t>
        </is>
      </c>
      <c r="C1864" s="12" t="inlineStr">
        <is>
          <t>['schellmann loop seven', 'seven-residue schellmann loop']</t>
        </is>
      </c>
      <c r="D1864" s="12" t="n"/>
      <c r="E1864" s="12" t="n"/>
    </row>
    <row r="1865" ht="15" customHeight="1">
      <c r="A1865" s="12" t="inlineStr">
        <is>
          <t>scRNA_gene</t>
        </is>
      </c>
      <c r="B1865" s="12" t="inlineStr">
        <is>
          <t>http://identifiers.org/so/SO:0001266</t>
        </is>
      </c>
      <c r="C1865" s="12" t="inlineStr">
        <is>
          <t>['six-residue schellmann loop', 'schellmann loop six']</t>
        </is>
      </c>
      <c r="D1865" s="12" t="n"/>
      <c r="E1865" s="12" t="n"/>
    </row>
    <row r="1866" ht="15" customHeight="1">
      <c r="A1866" s="12" t="inlineStr">
        <is>
          <t>scRNA_primary_transcript</t>
        </is>
      </c>
      <c r="B1866" s="12" t="inlineStr">
        <is>
          <t>http://identifiers.org/so/SO:0000012</t>
        </is>
      </c>
      <c r="C1866" s="12" t="n"/>
      <c r="D1866" s="12" t="n"/>
      <c r="E1866" s="12" t="n"/>
    </row>
    <row r="1867" ht="15" customHeight="1">
      <c r="A1867" s="12" t="inlineStr">
        <is>
          <t>SECIS_element</t>
        </is>
      </c>
      <c r="B1867" s="12" t="inlineStr">
        <is>
          <t>http://identifiers.org/so/SO:1001274</t>
        </is>
      </c>
      <c r="C1867" s="12" t="inlineStr">
        <is>
          <t>['small cytoplasmic RNA', 'INSDC_qualifier:scRNA', 'INSDC_feature:ncRNA']</t>
        </is>
      </c>
      <c r="D1867" s="12" t="n"/>
      <c r="E1867" s="12" t="n"/>
    </row>
    <row r="1868" ht="15" customHeight="1">
      <c r="A1868" s="12" t="inlineStr">
        <is>
          <t>selection_marker</t>
        </is>
      </c>
      <c r="B1868" s="12" t="inlineStr">
        <is>
          <t>http://identifiers.org/so/SO:0002232</t>
        </is>
      </c>
      <c r="C1868" s="12" t="inlineStr">
        <is>
          <t>['scRNA encoding']</t>
        </is>
      </c>
      <c r="D1868" s="12" t="n"/>
      <c r="E1868" s="12" t="n"/>
    </row>
    <row r="1869" ht="15" customHeight="1">
      <c r="A1869" s="12" t="inlineStr">
        <is>
          <t>selenocysteine</t>
        </is>
      </c>
      <c r="B1869" s="12" t="inlineStr">
        <is>
          <t>http://identifiers.org/so/SO:0001455</t>
        </is>
      </c>
      <c r="C1869" s="12" t="inlineStr">
        <is>
          <t>['scRNA gene']</t>
        </is>
      </c>
      <c r="D1869" s="12" t="n"/>
      <c r="E1869" s="12" t="n"/>
    </row>
    <row r="1870" ht="15" customHeight="1">
      <c r="A1870" s="12" t="inlineStr">
        <is>
          <t>selenocysteine_loss</t>
        </is>
      </c>
      <c r="B1870" s="12" t="inlineStr">
        <is>
          <t>http://identifiers.org/so/SO:0002009</t>
        </is>
      </c>
      <c r="C1870" s="12" t="inlineStr">
        <is>
          <t>['scRNA transcript', 'small cytoplasmic RNA', 'small_cytoplasmic_RNA', 'small cytoplasmic RNA transcript', 'scRNA primary transcript']</t>
        </is>
      </c>
      <c r="D1870" s="12" t="n"/>
      <c r="E1870" s="12" t="n"/>
    </row>
    <row r="1871" ht="15" customHeight="1">
      <c r="A1871" s="12" t="inlineStr">
        <is>
          <t>selenocysteine_tRNA_primary_transcript</t>
        </is>
      </c>
      <c r="B1871" s="12" t="inlineStr">
        <is>
          <t>http://identifiers.org/so/SO:0005856</t>
        </is>
      </c>
      <c r="C1871" s="12" t="inlineStr">
        <is>
          <t>['SECIS element']</t>
        </is>
      </c>
      <c r="D1871" s="12" t="n"/>
      <c r="E1871" s="12" t="n"/>
    </row>
    <row r="1872" ht="15" customHeight="1">
      <c r="A1872" s="12" t="inlineStr">
        <is>
          <t>selenocysteinyl_tRNA</t>
        </is>
      </c>
      <c r="B1872" s="12" t="inlineStr">
        <is>
          <t>http://identifiers.org/so/SO:0005857</t>
        </is>
      </c>
      <c r="C1872" s="12" t="inlineStr">
        <is>
          <t>['selection marker', 'selectable_marker', 'selectable marker']</t>
        </is>
      </c>
      <c r="D1872" s="12" t="n"/>
      <c r="E1872" s="12" t="n"/>
    </row>
    <row r="1873" ht="15" customHeight="1">
      <c r="A1873" s="12" t="inlineStr">
        <is>
          <t>self_cleaving_ribozyme</t>
        </is>
      </c>
      <c r="B1873" s="12" t="inlineStr">
        <is>
          <t>http://identifiers.org/so/SO:0002231</t>
        </is>
      </c>
      <c r="C1873" s="12" t="inlineStr">
        <is>
          <t>['U', 'Sec']</t>
        </is>
      </c>
      <c r="D1873" s="12" t="n"/>
      <c r="E1873" s="12" t="n"/>
    </row>
    <row r="1874" ht="15" customHeight="1">
      <c r="A1874" s="12" t="inlineStr">
        <is>
          <t>sense_intronic_ncRNA</t>
        </is>
      </c>
      <c r="B1874" s="12" t="inlineStr">
        <is>
          <t>http://identifiers.org/so/SO:0002131</t>
        </is>
      </c>
      <c r="C1874" s="12" t="inlineStr">
        <is>
          <t>['selenocysteine loss']</t>
        </is>
      </c>
      <c r="D1874" s="12" t="n"/>
      <c r="E1874" s="12" t="n"/>
    </row>
    <row r="1875" ht="15" customHeight="1">
      <c r="A1875" s="12" t="inlineStr">
        <is>
          <t>sense_intronic_ncRNA_gene</t>
        </is>
      </c>
      <c r="B1875" s="12" t="inlineStr">
        <is>
          <t>http://identifiers.org/so/SO:0002184</t>
        </is>
      </c>
      <c r="C1875" s="12" t="inlineStr">
        <is>
          <t>['selenocysteine tRNA primary transcript']</t>
        </is>
      </c>
      <c r="D1875" s="12" t="n"/>
      <c r="E1875" s="12" t="n"/>
    </row>
    <row r="1876" ht="15" customHeight="1">
      <c r="A1876" s="12" t="inlineStr">
        <is>
          <t>sense_overlap_ncRNA</t>
        </is>
      </c>
      <c r="B1876" s="12" t="inlineStr">
        <is>
          <t>http://identifiers.org/so/SO:0002132</t>
        </is>
      </c>
      <c r="C1876" s="12" t="inlineStr">
        <is>
          <t>['selenocysteinyl-transfer ribonucleic acid', 'selenocysteinyl tRNA', 'selenocysteinyl-transfer RNA']</t>
        </is>
      </c>
      <c r="D1876" s="12" t="n"/>
      <c r="E1876" s="12" t="n"/>
    </row>
    <row r="1877" ht="15" customHeight="1">
      <c r="A1877" s="12" t="inlineStr">
        <is>
          <t>sense_overlap_ncRNA_gene</t>
        </is>
      </c>
      <c r="B1877" s="12" t="inlineStr">
        <is>
          <t>http://identifiers.org/so/SO:0002183</t>
        </is>
      </c>
      <c r="C1877" s="12" t="inlineStr">
        <is>
          <t>['self cleaving ribozyme']</t>
        </is>
      </c>
      <c r="D1877" s="12" t="n"/>
      <c r="E1877" s="12" t="n"/>
    </row>
    <row r="1878" ht="15" customHeight="1">
      <c r="A1878" s="12" t="inlineStr">
        <is>
          <t>sequence variant_affecting_transcript_stability</t>
        </is>
      </c>
      <c r="B1878" s="12" t="inlineStr">
        <is>
          <t>http://identifiers.org/so/SO:1000082</t>
        </is>
      </c>
      <c r="C1878" s="12" t="inlineStr">
        <is>
          <t>['sense_intronic_non-coding_RNA', 'sense intronic lncRNA', 'sense_intronic_lncRNA', 'sense_intronic']</t>
        </is>
      </c>
      <c r="D1878" s="12" t="n"/>
      <c r="E1878" s="12" t="n"/>
    </row>
    <row r="1879" ht="15" customHeight="1">
      <c r="A1879" s="12" t="inlineStr">
        <is>
          <t>sequence_alteration</t>
        </is>
      </c>
      <c r="B1879" s="12" t="inlineStr">
        <is>
          <t>http://identifiers.org/so/SO:0001059</t>
        </is>
      </c>
      <c r="C1879" s="12" t="inlineStr">
        <is>
          <t>['sense intronic lncRNA gene', 'sense_intronic_lncRNA_gene', 'sense intronic ncRNA gene']</t>
        </is>
      </c>
      <c r="D1879" s="12" t="n"/>
      <c r="E1879" s="12" t="n"/>
    </row>
    <row r="1880" ht="15" customHeight="1">
      <c r="A1880" s="12" t="inlineStr">
        <is>
          <t>sequence_alteration_artifact</t>
        </is>
      </c>
      <c r="B1880" s="12" t="inlineStr">
        <is>
          <t>http://identifiers.org/so/SO:0002172</t>
        </is>
      </c>
      <c r="C1880" s="12" t="inlineStr">
        <is>
          <t>['sense overlap lncRNA', 'sense_overlapping', 'sense_overlap_lncRNA']</t>
        </is>
      </c>
      <c r="D1880" s="12" t="n"/>
      <c r="E1880" s="12" t="n"/>
    </row>
    <row r="1881" ht="15" customHeight="1">
      <c r="A1881" s="12" t="inlineStr">
        <is>
          <t>sequence_assembly</t>
        </is>
      </c>
      <c r="B1881" s="12" t="inlineStr">
        <is>
          <t>http://identifiers.org/so/SO:0000353</t>
        </is>
      </c>
      <c r="C1881" s="12" t="inlineStr">
        <is>
          <t>['sense_overlap_lncRNA_gene', 'sense overlap lncRNA gene', 'sense overlap ncRNA gene']</t>
        </is>
      </c>
      <c r="D1881" s="12" t="n"/>
      <c r="E1881" s="12" t="n"/>
    </row>
    <row r="1882" ht="15" customHeight="1">
      <c r="A1882" s="12" t="inlineStr">
        <is>
          <t>sequence_attribute</t>
        </is>
      </c>
      <c r="B1882" s="12" t="inlineStr">
        <is>
          <t>http://identifiers.org/so/SO:0000400</t>
        </is>
      </c>
      <c r="C1882" s="12" t="inlineStr">
        <is>
          <t>['sequence variant affecting transcript stability', 'mutation affecting transcript stability']</t>
        </is>
      </c>
      <c r="D1882" s="12" t="n"/>
      <c r="E1882" s="12" t="n"/>
    </row>
    <row r="1883" ht="15" customHeight="1">
      <c r="A1883" s="12" t="inlineStr">
        <is>
          <t>sequence_collection</t>
        </is>
      </c>
      <c r="B1883" s="12" t="inlineStr">
        <is>
          <t>http://identifiers.org/so/SO:0001260</t>
        </is>
      </c>
      <c r="C1883" s="12" t="inlineStr">
        <is>
      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      </is>
      </c>
      <c r="D1883" s="12" t="n"/>
      <c r="E1883" s="12" t="n"/>
    </row>
    <row r="1884" ht="15" customHeight="1">
      <c r="A1884" s="12" t="inlineStr">
        <is>
          <t>sequence_comparison</t>
        </is>
      </c>
      <c r="B1884" s="12" t="inlineStr">
        <is>
          <t>http://identifiers.org/so/SO:0002072</t>
        </is>
      </c>
      <c r="C1884" s="12" t="inlineStr">
        <is>
          <t>['sequence alteration artifact']</t>
        </is>
      </c>
      <c r="D1884" s="12" t="n"/>
      <c r="E1884" s="12" t="n"/>
    </row>
    <row r="1885" ht="15" customHeight="1">
      <c r="A1885" s="12" t="inlineStr">
        <is>
          <t>sequence_conflict</t>
        </is>
      </c>
      <c r="B1885" s="12" t="inlineStr">
        <is>
          <t>http://identifiers.org/so/SO:0001085</t>
        </is>
      </c>
      <c r="C1885" s="12" t="inlineStr">
        <is>
          <t>['sequence assembly']</t>
        </is>
      </c>
      <c r="D1885" s="12" t="n"/>
      <c r="E1885" s="12" t="n"/>
    </row>
    <row r="1886" ht="15" customHeight="1">
      <c r="A1886" s="12" t="inlineStr">
        <is>
          <t>sequence_difference</t>
        </is>
      </c>
      <c r="B1886" s="12" t="inlineStr">
        <is>
          <t>http://identifiers.org/so/SO:0000413</t>
        </is>
      </c>
      <c r="C1886" s="12" t="inlineStr">
        <is>
          <t>['sequence attribute']</t>
        </is>
      </c>
      <c r="D1886" s="12" t="n"/>
      <c r="E1886" s="12" t="n"/>
    </row>
    <row r="1887" ht="15" customHeight="1">
      <c r="A1887" s="12" t="inlineStr">
        <is>
          <t>sequence_feature</t>
        </is>
      </c>
      <c r="B1887" s="12" t="inlineStr">
        <is>
          <t>http://identifiers.org/so/SO:0000110</t>
        </is>
      </c>
      <c r="C1887" s="12" t="inlineStr">
        <is>
          <t>['sequence collection']</t>
        </is>
      </c>
      <c r="D1887" s="12" t="n"/>
      <c r="E1887" s="12" t="n"/>
    </row>
    <row r="1888" ht="15" customHeight="1">
      <c r="A1888" s="12" t="inlineStr">
        <is>
          <t>sequence_feature_locating_method</t>
        </is>
      </c>
      <c r="B1888" s="12" t="inlineStr">
        <is>
          <t>http://identifiers.org/so/SO:0000308</t>
        </is>
      </c>
      <c r="C1888" s="12" t="inlineStr">
        <is>
          <t>['INSDC_feature:misc_feature', 'sequence comparison', 'INSDC_note:sequence_comparison']</t>
        </is>
      </c>
      <c r="D1888" s="12" t="n"/>
      <c r="E1888" s="12" t="n"/>
    </row>
    <row r="1889" ht="15" customHeight="1">
      <c r="A1889" s="12" t="inlineStr">
        <is>
          <t>sequence_length_alteration</t>
        </is>
      </c>
      <c r="B1889" s="12" t="inlineStr">
        <is>
          <t>http://identifiers.org/so/SO:0000248</t>
        </is>
      </c>
      <c r="C1889" s="12" t="inlineStr">
        <is>
          <t>['conflict']</t>
        </is>
      </c>
      <c r="D1889" s="12" t="n"/>
      <c r="E1889" s="12" t="n"/>
    </row>
    <row r="1890" ht="15" customHeight="1">
      <c r="A1890" s="12" t="inlineStr">
        <is>
          <t>sequence_length_variant</t>
        </is>
      </c>
      <c r="B1890" s="12" t="inlineStr">
        <is>
          <t>http://identifiers.org/so/SO:0002160</t>
        </is>
      </c>
      <c r="C1890" s="12" t="inlineStr">
        <is>
          <t>['INSDC_feature:misc_difference', 'sequence difference']</t>
        </is>
      </c>
      <c r="D1890" s="12" t="n"/>
      <c r="E1890" s="12" t="n"/>
    </row>
    <row r="1891" ht="15" customHeight="1">
      <c r="A1891" s="12" t="inlineStr">
        <is>
          <t>sequence_location</t>
        </is>
      </c>
      <c r="B1891" s="12" t="inlineStr">
        <is>
          <t>http://identifiers.org/so/SO:0000735</t>
        </is>
      </c>
      <c r="C1891" s="12" t="inlineStr">
        <is>
          <t>['INSDC_note:sequence_feature', 'located_sequence_feature', 'INSDC_note:other', 'sequence feature', 'INSDC_feature:misc_feature', 'located sequence feature']</t>
        </is>
      </c>
      <c r="D1891" s="12" t="n"/>
      <c r="E1891" s="12" t="n"/>
    </row>
    <row r="1892" ht="15" customHeight="1">
      <c r="A1892" s="12" t="inlineStr">
        <is>
          <t>sequence_motif</t>
        </is>
      </c>
      <c r="B1892" s="12" t="inlineStr">
        <is>
          <t>http://identifiers.org/so/SO:0001683</t>
        </is>
      </c>
      <c r="C1892" s="12" t="n"/>
      <c r="D1892" s="12" t="n"/>
      <c r="E1892" s="12" t="n"/>
    </row>
    <row r="1893" ht="15" customHeight="1">
      <c r="A1893" s="12" t="inlineStr">
        <is>
          <t>Sequence_Ontology</t>
        </is>
      </c>
      <c r="B1893" s="12" t="inlineStr">
        <is>
          <t>http://identifiers.org/so/SO:0000000</t>
        </is>
      </c>
      <c r="C1893" s="12" t="inlineStr">
        <is>
          <t>['sequence length alteration']</t>
        </is>
      </c>
      <c r="D1893" s="12" t="n"/>
      <c r="E1893" s="12" t="n"/>
    </row>
    <row r="1894" ht="15" customHeight="1">
      <c r="A1894" s="12" t="inlineStr">
        <is>
          <t>sequence_operation</t>
        </is>
      </c>
      <c r="B1894" s="12" t="inlineStr">
        <is>
          <t>http://identifiers.org/so/SO:0000041</t>
        </is>
      </c>
      <c r="C1894" s="12" t="inlineStr">
        <is>
          <t>['sequence length variant']</t>
        </is>
      </c>
      <c r="D1894" s="12" t="n"/>
      <c r="E1894" s="12" t="n"/>
    </row>
    <row r="1895" ht="15" customHeight="1">
      <c r="A1895" s="12" t="inlineStr">
        <is>
          <t>sequence_rearrangement_feature</t>
        </is>
      </c>
      <c r="B1895" s="12" t="inlineStr">
        <is>
          <t>http://identifiers.org/so/SO:0000669</t>
        </is>
      </c>
      <c r="C1895" s="12" t="inlineStr">
        <is>
          <t>['sequence location']</t>
        </is>
      </c>
      <c r="D1895" s="12" t="n"/>
      <c r="E1895" s="12" t="n"/>
    </row>
    <row r="1896" ht="15" customHeight="1">
      <c r="A1896" s="12" t="inlineStr">
        <is>
          <t>sequence_replication_mode</t>
        </is>
      </c>
      <c r="B1896" s="12" t="inlineStr">
        <is>
          <t>http://identifiers.org/so/SO:0000968</t>
        </is>
      </c>
      <c r="C1896" s="12" t="inlineStr">
        <is>
          <t>['sequence motif']</t>
        </is>
      </c>
      <c r="D1896" s="12" t="n"/>
      <c r="E1896" s="12" t="n"/>
    </row>
    <row r="1897" ht="15" customHeight="1">
      <c r="A1897" s="12" t="inlineStr">
        <is>
          <t>sequence_secondary_structure</t>
        </is>
      </c>
      <c r="B1897" s="12" t="inlineStr">
        <is>
          <t>http://identifiers.org/so/SO:0000002</t>
        </is>
      </c>
      <c r="C1897" s="12" t="n"/>
      <c r="D1897" s="12" t="n"/>
      <c r="E1897" s="12" t="n"/>
    </row>
    <row r="1898" ht="15" customHeight="1">
      <c r="A1898" s="12" t="inlineStr">
        <is>
          <t>sequence_source</t>
        </is>
      </c>
      <c r="B1898" s="12" t="inlineStr">
        <is>
          <t>http://identifiers.org/so/SO:0002206</t>
        </is>
      </c>
      <c r="C1898" s="12" t="inlineStr">
        <is>
          <t>['sequence operation']</t>
        </is>
      </c>
      <c r="D1898" s="12" t="n"/>
      <c r="E1898" s="12" t="n"/>
    </row>
    <row r="1899" ht="15" customHeight="1">
      <c r="A1899" s="12" t="inlineStr">
        <is>
          <t>sequence_uncertainty</t>
        </is>
      </c>
      <c r="B1899" s="12" t="inlineStr">
        <is>
          <t>http://identifiers.org/so/SO:0001086</t>
        </is>
      </c>
      <c r="C1899" s="12" t="inlineStr">
        <is>
          <t>['sequence rearrangement feature']</t>
        </is>
      </c>
      <c r="D1899" s="12" t="n"/>
      <c r="E1899" s="12" t="n"/>
    </row>
    <row r="1900" ht="15" customHeight="1">
      <c r="A1900" s="12" t="inlineStr">
        <is>
          <t>sequence_variant</t>
        </is>
      </c>
      <c r="B1900" s="12" t="inlineStr">
        <is>
          <t>http://identifiers.org/so/SO:0001060</t>
        </is>
      </c>
      <c r="C1900" s="12" t="inlineStr">
        <is>
          <t>['sequence replication mode']</t>
        </is>
      </c>
      <c r="D1900" s="12" t="n"/>
      <c r="E1900" s="12" t="n"/>
    </row>
    <row r="1901" ht="15" customHeight="1">
      <c r="A1901" s="12" t="inlineStr">
        <is>
          <t>sequence_variant_affecting_3D_structure_of_polypeptide</t>
        </is>
      </c>
      <c r="B1901" s="12" t="inlineStr">
        <is>
          <t>http://identifiers.org/so/SO:1000111</t>
        </is>
      </c>
      <c r="C1901" s="12" t="inlineStr">
        <is>
          <t>['sequence secondary structure', 'INSDC_feature:misc_structure']</t>
        </is>
      </c>
      <c r="D1901" s="12" t="n"/>
      <c r="E1901" s="12" t="n"/>
    </row>
    <row r="1902" ht="15" customHeight="1">
      <c r="A1902" s="12" t="inlineStr">
        <is>
          <t>sequence_variant_affecting_copy_number</t>
        </is>
      </c>
      <c r="B1902" s="12" t="inlineStr">
        <is>
          <t>http://identifiers.org/so/SO:0001020</t>
        </is>
      </c>
      <c r="C1902" s="12" t="inlineStr">
        <is>
          <t>['sequence source', 'INSDC_feature:source']</t>
        </is>
      </c>
      <c r="D1902" s="12" t="n"/>
      <c r="E1902" s="12" t="n"/>
    </row>
    <row r="1903" ht="15" customHeight="1">
      <c r="A1903" s="12" t="inlineStr">
        <is>
          <t>sequence_variant_affecting_editing</t>
        </is>
      </c>
      <c r="B1903" s="12" t="inlineStr">
        <is>
          <t>http://identifiers.org/so/SO:1000075</t>
        </is>
      </c>
      <c r="C1903" s="12" t="inlineStr">
        <is>
          <t>['unsure', 'INSDC_feature:unsure']</t>
        </is>
      </c>
      <c r="D1903" s="12" t="n"/>
      <c r="E1903" s="12" t="n"/>
    </row>
    <row r="1904" ht="15" customHeight="1">
      <c r="A1904" s="12" t="inlineStr">
        <is>
          <t>sequence_variant_affecting_gene_structure</t>
        </is>
      </c>
      <c r="B1904" s="12" t="inlineStr">
        <is>
          <t>http://identifiers.org/so/SO:1000180</t>
        </is>
      </c>
      <c r="C1904" s="12" t="inlineStr">
        <is>
          <t>['VAAST:sequence_variant', 'ANNOVAR:unknown', 'sequence variant', 'Jannovar:sequence_variant']</t>
        </is>
      </c>
      <c r="D1904" s="12" t="n"/>
      <c r="E1904" s="12" t="n"/>
    </row>
    <row r="1905" ht="15" customHeight="1">
      <c r="A1905" s="12" t="inlineStr">
        <is>
          <t>sequence_variant_affecting_level_of_translational_product</t>
        </is>
      </c>
      <c r="B1905" s="12" t="inlineStr">
        <is>
          <t>http://identifiers.org/so/SO:1000102</t>
        </is>
      </c>
      <c r="C1905" s="12" t="inlineStr">
        <is>
      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      </is>
      </c>
      <c r="D1905" s="12" t="n"/>
      <c r="E1905" s="12" t="n"/>
    </row>
    <row r="1906" ht="15" customHeight="1">
      <c r="A1906" s="12" t="inlineStr">
        <is>
          <t>sequence_variant_affecting_polyadenylation</t>
        </is>
      </c>
      <c r="B1906" s="12" t="inlineStr">
        <is>
          <t>http://identifiers.org/so/SO:0001432</t>
        </is>
      </c>
      <c r="C1906" s="12" t="inlineStr">
        <is>
          <t>['mutation affecting copy number', 'sequence variant affecting copy number']</t>
        </is>
      </c>
      <c r="D1906" s="12" t="n"/>
      <c r="E1906" s="12" t="n"/>
    </row>
    <row r="1907" ht="15" customHeight="1">
      <c r="A1907" s="12" t="inlineStr">
        <is>
          <t>sequence_variant_affecting_polypeptide_amino_acid_sequence</t>
        </is>
      </c>
      <c r="B1907" s="12" t="inlineStr">
        <is>
          <t>http://identifiers.org/so/SO:1000105</t>
        </is>
      </c>
      <c r="C1907" s="12" t="inlineStr">
        <is>
          <t>['mutation affecting editing', 'sequence variant affecting editing']</t>
        </is>
      </c>
      <c r="D1907" s="12" t="n"/>
      <c r="E1907" s="12" t="n"/>
    </row>
    <row r="1908" ht="15" customHeight="1">
      <c r="A1908" s="12" t="inlineStr">
        <is>
          <t>sequence_variant_affecting_polypeptide_function</t>
        </is>
      </c>
      <c r="B1908" s="12" t="inlineStr">
        <is>
          <t>http://identifiers.org/so/SO:1000117</t>
        </is>
      </c>
      <c r="C1908" s="12" t="inlineStr">
        <is>
          <t>['mutation affecting gene structure', 'sequence variant affecting gene structure']</t>
        </is>
      </c>
      <c r="D1908" s="12" t="n"/>
      <c r="E1908" s="12" t="n"/>
    </row>
    <row r="1909" ht="15" customHeight="1">
      <c r="A1909" s="12" t="inlineStr">
        <is>
          <t>sequence_variant_affecting_rate_of_transcription</t>
        </is>
      </c>
      <c r="B1909" s="12" t="inlineStr">
        <is>
          <t>http://identifiers.org/so/SO:1000081</t>
        </is>
      </c>
      <c r="C1909" s="12" t="inlineStr">
        <is>
          <t>['sequence variant affecting level of translational product', 'mutation affecting level of translational product']</t>
        </is>
      </c>
      <c r="D1909" s="12" t="n"/>
      <c r="E1909" s="12" t="n"/>
    </row>
    <row r="1910" ht="15" customHeight="1">
      <c r="A1910" s="12" t="inlineStr">
        <is>
          <t>sequence_variant_affecting_regulatory_region</t>
        </is>
      </c>
      <c r="B1910" s="12" t="inlineStr">
        <is>
          <t>http://identifiers.org/so/SO:0000053</t>
        </is>
      </c>
      <c r="C1910" s="12" t="inlineStr">
        <is>
          <t>['sequence variant affecting polyadenylation', 'mutation affecting polyadenylation']</t>
        </is>
      </c>
      <c r="D1910" s="12" t="n"/>
      <c r="E1910" s="12" t="n"/>
    </row>
    <row r="1911" ht="15" customHeight="1">
      <c r="A1911" s="12" t="inlineStr">
        <is>
          <t>sequence_variant_affecting_splice_acceptor</t>
        </is>
      </c>
      <c r="B1911" s="12" t="inlineStr">
        <is>
          <t>http://identifiers.org/so/SO:1000073</t>
        </is>
      </c>
      <c r="C1911" s="12" t="inlineStr">
        <is>
          <t>['mutation affecting polypeptide amino acid sequence', 'sequence variant affecting polypeptide amino acid sequence']</t>
        </is>
      </c>
      <c r="D1911" s="12" t="n"/>
      <c r="E1911" s="12" t="n"/>
    </row>
    <row r="1912" ht="15" customHeight="1">
      <c r="A1912" s="12" t="inlineStr">
        <is>
          <t>sequence_variant_affecting_splice_donor</t>
        </is>
      </c>
      <c r="B1912" s="12" t="inlineStr">
        <is>
          <t>http://identifiers.org/so/SO:1000072</t>
        </is>
      </c>
      <c r="C1912" s="12" t="inlineStr">
        <is>
          <t>['mutation affecting polypeptide function', 'sequence variant affecting polypeptide function']</t>
        </is>
      </c>
      <c r="D1912" s="12" t="n"/>
      <c r="E1912" s="12" t="n"/>
    </row>
    <row r="1913" ht="15" customHeight="1">
      <c r="A1913" s="12" t="inlineStr">
        <is>
          <t>sequence_variant_affecting_splicing</t>
        </is>
      </c>
      <c r="B1913" s="12" t="inlineStr">
        <is>
          <t>http://identifiers.org/so/SO:1000071</t>
        </is>
      </c>
      <c r="C1913" s="12" t="inlineStr">
        <is>
          <t>['mutation affecting rate of transcription', 'sequence variant affecting rate of transcription']</t>
        </is>
      </c>
      <c r="D1913" s="12" t="n"/>
      <c r="E1913" s="12" t="n"/>
    </row>
    <row r="1914" ht="15" customHeight="1">
      <c r="A1914" s="12" t="inlineStr">
        <is>
          <t>sequence_variant_affecting_transcript_processing</t>
        </is>
      </c>
      <c r="B1914" s="12" t="inlineStr">
        <is>
          <t>http://identifiers.org/so/SO:1000070</t>
        </is>
      </c>
      <c r="C1914" s="12" t="inlineStr">
        <is>
          <t>['mutation affecting regulatory region', 'sequence variant affecting regulatory region']</t>
        </is>
      </c>
      <c r="D1914" s="12" t="n"/>
      <c r="E1914" s="12" t="n"/>
    </row>
    <row r="1915" ht="15" customHeight="1">
      <c r="A1915" s="12" t="inlineStr">
        <is>
          <t>sequence_variant_affecting_transcript_secondary_structure</t>
        </is>
      </c>
      <c r="B1915" s="12" t="inlineStr">
        <is>
          <t>http://identifiers.org/so/SO:1000126</t>
        </is>
      </c>
      <c r="C1915" s="12" t="inlineStr">
        <is>
          <t>['splice acceptor mutation', 'sequence variant affecting splice acceptor', 'mutation affecting splicing']</t>
        </is>
      </c>
      <c r="D1915" s="12" t="n"/>
      <c r="E1915" s="12" t="n"/>
    </row>
    <row r="1916" ht="15" customHeight="1">
      <c r="A1916" s="12" t="inlineStr">
        <is>
          <t>sequence_variant_affecting_transcription</t>
        </is>
      </c>
      <c r="B1916" s="12" t="inlineStr">
        <is>
          <t>http://identifiers.org/so/SO:1000076</t>
        </is>
      </c>
      <c r="C1916" s="12" t="inlineStr">
        <is>
          <t>['mutation affecting splice donor', 'splice donor mutation', 'sequence variant affecting splice donor']</t>
        </is>
      </c>
      <c r="D1916" s="12" t="n"/>
      <c r="E1916" s="12" t="n"/>
    </row>
    <row r="1917" ht="15" customHeight="1">
      <c r="A1917" s="12" t="inlineStr">
        <is>
          <t>sequence_variant_affecting_translational_product</t>
        </is>
      </c>
      <c r="B1917" s="12" t="inlineStr">
        <is>
          <t>http://identifiers.org/so/SO:1000088</t>
        </is>
      </c>
      <c r="C1917" s="12" t="inlineStr">
        <is>
          <t>['mutation affecting splicing', 'sequence variant affecting splicing']</t>
        </is>
      </c>
      <c r="D1917" s="12" t="n"/>
      <c r="E1917" s="12" t="n"/>
    </row>
    <row r="1918" ht="15" customHeight="1">
      <c r="A1918" s="12" t="inlineStr">
        <is>
          <t>sequence_variant_causes_exon_loss</t>
        </is>
      </c>
      <c r="B1918" s="12" t="inlineStr">
        <is>
          <t>http://identifiers.org/so/SO:1000184</t>
        </is>
      </c>
      <c r="C1918" s="12" t="inlineStr">
        <is>
          <t>['sequence variant affecting transcript processing', 'mutation affecting transcript processing']</t>
        </is>
      </c>
      <c r="D1918" s="12" t="n"/>
      <c r="E1918" s="12" t="n"/>
    </row>
    <row r="1919" ht="15" customHeight="1">
      <c r="A1919" s="12" t="inlineStr">
        <is>
          <t>sequence_variant_causes_intron_gain</t>
        </is>
      </c>
      <c r="B1919" s="12" t="inlineStr">
        <is>
          <t>http://identifiers.org/so/SO:1000185</t>
        </is>
      </c>
      <c r="C1919" s="12" t="inlineStr">
        <is>
          <t>['mutation affecting transcript secondary structure', 'sequence variant affecting transcript secondary structure']</t>
        </is>
      </c>
      <c r="D1919" s="12" t="n"/>
      <c r="E1919" s="12" t="n"/>
    </row>
    <row r="1920" ht="15" customHeight="1">
      <c r="A1920" s="12" t="inlineStr">
        <is>
          <t>sequence_variant_causing_amino_acid_coding_codon_change_in_transcript</t>
        </is>
      </c>
      <c r="B1920" s="12" t="inlineStr">
        <is>
          <t>http://identifiers.org/so/SO:1000056</t>
        </is>
      </c>
      <c r="C1920" s="12" t="inlineStr">
        <is>
          <t>['mutation affecting transcription', 'sequence variant affecting transcription']</t>
        </is>
      </c>
      <c r="D1920" s="12" t="n"/>
      <c r="E1920" s="12" t="n"/>
    </row>
    <row r="1921" ht="15" customHeight="1">
      <c r="A1921" s="12" t="inlineStr">
        <is>
          <t>sequence_variant_causing_amino_acid_deletion</t>
        </is>
      </c>
      <c r="B1921" s="12" t="inlineStr">
        <is>
          <t>http://identifiers.org/so/SO:1000097</t>
        </is>
      </c>
      <c r="C1921" s="12" t="inlineStr">
        <is>
      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      </is>
      </c>
      <c r="D1921" s="12" t="n"/>
      <c r="E1921" s="12" t="n"/>
    </row>
    <row r="1922" ht="15" customHeight="1">
      <c r="A1922" s="12" t="inlineStr">
        <is>
          <t>sequence_variant_causing_amino_acid_insertion</t>
        </is>
      </c>
      <c r="B1922" s="12" t="inlineStr">
        <is>
          <t>http://identifiers.org/so/SO:1000096</t>
        </is>
      </c>
      <c r="C1922" s="12" t="inlineStr">
        <is>
          <t>['sequence variant causes exon loss', 'mutation causes exon loss']</t>
        </is>
      </c>
      <c r="D1922" s="12" t="n"/>
      <c r="E1922" s="12" t="n"/>
    </row>
    <row r="1923" ht="15" customHeight="1">
      <c r="A1923" s="12" t="inlineStr">
        <is>
          <t>sequence_variant_causing_amino_acid_substitution</t>
        </is>
      </c>
      <c r="B1923" s="12" t="inlineStr">
        <is>
          <t>http://identifiers.org/so/SO:1000093</t>
        </is>
      </c>
      <c r="C1923" s="12" t="inlineStr">
        <is>
          <t>['sequence variant causes intron gain', 'mutation causes intron gain']</t>
        </is>
      </c>
      <c r="D1923" s="12" t="n"/>
      <c r="E1923" s="12" t="n"/>
    </row>
    <row r="1924" ht="15" customHeight="1">
      <c r="A1924" s="12" t="inlineStr">
        <is>
          <t>sequence_variant_causing_compensatory_transcript_secondary_structure_mutation</t>
        </is>
      </c>
      <c r="B1924" s="12" t="inlineStr">
        <is>
          <t>http://identifiers.org/so/SO:1000127</t>
        </is>
      </c>
      <c r="C1924" s="12" t="inlineStr">
        <is>
          <t>['mutaton causing amino acid coding codon change in transcript', 'sequence variant causing amino acid coding codon change in transcript']</t>
        </is>
      </c>
      <c r="D1924" s="12" t="n"/>
      <c r="E1924" s="12" t="n"/>
    </row>
    <row r="1925" ht="15" customHeight="1">
      <c r="A1925" s="12" t="inlineStr">
        <is>
          <t>sequence_variant_causing_complex_3D_structural_change</t>
        </is>
      </c>
      <c r="B1925" s="12" t="inlineStr">
        <is>
          <t>http://identifiers.org/so/SO:1000115</t>
        </is>
      </c>
      <c r="C1925" s="12" t="inlineStr">
        <is>
          <t>['mutation causing amino acid deletion', 'sequence variant causing amino acid deletion']</t>
        </is>
      </c>
      <c r="D1925" s="12" t="n"/>
      <c r="E1925" s="12" t="n"/>
    </row>
    <row r="1926" ht="15" customHeight="1">
      <c r="A1926" s="12" t="inlineStr">
        <is>
          <t>sequence_variant_causing_complex_change_of_translational_product</t>
        </is>
      </c>
      <c r="B1926" s="12" t="inlineStr">
        <is>
          <t>http://identifiers.org/so/SO:1000092</t>
        </is>
      </c>
      <c r="C1926" s="12" t="inlineStr">
        <is>
          <t>['mutation causing amino acid insertion', 'sequence variant causing amino acid insertion']</t>
        </is>
      </c>
      <c r="D1926" s="12" t="n"/>
      <c r="E1926" s="12" t="n"/>
    </row>
    <row r="1927" ht="15" customHeight="1">
      <c r="A1927" s="12" t="inlineStr">
        <is>
          <t>sequence_variant_causing_conformational_change</t>
        </is>
      </c>
      <c r="B1927" s="12" t="inlineStr">
        <is>
          <t>http://identifiers.org/so/SO:1000116</t>
        </is>
      </c>
      <c r="C1927" s="12" t="inlineStr">
        <is>
          <t>['mutation causing amino acid substitution', 'sequence variant causing amino acid substitution']</t>
        </is>
      </c>
      <c r="D1927" s="12" t="n"/>
      <c r="E1927" s="12" t="n"/>
    </row>
    <row r="1928" ht="15" customHeight="1">
      <c r="A1928" s="12" t="inlineStr">
        <is>
          <t>sequence_variant_causing_conservative_amino_acid_substitution</t>
        </is>
      </c>
      <c r="B1928" s="12" t="inlineStr">
        <is>
          <t>http://identifiers.org/so/SO:1000094</t>
        </is>
      </c>
      <c r="C1928" s="12" t="inlineStr">
        <is>
          <t>['sequence variant causing compensatory transcript secondary structure mutation', 'mutation causing compensatory transcript secondary structure mutation']</t>
        </is>
      </c>
      <c r="D1928" s="12" t="n"/>
      <c r="E1928" s="12" t="n"/>
    </row>
    <row r="1929" ht="15" customHeight="1">
      <c r="A1929" s="12" t="inlineStr">
        <is>
          <t>sequence_variant_causing_conservative_missense_codon_change_in_transcript</t>
        </is>
      </c>
      <c r="B1929" s="12" t="inlineStr">
        <is>
          <t>http://identifiers.org/so/SO:1000060</t>
        </is>
      </c>
      <c r="C1929" s="12" t="inlineStr">
        <is>
          <t>['mutation causing complex 3D structural change', 'sequence variant causing complex 3D structural change']</t>
        </is>
      </c>
      <c r="D1929" s="12" t="n"/>
      <c r="E1929" s="12" t="n"/>
    </row>
    <row r="1930" ht="15" customHeight="1">
      <c r="A1930" s="12" t="inlineStr">
        <is>
          <t>sequence_variant_causing_cryptic_splice_acceptor_activation</t>
        </is>
      </c>
      <c r="B1930" s="12" t="inlineStr">
        <is>
          <t>http://identifiers.org/so/SO:1001186</t>
        </is>
      </c>
      <c r="C1930" s="12" t="inlineStr">
        <is>
          <t>['mutation causing complex change of translational product', 'sequence variant causing complex change of translational product']</t>
        </is>
      </c>
      <c r="D1930" s="12" t="n"/>
      <c r="E1930" s="12" t="n"/>
    </row>
    <row r="1931" ht="15" customHeight="1">
      <c r="A1931" s="12" t="inlineStr">
        <is>
          <t>sequence_variant_causing_cryptic_splice_activation</t>
        </is>
      </c>
      <c r="B1931" s="12" t="inlineStr">
        <is>
          <t>http://identifiers.org/so/SO:1000074</t>
        </is>
      </c>
      <c r="C1931" s="12" t="inlineStr">
        <is>
          <t>['sequence variant causing conformational change', 'mutation causing conformational change']</t>
        </is>
      </c>
      <c r="D1931" s="12" t="n"/>
      <c r="E1931" s="12" t="n"/>
    </row>
    <row r="1932" ht="15" customHeight="1">
      <c r="A1932" s="12" t="inlineStr">
        <is>
          <t>sequence_variant_causing_cryptic_splice_donor_activation</t>
        </is>
      </c>
      <c r="B1932" s="12" t="inlineStr">
        <is>
          <t>http://identifiers.org/so/SO:1000186</t>
        </is>
      </c>
      <c r="C1932" s="12" t="inlineStr">
        <is>
          <t>['mutation causing conservative amino acid substitution', 'sequence variant causing conservative amino acid substitution']</t>
        </is>
      </c>
      <c r="D1932" s="12" t="n"/>
      <c r="E1932" s="12" t="n"/>
    </row>
    <row r="1933" ht="15" customHeight="1">
      <c r="A1933" s="12" t="inlineStr">
        <is>
          <t>sequence_variant_causing_gain_of_function_of_polypeptide</t>
        </is>
      </c>
      <c r="B1933" s="12" t="inlineStr">
        <is>
          <t>http://identifiers.org/so/SO:1000125</t>
        </is>
      </c>
      <c r="C1933" s="12" t="inlineStr">
        <is>
          <t>['sequence variant causing conservative missense codon change in transcript', 'mutation causing conservative missense codon change in transcript']</t>
        </is>
      </c>
      <c r="D1933" s="12" t="n"/>
      <c r="E1933" s="12" t="n"/>
    </row>
    <row r="1934" ht="15" customHeight="1">
      <c r="A1934" s="12" t="inlineStr">
        <is>
          <t>sequence_variant_causing_gene_fusion</t>
        </is>
      </c>
      <c r="B1934" s="12" t="inlineStr">
        <is>
          <t>http://identifiers.org/so/SO:1000181</t>
        </is>
      </c>
      <c r="C1934" s="12" t="inlineStr">
        <is>
          <t>['sequence variant causing cryptic splice acceptor activation']</t>
        </is>
      </c>
      <c r="D1934" s="12" t="n"/>
      <c r="E1934" s="12" t="n"/>
    </row>
    <row r="1935" ht="15" customHeight="1">
      <c r="A1935" s="12" t="inlineStr">
        <is>
          <t>sequence_variant_causing_inactive_catalytic_site</t>
        </is>
      </c>
      <c r="B1935" s="12" t="inlineStr">
        <is>
          <t>http://identifiers.org/so/SO:1000120</t>
        </is>
      </c>
      <c r="C1935" s="12" t="inlineStr">
        <is>
          <t>['sequence variant causing cryptic splice activator', 'mutation causing cryptic splice activator', 'cryptic splice activator sequence variant']</t>
        </is>
      </c>
      <c r="D1935" s="12" t="n"/>
      <c r="E1935" s="12" t="n"/>
    </row>
    <row r="1936" ht="15" customHeight="1">
      <c r="A1936" s="12" t="inlineStr">
        <is>
          <t>sequence_variant_causing_inactive_ligand_binding_site</t>
        </is>
      </c>
      <c r="B1936" s="12" t="inlineStr">
        <is>
          <t>http://identifiers.org/so/SO:1000119</t>
        </is>
      </c>
      <c r="C1936" s="12" t="inlineStr">
        <is>
          <t>['sequence variant causing cryptic splice donor activation']</t>
        </is>
      </c>
      <c r="D1936" s="12" t="n"/>
      <c r="E1936" s="12" t="n"/>
    </row>
    <row r="1937" ht="15" customHeight="1">
      <c r="A1937" s="12" t="inlineStr">
        <is>
          <t>sequence_variant_causing_initiator_codon_change_in_transcript</t>
        </is>
      </c>
      <c r="B1937" s="12" t="inlineStr">
        <is>
          <t>http://identifiers.org/so/SO:1000055</t>
        </is>
      </c>
      <c r="C1937" s="12" t="inlineStr">
        <is>
          <t>['sequence variant causing gain of function of polypeptide', 'mutation causing gain of function of polypeptide', 'gain of function of polypeptide']</t>
        </is>
      </c>
      <c r="D1937" s="12" t="n"/>
      <c r="E1937" s="12" t="n"/>
    </row>
    <row r="1938" ht="15" customHeight="1">
      <c r="A1938" s="12" t="inlineStr">
        <is>
          <t>sequence_variant_causing_loss_of_function_of_polypeptide</t>
        </is>
      </c>
      <c r="B1938" s="12" t="inlineStr">
        <is>
          <t>http://identifiers.org/so/SO:1000118</t>
        </is>
      </c>
      <c r="C1938" s="12" t="inlineStr">
        <is>
          <t>['mutation causing gene fusion', 'sequence variant causing gene fusion']</t>
        </is>
      </c>
      <c r="D1938" s="12" t="n"/>
      <c r="E1938" s="12" t="n"/>
    </row>
    <row r="1939" ht="15" customHeight="1">
      <c r="A1939" s="12" t="inlineStr">
        <is>
          <t>sequence_variant_causing_minus_1_frameshift</t>
        </is>
      </c>
      <c r="B1939" s="12" t="inlineStr">
        <is>
          <t>http://identifiers.org/so/SO:1000067</t>
        </is>
      </c>
      <c r="C1939" s="12" t="inlineStr">
        <is>
          <t>['sequence variant causing inactive catalytic site', 'mutation causing inactive catalytic site']</t>
        </is>
      </c>
      <c r="D1939" s="12" t="n"/>
      <c r="E1939" s="12" t="n"/>
    </row>
    <row r="1940" ht="15" customHeight="1">
      <c r="A1940" s="12" t="inlineStr">
        <is>
          <t>sequence_variant_causing_minus_2_frameshift</t>
        </is>
      </c>
      <c r="B1940" s="12" t="inlineStr">
        <is>
          <t>http://identifiers.org/so/SO:1000069</t>
        </is>
      </c>
      <c r="C1940" s="12" t="inlineStr">
        <is>
          <t>['mutation causing inactive ligand binding site', 'sequence variant causing inactive ligand binding site']</t>
        </is>
      </c>
      <c r="D1940" s="12" t="n"/>
      <c r="E1940" s="12" t="n"/>
    </row>
    <row r="1941" ht="15" customHeight="1">
      <c r="A1941" s="12" t="inlineStr">
        <is>
          <t>sequence_variant_causing_missense_codon_change_in_transcript</t>
        </is>
      </c>
      <c r="B1941" s="12" t="inlineStr">
        <is>
          <t>http://identifiers.org/so/SO:1000059</t>
        </is>
      </c>
      <c r="C1941" s="12" t="inlineStr">
        <is>
          <t>['mutation causing initiator codon change in transcript', 'sequence variant causing initiator codon change in transcript']</t>
        </is>
      </c>
      <c r="D1941" s="12" t="n"/>
      <c r="E1941" s="12" t="n"/>
    </row>
    <row r="1942" ht="15" customHeight="1">
      <c r="A1942" s="12" t="inlineStr">
        <is>
          <t>sequence_variant_causing_no_3D_structural_change</t>
        </is>
      </c>
      <c r="B1942" s="12" t="inlineStr">
        <is>
          <t>http://identifiers.org/so/SO:1000112</t>
        </is>
      </c>
      <c r="C1942" s="12" t="inlineStr">
        <is>
          <t>['mutation causing loss of function of polypeptide', 'loss of function of polypeptide', 'sequence variant causing loss of function of polypeptide']</t>
        </is>
      </c>
      <c r="D1942" s="12" t="n"/>
      <c r="E1942" s="12" t="n"/>
    </row>
    <row r="1943" ht="15" customHeight="1">
      <c r="A1943" s="12" t="inlineStr">
        <is>
          <t>sequence_variant_causing_no_change_in_transcript</t>
        </is>
      </c>
      <c r="B1943" s="12" t="inlineStr">
        <is>
          <t>http://identifiers.org/so/SO:1000050</t>
        </is>
      </c>
      <c r="C1943" s="12" t="inlineStr">
        <is>
          <t>['sequence variant causing minus 1 frameshift', 'minus 1 frameshift mutation']</t>
        </is>
      </c>
      <c r="D1943" s="12" t="n"/>
      <c r="E1943" s="12" t="n"/>
    </row>
    <row r="1944" ht="15" customHeight="1">
      <c r="A1944" s="12" t="inlineStr">
        <is>
          <t>sequence_variant_causing_no_change_of_translational_product</t>
        </is>
      </c>
      <c r="B1944" s="12" t="inlineStr">
        <is>
          <t>http://identifiers.org/so/SO:1000089</t>
        </is>
      </c>
      <c r="C1944" s="12" t="inlineStr">
        <is>
          <t>['sequence variant causing minus 2 frameshift', 'minus 2 frameshift mutation']</t>
        </is>
      </c>
      <c r="D1944" s="12" t="n"/>
      <c r="E1944" s="12" t="n"/>
    </row>
    <row r="1945" ht="15" customHeight="1">
      <c r="A1945" s="12" t="inlineStr">
        <is>
          <t>sequence_variant_causing_non_synonymous_codon_change_in_transcript</t>
        </is>
      </c>
      <c r="B1945" s="12" t="inlineStr">
        <is>
          <t>http://identifiers.org/so/SO:1000058</t>
        </is>
      </c>
      <c r="C1945" s="12" t="inlineStr">
        <is>
          <t>['sequence variant causing missense codon change in transcript', 'mutation causing missense codon change in transcript']</t>
        </is>
      </c>
      <c r="D1945" s="12" t="n"/>
      <c r="E1945" s="12" t="n"/>
    </row>
    <row r="1946" ht="15" customHeight="1">
      <c r="A1946" s="12" t="inlineStr">
        <is>
          <t>sequence_variant_causing_nonconservative_amino_acid_substitution</t>
        </is>
      </c>
      <c r="B1946" s="12" t="inlineStr">
        <is>
          <t>http://identifiers.org/so/SO:1000095</t>
        </is>
      </c>
      <c r="C1946" s="12" t="inlineStr">
        <is>
          <t>['sequence variant causing no 3D structural change', 'mutation causing no 3D structural change']</t>
        </is>
      </c>
      <c r="D1946" s="12" t="n"/>
      <c r="E1946" s="12" t="n"/>
    </row>
    <row r="1947" ht="15" customHeight="1">
      <c r="A1947" s="12" t="inlineStr">
        <is>
          <t>sequence_variant_causing_nonconservative_missense_codon_change_in_transcript</t>
        </is>
      </c>
      <c r="B1947" s="12" t="inlineStr">
        <is>
          <t>http://identifiers.org/so/SO:1000061</t>
        </is>
      </c>
      <c r="C1947" s="12" t="inlineStr">
        <is>
          <t>['mutation causing no change in transcript', 'sequence variant causing no change in transcript']</t>
        </is>
      </c>
      <c r="D1947" s="12" t="n"/>
      <c r="E1947" s="12" t="n"/>
    </row>
    <row r="1948" ht="15" customHeight="1">
      <c r="A1948" s="12" t="inlineStr">
        <is>
          <t>sequence_variant_causing_nonsense_codon_change_in_transcript</t>
        </is>
      </c>
      <c r="B1948" s="12" t="inlineStr">
        <is>
          <t>http://identifiers.org/so/SO:1000062</t>
        </is>
      </c>
      <c r="C1948" s="12" t="inlineStr">
        <is>
          <t>['mutation causing no change of translational product', 'sequence variant causing no change of translational product']</t>
        </is>
      </c>
      <c r="D1948" s="12" t="n"/>
      <c r="E1948" s="12" t="n"/>
    </row>
    <row r="1949" ht="15" customHeight="1">
      <c r="A1949" s="12" t="inlineStr">
        <is>
          <t>sequence_variant_causing_partial_loss_of_function_of_polypeptide</t>
        </is>
      </c>
      <c r="B1949" s="12" t="inlineStr">
        <is>
          <t>http://identifiers.org/so/SO:1000124</t>
        </is>
      </c>
      <c r="C1949" s="12" t="inlineStr">
        <is>
          <t>['mutation causing non synonymous codon change in transcript', 'non-synonymous codon change in transcript', 'sequence variant causing non synonymous codon change in transcript']</t>
        </is>
      </c>
      <c r="D1949" s="12" t="n"/>
      <c r="E1949" s="12" t="n"/>
    </row>
    <row r="1950" ht="15" customHeight="1">
      <c r="A1950" s="12" t="inlineStr">
        <is>
          <t>sequence_variant_causing_plus_1_frameshift_mutation</t>
        </is>
      </c>
      <c r="B1950" s="12" t="inlineStr">
        <is>
          <t>http://identifiers.org/so/SO:1000066</t>
        </is>
      </c>
      <c r="C1950" s="12" t="inlineStr">
        <is>
          <t>['mutation causing nonconservative amino acid substitution', 'sequence variant causing nonconservative amino acid substitution']</t>
        </is>
      </c>
      <c r="D1950" s="12" t="n"/>
      <c r="E1950" s="12" t="n"/>
    </row>
    <row r="1951" ht="15" customHeight="1">
      <c r="A1951" s="12" t="inlineStr">
        <is>
          <t>sequence_variant_causing_plus_2_frameshift</t>
        </is>
      </c>
      <c r="B1951" s="12" t="inlineStr">
        <is>
          <t>http://identifiers.org/so/SO:1000068</t>
        </is>
      </c>
      <c r="C1951" s="12" t="inlineStr">
        <is>
          <t>['mutation causing nonconservative missense codon change in transcript', 'sequence variant causing nonconservative missense codon change in transcript']</t>
        </is>
      </c>
      <c r="D1951" s="12" t="n"/>
      <c r="E1951" s="12" t="n"/>
    </row>
    <row r="1952" ht="15" customHeight="1">
      <c r="A1952" s="12" t="inlineStr">
        <is>
          <t>sequence_variant_causing_polypeptide_elongation</t>
        </is>
      </c>
      <c r="B1952" s="12" t="inlineStr">
        <is>
          <t>http://identifiers.org/so/SO:1000099</t>
        </is>
      </c>
      <c r="C1952" s="12" t="inlineStr">
        <is>
          <t>['mutation causing nonsense codon change in transcript', 'sequence variant causing nonsense codon change in transcript']</t>
        </is>
      </c>
      <c r="D1952" s="12" t="n"/>
      <c r="E1952" s="12" t="n"/>
    </row>
    <row r="1953" ht="15" customHeight="1">
      <c r="A1953" s="12" t="inlineStr">
        <is>
          <t>sequence_variant_causing_polypeptide_fusion</t>
        </is>
      </c>
      <c r="B1953" s="12" t="inlineStr">
        <is>
          <t>http://identifiers.org/so/SO:1000134</t>
        </is>
      </c>
      <c r="C1953" s="12" t="inlineStr">
        <is>
          <t>['sequence variant causing partial loss of function of polypeptide', 'mutation causing partial loss of function of polypeptide', 'partial loss of function of polypeptide']</t>
        </is>
      </c>
      <c r="D1953" s="12" t="n"/>
      <c r="E1953" s="12" t="n"/>
    </row>
    <row r="1954" ht="15" customHeight="1">
      <c r="A1954" s="12" t="inlineStr">
        <is>
          <t>sequence_variant_causing_polypeptide_localization_change</t>
        </is>
      </c>
      <c r="B1954" s="12" t="inlineStr">
        <is>
          <t>http://identifiers.org/so/SO:1000121</t>
        </is>
      </c>
      <c r="C1954" s="12" t="inlineStr">
        <is>
          <t>['sequence variant causing plus 1 frameshift mutation', 'plus 1 frameshift mutation']</t>
        </is>
      </c>
      <c r="D1954" s="12" t="n"/>
      <c r="E1954" s="12" t="n"/>
    </row>
    <row r="1955" ht="15" customHeight="1">
      <c r="A1955" s="12" t="inlineStr">
        <is>
          <t>sequence_variant_causing_polypeptide_post_translational_processing_change</t>
        </is>
      </c>
      <c r="B1955" s="12" t="inlineStr">
        <is>
          <t>http://identifiers.org/so/SO:1000122</t>
        </is>
      </c>
      <c r="C1955" s="12" t="inlineStr">
        <is>
          <t>['plus 2 frameshift mutation', 'sequence variant causing plus 2 frameshift']</t>
        </is>
      </c>
      <c r="D1955" s="12" t="n"/>
      <c r="E1955" s="12" t="n"/>
    </row>
    <row r="1956" ht="15" customHeight="1">
      <c r="A1956" s="12" t="inlineStr">
        <is>
          <t>sequence_variant_causing_polypeptide_truncation</t>
        </is>
      </c>
      <c r="B1956" s="12" t="inlineStr">
        <is>
          <t>http://identifiers.org/so/SO:1000098</t>
        </is>
      </c>
      <c r="C1956" s="12" t="inlineStr">
        <is>
          <t>['mutation causing polypeptide elongation', 'sequence variant causing polypeptide elongation']</t>
        </is>
      </c>
      <c r="D1956" s="12" t="n"/>
      <c r="E1956" s="12" t="n"/>
    </row>
    <row r="1957" ht="15" customHeight="1">
      <c r="A1957" s="12" t="inlineStr">
        <is>
          <t>sequence_variant_causing_synonymous_codon_change_in_transcript</t>
        </is>
      </c>
      <c r="B1957" s="12" t="inlineStr">
        <is>
          <t>http://identifiers.org/so/SO:1000057</t>
        </is>
      </c>
      <c r="C1957" s="12" t="inlineStr">
        <is>
          <t>['sequence variant causing polypeptide fusion', 'mutation causing polypeptide fusion']</t>
        </is>
      </c>
      <c r="D1957" s="12" t="n"/>
      <c r="E1957" s="12" t="n"/>
    </row>
    <row r="1958" ht="15" customHeight="1">
      <c r="A1958" s="12" t="inlineStr">
        <is>
          <t>sequence_variant_causing_terminator_codon_change_in_transcript</t>
        </is>
      </c>
      <c r="B1958" s="12" t="inlineStr">
        <is>
          <t>http://identifiers.org/so/SO:1000063</t>
        </is>
      </c>
      <c r="C1958" s="12" t="inlineStr">
        <is>
          <t>['sequence variant causing polypeptide localization change', 'mutation causing polypeptide localization change']</t>
        </is>
      </c>
      <c r="D1958" s="12" t="n"/>
      <c r="E1958" s="12" t="n"/>
    </row>
    <row r="1959" ht="15" customHeight="1">
      <c r="A1959" s="12" t="inlineStr">
        <is>
          <t>sequence_variant_decreasing_level_of_translation_product</t>
        </is>
      </c>
      <c r="B1959" s="12" t="inlineStr">
        <is>
          <t>http://identifiers.org/so/SO:1000103</t>
        </is>
      </c>
      <c r="C1959" s="12" t="inlineStr">
        <is>
          <t>['mutation causing polypeptide post translational processing change', 'sequence variant causing polypeptide post translational processing change', 'polypeptide post-translational processing affected']</t>
        </is>
      </c>
      <c r="D1959" s="12" t="n"/>
      <c r="E1959" s="12" t="n"/>
    </row>
    <row r="1960" ht="15" customHeight="1">
      <c r="A1960" s="12" t="inlineStr">
        <is>
          <t>sequence_variant_decreasing_rate_of_transcription</t>
        </is>
      </c>
      <c r="B1960" s="12" t="inlineStr">
        <is>
          <t>http://identifiers.org/so/SO:1000078</t>
        </is>
      </c>
      <c r="C1960" s="12" t="inlineStr">
        <is>
          <t>['mutation causing polypeptide truncation', 'sequence variant causing polypeptide truncation']</t>
        </is>
      </c>
      <c r="D1960" s="12" t="n"/>
      <c r="E1960" s="12" t="n"/>
    </row>
    <row r="1961" ht="15" customHeight="1">
      <c r="A1961" s="12" t="inlineStr">
        <is>
          <t>sequence_variant_decreasing_transcript_stability</t>
        </is>
      </c>
      <c r="B1961" s="12" t="inlineStr">
        <is>
          <t>http://identifiers.org/so/SO:1000084</t>
        </is>
      </c>
      <c r="C1961" s="12" t="inlineStr">
        <is>
          <t>['mutation causing synonymous codon change in transcript', 'sequence variant causing synonymous codon change in transcript']</t>
        </is>
      </c>
      <c r="D1961" s="12" t="n"/>
      <c r="E1961" s="12" t="n"/>
    </row>
    <row r="1962" ht="15" customHeight="1">
      <c r="A1962" s="12" t="inlineStr">
        <is>
          <t>sequence_variant_effect</t>
        </is>
      </c>
      <c r="B1962" s="12" t="inlineStr">
        <is>
          <t>http://identifiers.org/so/SO:1000132</t>
        </is>
      </c>
      <c r="C1962" s="12" t="inlineStr">
        <is>
          <t>['sequence variant causing terminator codon change in transcript', 'mutation causing terminator codon change in transcript']</t>
        </is>
      </c>
      <c r="D1962" s="12" t="n"/>
      <c r="E1962" s="12" t="n"/>
    </row>
    <row r="1963" ht="15" customHeight="1">
      <c r="A1963" s="12" t="inlineStr">
        <is>
          <t>sequence_variant_increasing_level_of_translation_product</t>
        </is>
      </c>
      <c r="B1963" s="12" t="inlineStr">
        <is>
          <t>http://identifiers.org/so/SO:1000104</t>
        </is>
      </c>
      <c r="C1963" s="12" t="inlineStr">
        <is>
          <t>['mutationdecreasing level of translation product', 'sequence variant decreasing level of translation product']</t>
        </is>
      </c>
      <c r="D1963" s="12" t="n"/>
      <c r="E1963" s="12" t="n"/>
    </row>
    <row r="1964" ht="15" customHeight="1">
      <c r="A1964" s="12" t="inlineStr">
        <is>
          <t>sequence_variant_increasing_rate_of_transcription</t>
        </is>
      </c>
      <c r="B1964" s="12" t="inlineStr">
        <is>
          <t>http://identifiers.org/so/SO:1000080</t>
        </is>
      </c>
      <c r="C1964" s="12" t="inlineStr">
        <is>
          <t>['sequence variation decreasing rate of transcription', 'mutation decreasing rate of transcription']</t>
        </is>
      </c>
      <c r="D1964" s="12" t="n"/>
      <c r="E1964" s="12" t="n"/>
    </row>
    <row r="1965" ht="15" customHeight="1">
      <c r="A1965" s="12" t="inlineStr">
        <is>
          <t>sequence_variant_increasing_transcript_stability</t>
        </is>
      </c>
      <c r="B1965" s="12" t="inlineStr">
        <is>
          <t>http://identifiers.org/so/SO:1000083</t>
        </is>
      </c>
      <c r="C1965" s="12" t="inlineStr">
        <is>
          <t>['sequence variant decreasing transcript stability', 'mutation decreasing transcript stability']</t>
        </is>
      </c>
      <c r="D1965" s="12" t="n"/>
      <c r="E1965" s="12" t="n"/>
    </row>
    <row r="1966" ht="15" customHeight="1">
      <c r="A1966" s="12" t="inlineStr">
        <is>
          <t>sequence_variant_obs</t>
        </is>
      </c>
      <c r="B1966" s="12" t="inlineStr">
        <is>
          <t>http://identifiers.org/so/SO:0000109</t>
        </is>
      </c>
      <c r="C1966" s="12" t="inlineStr">
        <is>
          <t>['sequence variant effect']</t>
        </is>
      </c>
      <c r="D1966" s="12" t="n"/>
      <c r="E1966" s="12" t="n"/>
    </row>
    <row r="1967" ht="15" customHeight="1">
      <c r="A1967" s="12" t="inlineStr">
        <is>
          <t>sequence_variation_affecting_coding_sequence</t>
        </is>
      </c>
      <c r="B1967" s="12" t="inlineStr">
        <is>
          <t>http://identifiers.org/so/SO:1000054</t>
        </is>
      </c>
      <c r="C1967" s="12" t="inlineStr">
        <is>
          <t>['sequence variant increasing level of translation product', 'mutationt increasing level of translation product']</t>
        </is>
      </c>
      <c r="D1967" s="12" t="n"/>
      <c r="E1967" s="12" t="n"/>
    </row>
    <row r="1968" ht="15" customHeight="1">
      <c r="A1968" s="12" t="inlineStr">
        <is>
          <t>sequence_variation_affecting_level_of_transcript</t>
        </is>
      </c>
      <c r="B1968" s="12" t="inlineStr">
        <is>
          <t>http://identifiers.org/so/SO:1000085</t>
        </is>
      </c>
      <c r="C1968" s="12" t="inlineStr">
        <is>
          <t>['sequence variation increasing rate of transcription', 'mutation increasing rate of transcription']</t>
        </is>
      </c>
      <c r="D1968" s="12" t="n"/>
      <c r="E1968" s="12" t="n"/>
    </row>
    <row r="1969" ht="15" customHeight="1">
      <c r="A1969" s="12" t="inlineStr">
        <is>
          <t>sequence_variation_affecting_reading_frame</t>
        </is>
      </c>
      <c r="B1969" s="12" t="inlineStr">
        <is>
          <t>http://identifiers.org/so/SO:1000064</t>
        </is>
      </c>
      <c r="C1969" s="12" t="inlineStr">
        <is>
          <t>['mutation increasing transcript stability', 'sequence variant increasing transcript stability']</t>
        </is>
      </c>
      <c r="D1969" s="12" t="n"/>
      <c r="E1969" s="12" t="n"/>
    </row>
    <row r="1970" ht="15" customHeight="1">
      <c r="A1970" s="12" t="inlineStr">
        <is>
          <t>sequence_variation_affecting_transcript</t>
        </is>
      </c>
      <c r="B1970" s="12" t="inlineStr">
        <is>
          <t>http://identifiers.org/so/SO:1000049</t>
        </is>
      </c>
      <c r="C1970" s="12" t="inlineStr">
        <is>
          <t>['mutation']</t>
        </is>
      </c>
      <c r="D1970" s="12" t="n"/>
      <c r="E1970" s="12" t="n"/>
    </row>
    <row r="1971" ht="15" customHeight="1">
      <c r="A1971" s="12" t="inlineStr">
        <is>
          <t>sequence_variation_affecting_transcript_sequence</t>
        </is>
      </c>
      <c r="B1971" s="12" t="inlineStr">
        <is>
          <t>http://identifiers.org/so/SO:1000079</t>
        </is>
      </c>
      <c r="C1971" s="12" t="inlineStr">
        <is>
          <t>['sequence variation affecting coding sequence', 'mutation affecting coding sequence']</t>
        </is>
      </c>
      <c r="D1971" s="12" t="n"/>
      <c r="E1971" s="12" t="n"/>
    </row>
    <row r="1972" ht="15" customHeight="1">
      <c r="A1972" s="12" t="inlineStr">
        <is>
          <t>sequence_variation_decreasing_level_of_transcript</t>
        </is>
      </c>
      <c r="B1972" s="12" t="inlineStr">
        <is>
          <t>http://identifiers.org/so/SO:1000086</t>
        </is>
      </c>
      <c r="C1972" s="12" t="inlineStr">
        <is>
          <t>['mutation affecting level of transcript', 'sequence variation affecting level of transcript']</t>
        </is>
      </c>
      <c r="D1972" s="12" t="n"/>
      <c r="E1972" s="12" t="n"/>
    </row>
    <row r="1973" ht="15" customHeight="1">
      <c r="A1973" s="12" t="inlineStr">
        <is>
          <t>sequence_variation_increasing_level_of_transcript</t>
        </is>
      </c>
      <c r="B1973" s="12" t="inlineStr">
        <is>
          <t>http://identifiers.org/so/SO:1000087</t>
        </is>
      </c>
      <c r="C1973" s="12" t="inlineStr">
        <is>
          <t>['sequence variation affecting reading frame', 'mutation affecting reading frame']</t>
        </is>
      </c>
      <c r="D1973" s="12" t="n"/>
      <c r="E1973" s="12" t="n"/>
    </row>
    <row r="1974" ht="15" customHeight="1">
      <c r="A1974" s="12" t="inlineStr">
        <is>
          <t>sequencing_primer</t>
        </is>
      </c>
      <c r="B1974" s="12" t="inlineStr">
        <is>
          <t>http://identifiers.org/so/SO:0000107</t>
        </is>
      </c>
      <c r="C1974" s="12" t="inlineStr">
        <is>
      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      </is>
      </c>
      <c r="D1974" s="12" t="n"/>
      <c r="E1974" s="12" t="n"/>
    </row>
    <row r="1975" ht="15" customHeight="1">
      <c r="A1975" s="12" t="inlineStr">
        <is>
          <t>serine</t>
        </is>
      </c>
      <c r="B1975" s="12" t="inlineStr">
        <is>
          <t>http://identifiers.org/so/SO:0001444</t>
        </is>
      </c>
      <c r="C1975" s="12" t="inlineStr">
        <is>
          <t>['sequence variation affecting transcript sequence', 'mutation affecting transcript sequence']</t>
        </is>
      </c>
      <c r="D1975" s="12" t="n"/>
      <c r="E1975" s="12" t="n"/>
    </row>
    <row r="1976" ht="15" customHeight="1">
      <c r="A1976" s="12" t="inlineStr">
        <is>
          <t>serine_threonine_motif</t>
        </is>
      </c>
      <c r="B1976" s="12" t="inlineStr">
        <is>
          <t>http://identifiers.org/so/SO:0001126</t>
        </is>
      </c>
      <c r="C1976" s="12" t="inlineStr">
        <is>
          <t>['sequence variation decreasing level of transcript', 'mutation decreasing level of transcript']</t>
        </is>
      </c>
      <c r="D1976" s="12" t="n"/>
      <c r="E1976" s="12" t="n"/>
    </row>
    <row r="1977" ht="15" customHeight="1">
      <c r="A1977" s="12" t="inlineStr">
        <is>
          <t>serine_threonine_staple_motif</t>
        </is>
      </c>
      <c r="B1977" s="12" t="inlineStr">
        <is>
          <t>http://identifiers.org/so/SO:0001127</t>
        </is>
      </c>
      <c r="C1977" s="12" t="inlineStr">
        <is>
          <t>['sequence variation increasing level of transcript', 'mutation increasing level of transcript']</t>
        </is>
      </c>
      <c r="D1977" s="12" t="n"/>
      <c r="E1977" s="12" t="n"/>
    </row>
    <row r="1978" ht="15" customHeight="1">
      <c r="A1978" s="12" t="inlineStr">
        <is>
          <t>serine_threonine_turn</t>
        </is>
      </c>
      <c r="B1978" s="12" t="inlineStr">
        <is>
          <t>http://identifiers.org/so/SO:0001141</t>
        </is>
      </c>
      <c r="C1978" s="12" t="inlineStr">
        <is>
          <t>['sequencing primer']</t>
        </is>
      </c>
      <c r="D1978" s="12" t="n"/>
      <c r="E1978" s="12" t="n"/>
    </row>
    <row r="1979" ht="15" customHeight="1">
      <c r="A1979" s="12" t="inlineStr">
        <is>
          <t>serine_tRNA_primary_transcript</t>
        </is>
      </c>
      <c r="B1979" s="12" t="inlineStr">
        <is>
          <t>http://identifiers.org/so/SO:0000226</t>
        </is>
      </c>
      <c r="C1979" s="12" t="inlineStr">
        <is>
          <t>['S', 'Ser']</t>
        </is>
      </c>
      <c r="D1979" s="12" t="n"/>
      <c r="E1979" s="12" t="n"/>
    </row>
    <row r="1980" ht="15" customHeight="1">
      <c r="A1980" s="12" t="inlineStr">
        <is>
          <t>seryl_tRNA</t>
        </is>
      </c>
      <c r="B1980" s="12" t="inlineStr">
        <is>
          <t>http://identifiers.org/so/SO:0000269</t>
        </is>
      </c>
      <c r="C1980" s="12" t="inlineStr">
        <is>
          <t>['serine/threonine motif', 'st motif', 'st_motif']</t>
        </is>
      </c>
      <c r="D1980" s="12" t="n"/>
      <c r="E1980" s="12" t="n"/>
    </row>
    <row r="1981" ht="15" customHeight="1">
      <c r="A1981" s="12" t="inlineStr">
        <is>
          <t>seven_aminomethyl_seven_deazaguanosine</t>
        </is>
      </c>
      <c r="B1981" s="12" t="inlineStr">
        <is>
          <t>http://identifiers.org/so/SO:0001322</t>
        </is>
      </c>
      <c r="C1981" s="12" t="inlineStr">
        <is>
          <t>['st_staple', 'serine threonine staple motif']</t>
        </is>
      </c>
      <c r="D1981" s="12" t="n"/>
      <c r="E1981" s="12" t="n"/>
    </row>
    <row r="1982" ht="15" customHeight="1">
      <c r="A1982" s="12" t="inlineStr">
        <is>
          <t>seven_cyano_seven_deazaguanosine</t>
        </is>
      </c>
      <c r="B1982" s="12" t="inlineStr">
        <is>
          <t>http://identifiers.org/so/SO:0001321</t>
        </is>
      </c>
      <c r="C1982" s="12" t="inlineStr">
        <is>
          <t>['serine/threonine turn', 'st_turn']</t>
        </is>
      </c>
      <c r="D1982" s="12" t="n"/>
      <c r="E1982" s="12" t="n"/>
    </row>
    <row r="1983" ht="15" customHeight="1">
      <c r="A1983" s="12" t="inlineStr">
        <is>
          <t>seven_deazaguanosine</t>
        </is>
      </c>
      <c r="B1983" s="12" t="inlineStr">
        <is>
          <t>http://identifiers.org/so/SO:0001316</t>
        </is>
      </c>
      <c r="C1983" s="12" t="inlineStr">
        <is>
          <t>['serine tRNA primary transcript']</t>
        </is>
      </c>
      <c r="D1983" s="12" t="n"/>
      <c r="E1983" s="12" t="n"/>
    </row>
    <row r="1984" ht="15" customHeight="1">
      <c r="A1984" s="12" t="inlineStr">
        <is>
          <t>seven_methylguanine</t>
        </is>
      </c>
      <c r="B1984" s="12" t="inlineStr">
        <is>
          <t>http://identifiers.org/so/SO:0001231</t>
        </is>
      </c>
      <c r="C1984" s="12" t="inlineStr">
        <is>
          <t>['seryl tRNA', 'seryl-transfer ribonucleic acid', 'seryl-transfer RNA']</t>
        </is>
      </c>
      <c r="D1984" s="12" t="n"/>
      <c r="E1984" s="12" t="n"/>
    </row>
    <row r="1985" ht="15" customHeight="1">
      <c r="A1985" s="12" t="inlineStr">
        <is>
          <t>seven_methylguanosine</t>
        </is>
      </c>
      <c r="B1985" s="12" t="inlineStr">
        <is>
          <t>http://identifiers.org/so/SO:0001326</t>
        </is>
      </c>
      <c r="C1985" s="12" t="inlineStr">
        <is>
          <t>['seven aminomethyl seven deazaguanosine', 'preQ1', '7-aminomethyl-7-deazaguanosine']</t>
        </is>
      </c>
      <c r="D1985" s="12" t="n"/>
      <c r="E1985" s="12" t="n"/>
    </row>
    <row r="1986" ht="15" customHeight="1">
      <c r="A1986" s="12" t="inlineStr">
        <is>
          <t>sgRNA</t>
        </is>
      </c>
      <c r="B1986" s="12" t="inlineStr">
        <is>
          <t>http://identifiers.org/so/SO:0001998</t>
        </is>
      </c>
      <c r="C1986" s="12" t="inlineStr">
        <is>
          <t>['7-cyano-7-deazaguanosine', 'seven cyano seven deazaguanosine', 'preQ0']</t>
        </is>
      </c>
      <c r="D1986" s="12" t="n"/>
      <c r="E1986" s="12" t="n"/>
    </row>
    <row r="1987" ht="15" customHeight="1">
      <c r="A1987" s="12" t="inlineStr">
        <is>
          <t>shadow_enhancer</t>
        </is>
      </c>
      <c r="B1987" s="12" t="inlineStr">
        <is>
          <t>http://identifiers.org/so/SO:0001482</t>
        </is>
      </c>
      <c r="C1987" s="12" t="inlineStr">
        <is>
          <t>['seven deazaguanosine', '7-deazaguanosine']</t>
        </is>
      </c>
      <c r="D1987" s="12" t="n"/>
      <c r="E1987" s="12" t="n"/>
    </row>
    <row r="1988" ht="15" customHeight="1">
      <c r="A1988" s="12" t="inlineStr">
        <is>
          <t>Shine_Dalgarno_sequence</t>
        </is>
      </c>
      <c r="B1988" s="12" t="inlineStr">
        <is>
          <t>http://identifiers.org/so/SO:0000552</t>
        </is>
      </c>
      <c r="C1988" s="12" t="inlineStr">
        <is>
          <t>['seven methylguanine', '7-methylguanine']</t>
        </is>
      </c>
      <c r="D1988" s="12" t="n"/>
      <c r="E1988" s="12" t="n"/>
    </row>
    <row r="1989" ht="15" customHeight="1">
      <c r="A1989" s="12" t="inlineStr">
        <is>
          <t>short_tandem_repeat_change</t>
        </is>
      </c>
      <c r="B1989" s="12" t="inlineStr">
        <is>
          <t>http://identifiers.org/so/SO:0002161</t>
        </is>
      </c>
      <c r="C1989" s="12" t="inlineStr">
        <is>
          <t>['7-methylguanosine', 'm7G', 'seven methylguanosine']</t>
        </is>
      </c>
      <c r="D1989" s="12" t="n"/>
      <c r="E1989" s="12" t="n"/>
    </row>
    <row r="1990" ht="15" customHeight="1">
      <c r="A1990" s="12" t="inlineStr">
        <is>
          <t>short_tandem_repeat_contraction</t>
        </is>
      </c>
      <c r="B1990" s="12" t="inlineStr">
        <is>
          <t>http://identifiers.org/so/SO:0002163</t>
        </is>
      </c>
      <c r="C1990" s="12" t="inlineStr">
        <is>
          <t>['gRNA', 'small guide RNA', 'guide RNA']</t>
        </is>
      </c>
      <c r="D1990" s="12" t="n"/>
      <c r="E1990" s="12" t="n"/>
    </row>
    <row r="1991" ht="15" customHeight="1">
      <c r="A1991" s="12" t="inlineStr">
        <is>
          <t>short_tandem_repeat_expansion</t>
        </is>
      </c>
      <c r="B1991" s="12" t="inlineStr">
        <is>
          <t>http://identifiers.org/so/SO:0002162</t>
        </is>
      </c>
      <c r="C1991" s="12" t="inlineStr">
        <is>
          <t>['shadow enhancer']</t>
        </is>
      </c>
      <c r="D1991" s="12" t="n"/>
      <c r="E1991" s="12" t="n"/>
    </row>
    <row r="1992" ht="15" customHeight="1">
      <c r="A1992" s="12" t="inlineStr">
        <is>
          <t>short_tandem_repeat_variation</t>
        </is>
      </c>
      <c r="B1992" s="12" t="inlineStr">
        <is>
          <t>http://identifiers.org/so/SO:0002096</t>
        </is>
      </c>
      <c r="C1992" s="12" t="inlineStr">
        <is>
          <t>['Shine-Dalgarno sequence', 'Shine Dalgarno sequence', 'RBS', 'five prime ribosome binding site']</t>
        </is>
      </c>
      <c r="D1992" s="12" t="n"/>
      <c r="E1992" s="12" t="n"/>
    </row>
    <row r="1993" ht="15" customHeight="1">
      <c r="A1993" s="12" t="inlineStr">
        <is>
          <t>SHP_box</t>
        </is>
      </c>
      <c r="B1993" s="12" t="inlineStr">
        <is>
          <t>http://identifiers.org/so/SO:0002159</t>
        </is>
      </c>
      <c r="C1993" s="12" t="inlineStr">
        <is>
          <t>['str change', 'short tandem repeat change']</t>
        </is>
      </c>
      <c r="D1993" s="12" t="n"/>
      <c r="E1993" s="12" t="n"/>
    </row>
    <row r="1994" ht="15" customHeight="1">
      <c r="A1994" s="12" t="inlineStr">
        <is>
          <t>shRNA</t>
        </is>
      </c>
      <c r="B1994" s="12" t="inlineStr">
        <is>
          <t>http://identifiers.org/so/SO:0002031</t>
        </is>
      </c>
      <c r="C1994" s="12" t="inlineStr">
        <is>
          <t>['short tandem repeat contraction', 'str contraction']</t>
        </is>
      </c>
      <c r="D1994" s="12" t="n"/>
      <c r="E1994" s="12" t="n"/>
    </row>
    <row r="1995" ht="15" customHeight="1">
      <c r="A1995" s="12" t="inlineStr">
        <is>
          <t>shRNA_primary_transcript</t>
        </is>
      </c>
      <c r="B1995" s="12" t="inlineStr">
        <is>
          <t>http://identifiers.org/so/SO:0002038</t>
        </is>
      </c>
      <c r="C1995" s="12" t="inlineStr">
        <is>
          <t>['short tandem repeat expansion', 'str expansion']</t>
        </is>
      </c>
      <c r="D1995" s="12" t="n"/>
      <c r="E1995" s="12" t="n"/>
    </row>
    <row r="1996" ht="15" customHeight="1">
      <c r="A1996" s="12" t="inlineStr">
        <is>
          <t>signal_anchor</t>
        </is>
      </c>
      <c r="B1996" s="12" t="inlineStr">
        <is>
          <t>http://identifiers.org/so/SO:0001809</t>
        </is>
      </c>
      <c r="C1996" s="12" t="inlineStr">
        <is>
          <t>['short tandem repeat variation', 'str variation']</t>
        </is>
      </c>
      <c r="D1996" s="12" t="n"/>
      <c r="E1996" s="12" t="n"/>
    </row>
    <row r="1997" ht="15" customHeight="1">
      <c r="A1997" s="12" t="inlineStr">
        <is>
          <t>signal_peptide</t>
        </is>
      </c>
      <c r="B1997" s="12" t="inlineStr">
        <is>
          <t>http://identifiers.org/so/SO:0000418</t>
        </is>
      </c>
      <c r="C1997" s="12" t="inlineStr">
        <is>
          <t>['SHP box']</t>
        </is>
      </c>
      <c r="D1997" s="12" t="n"/>
      <c r="E1997" s="12" t="n"/>
    </row>
    <row r="1998" ht="15" customHeight="1">
      <c r="A1998" s="12" t="inlineStr">
        <is>
          <t>signature</t>
        </is>
      </c>
      <c r="B1998" s="12" t="inlineStr">
        <is>
          <t>http://identifiers.org/so/SO:0001978</t>
        </is>
      </c>
      <c r="C1998" s="12" t="inlineStr">
        <is>
          <t>['short hairpin RNA', 'small hairpin RNA']</t>
        </is>
      </c>
      <c r="D1998" s="12" t="n"/>
      <c r="E1998" s="12" t="n"/>
    </row>
    <row r="1999" ht="15" customHeight="1">
      <c r="A1999" s="12" t="inlineStr">
        <is>
          <t>silenced</t>
        </is>
      </c>
      <c r="B1999" s="12" t="inlineStr">
        <is>
          <t>http://identifiers.org/so/SO:0000893</t>
        </is>
      </c>
      <c r="C1999" s="12" t="inlineStr">
        <is>
          <t>['shRNA primary transcript']</t>
        </is>
      </c>
      <c r="D1999" s="12" t="n"/>
      <c r="E1999" s="12" t="n"/>
    </row>
    <row r="2000" ht="15" customHeight="1">
      <c r="A2000" s="12" t="inlineStr">
        <is>
          <t>silenced_by_DNA_methylation</t>
        </is>
      </c>
      <c r="B2000" s="12" t="inlineStr">
        <is>
          <t>http://identifiers.org/so/SO:0000895</t>
        </is>
      </c>
      <c r="C2000" s="12" t="inlineStr">
        <is>
          <t>['uncleaved signal peptide', 'signal anchor']</t>
        </is>
      </c>
      <c r="D2000" s="12" t="n"/>
      <c r="E2000" s="12" t="n"/>
    </row>
    <row r="2001" ht="15" customHeight="1">
      <c r="A2001" s="12" t="inlineStr">
        <is>
          <t>silenced_by_DNA_modification</t>
        </is>
      </c>
      <c r="B2001" s="12" t="inlineStr">
        <is>
          <t>http://identifiers.org/so/SO:0000894</t>
        </is>
      </c>
      <c r="C2001" s="12" t="inlineStr">
        <is>
          <t>['signal peptide coding sequence', 'signal', 'signal peptide', 'INSDC_feature:sig_peptide']</t>
        </is>
      </c>
      <c r="D2001" s="12" t="n"/>
      <c r="E2001" s="12" t="n"/>
    </row>
    <row r="2002" ht="15" customHeight="1">
      <c r="A2002" s="12" t="inlineStr">
        <is>
          <t>silenced_by_histone_deacetylation</t>
        </is>
      </c>
      <c r="B2002" s="12" t="inlineStr">
        <is>
          <t>http://identifiers.org/so/SO:0001223</t>
        </is>
      </c>
      <c r="C2002" s="12" t="inlineStr">
        <is>
          <t>['DNA signature']</t>
        </is>
      </c>
      <c r="D2002" s="12" t="n"/>
      <c r="E2002" s="12" t="n"/>
    </row>
    <row r="2003" ht="15" customHeight="1">
      <c r="A2003" s="12" t="inlineStr">
        <is>
          <t>silenced_by_histone_methylation</t>
        </is>
      </c>
      <c r="B2003" s="12" t="inlineStr">
        <is>
          <t>http://identifiers.org/so/SO:0001222</t>
        </is>
      </c>
      <c r="C2003" s="12" t="n"/>
      <c r="D2003" s="12" t="n"/>
      <c r="E2003" s="12" t="n"/>
    </row>
    <row r="2004" ht="15" customHeight="1">
      <c r="A2004" s="12" t="inlineStr">
        <is>
          <t>silenced_by_histone_modification</t>
        </is>
      </c>
      <c r="B2004" s="12" t="inlineStr">
        <is>
          <t>http://identifiers.org/so/SO:0001221</t>
        </is>
      </c>
      <c r="C2004" s="12" t="inlineStr">
        <is>
          <t>['silenced by DNA methylation']</t>
        </is>
      </c>
      <c r="D2004" s="12" t="n"/>
      <c r="E2004" s="12" t="n"/>
    </row>
    <row r="2005" ht="15" customHeight="1">
      <c r="A2005" s="12" t="inlineStr">
        <is>
          <t>silenced_by_RNA_interference</t>
        </is>
      </c>
      <c r="B2005" s="12" t="inlineStr">
        <is>
          <t>http://identifiers.org/so/SO:0001220</t>
        </is>
      </c>
      <c r="C2005" s="12" t="inlineStr">
        <is>
          <t>['silenced by DNA modification']</t>
        </is>
      </c>
      <c r="D2005" s="12" t="n"/>
      <c r="E2005" s="12" t="n"/>
    </row>
    <row r="2006" ht="15" customHeight="1">
      <c r="A2006" s="12" t="inlineStr">
        <is>
          <t>silenced_gene</t>
        </is>
      </c>
      <c r="B2006" s="12" t="inlineStr">
        <is>
          <t>http://identifiers.org/so/SO:0000127</t>
        </is>
      </c>
      <c r="C2006" s="12" t="inlineStr">
        <is>
          <t>['silenced by histone deacetylation']</t>
        </is>
      </c>
      <c r="D2006" s="12" t="n"/>
      <c r="E2006" s="12" t="n"/>
    </row>
    <row r="2007" ht="15" customHeight="1">
      <c r="A2007" s="12" t="inlineStr">
        <is>
          <t>silencer</t>
        </is>
      </c>
      <c r="B2007" s="12" t="inlineStr">
        <is>
          <t>http://identifiers.org/so/SO:0000625</t>
        </is>
      </c>
      <c r="C2007" s="12" t="inlineStr">
        <is>
          <t>['silenced by histone methylation']</t>
        </is>
      </c>
      <c r="D2007" s="12" t="n"/>
      <c r="E2007" s="12" t="n"/>
    </row>
    <row r="2008" ht="15" customHeight="1">
      <c r="A2008" s="12" t="inlineStr">
        <is>
          <t>silent_mating_type_cassette_array</t>
        </is>
      </c>
      <c r="B2008" s="12" t="inlineStr">
        <is>
          <t>http://identifiers.org/so/SO:0001984</t>
        </is>
      </c>
      <c r="C2008" s="12" t="inlineStr">
        <is>
          <t>['silenced by histone modification']</t>
        </is>
      </c>
      <c r="D2008" s="12" t="n"/>
      <c r="E2008" s="12" t="n"/>
    </row>
    <row r="2009" ht="15" customHeight="1">
      <c r="A2009" s="12" t="inlineStr">
        <is>
          <t>silent_mutation</t>
        </is>
      </c>
      <c r="B2009" s="12" t="inlineStr">
        <is>
          <t>http://identifiers.org/so/SO:0001017</t>
        </is>
      </c>
      <c r="C2009" s="12" t="inlineStr">
        <is>
          <t>['silenced by RNA interference']</t>
        </is>
      </c>
      <c r="D2009" s="12" t="n"/>
      <c r="E2009" s="12" t="n"/>
    </row>
    <row r="2010" ht="15" customHeight="1">
      <c r="A2010" s="12" t="inlineStr">
        <is>
          <t>simple_operon</t>
        </is>
      </c>
      <c r="B2010" s="12" t="inlineStr">
        <is>
          <t>http://identifiers.org/so/SO:0002298</t>
        </is>
      </c>
      <c r="C2010" s="12" t="inlineStr">
        <is>
          <t>['silenced gene']</t>
        </is>
      </c>
      <c r="D2010" s="12" t="n"/>
      <c r="E2010" s="12" t="n"/>
    </row>
    <row r="2011" ht="15" customHeight="1">
      <c r="A2011" s="12" t="inlineStr">
        <is>
          <t>simple_regulon</t>
        </is>
      </c>
      <c r="B2011" s="12" t="inlineStr">
        <is>
          <t>http://identifiers.org/so/SO:0002302</t>
        </is>
      </c>
      <c r="C2011" s="12" t="inlineStr">
        <is>
          <t>['INSDC_feature:regulatory', 'INSDC_qualifier:silencer']</t>
        </is>
      </c>
      <c r="D2011" s="12" t="n"/>
      <c r="E2011" s="12" t="n"/>
    </row>
    <row r="2012" ht="15" customHeight="1">
      <c r="A2012" s="12" t="inlineStr">
        <is>
          <t>simple_sequence_length_variation</t>
        </is>
      </c>
      <c r="B2012" s="12" t="inlineStr">
        <is>
          <t>http://identifiers.org/so/SO:0000207</t>
        </is>
      </c>
      <c r="C2012" s="12" t="inlineStr">
        <is>
          <t>['silent mating-type cassette']</t>
        </is>
      </c>
      <c r="D2012" s="12" t="n"/>
      <c r="E2012" s="12" t="n"/>
    </row>
    <row r="2013" ht="15" customHeight="1">
      <c r="A2013" s="12" t="inlineStr">
        <is>
          <t>SINE_element</t>
        </is>
      </c>
      <c r="B2013" s="12" t="inlineStr">
        <is>
          <t>http://identifiers.org/so/SO:0000206</t>
        </is>
      </c>
      <c r="C2013" s="12" t="inlineStr">
        <is>
          <t>['silent mutation']</t>
        </is>
      </c>
      <c r="D2013" s="12" t="n"/>
      <c r="E2013" s="12" t="n"/>
    </row>
    <row r="2014" ht="15" customHeight="1">
      <c r="A2014" s="12" t="inlineStr">
        <is>
          <t>single</t>
        </is>
      </c>
      <c r="B2014" s="12" t="inlineStr">
        <is>
          <t>http://identifiers.org/so/SO:0000984</t>
        </is>
      </c>
      <c r="C2014" s="12" t="inlineStr">
        <is>
          <t>['simple operon']</t>
        </is>
      </c>
      <c r="D2014" s="12" t="n"/>
      <c r="E2014" s="12" t="n"/>
    </row>
    <row r="2015" ht="15" customHeight="1">
      <c r="A2015" s="12" t="inlineStr">
        <is>
          <t>single_strand_restriction_enzyme_cleavage_site</t>
        </is>
      </c>
      <c r="B2015" s="12" t="inlineStr">
        <is>
          <t>http://identifiers.org/so/SO:0001694</t>
        </is>
      </c>
      <c r="C2015" s="12" t="inlineStr">
        <is>
          <t>['simple regulon']</t>
        </is>
      </c>
      <c r="D2015" s="12" t="n"/>
      <c r="E2015" s="12" t="n"/>
    </row>
    <row r="2016" ht="15" customHeight="1">
      <c r="A2016" s="12" t="inlineStr">
        <is>
          <t>single_stranded_cDNA</t>
        </is>
      </c>
      <c r="B2016" s="12" t="inlineStr">
        <is>
          <t>http://identifiers.org/so/SO:0000757</t>
        </is>
      </c>
      <c r="C2016" s="12" t="inlineStr">
        <is>
          <t>['simple sequence length variation', 'SSLP', 'simple sequence length polymorphism']</t>
        </is>
      </c>
      <c r="D2016" s="12" t="n"/>
      <c r="E2016" s="12" t="n"/>
    </row>
    <row r="2017" ht="15" customHeight="1">
      <c r="A2017" s="12" t="inlineStr">
        <is>
          <t>single_stranded_DNA_chromosome</t>
        </is>
      </c>
      <c r="B2017" s="12" t="inlineStr">
        <is>
          <t>http://identifiers.org/so/SO:0000956</t>
        </is>
      </c>
      <c r="C2017" s="12" t="inlineStr">
        <is>
          <t>['Short interspersed nuclear element', 'Short interspersed element', 'SINE element']</t>
        </is>
      </c>
      <c r="D2017" s="12" t="n"/>
      <c r="E2017" s="12" t="n"/>
    </row>
    <row r="2018" ht="15" customHeight="1">
      <c r="A2018" s="12" t="inlineStr">
        <is>
          <t>single_stranded_RNA_chromosome</t>
        </is>
      </c>
      <c r="B2018" s="12" t="inlineStr">
        <is>
          <t>http://identifiers.org/so/SO:0000962</t>
        </is>
      </c>
      <c r="C2018" s="12" t="n"/>
      <c r="D2018" s="12" t="n"/>
      <c r="E2018" s="12" t="n"/>
    </row>
    <row r="2019" ht="15" customHeight="1">
      <c r="A2019" s="12" t="inlineStr">
        <is>
          <t>siRNA</t>
        </is>
      </c>
      <c r="B2019" s="12" t="inlineStr">
        <is>
          <t>http://identifiers.org/so/SO:0000646</t>
        </is>
      </c>
      <c r="C2019" s="12" t="inlineStr">
        <is>
          <t>['single strand restriction enzyme cleavage site']</t>
        </is>
      </c>
      <c r="D2019" s="12" t="n"/>
      <c r="E2019" s="12" t="n"/>
    </row>
    <row r="2020" ht="15" customHeight="1">
      <c r="A2020" s="12" t="inlineStr">
        <is>
          <t>site</t>
        </is>
      </c>
      <c r="B2020" s="12" t="inlineStr">
        <is>
          <t>http://identifiers.org/so/SO:0000408</t>
        </is>
      </c>
      <c r="C2020" s="12" t="inlineStr">
        <is>
          <t>['single strand cDNA', 'single-strand cDNA', 'single stranded cDNA']</t>
        </is>
      </c>
      <c r="D2020" s="12" t="n"/>
      <c r="E2020" s="12" t="n"/>
    </row>
    <row r="2021" ht="15" customHeight="1">
      <c r="A2021" s="12" t="inlineStr">
        <is>
          <t>six_cutter_restriction_site</t>
        </is>
      </c>
      <c r="B2021" s="12" t="inlineStr">
        <is>
          <t>http://identifiers.org/so/SO:0000249</t>
        </is>
      </c>
      <c r="C2021" s="12" t="inlineStr">
        <is>
          <t>['single stranded DNA chromosome']</t>
        </is>
      </c>
      <c r="D2021" s="12" t="n"/>
      <c r="E2021" s="12" t="n"/>
    </row>
    <row r="2022" ht="15" customHeight="1">
      <c r="A2022" s="12" t="inlineStr">
        <is>
          <t>SL1_acceptor_site</t>
        </is>
      </c>
      <c r="B2022" s="12" t="inlineStr">
        <is>
          <t>http://identifiers.org/so/SO:0000708</t>
        </is>
      </c>
      <c r="C2022" s="12" t="inlineStr">
        <is>
          <t>['single stranded RNA chromosome']</t>
        </is>
      </c>
      <c r="D2022" s="12" t="n"/>
      <c r="E2022" s="12" t="n"/>
    </row>
    <row r="2023" ht="15" customHeight="1">
      <c r="A2023" s="12" t="inlineStr">
        <is>
          <t>SL10_acceptor_site</t>
        </is>
      </c>
      <c r="B2023" s="12" t="inlineStr">
        <is>
          <t>http://identifiers.org/so/SO:0001755</t>
        </is>
      </c>
      <c r="C2023" s="12" t="inlineStr">
        <is>
          <t>['small interfering RNA', 'INSDC_qualifier:siRNA', 'INSDC_feature:ncRNA']</t>
        </is>
      </c>
      <c r="D2023" s="12" t="n"/>
      <c r="E2023" s="12" t="n"/>
    </row>
    <row r="2024" ht="15" customHeight="1">
      <c r="A2024" s="12" t="inlineStr">
        <is>
          <t>SL11_acceptor_site</t>
        </is>
      </c>
      <c r="B2024" s="12" t="inlineStr">
        <is>
          <t>http://identifiers.org/so/SO:0001756</t>
        </is>
      </c>
      <c r="C2024" s="12" t="n"/>
      <c r="D2024" s="12" t="n"/>
      <c r="E2024" s="12" t="n"/>
    </row>
    <row r="2025" ht="15" customHeight="1">
      <c r="A2025" s="12" t="inlineStr">
        <is>
          <t>SL12_acceptor_site</t>
        </is>
      </c>
      <c r="B2025" s="12" t="inlineStr">
        <is>
          <t>http://identifiers.org/so/SO:0001757</t>
        </is>
      </c>
      <c r="C2025" s="12" t="inlineStr">
        <is>
          <t>['6-cutter_restriction_site', 'six-cutter_restriction_site']</t>
        </is>
      </c>
      <c r="D2025" s="12" t="n"/>
      <c r="E2025" s="12" t="n"/>
    </row>
    <row r="2026" ht="15" customHeight="1">
      <c r="A2026" s="12" t="inlineStr">
        <is>
          <t>SL2_acceptor_site</t>
        </is>
      </c>
      <c r="B2026" s="12" t="inlineStr">
        <is>
          <t>http://identifiers.org/so/SO:0000709</t>
        </is>
      </c>
      <c r="C2026" s="12" t="inlineStr">
        <is>
          <t>['SL1 acceptor site']</t>
        </is>
      </c>
      <c r="D2026" s="12" t="n"/>
      <c r="E2026" s="12" t="n"/>
    </row>
    <row r="2027" ht="15" customHeight="1">
      <c r="A2027" s="12" t="inlineStr">
        <is>
          <t>SL3_acceptor_site</t>
        </is>
      </c>
      <c r="B2027" s="12" t="inlineStr">
        <is>
          <t>http://identifiers.org/so/SO:0001748</t>
        </is>
      </c>
      <c r="C2027" s="12" t="inlineStr">
        <is>
          <t>['SL10 acceptor site']</t>
        </is>
      </c>
      <c r="D2027" s="12" t="n"/>
      <c r="E2027" s="12" t="n"/>
    </row>
    <row r="2028" ht="15" customHeight="1">
      <c r="A2028" s="12" t="inlineStr">
        <is>
          <t>SL4_acceptor_site</t>
        </is>
      </c>
      <c r="B2028" s="12" t="inlineStr">
        <is>
          <t>http://identifiers.org/so/SO:0001749</t>
        </is>
      </c>
      <c r="C2028" s="12" t="inlineStr">
        <is>
          <t>['SL11 acceptor site']</t>
        </is>
      </c>
      <c r="D2028" s="12" t="n"/>
      <c r="E2028" s="12" t="n"/>
    </row>
    <row r="2029" ht="15" customHeight="1">
      <c r="A2029" s="12" t="inlineStr">
        <is>
          <t>SL5_acceptor_site</t>
        </is>
      </c>
      <c r="B2029" s="12" t="inlineStr">
        <is>
          <t>http://identifiers.org/so/SO:0001750</t>
        </is>
      </c>
      <c r="C2029" s="12" t="inlineStr">
        <is>
          <t>['SL12 acceptor site']</t>
        </is>
      </c>
      <c r="D2029" s="12" t="n"/>
      <c r="E2029" s="12" t="n"/>
    </row>
    <row r="2030" ht="15" customHeight="1">
      <c r="A2030" s="12" t="inlineStr">
        <is>
          <t>SL6_acceptor_site</t>
        </is>
      </c>
      <c r="B2030" s="12" t="inlineStr">
        <is>
          <t>http://identifiers.org/so/SO:0001751</t>
        </is>
      </c>
      <c r="C2030" s="12" t="inlineStr">
        <is>
          <t>['SL2 acceptor site']</t>
        </is>
      </c>
      <c r="D2030" s="12" t="n"/>
      <c r="E2030" s="12" t="n"/>
    </row>
    <row r="2031" ht="15" customHeight="1">
      <c r="A2031" s="12" t="inlineStr">
        <is>
          <t>SL7_acceptor_site</t>
        </is>
      </c>
      <c r="B2031" s="12" t="inlineStr">
        <is>
          <t>http://identifiers.org/so/SO:0001752</t>
        </is>
      </c>
      <c r="C2031" s="12" t="inlineStr">
        <is>
          <t>['SL3 acceptor site']</t>
        </is>
      </c>
      <c r="D2031" s="12" t="n"/>
      <c r="E2031" s="12" t="n"/>
    </row>
    <row r="2032" ht="15" customHeight="1">
      <c r="A2032" s="12" t="inlineStr">
        <is>
          <t>SL8_acceptor_site</t>
        </is>
      </c>
      <c r="B2032" s="12" t="inlineStr">
        <is>
          <t>http://identifiers.org/so/SO:0001753</t>
        </is>
      </c>
      <c r="C2032" s="12" t="inlineStr">
        <is>
          <t>['SL4 acceptor site']</t>
        </is>
      </c>
      <c r="D2032" s="12" t="n"/>
      <c r="E2032" s="12" t="n"/>
    </row>
    <row r="2033" ht="15" customHeight="1">
      <c r="A2033" s="12" t="inlineStr">
        <is>
          <t>SL9_acceptor_site</t>
        </is>
      </c>
      <c r="B2033" s="12" t="inlineStr">
        <is>
          <t>http://identifiers.org/so/SO:0001754</t>
        </is>
      </c>
      <c r="C2033" s="12" t="inlineStr">
        <is>
          <t>['SL5 acceptor site']</t>
        </is>
      </c>
      <c r="D2033" s="12" t="n"/>
      <c r="E2033" s="12" t="n"/>
    </row>
    <row r="2034" ht="15" customHeight="1">
      <c r="A2034" s="12" t="inlineStr">
        <is>
          <t>small_regulatory_ncRNA</t>
        </is>
      </c>
      <c r="B2034" s="12" t="inlineStr">
        <is>
          <t>http://identifiers.org/so/SO:0000370</t>
        </is>
      </c>
      <c r="C2034" s="12" t="inlineStr">
        <is>
          <t>['SL6 acceptor site']</t>
        </is>
      </c>
      <c r="D2034" s="12" t="n"/>
      <c r="E2034" s="12" t="n"/>
    </row>
    <row r="2035" ht="15" customHeight="1">
      <c r="A2035" s="12" t="inlineStr">
        <is>
          <t>small_subunit_rRNA</t>
        </is>
      </c>
      <c r="B2035" s="12" t="inlineStr">
        <is>
          <t>http://identifiers.org/so/SO:0000650</t>
        </is>
      </c>
      <c r="C2035" s="12" t="inlineStr">
        <is>
          <t>['SL37 acceptor site']</t>
        </is>
      </c>
      <c r="D2035" s="12" t="n"/>
      <c r="E2035" s="12" t="n"/>
    </row>
    <row r="2036" ht="15" customHeight="1">
      <c r="A2036" s="12" t="inlineStr">
        <is>
          <t>smFISH_probe</t>
        </is>
      </c>
      <c r="B2036" s="12" t="inlineStr">
        <is>
          <t>http://identifiers.org/so/SO:0001854</t>
        </is>
      </c>
      <c r="C2036" s="12" t="inlineStr">
        <is>
          <t>['SL8 acceptor site']</t>
        </is>
      </c>
      <c r="D2036" s="12" t="n"/>
      <c r="E2036" s="12" t="n"/>
    </row>
    <row r="2037" ht="15" customHeight="1">
      <c r="A2037" s="12" t="inlineStr">
        <is>
          <t>sncRNA</t>
        </is>
      </c>
      <c r="B2037" s="12" t="inlineStr">
        <is>
          <t>http://identifiers.org/so/SO:0002247</t>
        </is>
      </c>
      <c r="C2037" s="12" t="inlineStr">
        <is>
          <t>['SL9 acceptor site']</t>
        </is>
      </c>
      <c r="D2037" s="12" t="n"/>
      <c r="E2037" s="12" t="n"/>
    </row>
    <row r="2038" ht="15" customHeight="1">
      <c r="A2038" s="12" t="inlineStr">
        <is>
          <t>snoRNA</t>
        </is>
      </c>
      <c r="B2038" s="12" t="inlineStr">
        <is>
          <t>http://identifiers.org/so/SO:0000275</t>
        </is>
      </c>
      <c r="C2038" s="12" t="inlineStr">
        <is>
          <t>['small regulatory ncRNA']</t>
        </is>
      </c>
      <c r="D2038" s="12" t="n"/>
      <c r="E2038" s="12" t="n"/>
    </row>
    <row r="2039" ht="15" customHeight="1">
      <c r="A2039" s="12" t="inlineStr">
        <is>
          <t>snoRNA_encoding</t>
        </is>
      </c>
      <c r="B2039" s="12" t="inlineStr">
        <is>
          <t>http://identifiers.org/so/SO:0000578</t>
        </is>
      </c>
      <c r="C2039" s="12" t="inlineStr">
        <is>
          <t>['small subunit rRNA', 'SSU rRNA', 'SSU RNA']</t>
        </is>
      </c>
      <c r="D2039" s="12" t="n"/>
      <c r="E2039" s="12" t="n"/>
    </row>
    <row r="2040" ht="15" customHeight="1">
      <c r="A2040" s="12" t="inlineStr">
        <is>
          <t>snoRNA_gene</t>
        </is>
      </c>
      <c r="B2040" s="12" t="inlineStr">
        <is>
          <t>http://identifiers.org/so/SO:0001267</t>
        </is>
      </c>
      <c r="C2040" s="12" t="inlineStr">
        <is>
          <t>['smFISH probe', 'single molecule fish probe']</t>
        </is>
      </c>
      <c r="D2040" s="12" t="n"/>
      <c r="E2040" s="12" t="n"/>
    </row>
    <row r="2041" ht="15" customHeight="1">
      <c r="A2041" s="12" t="inlineStr">
        <is>
          <t>snoRNA_primary_transcript</t>
        </is>
      </c>
      <c r="B2041" s="12" t="inlineStr">
        <is>
          <t>http://identifiers.org/so/SO:0000232</t>
        </is>
      </c>
      <c r="C2041" s="12" t="inlineStr">
        <is>
          <t>['Small noncoding RNA']</t>
        </is>
      </c>
      <c r="D2041" s="12" t="n"/>
      <c r="E2041" s="12" t="n"/>
    </row>
    <row r="2042" ht="15" customHeight="1">
      <c r="A2042" s="12" t="inlineStr">
        <is>
          <t>SNP</t>
        </is>
      </c>
      <c r="B2042" s="12" t="inlineStr">
        <is>
          <t>http://identifiers.org/so/SO:0000694</t>
        </is>
      </c>
      <c r="C2042" s="12" t="inlineStr">
        <is>
          <t>['INSDC_feature:ncRNA', 'INSDC_qualifier:snoRNA', 'small nucleolar RNA']</t>
        </is>
      </c>
      <c r="D2042" s="12" t="n"/>
      <c r="E2042" s="12" t="n"/>
    </row>
    <row r="2043" ht="15" customHeight="1">
      <c r="A2043" s="12" t="inlineStr">
        <is>
          <t>snRNA</t>
        </is>
      </c>
      <c r="B2043" s="12" t="inlineStr">
        <is>
          <t>http://identifiers.org/so/SO:0000274</t>
        </is>
      </c>
      <c r="C2043" s="12" t="inlineStr">
        <is>
          <t>['snoRNA encoding']</t>
        </is>
      </c>
      <c r="D2043" s="12" t="n"/>
      <c r="E2043" s="12" t="n"/>
    </row>
    <row r="2044" ht="15" customHeight="1">
      <c r="A2044" s="12" t="inlineStr">
        <is>
          <t>snRNA_encoding</t>
        </is>
      </c>
      <c r="B2044" s="12" t="inlineStr">
        <is>
          <t>http://identifiers.org/so/SO:0000623</t>
        </is>
      </c>
      <c r="C2044" s="12" t="inlineStr">
        <is>
          <t>['snoRNA gene']</t>
        </is>
      </c>
      <c r="D2044" s="12" t="n"/>
      <c r="E2044" s="12" t="n"/>
    </row>
    <row r="2045" ht="15" customHeight="1">
      <c r="A2045" s="12" t="inlineStr">
        <is>
          <t>snRNA_gene</t>
        </is>
      </c>
      <c r="B2045" s="12" t="inlineStr">
        <is>
          <t>http://identifiers.org/so/SO:0001268</t>
        </is>
      </c>
      <c r="C2045" s="12" t="inlineStr">
        <is>
          <t>['snoRNA primary transcript']</t>
        </is>
      </c>
      <c r="D2045" s="12" t="n"/>
      <c r="E2045" s="12" t="n"/>
    </row>
    <row r="2046" ht="15" customHeight="1">
      <c r="A2046" s="12" t="inlineStr">
        <is>
          <t>snRNA_primary_transcript</t>
        </is>
      </c>
      <c r="B2046" s="12" t="inlineStr">
        <is>
          <t>http://identifiers.org/so/SO:0000231</t>
        </is>
      </c>
      <c r="C2046" s="12" t="inlineStr">
        <is>
          <t>['single nucleotide polymorphism']</t>
        </is>
      </c>
      <c r="D2046" s="12" t="n"/>
      <c r="E2046" s="12" t="n"/>
    </row>
    <row r="2047" ht="15" customHeight="1">
      <c r="A2047" s="12" t="inlineStr">
        <is>
          <t>SNV</t>
        </is>
      </c>
      <c r="B2047" s="12" t="inlineStr">
        <is>
          <t>http://identifiers.org/so/SO:0001483</t>
        </is>
      </c>
      <c r="C2047" s="12" t="inlineStr">
        <is>
          <t>['INSDC_feature:ncRNA', 'small nuclear RNA', 'INSDC_qualifier:snRNA']</t>
        </is>
      </c>
      <c r="D2047" s="12" t="n"/>
      <c r="E2047" s="12" t="n"/>
    </row>
    <row r="2048" ht="15" customHeight="1">
      <c r="A2048" s="12" t="inlineStr">
        <is>
          <t>SNV_artifact</t>
        </is>
      </c>
      <c r="B2048" s="12" t="inlineStr">
        <is>
          <t>http://identifiers.org/so/SO:0002178</t>
        </is>
      </c>
      <c r="C2048" s="12" t="inlineStr">
        <is>
          <t>['snRNA encoding']</t>
        </is>
      </c>
      <c r="D2048" s="12" t="n"/>
      <c r="E2048" s="12" t="n"/>
    </row>
    <row r="2049" ht="15" customHeight="1">
      <c r="A2049" s="12" t="inlineStr">
        <is>
          <t>solo_LTR</t>
        </is>
      </c>
      <c r="B2049" s="12" t="inlineStr">
        <is>
          <t>http://identifiers.org/so/SO:0001003</t>
        </is>
      </c>
      <c r="C2049" s="12" t="inlineStr">
        <is>
          <t>['snRNA gene', 'small nuclear RNA gene']</t>
        </is>
      </c>
      <c r="D2049" s="12" t="n"/>
      <c r="E2049" s="12" t="n"/>
    </row>
    <row r="2050" ht="15" customHeight="1">
      <c r="A2050" s="12" t="inlineStr">
        <is>
          <t>somatic_variant</t>
        </is>
      </c>
      <c r="B2050" s="12" t="inlineStr">
        <is>
          <t>http://identifiers.org/so/SO:0001777</t>
        </is>
      </c>
      <c r="C2050" s="12" t="inlineStr">
        <is>
          <t>['snRNA primary transcript']</t>
        </is>
      </c>
      <c r="D2050" s="12" t="n"/>
      <c r="E2050" s="12" t="n"/>
    </row>
    <row r="2051" ht="15" customHeight="1">
      <c r="A2051" s="12" t="inlineStr">
        <is>
          <t>sonicate_fragment</t>
        </is>
      </c>
      <c r="B2051" s="12" t="inlineStr">
        <is>
          <t>http://identifiers.org/so/SO:0001253</t>
        </is>
      </c>
      <c r="C2051" s="12" t="inlineStr">
        <is>
          <t>['single nucleotide variant']</t>
        </is>
      </c>
      <c r="D2051" s="12" t="n"/>
      <c r="E2051" s="12" t="n"/>
    </row>
    <row r="2052" ht="15" customHeight="1">
      <c r="A2052" s="12" t="inlineStr">
        <is>
          <t>sORF</t>
        </is>
      </c>
      <c r="B2052" s="12" t="inlineStr">
        <is>
          <t>http://identifiers.org/so/SO:0002028</t>
        </is>
      </c>
      <c r="C2052" s="12" t="inlineStr">
        <is>
          <t>['SNV artifact']</t>
        </is>
      </c>
      <c r="D2052" s="12" t="n"/>
      <c r="E2052" s="12" t="n"/>
    </row>
    <row r="2053" ht="15" customHeight="1">
      <c r="A2053" s="12" t="inlineStr">
        <is>
          <t>SP6_RNA_Polymerase_Promoter</t>
        </is>
      </c>
      <c r="B2053" s="12" t="inlineStr">
        <is>
          <t>http://identifiers.org/so/SO:0001205</t>
        </is>
      </c>
      <c r="C2053" s="12" t="inlineStr">
        <is>
          <t>['solo LTR']</t>
        </is>
      </c>
      <c r="D2053" s="12" t="n"/>
      <c r="E2053" s="12" t="n"/>
    </row>
    <row r="2054" ht="15" customHeight="1">
      <c r="A2054" s="12" t="inlineStr">
        <is>
          <t>specific_recombination_site</t>
        </is>
      </c>
      <c r="B2054" s="12" t="inlineStr">
        <is>
          <t>http://identifiers.org/so/SO:0000299</t>
        </is>
      </c>
      <c r="C2054" s="12" t="inlineStr">
        <is>
          <t>['somatic variant']</t>
        </is>
      </c>
      <c r="D2054" s="12" t="n"/>
      <c r="E2054" s="12" t="n"/>
    </row>
    <row r="2055" ht="15" customHeight="1">
      <c r="A2055" s="12" t="inlineStr">
        <is>
          <t>splice_acceptor_variant</t>
        </is>
      </c>
      <c r="B2055" s="12" t="inlineStr">
        <is>
          <t>http://identifiers.org/so/SO:0001574</t>
        </is>
      </c>
      <c r="C2055" s="12" t="inlineStr">
        <is>
          <t>['sonicate fragment']</t>
        </is>
      </c>
      <c r="D2055" s="12" t="n"/>
      <c r="E2055" s="12" t="n"/>
    </row>
    <row r="2056" ht="15" customHeight="1">
      <c r="A2056" s="12" t="inlineStr">
        <is>
          <t>splice_donor_5th_base_variant</t>
        </is>
      </c>
      <c r="B2056" s="12" t="inlineStr">
        <is>
          <t>http://identifiers.org/so/SO:0001787</t>
        </is>
      </c>
      <c r="C2056" s="12" t="inlineStr">
        <is>
          <t>['smORF', 'small ORF']</t>
        </is>
      </c>
      <c r="D2056" s="12" t="n"/>
      <c r="E2056" s="12" t="n"/>
    </row>
    <row r="2057" ht="15" customHeight="1">
      <c r="A2057" s="12" t="inlineStr">
        <is>
          <t>splice_donor_region_variant</t>
        </is>
      </c>
      <c r="B2057" s="12" t="inlineStr">
        <is>
          <t>http://identifiers.org/so/SO:0002170</t>
        </is>
      </c>
      <c r="C2057" s="12" t="inlineStr">
        <is>
          <t>['SP6 RNA Polymerase Promoter']</t>
        </is>
      </c>
      <c r="D2057" s="12" t="n"/>
      <c r="E2057" s="12" t="n"/>
    </row>
    <row r="2058" ht="15" customHeight="1">
      <c r="A2058" s="12" t="inlineStr">
        <is>
          <t>splice_donor_variant</t>
        </is>
      </c>
      <c r="B2058" s="12" t="inlineStr">
        <is>
          <t>http://identifiers.org/so/SO:0001575</t>
        </is>
      </c>
      <c r="C2058" s="12" t="inlineStr">
        <is>
          <t>['specific recombination site']</t>
        </is>
      </c>
      <c r="D2058" s="12" t="n"/>
      <c r="E2058" s="12" t="n"/>
    </row>
    <row r="2059" ht="15" customHeight="1">
      <c r="A2059" s="12" t="inlineStr">
        <is>
          <t>splice_enhancer</t>
        </is>
      </c>
      <c r="B2059" s="12" t="inlineStr">
        <is>
          <t>http://identifiers.org/so/SO:0000344</t>
        </is>
      </c>
      <c r="C2059" s="12" t="inlineStr">
        <is>
          <t>['snpEff:SPLICE_SITE_ACCEPTOR', 'splice acceptor variant', 'Jannovar:splice_acceptor_variant', 'VAAST:splice_acceptor_variant', 'VEP:splice_acceptor_variant', 'Seattleseq:splice-acceptor']</t>
        </is>
      </c>
      <c r="D2059" s="12" t="n"/>
      <c r="E2059" s="12" t="n"/>
    </row>
    <row r="2060" ht="15" customHeight="1">
      <c r="A2060" s="12" t="inlineStr">
        <is>
          <t>splice_junction</t>
        </is>
      </c>
      <c r="B2060" s="12" t="inlineStr">
        <is>
          <t>http://identifiers.org/so/SO:0001421</t>
        </is>
      </c>
      <c r="C2060" s="12" t="inlineStr">
        <is>
          <t>['splice donor 5th base variant']</t>
        </is>
      </c>
      <c r="D2060" s="12" t="n"/>
      <c r="E2060" s="12" t="n"/>
    </row>
    <row r="2061" ht="15" customHeight="1">
      <c r="A2061" s="12" t="inlineStr">
        <is>
          <t>splice_polypyrimidine_tract_variant</t>
        </is>
      </c>
      <c r="B2061" s="12" t="inlineStr">
        <is>
          <t>http://identifiers.org/so/SO:0002169</t>
        </is>
      </c>
      <c r="C2061" s="12" t="inlineStr">
        <is>
          <t>['splice donor region variant']</t>
        </is>
      </c>
      <c r="D2061" s="12" t="n"/>
      <c r="E2061" s="12" t="n"/>
    </row>
    <row r="2062" ht="15" customHeight="1">
      <c r="A2062" s="12" t="inlineStr">
        <is>
          <t>splice_region</t>
        </is>
      </c>
      <c r="B2062" s="12" t="inlineStr">
        <is>
          <t>http://identifiers.org/so/SO:0001902</t>
        </is>
      </c>
      <c r="C2062" s="12" t="inlineStr">
        <is>
          <t>['Jannovar:splice_donor_variant', 'VEP:splice_donor_variant', 'snpEff:SPLICE_SITE_DONOR', 'VAAST:splice_donor_variant', 'Seattleseq:splice-donor', 'splice donor variant']</t>
        </is>
      </c>
      <c r="D2062" s="12" t="n"/>
      <c r="E2062" s="12" t="n"/>
    </row>
    <row r="2063" ht="15" customHeight="1">
      <c r="A2063" s="12" t="inlineStr">
        <is>
          <t>splice_region_variant</t>
        </is>
      </c>
      <c r="B2063" s="12" t="inlineStr">
        <is>
          <t>http://identifiers.org/so/SO:0001630</t>
        </is>
      </c>
      <c r="C2063" s="12" t="inlineStr">
        <is>
          <t>['splice enhancer']</t>
        </is>
      </c>
      <c r="D2063" s="12" t="n"/>
      <c r="E2063" s="12" t="n"/>
    </row>
    <row r="2064" ht="15" customHeight="1">
      <c r="A2064" s="12" t="inlineStr">
        <is>
          <t>splice_site</t>
        </is>
      </c>
      <c r="B2064" s="12" t="inlineStr">
        <is>
          <t>http://identifiers.org/so/SO:0000162</t>
        </is>
      </c>
      <c r="C2064" s="12" t="inlineStr">
        <is>
          <t>['splice boundary', 'splice junction']</t>
        </is>
      </c>
      <c r="D2064" s="12" t="n"/>
      <c r="E2064" s="12" t="n"/>
    </row>
    <row r="2065" ht="15" customHeight="1">
      <c r="A2065" s="12" t="inlineStr">
        <is>
          <t>splice_site_variant</t>
        </is>
      </c>
      <c r="B2065" s="12" t="inlineStr">
        <is>
          <t>http://identifiers.org/so/SO:0001629</t>
        </is>
      </c>
      <c r="C2065" s="12" t="inlineStr">
        <is>
          <t>['splice polypyrimidine tract variant']</t>
        </is>
      </c>
      <c r="D2065" s="12" t="n"/>
      <c r="E2065" s="12" t="n"/>
    </row>
    <row r="2066" ht="15" customHeight="1">
      <c r="A2066" s="12" t="inlineStr">
        <is>
          <t>spliced_leader_RNA</t>
        </is>
      </c>
      <c r="B2066" s="12" t="inlineStr">
        <is>
          <t>http://identifiers.org/so/SO:0000636</t>
        </is>
      </c>
      <c r="C2066" s="12" t="inlineStr">
        <is>
          <t>['splice region']</t>
        </is>
      </c>
      <c r="D2066" s="12" t="n"/>
      <c r="E2066" s="12" t="n"/>
    </row>
    <row r="2067" ht="15" customHeight="1">
      <c r="A2067" s="12" t="inlineStr">
        <is>
          <t>spliceosomal_intron</t>
        </is>
      </c>
      <c r="B2067" s="12" t="inlineStr">
        <is>
          <t>http://identifiers.org/so/SO:0000662</t>
        </is>
      </c>
      <c r="C2067" s="12" t="inlineStr">
        <is>
          <t>['ANNOVAR:splicing', 'Jannovar:splice_region_variant', 'VAAST:splice_region_variant', 'snpEff:SPLICE_SITE_REGION', 'snpEff:SPLICE_SITE_BRANCH_U12', 'snpEff:SPLICE_SITE_BRANCH', 'VEP:splice_region_variant', 'splice region variant']</t>
        </is>
      </c>
      <c r="D2067" s="12" t="n"/>
      <c r="E2067" s="12" t="n"/>
    </row>
    <row r="2068" ht="15" customHeight="1">
      <c r="A2068" s="12" t="inlineStr">
        <is>
          <t>spliceosomal_intron_region</t>
        </is>
      </c>
      <c r="B2068" s="12" t="inlineStr">
        <is>
          <t>http://identifiers.org/so/SO:0000841</t>
        </is>
      </c>
      <c r="C2068" s="12" t="inlineStr">
        <is>
          <t>['splice site']</t>
        </is>
      </c>
      <c r="D2068" s="12" t="n"/>
      <c r="E2068" s="12" t="n"/>
    </row>
    <row r="2069" ht="15" customHeight="1">
      <c r="A2069" s="12" t="inlineStr">
        <is>
          <t>splicing_feature</t>
        </is>
      </c>
      <c r="B2069" s="12" t="inlineStr">
        <is>
          <t>http://identifiers.org/so/SO:0000682</t>
        </is>
      </c>
      <c r="C2069" s="12" t="inlineStr">
        <is>
          <t>['essential_splice_site', 'splice site variant', 'VAT:spliceOverlap']</t>
        </is>
      </c>
      <c r="D2069" s="12" t="n"/>
      <c r="E2069" s="12" t="n"/>
    </row>
    <row r="2070" ht="15" customHeight="1">
      <c r="A2070" s="12" t="inlineStr">
        <is>
          <t>splicing_regulatory_region</t>
        </is>
      </c>
      <c r="B2070" s="12" t="inlineStr">
        <is>
          <t>http://identifiers.org/so/SO:0001056</t>
        </is>
      </c>
      <c r="C2070" s="12" t="inlineStr">
        <is>
          <t>['mini-exon', 'spliced leader RNA']</t>
        </is>
      </c>
      <c r="D2070" s="12" t="n"/>
      <c r="E2070" s="12" t="n"/>
    </row>
    <row r="2071" ht="15" customHeight="1">
      <c r="A2071" s="12" t="inlineStr">
        <is>
          <t>splicing_variant</t>
        </is>
      </c>
      <c r="B2071" s="12" t="inlineStr">
        <is>
          <t>http://identifiers.org/so/SO:0001568</t>
        </is>
      </c>
      <c r="C2071" s="12" t="inlineStr">
        <is>
          <t>['spliceosomal intron']</t>
        </is>
      </c>
      <c r="D2071" s="12" t="n"/>
      <c r="E2071" s="12" t="n"/>
    </row>
    <row r="2072" ht="15" customHeight="1">
      <c r="A2072" s="12" t="inlineStr">
        <is>
          <t>spot_42_RNA</t>
        </is>
      </c>
      <c r="B2072" s="12" t="inlineStr">
        <is>
          <t>http://identifiers.org/so/SO:0000389</t>
        </is>
      </c>
      <c r="C2072" s="12" t="inlineStr">
        <is>
          <t>['spliceosomal intron region']</t>
        </is>
      </c>
      <c r="D2072" s="12" t="n"/>
      <c r="E2072" s="12" t="n"/>
    </row>
    <row r="2073" ht="15" customHeight="1">
      <c r="A2073" s="12" t="inlineStr">
        <is>
          <t>spurious_protein</t>
        </is>
      </c>
      <c r="B2073" s="12" t="inlineStr">
        <is>
          <t>http://identifiers.org/so/SO:0002248</t>
        </is>
      </c>
      <c r="C2073" s="12" t="n"/>
      <c r="D2073" s="12" t="n"/>
      <c r="E2073" s="12" t="n"/>
    </row>
    <row r="2074" ht="15" customHeight="1">
      <c r="A2074" s="12" t="inlineStr">
        <is>
          <t>SRP_RNA</t>
        </is>
      </c>
      <c r="B2074" s="12" t="inlineStr">
        <is>
          <t>http://identifiers.org/so/SO:0000590</t>
        </is>
      </c>
      <c r="C2074" s="12" t="inlineStr">
        <is>
          <t>['splicing regulatory region']</t>
        </is>
      </c>
      <c r="D2074" s="12" t="n"/>
      <c r="E2074" s="12" t="n"/>
    </row>
    <row r="2075" ht="15" customHeight="1">
      <c r="A2075" s="12" t="inlineStr">
        <is>
          <t>SRP_RNA_encoding</t>
        </is>
      </c>
      <c r="B2075" s="12" t="inlineStr">
        <is>
          <t>http://identifiers.org/so/SO:0000642</t>
        </is>
      </c>
      <c r="C2075" s="12" t="inlineStr">
        <is>
          <t>['Jannovar:splicing_variant', 'splicing variant']</t>
        </is>
      </c>
      <c r="D2075" s="12" t="n"/>
      <c r="E2075" s="12" t="n"/>
    </row>
    <row r="2076" ht="15" customHeight="1">
      <c r="A2076" s="12" t="inlineStr">
        <is>
          <t>SRP_RNA_gene</t>
        </is>
      </c>
      <c r="B2076" s="12" t="inlineStr">
        <is>
          <t>http://identifiers.org/so/SO:0001269</t>
        </is>
      </c>
      <c r="C2076" s="12" t="inlineStr">
        <is>
          <t>['spot-42 RNA']</t>
        </is>
      </c>
      <c r="D2076" s="12" t="n"/>
      <c r="E2076" s="12" t="n"/>
    </row>
    <row r="2077" ht="15" customHeight="1">
      <c r="A2077" s="12" t="inlineStr">
        <is>
          <t>SRP_RNA_primary_transcript</t>
        </is>
      </c>
      <c r="B2077" s="12" t="inlineStr">
        <is>
          <t>http://identifiers.org/so/SO:0000589</t>
        </is>
      </c>
      <c r="C2077" s="12" t="inlineStr">
        <is>
          <t>['spurious protein']</t>
        </is>
      </c>
      <c r="D2077" s="12" t="n"/>
      <c r="E2077" s="12" t="n"/>
    </row>
    <row r="2078" ht="15" customHeight="1">
      <c r="A2078" s="12" t="inlineStr">
        <is>
          <t>ss_oligo</t>
        </is>
      </c>
      <c r="B2078" s="12" t="inlineStr">
        <is>
          <t>http://identifiers.org/so/SO:0000441</t>
        </is>
      </c>
      <c r="C2078" s="12" t="inlineStr">
        <is>
          <t>['7S RNA', 'signal recognition particle RNA', 'INSDC_feature:ncRNA', 'SRP RNA', 'INSDC_qualifier:SRP_RNA']</t>
        </is>
      </c>
      <c r="D2078" s="12" t="n"/>
      <c r="E2078" s="12" t="n"/>
    </row>
    <row r="2079" ht="15" customHeight="1">
      <c r="A2079" s="12" t="inlineStr">
        <is>
          <t>ss_RNA_viral_sequence</t>
        </is>
      </c>
      <c r="B2079" s="12" t="inlineStr">
        <is>
          <t>http://identifiers.org/so/SO:0001199</t>
        </is>
      </c>
      <c r="C2079" s="12" t="inlineStr">
        <is>
          <t>['SRP RNA encoding']</t>
        </is>
      </c>
      <c r="D2079" s="12" t="n"/>
      <c r="E2079" s="12" t="n"/>
    </row>
    <row r="2080" ht="15" customHeight="1">
      <c r="A2080" s="12" t="inlineStr">
        <is>
          <t>st_turn_left_handed_type_one</t>
        </is>
      </c>
      <c r="B2080" s="12" t="inlineStr">
        <is>
          <t>http://identifiers.org/so/SO:0001142</t>
        </is>
      </c>
      <c r="C2080" s="12" t="inlineStr">
        <is>
          <t>['SRP RNA gene']</t>
        </is>
      </c>
      <c r="D2080" s="12" t="n"/>
      <c r="E2080" s="12" t="n"/>
    </row>
    <row r="2081" ht="15" customHeight="1">
      <c r="A2081" s="12" t="inlineStr">
        <is>
          <t>st_turn_left_handed_type_two</t>
        </is>
      </c>
      <c r="B2081" s="12" t="inlineStr">
        <is>
          <t>http://identifiers.org/so/SO:0001143</t>
        </is>
      </c>
      <c r="C2081" s="12" t="inlineStr">
        <is>
          <t>['SRP RNA primary transcript']</t>
        </is>
      </c>
      <c r="D2081" s="12" t="n"/>
      <c r="E2081" s="12" t="n"/>
    </row>
    <row r="2082" ht="15" customHeight="1">
      <c r="A2082" s="12" t="inlineStr">
        <is>
          <t>st_turn_right_handed_type_one</t>
        </is>
      </c>
      <c r="B2082" s="12" t="inlineStr">
        <is>
          <t>http://identifiers.org/so/SO:0001144</t>
        </is>
      </c>
      <c r="C2082" s="12" t="inlineStr">
        <is>
          <t>['single stranded oligonucleotide', 'ss oligonucleotide', 'single strand oligonucleotide', 'single strand oligo', 'ss oligo']</t>
        </is>
      </c>
      <c r="D2082" s="12" t="n"/>
      <c r="E2082" s="12" t="n"/>
    </row>
    <row r="2083" ht="15" customHeight="1">
      <c r="A2083" s="12" t="inlineStr">
        <is>
          <t>st_turn_right_handed_type_two</t>
        </is>
      </c>
      <c r="B2083" s="12" t="inlineStr">
        <is>
          <t>http://identifiers.org/so/SO:0001145</t>
        </is>
      </c>
      <c r="C2083" s="12" t="inlineStr">
        <is>
          <t>['single strand RNA virus', 'ss RNA viral sequence']</t>
        </is>
      </c>
      <c r="D2083" s="12" t="n"/>
      <c r="E2083" s="12" t="n"/>
    </row>
    <row r="2084" ht="15" customHeight="1">
      <c r="A2084" s="12" t="inlineStr">
        <is>
          <t>standard_draft</t>
        </is>
      </c>
      <c r="B2084" s="12" t="inlineStr">
        <is>
          <t>http://identifiers.org/so/SO:0001486</t>
        </is>
      </c>
      <c r="C2084" s="12" t="inlineStr">
        <is>
          <t>['st_turn_il', 'st turn left handed type one']</t>
        </is>
      </c>
      <c r="D2084" s="12" t="n"/>
      <c r="E2084" s="12" t="n"/>
    </row>
    <row r="2085" ht="15" customHeight="1">
      <c r="A2085" s="12" t="inlineStr">
        <is>
          <t>start_codon</t>
        </is>
      </c>
      <c r="B2085" s="12" t="inlineStr">
        <is>
          <t>http://identifiers.org/so/SO:0000318</t>
        </is>
      </c>
      <c r="C2085" s="12" t="inlineStr">
        <is>
          <t>['st_turn_iil', 'st turn left handed type two']</t>
        </is>
      </c>
      <c r="D2085" s="12" t="n"/>
      <c r="E2085" s="12" t="n"/>
    </row>
    <row r="2086" ht="15" customHeight="1">
      <c r="A2086" s="12" t="inlineStr">
        <is>
          <t>start_lost</t>
        </is>
      </c>
      <c r="B2086" s="12" t="inlineStr">
        <is>
          <t>http://identifiers.org/so/SO:0002012</t>
        </is>
      </c>
      <c r="C2086" s="12" t="inlineStr">
        <is>
          <t>['st_turn_ir', 'st turn right handed type one']</t>
        </is>
      </c>
      <c r="D2086" s="12" t="n"/>
      <c r="E2086" s="12" t="n"/>
    </row>
    <row r="2087" ht="15" customHeight="1">
      <c r="A2087" s="12" t="inlineStr">
        <is>
          <t>start_retained_variant</t>
        </is>
      </c>
      <c r="B2087" s="12" t="inlineStr">
        <is>
          <t>http://identifiers.org/so/SO:0002019</t>
        </is>
      </c>
      <c r="C2087" s="12" t="inlineStr">
        <is>
          <t>['st turn right handed type two', 'st_turn_iir']</t>
        </is>
      </c>
      <c r="D2087" s="12" t="n"/>
      <c r="E2087" s="12" t="n"/>
    </row>
    <row r="2088" ht="15" customHeight="1">
      <c r="A2088" s="12" t="inlineStr">
        <is>
          <t>status</t>
        </is>
      </c>
      <c r="B2088" s="12" t="inlineStr">
        <is>
          <t>http://identifiers.org/so/SO:0000905</t>
        </is>
      </c>
      <c r="C2088" s="12" t="inlineStr">
        <is>
          <t>['standard draft']</t>
        </is>
      </c>
      <c r="D2088" s="12" t="n"/>
      <c r="E2088" s="12" t="n"/>
    </row>
    <row r="2089" ht="15" customHeight="1">
      <c r="A2089" s="12" t="inlineStr">
        <is>
          <t>status_of_coding_sequence</t>
        </is>
      </c>
      <c r="B2089" s="12" t="inlineStr">
        <is>
          <t>http://identifiers.org/so/SO:1001255</t>
        </is>
      </c>
      <c r="C2089" s="12" t="inlineStr">
        <is>
          <t>['start codon', 'initiation codon']</t>
        </is>
      </c>
      <c r="D2089" s="12" t="n"/>
      <c r="E2089" s="12" t="n"/>
    </row>
    <row r="2090" ht="15" customHeight="1">
      <c r="A2090" s="12" t="inlineStr">
        <is>
          <t>stem</t>
        </is>
      </c>
      <c r="B2090" s="12" t="inlineStr">
        <is>
          <t>http://identifiers.org/so/SO:0002255</t>
        </is>
      </c>
      <c r="C2090" s="12" t="inlineStr">
        <is>
          <t>['VEP:start_lost', 'Jannovar:start_lost', 'snpEff:START_LOST']</t>
        </is>
      </c>
      <c r="D2090" s="12" t="n"/>
      <c r="E2090" s="12" t="n"/>
    </row>
    <row r="2091" ht="15" customHeight="1">
      <c r="A2091" s="12" t="inlineStr">
        <is>
          <t>stem_loop</t>
        </is>
      </c>
      <c r="B2091" s="12" t="inlineStr">
        <is>
          <t>http://identifiers.org/so/SO:0000313</t>
        </is>
      </c>
      <c r="C2091" s="12" t="inlineStr">
        <is>
          <t>['snpEff:SYNONYMOUS_START']</t>
        </is>
      </c>
      <c r="D2091" s="12" t="n"/>
      <c r="E2091" s="12" t="n"/>
    </row>
    <row r="2092" ht="15" customHeight="1">
      <c r="A2092" s="12" t="inlineStr">
        <is>
          <t>stem_loop_region</t>
        </is>
      </c>
      <c r="B2092" s="12" t="inlineStr">
        <is>
          <t>http://identifiers.org/so/SO:0002253</t>
        </is>
      </c>
      <c r="C2092" s="12" t="n"/>
      <c r="D2092" s="12" t="n"/>
      <c r="E2092" s="12" t="n"/>
    </row>
    <row r="2093" ht="15" customHeight="1">
      <c r="A2093" s="12" t="inlineStr">
        <is>
          <t>sterol_regulatory_element</t>
        </is>
      </c>
      <c r="B2093" s="12" t="inlineStr">
        <is>
          <t>http://identifiers.org/so/SO:0001861</t>
        </is>
      </c>
      <c r="C2093" s="12" t="n"/>
      <c r="D2093" s="12" t="n"/>
      <c r="E2093" s="12" t="n"/>
    </row>
    <row r="2094" ht="15" customHeight="1">
      <c r="A2094" s="12" t="inlineStr">
        <is>
          <t>sticky_end_restriction_enzyme_cleavage_site</t>
        </is>
      </c>
      <c r="B2094" s="12" t="inlineStr">
        <is>
          <t>http://identifiers.org/so/SO:0001692</t>
        </is>
      </c>
      <c r="C2094" s="12" t="inlineStr">
        <is>
          <t>['stem portion of stem loop']</t>
        </is>
      </c>
      <c r="D2094" s="12" t="n"/>
      <c r="E2094" s="12" t="n"/>
    </row>
    <row r="2095" ht="15" customHeight="1">
      <c r="A2095" s="12" t="inlineStr">
        <is>
          <t>stop_codon</t>
        </is>
      </c>
      <c r="B2095" s="12" t="inlineStr">
        <is>
          <t>http://identifiers.org/so/SO:0000319</t>
        </is>
      </c>
      <c r="C2095" s="12" t="inlineStr">
        <is>
          <t>['RNA_hairpin_loop', 'stem-loop', 'stem loop', 'INSDC_feature:stem_loop']</t>
        </is>
      </c>
      <c r="D2095" s="12" t="n"/>
      <c r="E2095" s="12" t="n"/>
    </row>
    <row r="2096" ht="15" customHeight="1">
      <c r="A2096" s="12" t="inlineStr">
        <is>
          <t>stop_codon_read_through</t>
        </is>
      </c>
      <c r="B2096" s="12" t="inlineStr">
        <is>
          <t>http://identifiers.org/so/SO:0000883</t>
        </is>
      </c>
      <c r="C2096" s="12" t="inlineStr">
        <is>
          <t>['stem loop region']</t>
        </is>
      </c>
      <c r="D2096" s="12" t="n"/>
      <c r="E2096" s="12" t="n"/>
    </row>
    <row r="2097" ht="15" customHeight="1">
      <c r="A2097" s="12" t="inlineStr">
        <is>
          <t>stop_codon_readthrough</t>
        </is>
      </c>
      <c r="B2097" s="12" t="inlineStr">
        <is>
          <t>http://identifiers.org/so/SO:1001267</t>
        </is>
      </c>
      <c r="C2097" s="12" t="inlineStr">
        <is>
          <t>['SRE']</t>
        </is>
      </c>
      <c r="D2097" s="12" t="n"/>
      <c r="E2097" s="12" t="n"/>
    </row>
    <row r="2098" ht="15" customHeight="1">
      <c r="A2098" s="12" t="inlineStr">
        <is>
          <t>stop_codon_redefined_as_pyrrolysine</t>
        </is>
      </c>
      <c r="B2098" s="12" t="inlineStr">
        <is>
          <t>http://identifiers.org/so/SO:0000884</t>
        </is>
      </c>
      <c r="C2098" s="12" t="inlineStr">
        <is>
          <t>['sticky end restriction enzyme cleavage site']</t>
        </is>
      </c>
      <c r="D2098" s="12" t="n"/>
      <c r="E2098" s="12" t="n"/>
    </row>
    <row r="2099" ht="15" customHeight="1">
      <c r="A2099" s="12" t="inlineStr">
        <is>
          <t>stop_codon_redefined_as_selenocysteine</t>
        </is>
      </c>
      <c r="B2099" s="12" t="inlineStr">
        <is>
          <t>http://identifiers.org/so/SO:0000885</t>
        </is>
      </c>
      <c r="C2099" s="12" t="inlineStr">
        <is>
          <t>['stop codon']</t>
        </is>
      </c>
      <c r="D2099" s="12" t="n"/>
      <c r="E2099" s="12" t="n"/>
    </row>
    <row r="2100" ht="15" customHeight="1">
      <c r="A2100" s="12" t="inlineStr">
        <is>
          <t>stop_codon_redefinition_as_pyrrolysine</t>
        </is>
      </c>
      <c r="B2100" s="12" t="inlineStr">
        <is>
          <t>http://identifiers.org/so/SO:1001270</t>
        </is>
      </c>
      <c r="C2100" s="12" t="inlineStr">
        <is>
          <t>['stop codon read through', 'stop codon readthrough']</t>
        </is>
      </c>
      <c r="D2100" s="12" t="n"/>
      <c r="E2100" s="12" t="n"/>
    </row>
    <row r="2101" ht="15" customHeight="1">
      <c r="A2101" s="12" t="inlineStr">
        <is>
          <t>stop_codon_redefinition_as_selenocysteine</t>
        </is>
      </c>
      <c r="B2101" s="12" t="inlineStr">
        <is>
          <t>http://identifiers.org/so/SO:1001266</t>
        </is>
      </c>
      <c r="C2101" s="12" t="n"/>
      <c r="D2101" s="12" t="n"/>
      <c r="E2101" s="12" t="n"/>
    </row>
    <row r="2102" ht="15" customHeight="1">
      <c r="A2102" s="12" t="inlineStr">
        <is>
          <t>stop_codon_signal</t>
        </is>
      </c>
      <c r="B2102" s="12" t="inlineStr">
        <is>
          <t>http://identifiers.org/so/SO:1001288</t>
        </is>
      </c>
      <c r="C2102" s="12" t="inlineStr">
        <is>
          <t>['stop codon redefined as pyrrolysine']</t>
        </is>
      </c>
      <c r="D2102" s="12" t="n"/>
      <c r="E2102" s="12" t="n"/>
    </row>
    <row r="2103" ht="15" customHeight="1">
      <c r="A2103" s="12" t="inlineStr">
        <is>
          <t>stop_gained</t>
        </is>
      </c>
      <c r="B2103" s="12" t="inlineStr">
        <is>
          <t>http://identifiers.org/so/SO:0001587</t>
        </is>
      </c>
      <c r="C2103" s="12" t="inlineStr">
        <is>
          <t>['stop codon redefined as selenocysteine']</t>
        </is>
      </c>
      <c r="D2103" s="12" t="n"/>
      <c r="E2103" s="12" t="n"/>
    </row>
    <row r="2104" ht="15" customHeight="1">
      <c r="A2104" s="12" t="inlineStr">
        <is>
          <t>stop_lost</t>
        </is>
      </c>
      <c r="B2104" s="12" t="inlineStr">
        <is>
          <t>http://identifiers.org/so/SO:0001578</t>
        </is>
      </c>
      <c r="C2104" s="12" t="n"/>
      <c r="D2104" s="12" t="n"/>
      <c r="E2104" s="12" t="n"/>
    </row>
    <row r="2105" ht="15" customHeight="1">
      <c r="A2105" s="12" t="inlineStr">
        <is>
          <t>stop_retained_variant</t>
        </is>
      </c>
      <c r="B2105" s="12" t="inlineStr">
        <is>
          <t>http://identifiers.org/so/SO:0001567</t>
        </is>
      </c>
      <c r="C2105" s="12" t="n"/>
      <c r="D2105" s="12" t="n"/>
      <c r="E2105" s="12" t="n"/>
    </row>
    <row r="2106" ht="15" customHeight="1">
      <c r="A2106" s="12" t="inlineStr">
        <is>
          <t>strand_attribute</t>
        </is>
      </c>
      <c r="B2106" s="12" t="inlineStr">
        <is>
          <t>http://identifiers.org/so/SO:0000983</t>
        </is>
      </c>
      <c r="C2106" s="12" t="inlineStr">
        <is>
          <t>['stop codon signal']</t>
        </is>
      </c>
      <c r="D2106" s="12" t="n"/>
      <c r="E2106" s="12" t="n"/>
    </row>
    <row r="2107" ht="15" customHeight="1">
      <c r="A2107" s="12" t="inlineStr">
        <is>
          <t>STREP_motif</t>
        </is>
      </c>
      <c r="B2107" s="12" t="inlineStr">
        <is>
          <t>http://identifiers.org/so/SO:0001859</t>
        </is>
      </c>
      <c r="C2107" s="12" t="inlineStr">
        <is>
          <t>['nonsense', 'stop gained', 'stop codon gained', 'nonsense codon', 'Jannovar:stop_gained', 'Seattleseq:stop-gained', 'VAT:prematureStop', 'VEP:stop_gained', 'snpEff:STOP_GAINED', 'ANNOVAR:stopgain', 'VAAST:stop_gained', 'Seattleseq:stop-gained-near-splice']</t>
        </is>
      </c>
      <c r="D2107" s="12" t="n"/>
      <c r="E2107" s="12" t="n"/>
    </row>
    <row r="2108" ht="15" customHeight="1">
      <c r="A2108" s="12" t="inlineStr">
        <is>
          <t>stRNA_encoding</t>
        </is>
      </c>
      <c r="B2108" s="12" t="inlineStr">
        <is>
          <t>http://identifiers.org/so/SO:0000656</t>
        </is>
      </c>
      <c r="C2108" s="12" t="inlineStr">
        <is>
          <t>['snpEff:STOP_LOST', 'stop codon lost', 'Jannovar:stop_lost', 'VAT:removedStop', 'Seattleseq:stop-lost', 'stop lost', 'VEP:stop_lost', 'ANNOVAR:stoploss', 'Seattleseq:stop-lost-near-splice', 'VAAST:stop_lost']</t>
        </is>
      </c>
      <c r="D2108" s="12" t="n"/>
      <c r="E2108" s="12" t="n"/>
    </row>
    <row r="2109" ht="15" customHeight="1">
      <c r="A2109" s="12" t="inlineStr">
        <is>
          <t>structural_alteration</t>
        </is>
      </c>
      <c r="B2109" s="12" t="inlineStr">
        <is>
          <t>http://identifiers.org/so/SO:0001785</t>
        </is>
      </c>
      <c r="C2109" s="12" t="inlineStr">
        <is>
          <t>['VEP:stop_retained_variant', 'VAAST:stop_retained', 'Jannovar:stop_retained_variant', 'snpEff:NON_SYNONYMOUS_STOP', 'snpEff:SYNONYMOUS_STOP', 'VAAST:stop_retained_variant', 'stop retained variant']</t>
        </is>
      </c>
      <c r="D2109" s="12" t="n"/>
      <c r="E2109" s="12" t="n"/>
    </row>
    <row r="2110" ht="15" customHeight="1">
      <c r="A2110" s="12" t="inlineStr">
        <is>
          <t>structural_interaction_variant</t>
        </is>
      </c>
      <c r="B2110" s="12" t="inlineStr">
        <is>
          <t>http://identifiers.org/so/SO:0002093</t>
        </is>
      </c>
      <c r="C2110" s="12" t="inlineStr">
        <is>
          <t>['strand attribute']</t>
        </is>
      </c>
      <c r="D2110" s="12" t="n"/>
      <c r="E2110" s="12" t="n"/>
    </row>
    <row r="2111" ht="15" customHeight="1">
      <c r="A2111" s="12" t="inlineStr">
        <is>
          <t>structural_variant</t>
        </is>
      </c>
      <c r="B2111" s="12" t="inlineStr">
        <is>
          <t>http://identifiers.org/so/SO:0001537</t>
        </is>
      </c>
      <c r="C2111" s="12" t="inlineStr">
        <is>
          <t>['STREP motif', 'stress-starvation response element of Schizosaccharomyces pombe']</t>
        </is>
      </c>
      <c r="D2111" s="12" t="n"/>
      <c r="E2111" s="12" t="n"/>
    </row>
    <row r="2112" ht="15" customHeight="1">
      <c r="A2112" s="12" t="inlineStr">
        <is>
          <t>STS</t>
        </is>
      </c>
      <c r="B2112" s="12" t="inlineStr">
        <is>
          <t>http://identifiers.org/so/SO:0000331</t>
        </is>
      </c>
      <c r="C2112" s="12" t="inlineStr">
        <is>
          <t>['stRNA encoding']</t>
        </is>
      </c>
      <c r="D2112" s="12" t="n"/>
      <c r="E2112" s="12" t="n"/>
    </row>
    <row r="2113" ht="15" customHeight="1">
      <c r="A2113" s="12" t="inlineStr">
        <is>
          <t>STS_map</t>
        </is>
      </c>
      <c r="B2113" s="12" t="inlineStr">
        <is>
          <t>http://identifiers.org/so/SO:0001251</t>
        </is>
      </c>
      <c r="C2113" s="12" t="inlineStr">
        <is>
          <t>['structural alteration']</t>
        </is>
      </c>
      <c r="D2113" s="12" t="n"/>
      <c r="E2113" s="12" t="n"/>
    </row>
    <row r="2114" ht="15" customHeight="1">
      <c r="A2114" s="12" t="inlineStr">
        <is>
          <t>substitute</t>
        </is>
      </c>
      <c r="B2114" s="12" t="inlineStr">
        <is>
          <t>http://identifiers.org/so/SO:0000048</t>
        </is>
      </c>
      <c r="C2114" s="12" t="inlineStr">
        <is>
          <t>['structural interaction variant']</t>
        </is>
      </c>
      <c r="D2114" s="12" t="n"/>
      <c r="E2114" s="12" t="n"/>
    </row>
    <row r="2115" ht="15" customHeight="1">
      <c r="A2115" s="12" t="inlineStr">
        <is>
          <t>substitute_A_to_I</t>
        </is>
      </c>
      <c r="B2115" s="12" t="inlineStr">
        <is>
          <t>http://identifiers.org/so/SO:0000919</t>
        </is>
      </c>
      <c r="C2115" s="12" t="inlineStr">
        <is>
          <t>['structural variant', 'Jannovar:structural_variant', 'VAT:svOverlap']</t>
        </is>
      </c>
      <c r="D2115" s="12" t="n"/>
      <c r="E2115" s="12" t="n"/>
    </row>
    <row r="2116" ht="15" customHeight="1">
      <c r="A2116" s="12" t="inlineStr">
        <is>
          <t>substitute_C_to_U</t>
        </is>
      </c>
      <c r="B2116" s="12" t="inlineStr">
        <is>
          <t>http://identifiers.org/so/SO:0000922</t>
        </is>
      </c>
      <c r="C2116" s="12" t="inlineStr">
        <is>
          <t>['INSDC_feature:STS', 'sequence tag site']</t>
        </is>
      </c>
      <c r="D2116" s="12" t="n"/>
      <c r="E2116" s="12" t="n"/>
    </row>
    <row r="2117" ht="15" customHeight="1">
      <c r="A2117" s="12" t="inlineStr">
        <is>
          <t>substitution</t>
        </is>
      </c>
      <c r="B2117" s="12" t="inlineStr">
        <is>
          <t>http://identifiers.org/so/SO:1000002</t>
        </is>
      </c>
      <c r="C2117" s="12" t="inlineStr">
        <is>
          <t>['STS map']</t>
        </is>
      </c>
      <c r="D2117" s="12" t="n"/>
      <c r="E2117" s="12" t="n"/>
    </row>
    <row r="2118" ht="15" customHeight="1">
      <c r="A2118" s="12" t="inlineStr">
        <is>
          <t>substitution_artifact</t>
        </is>
      </c>
      <c r="B2118" s="12" t="inlineStr">
        <is>
          <t>http://identifiers.org/so/SO:0002176</t>
        </is>
      </c>
      <c r="C2118" s="12" t="n"/>
      <c r="D2118" s="12" t="n"/>
      <c r="E2118" s="12" t="n"/>
    </row>
    <row r="2119" ht="15" customHeight="1">
      <c r="A2119" s="12" t="inlineStr">
        <is>
          <t>subtelomere</t>
        </is>
      </c>
      <c r="B2119" s="12" t="inlineStr">
        <is>
          <t>http://identifiers.org/so/SO:0001997</t>
        </is>
      </c>
      <c r="C2119" s="12" t="inlineStr">
        <is>
          <t>['substitute A to I']</t>
        </is>
      </c>
      <c r="D2119" s="12" t="n"/>
      <c r="E2119" s="12" t="n"/>
    </row>
    <row r="2120" ht="15" customHeight="1">
      <c r="A2120" s="12" t="inlineStr">
        <is>
          <t>sugar_edge_base_pair</t>
        </is>
      </c>
      <c r="B2120" s="12" t="inlineStr">
        <is>
          <t>http://identifiers.org/so/SO:0000030</t>
        </is>
      </c>
      <c r="C2120" s="12" t="inlineStr">
        <is>
          <t>['substitute C to U']</t>
        </is>
      </c>
      <c r="D2120" s="12" t="n"/>
      <c r="E2120" s="12" t="n"/>
    </row>
    <row r="2121" ht="15" customHeight="1">
      <c r="A2121" s="12" t="inlineStr">
        <is>
          <t>SUMO_interaction_motif</t>
        </is>
      </c>
      <c r="B2121" s="12" t="inlineStr">
        <is>
          <t>http://identifiers.org/so/SO:0002235</t>
        </is>
      </c>
      <c r="C2121" s="12" t="n"/>
      <c r="D2121" s="12" t="n"/>
      <c r="E2121" s="12" t="n"/>
    </row>
    <row r="2122" ht="15" customHeight="1">
      <c r="A2122" s="12" t="inlineStr">
        <is>
          <t>supercontig</t>
        </is>
      </c>
      <c r="B2122" s="12" t="inlineStr">
        <is>
          <t>http://identifiers.org/so/SO:0000148</t>
        </is>
      </c>
      <c r="C2122" s="12" t="inlineStr">
        <is>
          <t>['substitution artifact']</t>
        </is>
      </c>
      <c r="D2122" s="12" t="n"/>
      <c r="E2122" s="12" t="n"/>
    </row>
    <row r="2123" ht="15" customHeight="1">
      <c r="A2123" s="12" t="inlineStr">
        <is>
          <t>supported_by_domain_match</t>
        </is>
      </c>
      <c r="B2123" s="12" t="inlineStr">
        <is>
          <t>http://identifiers.org/so/SO:0000908</t>
        </is>
      </c>
      <c r="C2123" s="12" t="n"/>
      <c r="D2123" s="12" t="n"/>
      <c r="E2123" s="12" t="n"/>
    </row>
    <row r="2124" ht="15" customHeight="1">
      <c r="A2124" s="12" t="inlineStr">
        <is>
          <t>supported_by_EST_or_cDNA</t>
        </is>
      </c>
      <c r="B2124" s="12" t="inlineStr">
        <is>
          <t>http://identifiers.org/so/SO:0000909</t>
        </is>
      </c>
      <c r="C2124" s="12" t="inlineStr">
        <is>
          <t>['sugar edge base pair']</t>
        </is>
      </c>
      <c r="D2124" s="12" t="n"/>
      <c r="E2124" s="12" t="n"/>
    </row>
    <row r="2125" ht="15" customHeight="1">
      <c r="A2125" s="12" t="inlineStr">
        <is>
          <t>supported_by_sequence_similarity</t>
        </is>
      </c>
      <c r="B2125" s="12" t="inlineStr">
        <is>
          <t>http://identifiers.org/so/SO:0000907</t>
        </is>
      </c>
      <c r="C2125" s="12" t="inlineStr">
        <is>
          <t>['SUMO interaction motif', 'SIM', 'SUMO binding motif', 'SBM']</t>
        </is>
      </c>
      <c r="D2125" s="12" t="n"/>
      <c r="E2125" s="12" t="n"/>
    </row>
    <row r="2126" ht="15" customHeight="1">
      <c r="A2126" s="12" t="inlineStr">
        <is>
          <t>SVA_deletion</t>
        </is>
      </c>
      <c r="B2126" s="12" t="inlineStr">
        <is>
          <t>http://identifiers.org/so/SO:0002068</t>
        </is>
      </c>
      <c r="C2126" s="12" t="inlineStr">
        <is>
          <t>['scaffold']</t>
        </is>
      </c>
      <c r="D2126" s="12" t="n"/>
      <c r="E2126" s="12" t="n"/>
    </row>
    <row r="2127" ht="15" customHeight="1">
      <c r="A2127" s="12" t="inlineStr">
        <is>
          <t>SVA_insertion</t>
        </is>
      </c>
      <c r="B2127" s="12" t="inlineStr">
        <is>
          <t>http://identifiers.org/so/SO:0002065</t>
        </is>
      </c>
      <c r="C2127" s="12" t="inlineStr">
        <is>
          <t>['supported by domain match']</t>
        </is>
      </c>
      <c r="D2127" s="12" t="n"/>
      <c r="E2127" s="12" t="n"/>
    </row>
    <row r="2128" ht="15" customHeight="1">
      <c r="A2128" s="12" t="inlineStr">
        <is>
          <t>symbiosis_island</t>
        </is>
      </c>
      <c r="B2128" s="12" t="inlineStr">
        <is>
          <t>http://identifiers.org/so/SO:0000776</t>
        </is>
      </c>
      <c r="C2128" s="12" t="inlineStr">
        <is>
          <t>['supported by EST or cDNA']</t>
        </is>
      </c>
      <c r="D2128" s="12" t="n"/>
      <c r="E2128" s="12" t="n"/>
    </row>
    <row r="2129" ht="15" customHeight="1">
      <c r="A2129" s="12" t="inlineStr">
        <is>
          <t>symmetric_RNA_internal_loop</t>
        </is>
      </c>
      <c r="B2129" s="12" t="inlineStr">
        <is>
          <t>http://identifiers.org/so/SO:0000025</t>
        </is>
      </c>
      <c r="C2129" s="12" t="inlineStr">
        <is>
          <t>['supported by sequence similarity']</t>
        </is>
      </c>
      <c r="D2129" s="12" t="n"/>
      <c r="E2129" s="12" t="n"/>
    </row>
    <row r="2130" ht="15" customHeight="1">
      <c r="A2130" s="12" t="inlineStr">
        <is>
          <t>synonymous</t>
        </is>
      </c>
      <c r="B2130" s="12" t="inlineStr">
        <is>
          <t>http://identifiers.org/so/SO:0001815</t>
        </is>
      </c>
      <c r="C2130" s="12" t="inlineStr">
        <is>
          <t>['SVA deletion']</t>
        </is>
      </c>
      <c r="D2130" s="12" t="n"/>
      <c r="E2130" s="12" t="n"/>
    </row>
    <row r="2131" ht="15" customHeight="1">
      <c r="A2131" s="12" t="inlineStr">
        <is>
          <t>synonymous_variant</t>
        </is>
      </c>
      <c r="B2131" s="12" t="inlineStr">
        <is>
          <t>http://identifiers.org/so/SO:0001819</t>
        </is>
      </c>
      <c r="C2131" s="12" t="n"/>
      <c r="D2131" s="12" t="n"/>
      <c r="E2131" s="12" t="n"/>
    </row>
    <row r="2132" ht="15" customHeight="1">
      <c r="A2132" s="12" t="inlineStr">
        <is>
          <t>syntenic</t>
        </is>
      </c>
      <c r="B2132" s="12" t="inlineStr">
        <is>
          <t>http://identifiers.org/so/SO:0000860</t>
        </is>
      </c>
      <c r="C2132" s="12" t="inlineStr">
        <is>
          <t>['symbiosis island']</t>
        </is>
      </c>
      <c r="D2132" s="12" t="n"/>
      <c r="E2132" s="12" t="n"/>
    </row>
    <row r="2133" ht="15" customHeight="1">
      <c r="A2133" s="12" t="inlineStr">
        <is>
          <t>syntenic_region</t>
        </is>
      </c>
      <c r="B2133" s="12" t="inlineStr">
        <is>
          <t>http://identifiers.org/so/SO:0005858</t>
        </is>
      </c>
      <c r="C2133" s="12" t="inlineStr">
        <is>
          <t>['A-minor RNA motif']</t>
        </is>
      </c>
      <c r="D2133" s="12" t="n"/>
      <c r="E2133" s="12" t="n"/>
    </row>
    <row r="2134" ht="15" customHeight="1">
      <c r="A2134" s="12" t="inlineStr">
        <is>
          <t>synthetic_oligo</t>
        </is>
      </c>
      <c r="B2134" s="12" t="inlineStr">
        <is>
          <t>http://identifiers.org/so/SO:0001247</t>
        </is>
      </c>
      <c r="C2134" s="12" t="n"/>
      <c r="D2134" s="12" t="n"/>
      <c r="E2134" s="12" t="n"/>
    </row>
    <row r="2135" ht="15" customHeight="1">
      <c r="A2135" s="12" t="inlineStr">
        <is>
          <t>synthetic_sequence</t>
        </is>
      </c>
      <c r="B2135" s="12" t="inlineStr">
        <is>
          <t>http://identifiers.org/so/SO:0000351</t>
        </is>
      </c>
      <c r="C2135" s="12" t="inlineStr">
        <is>
      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      </is>
      </c>
      <c r="D2135" s="12" t="n"/>
      <c r="E2135" s="12" t="n"/>
    </row>
    <row r="2136" ht="15" customHeight="1">
      <c r="A2136" s="12" t="inlineStr">
        <is>
          <t>T_cell_receptor_gene</t>
        </is>
      </c>
      <c r="B2136" s="12" t="inlineStr">
        <is>
          <t>http://identifiers.org/so/SO:0002133</t>
        </is>
      </c>
      <c r="C2136" s="12" t="n"/>
      <c r="D2136" s="12" t="n"/>
      <c r="E2136" s="12" t="n"/>
    </row>
    <row r="2137" ht="15" customHeight="1">
      <c r="A2137" s="12" t="inlineStr">
        <is>
          <t>T_cell_receptor_pseudogene</t>
        </is>
      </c>
      <c r="B2137" s="12" t="inlineStr">
        <is>
          <t>http://identifiers.org/so/SO:0002099</t>
        </is>
      </c>
      <c r="C2137" s="12" t="inlineStr">
        <is>
          <t>['syntenic region']</t>
        </is>
      </c>
      <c r="D2137" s="12" t="n"/>
      <c r="E2137" s="12" t="n"/>
    </row>
    <row r="2138" ht="15" customHeight="1">
      <c r="A2138" s="12" t="inlineStr">
        <is>
          <t>T_loop</t>
        </is>
      </c>
      <c r="B2138" s="12" t="inlineStr">
        <is>
          <t>http://identifiers.org/so/SO:0001177</t>
        </is>
      </c>
      <c r="C2138" s="12" t="inlineStr">
        <is>
          <t>['synthetic oligo']</t>
        </is>
      </c>
      <c r="D2138" s="12" t="n"/>
      <c r="E2138" s="12" t="n"/>
    </row>
    <row r="2139" ht="15" customHeight="1">
      <c r="A2139" s="12" t="inlineStr">
        <is>
          <t>T_to_A_transversion</t>
        </is>
      </c>
      <c r="B2139" s="12" t="inlineStr">
        <is>
          <t>http://identifiers.org/so/SO:1000021</t>
        </is>
      </c>
      <c r="C2139" s="12" t="inlineStr">
        <is>
          <t>['synthetic sequence']</t>
        </is>
      </c>
      <c r="D2139" s="12" t="n"/>
      <c r="E2139" s="12" t="n"/>
    </row>
    <row r="2140" ht="15" customHeight="1">
      <c r="A2140" s="12" t="inlineStr">
        <is>
          <t>T_to_C_transition</t>
        </is>
      </c>
      <c r="B2140" s="12" t="inlineStr">
        <is>
          <t>http://identifiers.org/so/SO:1000013</t>
        </is>
      </c>
      <c r="C2140" s="12" t="inlineStr">
        <is>
          <t>['TR_gene']</t>
        </is>
      </c>
      <c r="D2140" s="12" t="n"/>
      <c r="E2140" s="12" t="n"/>
    </row>
    <row r="2141" ht="15" customHeight="1">
      <c r="A2141" s="12" t="inlineStr">
        <is>
          <t>T_to_G_transversion</t>
        </is>
      </c>
      <c r="B2141" s="12" t="inlineStr">
        <is>
          <t>http://identifiers.org/so/SO:1000022</t>
        </is>
      </c>
      <c r="C2141" s="12" t="n"/>
      <c r="D2141" s="12" t="n"/>
      <c r="E2141" s="12" t="n"/>
    </row>
    <row r="2142" ht="15" customHeight="1">
      <c r="A2142" s="12" t="inlineStr">
        <is>
          <t>T3_RNA_Polymerase_Promoter</t>
        </is>
      </c>
      <c r="B2142" s="12" t="inlineStr">
        <is>
          <t>http://identifiers.org/so/SO:0001206</t>
        </is>
      </c>
      <c r="C2142" s="12" t="inlineStr">
        <is>
          <t>['T loop', 'TpsiC loop']</t>
        </is>
      </c>
      <c r="D2142" s="12" t="n"/>
      <c r="E2142" s="12" t="n"/>
    </row>
    <row r="2143" ht="15" customHeight="1">
      <c r="A2143" s="12" t="inlineStr">
        <is>
          <t>T7_RNA_Polymerase_Promoter</t>
        </is>
      </c>
      <c r="B2143" s="12" t="inlineStr">
        <is>
          <t>http://identifiers.org/so/SO:0001207</t>
        </is>
      </c>
      <c r="C2143" s="12" t="inlineStr">
        <is>
          <t>['T to A transversion']</t>
        </is>
      </c>
      <c r="D2143" s="12" t="n"/>
      <c r="E2143" s="12" t="n"/>
    </row>
    <row r="2144" ht="15" customHeight="1">
      <c r="A2144" s="12" t="inlineStr">
        <is>
          <t>tag</t>
        </is>
      </c>
      <c r="B2144" s="12" t="inlineStr">
        <is>
          <t>http://identifiers.org/so/SO:0000324</t>
        </is>
      </c>
      <c r="C2144" s="12" t="inlineStr">
        <is>
          <t>['T to C transition']</t>
        </is>
      </c>
      <c r="D2144" s="12" t="n"/>
      <c r="E2144" s="12" t="n"/>
    </row>
    <row r="2145" ht="15" customHeight="1">
      <c r="A2145" s="12" t="inlineStr">
        <is>
          <t>tandem</t>
        </is>
      </c>
      <c r="B2145" s="12" t="inlineStr">
        <is>
          <t>http://identifiers.org/so/SO:0001513</t>
        </is>
      </c>
      <c r="C2145" s="12" t="inlineStr">
        <is>
          <t>['T to G transversion']</t>
        </is>
      </c>
      <c r="D2145" s="12" t="n"/>
      <c r="E2145" s="12" t="n"/>
    </row>
    <row r="2146" ht="15" customHeight="1">
      <c r="A2146" s="12" t="inlineStr">
        <is>
          <t>tandem_duplication</t>
        </is>
      </c>
      <c r="B2146" s="12" t="inlineStr">
        <is>
          <t>http://identifiers.org/so/SO:1000173</t>
        </is>
      </c>
      <c r="C2146" s="12" t="inlineStr">
        <is>
          <t>['T3 RNA Polymerase Promoter']</t>
        </is>
      </c>
      <c r="D2146" s="12" t="n"/>
      <c r="E2146" s="12" t="n"/>
    </row>
    <row r="2147" ht="15" customHeight="1">
      <c r="A2147" s="12" t="inlineStr">
        <is>
          <t>tandem_repeat</t>
        </is>
      </c>
      <c r="B2147" s="12" t="inlineStr">
        <is>
          <t>http://identifiers.org/so/SO:0000705</t>
        </is>
      </c>
      <c r="C2147" s="12" t="inlineStr">
        <is>
          <t>['T7 RNA Polymerase Promoter']</t>
        </is>
      </c>
      <c r="D2147" s="12" t="n"/>
      <c r="E2147" s="12" t="n"/>
    </row>
    <row r="2148" ht="15" customHeight="1">
      <c r="A2148" s="12" t="inlineStr">
        <is>
          <t>target_site_duplication</t>
        </is>
      </c>
      <c r="B2148" s="12" t="inlineStr">
        <is>
          <t>http://identifiers.org/so/SO:0000434</t>
        </is>
      </c>
      <c r="C2148" s="12" t="n"/>
      <c r="D2148" s="12" t="n"/>
      <c r="E2148" s="12" t="n"/>
    </row>
    <row r="2149" ht="15" customHeight="1">
      <c r="A2149" s="12" t="inlineStr">
        <is>
          <t>targeting_vector</t>
        </is>
      </c>
      <c r="B2149" s="12" t="inlineStr">
        <is>
          <t>http://identifiers.org/so/SO:0001644</t>
        </is>
      </c>
      <c r="C2149" s="12" t="n"/>
      <c r="D2149" s="12" t="n"/>
      <c r="E2149" s="12" t="n"/>
    </row>
    <row r="2150" ht="15" customHeight="1">
      <c r="A2150" s="12" t="inlineStr">
        <is>
          <t>tasiRNA</t>
        </is>
      </c>
      <c r="B2150" s="12" t="inlineStr">
        <is>
          <t>http://identifiers.org/so/SO:0001800</t>
        </is>
      </c>
      <c r="C2150" s="12" t="inlineStr">
        <is>
          <t>['tandem duplication', 'erverted']</t>
        </is>
      </c>
      <c r="D2150" s="12" t="n"/>
      <c r="E2150" s="12" t="n"/>
    </row>
    <row r="2151" ht="15" customHeight="1">
      <c r="A2151" s="12" t="inlineStr">
        <is>
          <t>tasiRNA_primary_transcript</t>
        </is>
      </c>
      <c r="B2151" s="12" t="inlineStr">
        <is>
          <t>http://identifiers.org/so/SO:0001801</t>
        </is>
      </c>
      <c r="C2151" s="12" t="inlineStr">
        <is>
          <t>['INSDC_qualifier:tandem', 'tandem repeat', 'INSDC_feature:repeat_region']</t>
        </is>
      </c>
      <c r="D2151" s="12" t="n"/>
      <c r="E2151" s="12" t="n"/>
    </row>
    <row r="2152" ht="15" customHeight="1">
      <c r="A2152" s="12" t="inlineStr">
        <is>
          <t>TATA_box</t>
        </is>
      </c>
      <c r="B2152" s="12" t="inlineStr">
        <is>
          <t>http://identifiers.org/so/SO:0000174</t>
        </is>
      </c>
      <c r="C2152" s="12" t="inlineStr">
        <is>
          <t>['target site duplication']</t>
        </is>
      </c>
      <c r="D2152" s="12" t="n"/>
      <c r="E2152" s="12" t="n"/>
    </row>
    <row r="2153" ht="15" customHeight="1">
      <c r="A2153" s="12" t="inlineStr">
        <is>
          <t>Tc1_Mariner_TIR_transposon</t>
        </is>
      </c>
      <c r="B2153" s="12" t="inlineStr">
        <is>
          <t>http://identifiers.org/so/SO:0002278</t>
        </is>
      </c>
      <c r="C2153" s="12" t="inlineStr">
        <is>
          <t>['targeting vector']</t>
        </is>
      </c>
      <c r="D2153" s="12" t="n"/>
      <c r="E2153" s="12" t="n"/>
    </row>
    <row r="2154" ht="15" customHeight="1">
      <c r="A2154" s="12" t="inlineStr">
        <is>
          <t>TCS_element</t>
        </is>
      </c>
      <c r="B2154" s="12" t="inlineStr">
        <is>
          <t>http://identifiers.org/so/SO:0002044</t>
        </is>
      </c>
      <c r="C2154" s="12" t="inlineStr">
        <is>
          <t>['trans acting small interfering RNA']</t>
        </is>
      </c>
      <c r="D2154" s="12" t="n"/>
      <c r="E2154" s="12" t="n"/>
    </row>
    <row r="2155" ht="15" customHeight="1">
      <c r="A2155" s="12" t="inlineStr">
        <is>
          <t>TCT_motif</t>
        </is>
      </c>
      <c r="B2155" s="12" t="inlineStr">
        <is>
          <t>http://identifiers.org/so/SO:0001959</t>
        </is>
      </c>
      <c r="C2155" s="12" t="inlineStr">
        <is>
          <t>['tasiRNA primary transcript']</t>
        </is>
      </c>
      <c r="D2155" s="12" t="n"/>
      <c r="E2155" s="12" t="n"/>
    </row>
    <row r="2156" ht="15" customHeight="1">
      <c r="A2156" s="12" t="inlineStr">
        <is>
          <t>teb1_recognition_motif</t>
        </is>
      </c>
      <c r="B2156" s="12" t="inlineStr">
        <is>
          <t>http://identifiers.org/so/SO:0002258</t>
        </is>
      </c>
      <c r="C2156" s="12" t="inlineStr">
        <is>
          <t>['INSDC_feature:regulatory', 'INSDC_qualifier:TATA_box', 'TATA box', 'Goldstein-Hogness box']</t>
        </is>
      </c>
      <c r="D2156" s="12" t="n"/>
      <c r="E2156" s="12" t="n"/>
    </row>
    <row r="2157" ht="15" customHeight="1">
      <c r="A2157" s="12" t="inlineStr">
        <is>
          <t>telomerase_RNA</t>
        </is>
      </c>
      <c r="B2157" s="12" t="inlineStr">
        <is>
          <t>http://identifiers.org/so/SO:0000390</t>
        </is>
      </c>
      <c r="C2157" s="12" t="inlineStr">
        <is>
          <t>['Stowaway', 'TcMar-Stowaway transposon', 'Mariner', 'Tc1 transposon', 'DTT transposon', 'Tc1 Mariner TIR transposon']</t>
        </is>
      </c>
      <c r="D2157" s="12" t="n"/>
      <c r="E2157" s="12" t="n"/>
    </row>
    <row r="2158" ht="15" customHeight="1">
      <c r="A2158" s="12" t="inlineStr">
        <is>
          <t>telomerase_RNA_gene</t>
        </is>
      </c>
      <c r="B2158" s="12" t="inlineStr">
        <is>
          <t>http://identifiers.org/so/SO:0001643</t>
        </is>
      </c>
      <c r="C2158" s="12" t="inlineStr">
        <is>
          <t>['TEA Consensus Sequence ', 'TCS element']</t>
        </is>
      </c>
      <c r="D2158" s="12" t="n"/>
      <c r="E2158" s="12" t="n"/>
    </row>
    <row r="2159" ht="15" customHeight="1">
      <c r="A2159" s="12" t="inlineStr">
        <is>
          <t>telomere</t>
        </is>
      </c>
      <c r="B2159" s="12" t="inlineStr">
        <is>
          <t>http://identifiers.org/so/SO:0000624</t>
        </is>
      </c>
      <c r="C2159" s="12" t="inlineStr">
        <is>
          <t>['TCT element', 'polypyrimidine initiator']</t>
        </is>
      </c>
      <c r="D2159" s="12" t="n"/>
      <c r="E2159" s="12" t="n"/>
    </row>
    <row r="2160" ht="15" customHeight="1">
      <c r="A2160" s="12" t="inlineStr">
        <is>
          <t>telomeric_D_loop</t>
        </is>
      </c>
      <c r="B2160" s="12" t="inlineStr">
        <is>
          <t>http://identifiers.org/so/SO:0002171</t>
        </is>
      </c>
      <c r="C2160" s="12" t="inlineStr">
        <is>
          <t>['teb1 recognition motif']</t>
        </is>
      </c>
      <c r="D2160" s="12" t="n"/>
      <c r="E2160" s="12" t="n"/>
    </row>
    <row r="2161" ht="15" customHeight="1">
      <c r="A2161" s="12" t="inlineStr">
        <is>
          <t>telomeric_repeat</t>
        </is>
      </c>
      <c r="B2161" s="12" t="inlineStr">
        <is>
          <t>http://identifiers.org/so/SO:0001496</t>
        </is>
      </c>
      <c r="C2161" s="12" t="inlineStr">
        <is>
          <t>['telomerase RNA', 'INSDC_feature:ncRNA', 'INSDC_qualifier:telomerase_RNA']</t>
        </is>
      </c>
      <c r="D2161" s="12" t="n"/>
      <c r="E2161" s="12" t="n"/>
    </row>
    <row r="2162" ht="15" customHeight="1">
      <c r="A2162" s="12" t="inlineStr">
        <is>
          <t>telomeric_transcript</t>
        </is>
      </c>
      <c r="B2162" s="12" t="inlineStr">
        <is>
          <t>http://identifiers.org/so/SO:0001927</t>
        </is>
      </c>
      <c r="C2162" s="12" t="inlineStr">
        <is>
          <t>['TERC', 'telomerase RNA gene', 'Telomerase RNA component']</t>
        </is>
      </c>
      <c r="D2162" s="12" t="n"/>
      <c r="E2162" s="12" t="n"/>
    </row>
    <row r="2163" ht="15" customHeight="1">
      <c r="A2163" s="12" t="inlineStr">
        <is>
          <t>template_region</t>
        </is>
      </c>
      <c r="B2163" s="12" t="inlineStr">
        <is>
          <t>http://identifiers.org/so/SO:0000978</t>
        </is>
      </c>
      <c r="C2163" s="12" t="inlineStr">
        <is>
          <t>['INSDC_feature:telomere', 'telomeric DNA', 'telomeric sequence']</t>
        </is>
      </c>
      <c r="D2163" s="12" t="n"/>
      <c r="E2163" s="12" t="n"/>
    </row>
    <row r="2164" ht="15" customHeight="1">
      <c r="A2164" s="12" t="inlineStr">
        <is>
          <t>terminal_inverted_repeat</t>
        </is>
      </c>
      <c r="B2164" s="12" t="inlineStr">
        <is>
          <t>http://identifiers.org/so/SO:0000481</t>
        </is>
      </c>
      <c r="C2164" s="12" t="inlineStr">
        <is>
          <t>['telomeric D loop']</t>
        </is>
      </c>
      <c r="D2164" s="12" t="n"/>
      <c r="E2164" s="12" t="n"/>
    </row>
    <row r="2165" ht="15" customHeight="1">
      <c r="A2165" s="12" t="inlineStr">
        <is>
          <t>terminal_inverted_repeat_element</t>
        </is>
      </c>
      <c r="B2165" s="12" t="inlineStr">
        <is>
          <t>http://identifiers.org/so/SO:0000208</t>
        </is>
      </c>
      <c r="C2165" s="12" t="inlineStr">
        <is>
          <t>['INSDC_qualifier:telomeric_repeat', 'INSDC_feature:repeat_region', 'telomeric repeat']</t>
        </is>
      </c>
      <c r="D2165" s="12" t="n"/>
      <c r="E2165" s="12" t="n"/>
    </row>
    <row r="2166" ht="15" customHeight="1">
      <c r="A2166" s="12" t="inlineStr">
        <is>
          <t>terminal_repeat</t>
        </is>
      </c>
      <c r="B2166" s="12" t="inlineStr">
        <is>
          <t>http://identifiers.org/so/SO:0002201</t>
        </is>
      </c>
      <c r="C2166" s="12" t="inlineStr">
        <is>
          <t>['telomeric transcript']</t>
        </is>
      </c>
      <c r="D2166" s="12" t="n"/>
      <c r="E2166" s="12" t="n"/>
    </row>
    <row r="2167" ht="15" customHeight="1">
      <c r="A2167" s="12" t="inlineStr">
        <is>
          <t>terminator_codon_variant</t>
        </is>
      </c>
      <c r="B2167" s="12" t="inlineStr">
        <is>
          <t>http://identifiers.org/so/SO:0001590</t>
        </is>
      </c>
      <c r="C2167" s="12" t="inlineStr">
        <is>
          <t>['template region', 'information region']</t>
        </is>
      </c>
      <c r="D2167" s="12" t="n"/>
      <c r="E2167" s="12" t="n"/>
    </row>
    <row r="2168" ht="15" customHeight="1">
      <c r="A2168" s="12" t="inlineStr">
        <is>
          <t>terminator_of_type_2_RNApol_III_promoter</t>
        </is>
      </c>
      <c r="B2168" s="12" t="inlineStr">
        <is>
          <t>http://identifiers.org/so/SO:0000615</t>
        </is>
      </c>
      <c r="C2168" s="12" t="inlineStr">
        <is>
          <t>['terminal inverted repeat', 'TIR']</t>
        </is>
      </c>
      <c r="D2168" s="12" t="n"/>
      <c r="E2168" s="12" t="n"/>
    </row>
    <row r="2169" ht="15" customHeight="1">
      <c r="A2169" s="12" t="inlineStr">
        <is>
          <t>TERRA</t>
        </is>
      </c>
      <c r="B2169" s="12" t="inlineStr">
        <is>
          <t>http://identifiers.org/so/SO:0001923</t>
        </is>
      </c>
      <c r="C2169" s="12" t="inlineStr">
        <is>
          <t>['TIR element', 'terminal inverted repeat element']</t>
        </is>
      </c>
      <c r="D2169" s="12" t="n"/>
      <c r="E2169" s="12" t="n"/>
    </row>
    <row r="2170" ht="15" customHeight="1">
      <c r="A2170" s="12" t="inlineStr">
        <is>
          <t>tetraloop</t>
        </is>
      </c>
      <c r="B2170" s="12" t="inlineStr">
        <is>
          <t>http://identifiers.org/so/SO:0001008</t>
        </is>
      </c>
      <c r="C2170" s="12" t="inlineStr">
        <is>
          <t>['INSDC_qualifier:terminal', 'terminal repeat', 'INSDC_feature:repeat_region']</t>
        </is>
      </c>
      <c r="D2170" s="12" t="n"/>
      <c r="E2170" s="12" t="n"/>
    </row>
    <row r="2171" ht="15" customHeight="1">
      <c r="A2171" s="12" t="inlineStr">
        <is>
          <t>tetranucleotide_repeat_microsatellite_feature</t>
        </is>
      </c>
      <c r="B2171" s="12" t="inlineStr">
        <is>
          <t>http://identifiers.org/so/SO:0000641</t>
        </is>
      </c>
      <c r="C2171" s="12" t="inlineStr">
        <is>
          <t>['terminal codon variant', 'terminator codon variant', 'VAT:endOverlap', 'terminal_codon_variant']</t>
        </is>
      </c>
      <c r="D2171" s="12" t="n"/>
      <c r="E2171" s="12" t="n"/>
    </row>
    <row r="2172" ht="15" customHeight="1">
      <c r="A2172" s="12" t="inlineStr">
        <is>
          <t>TF_binding_site</t>
        </is>
      </c>
      <c r="B2172" s="12" t="inlineStr">
        <is>
          <t>http://identifiers.org/so/SO:0000235</t>
        </is>
      </c>
      <c r="C2172" s="12" t="inlineStr">
        <is>
          <t>['terminator of type 2 RNApol III promoter']</t>
        </is>
      </c>
      <c r="D2172" s="12" t="n"/>
      <c r="E2172" s="12" t="n"/>
    </row>
    <row r="2173" ht="15" customHeight="1">
      <c r="A2173" s="12" t="inlineStr">
        <is>
          <t>TF_binding_site_variant</t>
        </is>
      </c>
      <c r="B2173" s="12" t="inlineStr">
        <is>
          <t>http://identifiers.org/so/SO:0001782</t>
        </is>
      </c>
      <c r="C2173" s="12" t="inlineStr">
        <is>
          <t>['telomeric repeat containing RNA']</t>
        </is>
      </c>
      <c r="D2173" s="12" t="n"/>
      <c r="E2173" s="12" t="n"/>
    </row>
    <row r="2174" ht="15" customHeight="1">
      <c r="A2174" s="12" t="inlineStr">
        <is>
          <t>TFBS_ablation</t>
        </is>
      </c>
      <c r="B2174" s="12" t="inlineStr">
        <is>
          <t>http://identifiers.org/so/SO:0001895</t>
        </is>
      </c>
      <c r="C2174" s="12" t="n"/>
      <c r="D2174" s="12" t="n"/>
      <c r="E2174" s="12" t="n"/>
    </row>
    <row r="2175" ht="15" customHeight="1">
      <c r="A2175" s="12" t="inlineStr">
        <is>
          <t>TFBS_amplification</t>
        </is>
      </c>
      <c r="B2175" s="12" t="inlineStr">
        <is>
          <t>http://identifiers.org/so/SO:0001892</t>
        </is>
      </c>
      <c r="C2175" s="12" t="inlineStr">
        <is>
          <t>['tetranucleotide repeat microsatellite feature']</t>
        </is>
      </c>
      <c r="D2175" s="12" t="n"/>
      <c r="E2175" s="12" t="n"/>
    </row>
    <row r="2176" ht="15" customHeight="1">
      <c r="A2176" s="12" t="inlineStr">
        <is>
          <t>TFBS_fusion</t>
        </is>
      </c>
      <c r="B2176" s="12" t="inlineStr">
        <is>
          <t>http://identifiers.org/so/SO:0001888</t>
        </is>
      </c>
      <c r="C2176" s="12" t="inlineStr">
        <is>
          <t>['TF binding site', 'transcription factor binding site']</t>
        </is>
      </c>
      <c r="D2176" s="12" t="n"/>
      <c r="E2176" s="12" t="n"/>
    </row>
    <row r="2177" ht="15" customHeight="1">
      <c r="A2177" s="12" t="inlineStr">
        <is>
          <t>TFBS_translocation</t>
        </is>
      </c>
      <c r="B2177" s="12" t="inlineStr">
        <is>
          <t>http://identifiers.org/so/SO:0001885</t>
        </is>
      </c>
      <c r="C2177" s="12" t="inlineStr">
        <is>
          <t>['VEP:TF_binding_site_variant', 'TF binding site variant', 'Jannovar:tf_binding_site_variant']</t>
        </is>
      </c>
      <c r="D2177" s="12" t="n"/>
      <c r="E2177" s="12" t="n"/>
    </row>
    <row r="2178" ht="15" customHeight="1">
      <c r="A2178" s="12" t="inlineStr">
        <is>
          <t>TFRS_collection</t>
        </is>
      </c>
      <c r="B2178" s="12" t="inlineStr">
        <is>
          <t>http://identifiers.org/so/SO:0002297</t>
        </is>
      </c>
      <c r="C2178" s="12" t="inlineStr">
        <is>
          <t>['VEP:TFBS_ablation', 'TFBS ablation', 'transcription factor binding site ablation']</t>
        </is>
      </c>
      <c r="D2178" s="12" t="n"/>
      <c r="E2178" s="12" t="n"/>
    </row>
    <row r="2179" ht="15" customHeight="1">
      <c r="A2179" s="12" t="inlineStr">
        <is>
          <t>TFRS_module</t>
        </is>
      </c>
      <c r="B2179" s="12" t="inlineStr">
        <is>
          <t>http://identifiers.org/so/SO:0002296</t>
        </is>
      </c>
      <c r="C2179" s="12" t="inlineStr">
        <is>
          <t>['TFBS amplification ', 'VEP:TFBS_amplification', 'transcription factor binding site amplification']</t>
        </is>
      </c>
      <c r="D2179" s="12" t="n"/>
      <c r="E2179" s="12" t="n"/>
    </row>
    <row r="2180" ht="15" customHeight="1">
      <c r="A2180" s="12" t="inlineStr">
        <is>
          <t>theta_replication</t>
        </is>
      </c>
      <c r="B2180" s="12" t="inlineStr">
        <is>
          <t>http://identifiers.org/so/SO:0000970</t>
        </is>
      </c>
      <c r="C2180" s="12" t="inlineStr">
        <is>
          <t>['TFBS fusion ', 'transcription factor binding site fusion']</t>
        </is>
      </c>
      <c r="D2180" s="12" t="n"/>
      <c r="E2180" s="12" t="n"/>
    </row>
    <row r="2181" ht="15" customHeight="1">
      <c r="A2181" s="12" t="inlineStr">
        <is>
          <t>three_methylcytidine</t>
        </is>
      </c>
      <c r="B2181" s="12" t="inlineStr">
        <is>
          <t>http://identifiers.org/so/SO:0001281</t>
        </is>
      </c>
      <c r="C2181" s="12" t="inlineStr">
        <is>
          <t>['TFBS binding site translocation', 'transcription factor binding site translocation']</t>
        </is>
      </c>
      <c r="D2181" s="12" t="n"/>
      <c r="E2181" s="12" t="n"/>
    </row>
    <row r="2182" ht="15" customHeight="1">
      <c r="A2182" s="12" t="inlineStr">
        <is>
          <t>three_methylpseudouridine</t>
        </is>
      </c>
      <c r="B2182" s="12" t="inlineStr">
        <is>
          <t>http://identifiers.org/so/SO:0001377</t>
        </is>
      </c>
      <c r="C2182" s="12" t="inlineStr">
        <is>
          <t>['TFRS collection', 'transcription factor regulatory site collection']</t>
        </is>
      </c>
      <c r="D2182" s="12" t="n"/>
      <c r="E2182" s="12" t="n"/>
    </row>
    <row r="2183" ht="15" customHeight="1">
      <c r="A2183" s="12" t="inlineStr">
        <is>
          <t>three_methyluridine</t>
        </is>
      </c>
      <c r="B2183" s="12" t="inlineStr">
        <is>
          <t>http://identifiers.org/so/SO:0001372</t>
        </is>
      </c>
      <c r="C2183" s="12" t="inlineStr">
        <is>
          <t>['transcription factor regulatory site phrase', 'transcription factor regulatory site module', 'TFRS phrase', 'TFRS module']</t>
        </is>
      </c>
      <c r="D2183" s="12" t="n"/>
      <c r="E2183" s="12" t="n"/>
    </row>
    <row r="2184" ht="15" customHeight="1">
      <c r="A2184" s="12" t="inlineStr">
        <is>
          <t>three_prime_cis_splice_site</t>
        </is>
      </c>
      <c r="B2184" s="12" t="inlineStr">
        <is>
          <t>http://identifiers.org/so/SO:0000164</t>
        </is>
      </c>
      <c r="C2184" s="12" t="inlineStr">
        <is>
          <t>['theta replication']</t>
        </is>
      </c>
      <c r="D2184" s="12" t="n"/>
      <c r="E2184" s="12" t="n"/>
    </row>
    <row r="2185" ht="15" customHeight="1">
      <c r="A2185" s="12" t="inlineStr">
        <is>
          <t>three_prime_clip</t>
        </is>
      </c>
      <c r="B2185" s="12" t="inlineStr">
        <is>
          <t>http://identifiers.org/so/SO:0000557</t>
        </is>
      </c>
      <c r="C2185" s="12" t="inlineStr">
        <is>
          <t>['3-methylcytidine', 'm3C', 'three methylcytidine']</t>
        </is>
      </c>
      <c r="D2185" s="12" t="n"/>
      <c r="E2185" s="12" t="n"/>
    </row>
    <row r="2186" ht="15" customHeight="1">
      <c r="A2186" s="12" t="inlineStr">
        <is>
          <t>three_prime_coding_exon</t>
        </is>
      </c>
      <c r="B2186" s="12" t="inlineStr">
        <is>
          <t>http://identifiers.org/so/SO:0000202</t>
        </is>
      </c>
      <c r="C2186" s="12" t="inlineStr">
        <is>
          <t>['three methylpseudouridine', '3-methylpseudouridine', 'm3Y']</t>
        </is>
      </c>
      <c r="D2186" s="12" t="n"/>
      <c r="E2186" s="12" t="n"/>
    </row>
    <row r="2187" ht="15" customHeight="1">
      <c r="A2187" s="12" t="inlineStr">
        <is>
          <t>three_prime_coding_exon_coding_region</t>
        </is>
      </c>
      <c r="B2187" s="12" t="inlineStr">
        <is>
          <t>http://identifiers.org/so/SO:0000197</t>
        </is>
      </c>
      <c r="C2187" s="12" t="inlineStr">
        <is>
          <t>['m3U', 'three methyluridine', '3-methyluridine']</t>
        </is>
      </c>
      <c r="D2187" s="12" t="n"/>
      <c r="E2187" s="12" t="n"/>
    </row>
    <row r="2188" ht="15" customHeight="1">
      <c r="A2188" s="12" t="inlineStr">
        <is>
          <t>three_prime_coding_exon_noncoding_region</t>
        </is>
      </c>
      <c r="B2188" s="12" t="inlineStr">
        <is>
          <t>http://identifiers.org/so/SO:0000484</t>
        </is>
      </c>
      <c r="C2188" s="12" t="inlineStr">
        <is>
          <t>['acceptor', 'splice acceptor site', 'acceptor splice site', 'three prime splice site', "3' splice site"]</t>
        </is>
      </c>
      <c r="D2188" s="12" t="n"/>
      <c r="E2188" s="12" t="n"/>
    </row>
    <row r="2189" ht="15" customHeight="1">
      <c r="A2189" s="12" t="inlineStr">
        <is>
          <t>three_prime_D_heptamer</t>
        </is>
      </c>
      <c r="B2189" s="12" t="inlineStr">
        <is>
          <t>http://identifiers.org/so/SO:0000493</t>
        </is>
      </c>
      <c r="C2189" s="12" t="inlineStr">
        <is>
          <t>['three prime clip', "3'-clip"]</t>
        </is>
      </c>
      <c r="D2189" s="12" t="n"/>
      <c r="E2189" s="12" t="n"/>
    </row>
    <row r="2190" ht="15" customHeight="1">
      <c r="A2190" s="12" t="inlineStr">
        <is>
          <t>three_prime_D_nonamer</t>
        </is>
      </c>
      <c r="B2190" s="12" t="inlineStr">
        <is>
          <t>http://identifiers.org/so/SO:0000494</t>
        </is>
      </c>
      <c r="C2190" s="12" t="inlineStr">
        <is>
          <t>['three prime coding exon', "3' coding exon"]</t>
        </is>
      </c>
      <c r="D2190" s="12" t="n"/>
      <c r="E2190" s="12" t="n"/>
    </row>
    <row r="2191" ht="15" customHeight="1">
      <c r="A2191" s="12" t="inlineStr">
        <is>
          <t>three_prime_D_recombination_signal_sequence</t>
        </is>
      </c>
      <c r="B2191" s="12" t="inlineStr">
        <is>
          <t>http://identifiers.org/so/SO:0000570</t>
        </is>
      </c>
      <c r="C2191" s="12" t="inlineStr">
        <is>
          <t>['three prime exon coding region']</t>
        </is>
      </c>
      <c r="D2191" s="12" t="n"/>
      <c r="E2191" s="12" t="n"/>
    </row>
    <row r="2192" ht="15" customHeight="1">
      <c r="A2192" s="12" t="inlineStr">
        <is>
          <t>three_prime_D_spacer</t>
        </is>
      </c>
      <c r="B2192" s="12" t="inlineStr">
        <is>
          <t>http://identifiers.org/so/SO:0000495</t>
        </is>
      </c>
      <c r="C2192" s="12" t="inlineStr">
        <is>
          <t>['three_prime_exon_noncoding_region', 'three prime coding exon noncoding region']</t>
        </is>
      </c>
      <c r="D2192" s="12" t="n"/>
      <c r="E2192" s="12" t="n"/>
    </row>
    <row r="2193" ht="15" customHeight="1">
      <c r="A2193" s="12" t="inlineStr">
        <is>
          <t>three_prime_duplicated_transcript</t>
        </is>
      </c>
      <c r="B2193" s="12" t="inlineStr">
        <is>
          <t>http://identifiers.org/so/SO:0002246</t>
        </is>
      </c>
      <c r="C2193" s="12" t="inlineStr">
        <is>
          <t>["3'D-HEPTAMER", 'three prime D heptamer']</t>
        </is>
      </c>
      <c r="D2193" s="12" t="n"/>
      <c r="E2193" s="12" t="n"/>
    </row>
    <row r="2194" ht="15" customHeight="1">
      <c r="A2194" s="12" t="inlineStr">
        <is>
          <t>three_prime_EST</t>
        </is>
      </c>
      <c r="B2194" s="12" t="inlineStr">
        <is>
          <t>http://identifiers.org/so/SO:0001209</t>
        </is>
      </c>
      <c r="C2194" s="12" t="inlineStr">
        <is>
          <t>["3'D-NOMAMER", 'three prime D nonamer']</t>
        </is>
      </c>
      <c r="D2194" s="12" t="n"/>
      <c r="E2194" s="12" t="n"/>
    </row>
    <row r="2195" ht="15" customHeight="1">
      <c r="A2195" s="12" t="inlineStr">
        <is>
          <t>three_prime_five_prime_overlap</t>
        </is>
      </c>
      <c r="B2195" s="12" t="inlineStr">
        <is>
          <t>http://identifiers.org/so/SO:0000076</t>
        </is>
      </c>
      <c r="C2195" s="12" t="inlineStr">
        <is>
          <t>['three prime D recombination signal sequence', "3'D-RS", 'three_prime_D-recombination_signal_sequence']</t>
        </is>
      </c>
      <c r="D2195" s="12" t="n"/>
      <c r="E2195" s="12" t="n"/>
    </row>
    <row r="2196" ht="15" customHeight="1">
      <c r="A2196" s="12" t="inlineStr">
        <is>
          <t>three_prime_flanking_region</t>
        </is>
      </c>
      <c r="B2196" s="12" t="inlineStr">
        <is>
          <t>http://identifiers.org/so/SO:0001417</t>
        </is>
      </c>
      <c r="C2196" s="12" t="inlineStr">
        <is>
          <t>['three prime D spacer', "3'D-SPACER"]</t>
        </is>
      </c>
      <c r="D2196" s="12" t="n"/>
      <c r="E2196" s="12" t="n"/>
    </row>
    <row r="2197" ht="15" customHeight="1">
      <c r="A2197" s="12" t="inlineStr">
        <is>
          <t>three_prime_intron</t>
        </is>
      </c>
      <c r="B2197" s="12" t="inlineStr">
        <is>
          <t>http://identifiers.org/so/SO:0000192</t>
        </is>
      </c>
      <c r="C2197" s="12" t="inlineStr">
        <is>
          <t>['three prime partially duplicated transcript', 'three prime duplicated transcript', "3' duplicated transcript"]</t>
        </is>
      </c>
      <c r="D2197" s="12" t="n"/>
      <c r="E2197" s="12" t="n"/>
    </row>
    <row r="2198" ht="15" customHeight="1">
      <c r="A2198" s="12" t="inlineStr">
        <is>
          <t>three_prime_LTR</t>
        </is>
      </c>
      <c r="B2198" s="12" t="inlineStr">
        <is>
          <t>http://identifiers.org/so/SO:0000426</t>
        </is>
      </c>
      <c r="C2198" s="12" t="inlineStr">
        <is>
          <t>['three prime EST', "3' EST"]</t>
        </is>
      </c>
      <c r="D2198" s="12" t="n"/>
      <c r="E2198" s="12" t="n"/>
    </row>
    <row r="2199" ht="15" customHeight="1">
      <c r="A2199" s="12" t="inlineStr">
        <is>
          <t>three_prime_LTR_component</t>
        </is>
      </c>
      <c r="B2199" s="12" t="inlineStr">
        <is>
          <t>http://identifiers.org/so/SO:0000849</t>
        </is>
      </c>
      <c r="C2199" s="12" t="inlineStr">
        <is>
          <t>['three prime five prime overlap', "5' 3' overlap"]</t>
        </is>
      </c>
      <c r="D2199" s="12" t="n"/>
      <c r="E2199" s="12" t="n"/>
    </row>
    <row r="2200" ht="15" customHeight="1">
      <c r="A2200" s="12" t="inlineStr">
        <is>
          <t>three_prime_noncoding_exon</t>
        </is>
      </c>
      <c r="B2200" s="12" t="inlineStr">
        <is>
          <t>http://identifiers.org/so/SO:0000444</t>
        </is>
      </c>
      <c r="C2200" s="12" t="inlineStr">
        <is>
          <t>['three prime flanking region', "3' flanking region"]</t>
        </is>
      </c>
      <c r="D2200" s="12" t="n"/>
      <c r="E2200" s="12" t="n"/>
    </row>
    <row r="2201" ht="15" customHeight="1">
      <c r="A2201" s="12" t="inlineStr">
        <is>
          <t>three_prime_overlapping_ncrna</t>
        </is>
      </c>
      <c r="B2201" s="12" t="inlineStr">
        <is>
          <t>http://identifiers.org/so/SO:0002120</t>
        </is>
      </c>
      <c r="C2201" s="12" t="inlineStr">
        <is>
          <t>["3' intron sequence", "3' intron", 'three prime intron']</t>
        </is>
      </c>
      <c r="D2201" s="12" t="n"/>
      <c r="E2201" s="12" t="n"/>
    </row>
    <row r="2202" ht="15" customHeight="1">
      <c r="A2202" s="12" t="inlineStr">
        <is>
          <t>three_prime_RACE_clone</t>
        </is>
      </c>
      <c r="B2202" s="12" t="inlineStr">
        <is>
          <t>http://identifiers.org/so/SO:0001433</t>
        </is>
      </c>
      <c r="C2202" s="12" t="inlineStr">
        <is>
          <t>["3' LTR", "3' long terminal repeat", 'three prime LTR']</t>
        </is>
      </c>
      <c r="D2202" s="12" t="n"/>
      <c r="E2202" s="12" t="n"/>
    </row>
    <row r="2203" ht="15" customHeight="1">
      <c r="A2203" s="12" t="inlineStr">
        <is>
          <t>three_prime_recoding_site</t>
        </is>
      </c>
      <c r="B2203" s="12" t="inlineStr">
        <is>
          <t>http://identifiers.org/so/SO:1001277</t>
        </is>
      </c>
      <c r="C2203" s="12" t="inlineStr">
        <is>
          <t>['three prime LTR component', "3' long terminal repeat component"]</t>
        </is>
      </c>
      <c r="D2203" s="12" t="n"/>
      <c r="E2203" s="12" t="n"/>
    </row>
    <row r="2204" ht="15" customHeight="1">
      <c r="A2204" s="12" t="inlineStr">
        <is>
          <t>three_prime_repeat_recoding_signal</t>
        </is>
      </c>
      <c r="B2204" s="12" t="inlineStr">
        <is>
          <t>http://identifiers.org/so/SO:1001286</t>
        </is>
      </c>
      <c r="C2204" s="12" t="inlineStr">
        <is>
          <t>['three prime noncoding exon']</t>
        </is>
      </c>
      <c r="D2204" s="12" t="n"/>
      <c r="E2204" s="12" t="n"/>
    </row>
    <row r="2205" ht="15" customHeight="1">
      <c r="A2205" s="12" t="inlineStr">
        <is>
          <t>three_prime_restriction_enzyme_junction</t>
        </is>
      </c>
      <c r="B2205" s="12" t="inlineStr">
        <is>
          <t>http://identifiers.org/so/SO:0001690</t>
        </is>
      </c>
      <c r="C2205" s="12" t="inlineStr">
        <is>
          <t>["3'_overlapping_ncrna", 'three prime overlapping noncoding rna', '3prime_overlapping_ncRNA']</t>
        </is>
      </c>
      <c r="D2205" s="12" t="n"/>
      <c r="E2205" s="12" t="n"/>
    </row>
    <row r="2206" ht="15" customHeight="1">
      <c r="A2206" s="12" t="inlineStr">
        <is>
          <t>three_prime_RST</t>
        </is>
      </c>
      <c r="B2206" s="12" t="inlineStr">
        <is>
          <t>http://identifiers.org/so/SO:0001468</t>
        </is>
      </c>
      <c r="C2206" s="12" t="inlineStr">
        <is>
          <t>["3' RACE clone"]</t>
        </is>
      </c>
      <c r="D2206" s="12" t="n"/>
      <c r="E2206" s="12" t="n"/>
    </row>
    <row r="2207" ht="15" customHeight="1">
      <c r="A2207" s="12" t="inlineStr">
        <is>
          <t>three_prime_stem_loop_structure</t>
        </is>
      </c>
      <c r="B2207" s="12" t="inlineStr">
        <is>
          <t>http://identifiers.org/so/SO:1001279</t>
        </is>
      </c>
      <c r="C2207" s="12" t="inlineStr">
        <is>
          <t>['three prime recoding site']</t>
        </is>
      </c>
      <c r="D2207" s="12" t="n"/>
      <c r="E2207" s="12" t="n"/>
    </row>
    <row r="2208" ht="15" customHeight="1">
      <c r="A2208" s="12" t="inlineStr">
        <is>
          <t>three_prime_sticky_end_restriction_enzyme_cleavage_site</t>
        </is>
      </c>
      <c r="B2208" s="12" t="inlineStr">
        <is>
          <t>http://identifiers.org/so/SO:0001976</t>
        </is>
      </c>
      <c r="C2208" s="12" t="inlineStr">
        <is>
          <t>['three prime repeat recoding signal']</t>
        </is>
      </c>
      <c r="D2208" s="12" t="n"/>
      <c r="E2208" s="12" t="n"/>
    </row>
    <row r="2209" ht="15" customHeight="1">
      <c r="A2209" s="12" t="inlineStr">
        <is>
          <t>three_prime_terminal_inverted_repeat</t>
        </is>
      </c>
      <c r="B2209" s="12" t="inlineStr">
        <is>
          <t>http://identifiers.org/so/SO:0000421</t>
        </is>
      </c>
      <c r="C2209" s="12" t="inlineStr">
        <is>
          <t>["3' restriction enzyme junction"]</t>
        </is>
      </c>
      <c r="D2209" s="12" t="n"/>
      <c r="E2209" s="12" t="n"/>
    </row>
    <row r="2210" ht="15" customHeight="1">
      <c r="A2210" s="12" t="inlineStr">
        <is>
          <t>three_prime_three_prime_overlap</t>
        </is>
      </c>
      <c r="B2210" s="12" t="inlineStr">
        <is>
          <t>http://identifiers.org/so/SO:0000075</t>
        </is>
      </c>
      <c r="C2210" s="12" t="inlineStr">
        <is>
          <t>["3' RST"]</t>
        </is>
      </c>
      <c r="D2210" s="12" t="n"/>
      <c r="E2210" s="12" t="n"/>
    </row>
    <row r="2211" ht="15" customHeight="1">
      <c r="A2211" s="12" t="inlineStr">
        <is>
          <t>three_prime_UST</t>
        </is>
      </c>
      <c r="B2211" s="12" t="inlineStr">
        <is>
          <t>http://identifiers.org/so/SO:0001465</t>
        </is>
      </c>
      <c r="C2211" s="12" t="inlineStr">
        <is>
          <t>['three prime stem loop structure']</t>
        </is>
      </c>
      <c r="D2211" s="12" t="n"/>
      <c r="E2211" s="12" t="n"/>
    </row>
    <row r="2212" ht="15" customHeight="1">
      <c r="A2212" s="12" t="inlineStr">
        <is>
          <t>three_prime_UTR</t>
        </is>
      </c>
      <c r="B2212" s="12" t="inlineStr">
        <is>
          <t>http://identifiers.org/so/SO:0000205</t>
        </is>
      </c>
      <c r="C2212" s="12" t="inlineStr">
        <is>
          <t>['three prime sticky end restriction enzyme cleavage site']</t>
        </is>
      </c>
      <c r="D2212" s="12" t="n"/>
      <c r="E2212" s="12" t="n"/>
    </row>
    <row r="2213" ht="15" customHeight="1">
      <c r="A2213" s="12" t="inlineStr">
        <is>
          <t>three_prime_UTR_intron</t>
        </is>
      </c>
      <c r="B2213" s="12" t="inlineStr">
        <is>
          <t>http://identifiers.org/so/SO:0000448</t>
        </is>
      </c>
      <c r="C2213" s="12" t="inlineStr">
        <is>
          <t>['three prime terminal inverted repeat', "3' TIR"]</t>
        </is>
      </c>
      <c r="D2213" s="12" t="n"/>
      <c r="E2213" s="12" t="n"/>
    </row>
    <row r="2214" ht="15" customHeight="1">
      <c r="A2214" s="12" t="inlineStr">
        <is>
          <t>three_ten_helix</t>
        </is>
      </c>
      <c r="B2214" s="12" t="inlineStr">
        <is>
          <t>http://identifiers.org/so/SO:0001119</t>
        </is>
      </c>
      <c r="C2214" s="12" t="inlineStr">
        <is>
          <t>['three prime-three prime overlap']</t>
        </is>
      </c>
      <c r="D2214" s="12" t="n"/>
      <c r="E2214" s="12" t="n"/>
    </row>
    <row r="2215" ht="15" customHeight="1">
      <c r="A2215" s="12" t="inlineStr">
        <is>
          <t>three_three_amino_three_carboxypropyl_uridine</t>
        </is>
      </c>
      <c r="B2215" s="12" t="inlineStr">
        <is>
          <t>http://identifiers.org/so/SO:0001353</t>
        </is>
      </c>
      <c r="C2215" s="12" t="inlineStr">
        <is>
          <t>["3' UST"]</t>
        </is>
      </c>
      <c r="D2215" s="12" t="n"/>
      <c r="E2215" s="12" t="n"/>
    </row>
    <row r="2216" ht="15" customHeight="1">
      <c r="A2216" s="12" t="inlineStr">
        <is>
          <t>three_two_prime_O_dimethyluridine</t>
        </is>
      </c>
      <c r="B2216" s="12" t="inlineStr">
        <is>
          <t>http://identifiers.org/so/SO:0001375</t>
        </is>
      </c>
      <c r="C2216" s="12" t="inlineStr">
        <is>
          <t>["INSDC_feature:3'UTR", 'three prime untranslated region', 'three prime UTR']</t>
        </is>
      </c>
      <c r="D2216" s="12" t="n"/>
      <c r="E2216" s="12" t="n"/>
    </row>
    <row r="2217" ht="15" customHeight="1">
      <c r="A2217" s="12" t="inlineStr">
        <is>
          <t>threonine</t>
        </is>
      </c>
      <c r="B2217" s="12" t="inlineStr">
        <is>
          <t>http://identifiers.org/so/SO:0001445</t>
        </is>
      </c>
      <c r="C2217" s="12" t="inlineStr">
        <is>
          <t>['three prime UTR intron']</t>
        </is>
      </c>
      <c r="D2217" s="12" t="n"/>
      <c r="E2217" s="12" t="n"/>
    </row>
    <row r="2218" ht="15" customHeight="1">
      <c r="A2218" s="12" t="inlineStr">
        <is>
          <t>threonine_tRNA_primary_transcript</t>
        </is>
      </c>
      <c r="B2218" s="12" t="inlineStr">
        <is>
          <t>http://identifiers.org/so/SO:0000227</t>
        </is>
      </c>
      <c r="C2218" s="12" t="inlineStr">
        <is>
          <t>['three ten helix', '3(10) helix', '310 helix', '3-10 helix']</t>
        </is>
      </c>
      <c r="D2218" s="12" t="n"/>
      <c r="E2218" s="12" t="n"/>
    </row>
    <row r="2219" ht="15" customHeight="1">
      <c r="A2219" s="12" t="inlineStr">
        <is>
          <t>threonyl_tRNA</t>
        </is>
      </c>
      <c r="B2219" s="12" t="inlineStr">
        <is>
          <t>http://identifiers.org/so/SO:0000270</t>
        </is>
      </c>
      <c r="C2219" s="12" t="inlineStr">
        <is>
          <t>['3-(3-amino-3-carboxypropyl)uridine', 'acp3U']</t>
        </is>
      </c>
      <c r="D2219" s="12" t="n"/>
      <c r="E2219" s="12" t="n"/>
    </row>
    <row r="2220" ht="15" customHeight="1">
      <c r="A2220" s="12" t="inlineStr">
        <is>
          <t>tiling_path</t>
        </is>
      </c>
      <c r="B2220" s="12" t="inlineStr">
        <is>
          <t>http://identifiers.org/so/SO:0000472</t>
        </is>
      </c>
      <c r="C2220" s="12" t="inlineStr">
        <is>
          <t>['three two prime O dimethyluridine', "3,2'-O-dimethyluridine", 'm3Um']</t>
        </is>
      </c>
      <c r="D2220" s="12" t="n"/>
      <c r="E2220" s="12" t="n"/>
    </row>
    <row r="2221" ht="15" customHeight="1">
      <c r="A2221" s="12" t="inlineStr">
        <is>
          <t>tiling_path_clone</t>
        </is>
      </c>
      <c r="B2221" s="12" t="inlineStr">
        <is>
          <t>http://identifiers.org/so/SO:0000480</t>
        </is>
      </c>
      <c r="C2221" s="12" t="inlineStr">
        <is>
          <t>['T', 'Thr']</t>
        </is>
      </c>
      <c r="D2221" s="12" t="n"/>
      <c r="E2221" s="12" t="n"/>
    </row>
    <row r="2222" ht="15" customHeight="1">
      <c r="A2222" s="12" t="inlineStr">
        <is>
          <t>tiling_path_fragment</t>
        </is>
      </c>
      <c r="B2222" s="12" t="inlineStr">
        <is>
          <t>http://identifiers.org/so/SO:0000474</t>
        </is>
      </c>
      <c r="C2222" s="12" t="inlineStr">
        <is>
          <t>['threonine tRNA primary transcript']</t>
        </is>
      </c>
      <c r="D2222" s="12" t="n"/>
      <c r="E2222" s="12" t="n"/>
    </row>
    <row r="2223" ht="15" customHeight="1">
      <c r="A2223" s="12" t="inlineStr">
        <is>
          <t>tmRNA</t>
        </is>
      </c>
      <c r="B2223" s="12" t="inlineStr">
        <is>
          <t>http://identifiers.org/so/SO:0000584</t>
        </is>
      </c>
      <c r="C2223" s="12" t="inlineStr">
        <is>
          <t>['threonyl tRNA', 'threonyl-transfer RNA', 'threonyl-transfer ribonucleic acid']</t>
        </is>
      </c>
      <c r="D2223" s="12" t="n"/>
      <c r="E2223" s="12" t="n"/>
    </row>
    <row r="2224" ht="15" customHeight="1">
      <c r="A2224" s="12" t="inlineStr">
        <is>
          <t>tmRNA_acceptor_piece</t>
        </is>
      </c>
      <c r="B2224" s="12" t="inlineStr">
        <is>
          <t>http://identifiers.org/so/SO:0000770</t>
        </is>
      </c>
      <c r="C2224" s="12" t="inlineStr">
        <is>
          <t>['tiling path']</t>
        </is>
      </c>
      <c r="D2224" s="12" t="n"/>
      <c r="E2224" s="12" t="n"/>
    </row>
    <row r="2225" ht="15" customHeight="1">
      <c r="A2225" s="12" t="inlineStr">
        <is>
          <t>tmRNA_coding_piece</t>
        </is>
      </c>
      <c r="B2225" s="12" t="inlineStr">
        <is>
          <t>http://identifiers.org/so/SO:0000769</t>
        </is>
      </c>
      <c r="C2225" s="12" t="inlineStr">
        <is>
          <t>['tiling path clone']</t>
        </is>
      </c>
      <c r="D2225" s="12" t="n"/>
      <c r="E2225" s="12" t="n"/>
    </row>
    <row r="2226" ht="15" customHeight="1">
      <c r="A2226" s="12" t="inlineStr">
        <is>
          <t>tmRNA_encoding</t>
        </is>
      </c>
      <c r="B2226" s="12" t="inlineStr">
        <is>
          <t>http://identifiers.org/so/SO:0000659</t>
        </is>
      </c>
      <c r="C2226" s="12" t="inlineStr">
        <is>
          <t>['tiling path fragment']</t>
        </is>
      </c>
      <c r="D2226" s="12" t="n"/>
      <c r="E2226" s="12" t="n"/>
    </row>
    <row r="2227" ht="15" customHeight="1">
      <c r="A2227" s="12" t="inlineStr">
        <is>
          <t>tmRNA_gene</t>
        </is>
      </c>
      <c r="B2227" s="12" t="inlineStr">
        <is>
          <t>http://identifiers.org/so/SO:0001271</t>
        </is>
      </c>
      <c r="C2227" s="12" t="inlineStr">
        <is>
          <t>['INSDC_feature:tmRNA', 'ssrA', '10Sa RNA']</t>
        </is>
      </c>
      <c r="D2227" s="12" t="n"/>
      <c r="E2227" s="12" t="n"/>
    </row>
    <row r="2228" ht="15" customHeight="1">
      <c r="A2228" s="12" t="inlineStr">
        <is>
          <t>tmRNA_primary_transcript</t>
        </is>
      </c>
      <c r="B2228" s="12" t="inlineStr">
        <is>
          <t>http://identifiers.org/so/SO:0000586</t>
        </is>
      </c>
      <c r="C2228" s="12" t="inlineStr">
        <is>
          <t>['tmRNA acceptor piece']</t>
        </is>
      </c>
      <c r="D2228" s="12" t="n"/>
      <c r="E2228" s="12" t="n"/>
    </row>
    <row r="2229" ht="15" customHeight="1">
      <c r="A2229" s="12" t="inlineStr">
        <is>
          <t>tmRNA_region</t>
        </is>
      </c>
      <c r="B2229" s="12" t="inlineStr">
        <is>
          <t>http://identifiers.org/so/SO:0000847</t>
        </is>
      </c>
      <c r="C2229" s="12" t="inlineStr">
        <is>
          <t>['tmRNA coding piece']</t>
        </is>
      </c>
      <c r="D2229" s="12" t="n"/>
      <c r="E2229" s="12" t="n"/>
    </row>
    <row r="2230" ht="15" customHeight="1">
      <c r="A2230" s="12" t="inlineStr">
        <is>
          <t>TNA</t>
        </is>
      </c>
      <c r="B2230" s="12" t="inlineStr">
        <is>
          <t>http://identifiers.org/so/SO:0001190</t>
        </is>
      </c>
      <c r="C2230" s="12" t="inlineStr">
        <is>
          <t>['tmRNA encoding']</t>
        </is>
      </c>
      <c r="D2230" s="12" t="n"/>
      <c r="E2230" s="12" t="n"/>
    </row>
    <row r="2231" ht="15" customHeight="1">
      <c r="A2231" s="12" t="inlineStr">
        <is>
          <t>TNA_oligo</t>
        </is>
      </c>
      <c r="B2231" s="12" t="inlineStr">
        <is>
          <t>http://identifiers.org/so/SO:0001191</t>
        </is>
      </c>
      <c r="C2231" s="12" t="inlineStr">
        <is>
          <t>['tmRNA gene']</t>
        </is>
      </c>
      <c r="D2231" s="12" t="n"/>
      <c r="E2231" s="12" t="n"/>
    </row>
    <row r="2232" ht="15" customHeight="1">
      <c r="A2232" s="12" t="inlineStr">
        <is>
          <t>tnaORF</t>
        </is>
      </c>
      <c r="B2232" s="12" t="inlineStr">
        <is>
          <t>http://identifiers.org/so/SO:0002029</t>
        </is>
      </c>
      <c r="C2232" s="12" t="inlineStr">
        <is>
          <t>['ssrA RNA primary transcript', '10Sa RNA primary transcript', 'tmRNA primary transcript']</t>
        </is>
      </c>
      <c r="D2232" s="12" t="n"/>
      <c r="E2232" s="12" t="n"/>
    </row>
    <row r="2233" ht="15" customHeight="1">
      <c r="A2233" s="12" t="inlineStr">
        <is>
          <t>topologically_associated_domain</t>
        </is>
      </c>
      <c r="B2233" s="12" t="inlineStr">
        <is>
          <t>http://identifiers.org/so/SO:0002304</t>
        </is>
      </c>
      <c r="C2233" s="12" t="inlineStr">
        <is>
          <t>['tmRNA region']</t>
        </is>
      </c>
      <c r="D2233" s="12" t="n"/>
      <c r="E2233" s="12" t="n"/>
    </row>
    <row r="2234" ht="15" customHeight="1">
      <c r="A2234" s="12" t="inlineStr">
        <is>
          <t>topologically_associated_domain_boundary</t>
        </is>
      </c>
      <c r="B2234" s="12" t="inlineStr">
        <is>
          <t>http://identifiers.org/so/SO:0002305</t>
        </is>
      </c>
      <c r="C2234" s="12" t="n"/>
      <c r="D2234" s="12" t="n"/>
      <c r="E2234" s="12" t="n"/>
    </row>
    <row r="2235" ht="15" customHeight="1">
      <c r="A2235" s="12" t="inlineStr">
        <is>
          <t>topologically_defined_region</t>
        </is>
      </c>
      <c r="B2235" s="12" t="inlineStr">
        <is>
          <t>http://identifiers.org/so/SO:0001412</t>
        </is>
      </c>
      <c r="C2235" s="12" t="inlineStr">
        <is>
          <t>['threose nucleic acid', 'TNA oligo']</t>
        </is>
      </c>
      <c r="D2235" s="12" t="n"/>
      <c r="E2235" s="12" t="n"/>
    </row>
    <row r="2236" ht="15" customHeight="1">
      <c r="A2236" s="12" t="inlineStr">
        <is>
          <t>topology_attribute</t>
        </is>
      </c>
      <c r="B2236" s="12" t="inlineStr">
        <is>
          <t>http://identifiers.org/so/SO:0000986</t>
        </is>
      </c>
      <c r="C2236" s="12" t="inlineStr">
        <is>
          <t>['translated nested antisense gene']</t>
        </is>
      </c>
      <c r="D2236" s="12" t="n"/>
      <c r="E2236" s="12" t="n"/>
    </row>
    <row r="2237" ht="15" customHeight="1">
      <c r="A2237" s="12" t="inlineStr">
        <is>
          <t>TR_box</t>
        </is>
      </c>
      <c r="B2237" s="12" t="inlineStr">
        <is>
          <t>http://identifiers.org/so/SO:0001858</t>
        </is>
      </c>
      <c r="C2237" s="12" t="inlineStr">
        <is>
          <t>['TAD', 'topologically associated domain']</t>
        </is>
      </c>
      <c r="D2237" s="12" t="n"/>
      <c r="E2237" s="12" t="n"/>
    </row>
    <row r="2238" ht="15" customHeight="1">
      <c r="A2238" s="12" t="inlineStr">
        <is>
          <t>TR_C_Gene</t>
        </is>
      </c>
      <c r="B2238" s="12" t="inlineStr">
        <is>
          <t>http://identifiers.org/so/SO:0002134</t>
        </is>
      </c>
      <c r="C2238" s="12" t="inlineStr">
        <is>
          <t>['TAD_boundary', 'topologically associated domain boundary', 'TAD boundary']</t>
        </is>
      </c>
      <c r="D2238" s="12" t="n"/>
      <c r="E2238" s="12" t="n"/>
    </row>
    <row r="2239" ht="15" customHeight="1">
      <c r="A2239" s="12" t="inlineStr">
        <is>
          <t>TR_D_Gene</t>
        </is>
      </c>
      <c r="B2239" s="12" t="inlineStr">
        <is>
          <t>http://identifiers.org/so/SO:0002135</t>
        </is>
      </c>
      <c r="C2239" s="12" t="inlineStr">
        <is>
          <t>['topologically defined region']</t>
        </is>
      </c>
      <c r="D2239" s="12" t="n"/>
      <c r="E2239" s="12" t="n"/>
    </row>
    <row r="2240" ht="15" customHeight="1">
      <c r="A2240" s="12" t="inlineStr">
        <is>
          <t>TR_J_Gene</t>
        </is>
      </c>
      <c r="B2240" s="12" t="inlineStr">
        <is>
          <t>http://identifiers.org/so/SO:0002136</t>
        </is>
      </c>
      <c r="C2240" s="12" t="inlineStr">
        <is>
          <t>['topology attribute']</t>
        </is>
      </c>
      <c r="D2240" s="12" t="n"/>
      <c r="E2240" s="12" t="n"/>
    </row>
    <row r="2241" ht="15" customHeight="1">
      <c r="A2241" s="12" t="inlineStr">
        <is>
          <t>TR_J_pseudogene</t>
        </is>
      </c>
      <c r="B2241" s="12" t="inlineStr">
        <is>
          <t>http://identifiers.org/so/SO:0002104</t>
        </is>
      </c>
      <c r="C2241" s="12" t="inlineStr">
        <is>
          <t>['TR box']</t>
        </is>
      </c>
      <c r="D2241" s="12" t="n"/>
      <c r="E2241" s="12" t="n"/>
    </row>
    <row r="2242" ht="15" customHeight="1">
      <c r="A2242" s="12" t="inlineStr">
        <is>
          <t>TR_V_Gene</t>
        </is>
      </c>
      <c r="B2242" s="12" t="inlineStr">
        <is>
          <t>http://identifiers.org/so/SO:0002137</t>
        </is>
      </c>
      <c r="C2242" s="12" t="inlineStr">
        <is>
          <t>['T_cell_receptor_C_gene']</t>
        </is>
      </c>
      <c r="D2242" s="12" t="n"/>
      <c r="E2242" s="12" t="n"/>
    </row>
    <row r="2243" ht="15" customHeight="1">
      <c r="A2243" s="12" t="inlineStr">
        <is>
          <t>TR_V_pseudogene</t>
        </is>
      </c>
      <c r="B2243" s="12" t="inlineStr">
        <is>
          <t>http://identifiers.org/so/SO:0002103</t>
        </is>
      </c>
      <c r="C2243" s="12" t="inlineStr">
        <is>
          <t>['T_cell_receptor_D_gene']</t>
        </is>
      </c>
      <c r="D2243" s="12" t="n"/>
      <c r="E2243" s="12" t="n"/>
    </row>
    <row r="2244" ht="15" customHeight="1">
      <c r="A2244" s="12" t="inlineStr">
        <is>
          <t>trans_splice_acceptor_site</t>
        </is>
      </c>
      <c r="B2244" s="12" t="inlineStr">
        <is>
          <t>http://identifiers.org/so/SO:0000706</t>
        </is>
      </c>
      <c r="C2244" s="12" t="inlineStr">
        <is>
          <t>['T_cell_receptor_J_gene']</t>
        </is>
      </c>
      <c r="D2244" s="12" t="n"/>
      <c r="E2244" s="12" t="n"/>
    </row>
    <row r="2245" ht="15" customHeight="1">
      <c r="A2245" s="12" t="inlineStr">
        <is>
          <t>trans_splice_donor_site</t>
        </is>
      </c>
      <c r="B2245" s="12" t="inlineStr">
        <is>
          <t>http://identifiers.org/so/SO:0000707</t>
        </is>
      </c>
      <c r="C2245" s="12" t="inlineStr">
        <is>
          <t>['TR J pseudogene', 'T_cell_receptor_J_pseudogene', 'T_cell_receptor_Joining_pseudogene', 'T cell receptor Joining pseudogene', 'T cell receptor J pseudogene']</t>
        </is>
      </c>
      <c r="D2245" s="12" t="n"/>
      <c r="E2245" s="12" t="n"/>
    </row>
    <row r="2246" ht="15" customHeight="1">
      <c r="A2246" s="12" t="inlineStr">
        <is>
          <t>trans_splice_junction</t>
        </is>
      </c>
      <c r="B2246" s="12" t="inlineStr">
        <is>
          <t>http://identifiers.org/so/SO:0001474</t>
        </is>
      </c>
      <c r="C2246" s="12" t="inlineStr">
        <is>
          <t>['T_cell_receptor_V_gene']</t>
        </is>
      </c>
      <c r="D2246" s="12" t="n"/>
      <c r="E2246" s="12" t="n"/>
    </row>
    <row r="2247" ht="15" customHeight="1">
      <c r="A2247" s="12" t="inlineStr">
        <is>
          <t>trans_splice_site</t>
        </is>
      </c>
      <c r="B2247" s="12" t="inlineStr">
        <is>
          <t>http://identifiers.org/so/SO:0001420</t>
        </is>
      </c>
      <c r="C2247" s="12" t="inlineStr">
        <is>
          <t>['T cell receptor V pseudogene', 'T_cell_receptor_V_pseudogene', 'TR V pseudogene', 'T_cell_receptor_Variable_pseudogene', 'T cell receptor Variable pseudogene']</t>
        </is>
      </c>
      <c r="D2247" s="12" t="n"/>
      <c r="E2247" s="12" t="n"/>
    </row>
    <row r="2248" ht="15" customHeight="1">
      <c r="A2248" s="12" t="inlineStr">
        <is>
          <t>trans_spliced</t>
        </is>
      </c>
      <c r="B2248" s="12" t="inlineStr">
        <is>
          <t>http://identifiers.org/so/SO:0000870</t>
        </is>
      </c>
      <c r="C2248" s="12" t="inlineStr">
        <is>
          <t>["3' trans splice site", 'trans splice acceptor site']</t>
        </is>
      </c>
      <c r="D2248" s="12" t="n"/>
      <c r="E2248" s="12" t="n"/>
    </row>
    <row r="2249" ht="15" customHeight="1">
      <c r="A2249" s="12" t="inlineStr">
        <is>
          <t>trans_spliced_mRNA</t>
        </is>
      </c>
      <c r="B2249" s="12" t="inlineStr">
        <is>
          <t>http://identifiers.org/so/SO:0000872</t>
        </is>
      </c>
      <c r="C2249" s="12" t="inlineStr">
        <is>
          <t>['trans-splice donor site', 'trans splice donor site', '5 prime trans splice site']</t>
        </is>
      </c>
      <c r="D2249" s="12" t="n"/>
      <c r="E2249" s="12" t="n"/>
    </row>
    <row r="2250" ht="15" customHeight="1">
      <c r="A2250" s="12" t="inlineStr">
        <is>
          <t>trans_spliced_transcript</t>
        </is>
      </c>
      <c r="B2250" s="12" t="inlineStr">
        <is>
          <t>http://identifiers.org/so/SO:0000479</t>
        </is>
      </c>
      <c r="C2250" s="12" t="inlineStr">
        <is>
          <t>['trans-splice junction']</t>
        </is>
      </c>
      <c r="D2250" s="12" t="n"/>
      <c r="E2250" s="12" t="n"/>
    </row>
    <row r="2251" ht="15" customHeight="1">
      <c r="A2251" s="12" t="inlineStr">
        <is>
          <t>transcribed_cluster</t>
        </is>
      </c>
      <c r="B2251" s="12" t="inlineStr">
        <is>
          <t>http://identifiers.org/so/SO:0001457</t>
        </is>
      </c>
      <c r="C2251" s="12" t="inlineStr">
        <is>
          <t>['trans splice site']</t>
        </is>
      </c>
      <c r="D2251" s="12" t="n"/>
      <c r="E2251" s="12" t="n"/>
    </row>
    <row r="2252" ht="15" customHeight="1">
      <c r="A2252" s="12" t="inlineStr">
        <is>
          <t>transcribed_fragment</t>
        </is>
      </c>
      <c r="B2252" s="12" t="inlineStr">
        <is>
          <t>http://identifiers.org/so/SO:0001418</t>
        </is>
      </c>
      <c r="C2252" s="12" t="inlineStr">
        <is>
          <t>['trans-spliced']</t>
        </is>
      </c>
      <c r="D2252" s="12" t="n"/>
      <c r="E2252" s="12" t="n"/>
    </row>
    <row r="2253" ht="15" customHeight="1">
      <c r="A2253" s="12" t="inlineStr">
        <is>
          <t>transcribed_processed_pseudogene</t>
        </is>
      </c>
      <c r="B2253" s="12" t="inlineStr">
        <is>
          <t>http://identifiers.org/so/SO:0002109</t>
        </is>
      </c>
      <c r="C2253" s="12" t="inlineStr">
        <is>
          <t>['trans-spliced mRNA']</t>
        </is>
      </c>
      <c r="D2253" s="12" t="n"/>
      <c r="E2253" s="12" t="n"/>
    </row>
    <row r="2254" ht="15" customHeight="1">
      <c r="A2254" s="12" t="inlineStr">
        <is>
          <t>transcribed_region</t>
        </is>
      </c>
      <c r="B2254" s="12" t="inlineStr">
        <is>
          <t>http://identifiers.org/so/SO:0000502</t>
        </is>
      </c>
      <c r="C2254" s="12" t="inlineStr">
        <is>
          <t>['INSDC_qualifier:trans_splicing', 'trans spliced transcript', 'INSDC_feature:tRNA', 'trans-spliced transcript']</t>
        </is>
      </c>
      <c r="D2254" s="12" t="n"/>
      <c r="E2254" s="12" t="n"/>
    </row>
    <row r="2255" ht="15" customHeight="1">
      <c r="A2255" s="12" t="inlineStr">
        <is>
          <t>transcribed_spacer_region</t>
        </is>
      </c>
      <c r="B2255" s="12" t="inlineStr">
        <is>
          <t>http://identifiers.org/so/SO:0000638</t>
        </is>
      </c>
      <c r="C2255" s="12" t="inlineStr">
        <is>
          <t>['transcribed cluster', 'unigene cluster']</t>
        </is>
      </c>
      <c r="D2255" s="12" t="n"/>
      <c r="E2255" s="12" t="n"/>
    </row>
    <row r="2256" ht="15" customHeight="1">
      <c r="A2256" s="12" t="inlineStr">
        <is>
          <t>transcribed_unitary_pseudogene</t>
        </is>
      </c>
      <c r="B2256" s="12" t="inlineStr">
        <is>
          <t>http://identifiers.org/so/SO:0002108</t>
        </is>
      </c>
      <c r="C2256" s="12" t="inlineStr">
        <is>
          <t>['transcribed fragment', 'transfrag']</t>
        </is>
      </c>
      <c r="D2256" s="12" t="n"/>
      <c r="E2256" s="12" t="n"/>
    </row>
    <row r="2257" ht="15" customHeight="1">
      <c r="A2257" s="12" t="inlineStr">
        <is>
          <t>transcribed_unprocessed_pseudogene</t>
        </is>
      </c>
      <c r="B2257" s="12" t="inlineStr">
        <is>
          <t>http://identifiers.org/so/SO:0002107</t>
        </is>
      </c>
      <c r="C2257" s="12" t="inlineStr">
        <is>
          <t>['transcribed processed pseudogene']</t>
        </is>
      </c>
      <c r="D2257" s="12" t="n"/>
      <c r="E2257" s="12" t="n"/>
    </row>
    <row r="2258" ht="15" customHeight="1">
      <c r="A2258" s="12" t="inlineStr">
        <is>
          <t>transcript</t>
        </is>
      </c>
      <c r="B2258" s="12" t="inlineStr">
        <is>
          <t>http://identifiers.org/so/SO:0000673</t>
        </is>
      </c>
      <c r="C2258" s="12" t="n"/>
      <c r="D2258" s="12" t="n"/>
      <c r="E2258" s="12" t="n"/>
    </row>
    <row r="2259" ht="15" customHeight="1">
      <c r="A2259" s="12" t="inlineStr">
        <is>
          <t>transcript_ablation</t>
        </is>
      </c>
      <c r="B2259" s="12" t="inlineStr">
        <is>
          <t>http://identifiers.org/so/SO:0001893</t>
        </is>
      </c>
      <c r="C2259" s="12" t="inlineStr">
        <is>
          <t>['transcribed spacer region']</t>
        </is>
      </c>
      <c r="D2259" s="12" t="n"/>
      <c r="E2259" s="12" t="n"/>
    </row>
    <row r="2260" ht="15" customHeight="1">
      <c r="A2260" s="12" t="inlineStr">
        <is>
          <t>transcript_amplification</t>
        </is>
      </c>
      <c r="B2260" s="12" t="inlineStr">
        <is>
          <t>http://identifiers.org/so/SO:0001889</t>
        </is>
      </c>
      <c r="C2260" s="12" t="inlineStr">
        <is>
          <t>['transcribed unitary pseudogene']</t>
        </is>
      </c>
      <c r="D2260" s="12" t="n"/>
      <c r="E2260" s="12" t="n"/>
    </row>
    <row r="2261" ht="15" customHeight="1">
      <c r="A2261" s="12" t="inlineStr">
        <is>
          <t>transcript_attribute</t>
        </is>
      </c>
      <c r="B2261" s="12" t="inlineStr">
        <is>
          <t>http://identifiers.org/so/SO:0000237</t>
        </is>
      </c>
      <c r="C2261" s="12" t="inlineStr">
        <is>
          <t>['transcribed_non_processed_pseudogene', 'transcribed unprocessed pseudogene']</t>
        </is>
      </c>
      <c r="D2261" s="12" t="n"/>
      <c r="E2261" s="12" t="n"/>
    </row>
    <row r="2262" ht="15" customHeight="1">
      <c r="A2262" s="12" t="inlineStr">
        <is>
          <t>transcript_bound_by_nucleic_acid</t>
        </is>
      </c>
      <c r="B2262" s="12" t="inlineStr">
        <is>
          <t>http://identifiers.org/so/SO:0000278</t>
        </is>
      </c>
      <c r="C2262" s="12" t="inlineStr">
        <is>
          <t>['INSDC_feature:misc_RNA']</t>
        </is>
      </c>
      <c r="D2262" s="12" t="n"/>
      <c r="E2262" s="12" t="n"/>
    </row>
    <row r="2263" ht="15" customHeight="1">
      <c r="A2263" s="12" t="inlineStr">
        <is>
          <t>transcript_bound_by_protein</t>
        </is>
      </c>
      <c r="B2263" s="12" t="inlineStr">
        <is>
          <t>http://identifiers.org/so/SO:0000279</t>
        </is>
      </c>
      <c r="C2263" s="12" t="inlineStr">
        <is>
          <t>['VEP:transcript_ablation', 'Jannovar:transcript_ablation', 'transcript ablation']</t>
        </is>
      </c>
      <c r="D2263" s="12" t="n"/>
      <c r="E2263" s="12" t="n"/>
    </row>
    <row r="2264" ht="15" customHeight="1">
      <c r="A2264" s="12" t="inlineStr">
        <is>
          <t>transcript_edited_by_U_insertion/deletion</t>
        </is>
      </c>
      <c r="B2264" s="12" t="inlineStr">
        <is>
          <t>http://identifiers.org/so/SO:0000597</t>
        </is>
      </c>
      <c r="C2264" s="12" t="inlineStr">
        <is>
          <t>['VEP:transcript_amplification', 'transcript amplification']</t>
        </is>
      </c>
      <c r="D2264" s="12" t="n"/>
      <c r="E2264" s="12" t="n"/>
    </row>
    <row r="2265" ht="15" customHeight="1">
      <c r="A2265" s="12" t="inlineStr">
        <is>
          <t>transcript_feature</t>
        </is>
      </c>
      <c r="B2265" s="12" t="inlineStr">
        <is>
          <t>http://identifiers.org/so/SO:0000115</t>
        </is>
      </c>
      <c r="C2265" s="12" t="inlineStr">
        <is>
          <t>['transcript attribute']</t>
        </is>
      </c>
      <c r="D2265" s="12" t="n"/>
      <c r="E2265" s="12" t="n"/>
    </row>
    <row r="2266" ht="15" customHeight="1">
      <c r="A2266" s="12" t="inlineStr">
        <is>
          <t>transcript_function_variant</t>
        </is>
      </c>
      <c r="B2266" s="12" t="inlineStr">
        <is>
          <t>http://identifiers.org/so/SO:0001538</t>
        </is>
      </c>
      <c r="C2266" s="12" t="inlineStr">
        <is>
          <t>['transcript bound by nucleic acid']</t>
        </is>
      </c>
      <c r="D2266" s="12" t="n"/>
      <c r="E2266" s="12" t="n"/>
    </row>
    <row r="2267" ht="15" customHeight="1">
      <c r="A2267" s="12" t="inlineStr">
        <is>
          <t>transcript_fusion</t>
        </is>
      </c>
      <c r="B2267" s="12" t="inlineStr">
        <is>
          <t>http://identifiers.org/so/SO:0001886</t>
        </is>
      </c>
      <c r="C2267" s="12" t="inlineStr">
        <is>
          <t>['transcript bound by protein']</t>
        </is>
      </c>
      <c r="D2267" s="12" t="n"/>
      <c r="E2267" s="12" t="n"/>
    </row>
    <row r="2268" ht="15" customHeight="1">
      <c r="A2268" s="12" t="inlineStr">
        <is>
          <t>transcript_processing_variant</t>
        </is>
      </c>
      <c r="B2268" s="12" t="inlineStr">
        <is>
          <t>http://identifiers.org/so/SO:0001543</t>
        </is>
      </c>
      <c r="C2268" s="12" t="n"/>
      <c r="D2268" s="12" t="n"/>
      <c r="E2268" s="12" t="n"/>
    </row>
    <row r="2269" ht="15" customHeight="1">
      <c r="A2269" s="12" t="inlineStr">
        <is>
          <t>transcript_region</t>
        </is>
      </c>
      <c r="B2269" s="12" t="inlineStr">
        <is>
          <t>http://identifiers.org/so/SO:0000833</t>
        </is>
      </c>
      <c r="C2269" s="12" t="n"/>
      <c r="D2269" s="12" t="n"/>
      <c r="E2269" s="12" t="n"/>
    </row>
    <row r="2270" ht="15" customHeight="1">
      <c r="A2270" s="12" t="inlineStr">
        <is>
          <t>transcript_regulatory_region_fusion</t>
        </is>
      </c>
      <c r="B2270" s="12" t="inlineStr">
        <is>
          <t>http://identifiers.org/so/SO:0001890</t>
        </is>
      </c>
      <c r="C2270" s="12" t="inlineStr">
        <is>
          <t>['transcript function variant']</t>
        </is>
      </c>
      <c r="D2270" s="12" t="n"/>
      <c r="E2270" s="12" t="n"/>
    </row>
    <row r="2271" ht="15" customHeight="1">
      <c r="A2271" s="12" t="inlineStr">
        <is>
          <t>transcript_secondary_structure_variant</t>
        </is>
      </c>
      <c r="B2271" s="12" t="inlineStr">
        <is>
          <t>http://identifiers.org/so/SO:0001596</t>
        </is>
      </c>
      <c r="C2271" s="12" t="inlineStr">
        <is>
          <t>['transcript fusion']</t>
        </is>
      </c>
      <c r="D2271" s="12" t="n"/>
      <c r="E2271" s="12" t="n"/>
    </row>
    <row r="2272" ht="15" customHeight="1">
      <c r="A2272" s="12" t="inlineStr">
        <is>
          <t>transcript_sequence_variant</t>
        </is>
      </c>
      <c r="B2272" s="12" t="inlineStr">
        <is>
          <t>http://identifiers.org/so/SO:0001579</t>
        </is>
      </c>
      <c r="C2272" s="12" t="inlineStr">
        <is>
          <t>['transcript processing variant']</t>
        </is>
      </c>
      <c r="D2272" s="12" t="n"/>
      <c r="E2272" s="12" t="n"/>
    </row>
    <row r="2273" ht="15" customHeight="1">
      <c r="A2273" s="12" t="inlineStr">
        <is>
          <t>transcript_stability_variant</t>
        </is>
      </c>
      <c r="B2273" s="12" t="inlineStr">
        <is>
          <t>http://identifiers.org/so/SO:0001546</t>
        </is>
      </c>
      <c r="C2273" s="12" t="inlineStr">
        <is>
          <t>['transcript region']</t>
        </is>
      </c>
      <c r="D2273" s="12" t="n"/>
      <c r="E2273" s="12" t="n"/>
    </row>
    <row r="2274" ht="15" customHeight="1">
      <c r="A2274" s="12" t="inlineStr">
        <is>
          <t>transcript_translocation</t>
        </is>
      </c>
      <c r="B2274" s="12" t="inlineStr">
        <is>
          <t>http://identifiers.org/so/SO:0001883</t>
        </is>
      </c>
      <c r="C2274" s="12" t="inlineStr">
        <is>
          <t>['transcript regulatory region fusion']</t>
        </is>
      </c>
      <c r="D2274" s="12" t="n"/>
      <c r="E2274" s="12" t="n"/>
    </row>
    <row r="2275" ht="15" customHeight="1">
      <c r="A2275" s="12" t="inlineStr">
        <is>
          <t>transcript_variant</t>
        </is>
      </c>
      <c r="B2275" s="12" t="inlineStr">
        <is>
          <t>http://identifiers.org/so/SO:0001576</t>
        </is>
      </c>
      <c r="C2275" s="12" t="inlineStr">
        <is>
          <t>['transcript secondary structure variant']</t>
        </is>
      </c>
      <c r="D2275" s="12" t="n"/>
      <c r="E2275" s="12" t="n"/>
    </row>
    <row r="2276" ht="15" customHeight="1">
      <c r="A2276" s="12" t="inlineStr">
        <is>
          <t>transcript_with_readthrough_stop_codon</t>
        </is>
      </c>
      <c r="B2276" s="12" t="inlineStr">
        <is>
          <t>http://identifiers.org/so/SO:0000117</t>
        </is>
      </c>
      <c r="C2276" s="12" t="inlineStr">
        <is>
          <t>['transcript sequence variant']</t>
        </is>
      </c>
      <c r="D2276" s="12" t="n"/>
      <c r="E2276" s="12" t="n"/>
    </row>
    <row r="2277" ht="15" customHeight="1">
      <c r="A2277" s="12" t="inlineStr">
        <is>
          <t>transcript_with_translational_frameshift</t>
        </is>
      </c>
      <c r="B2277" s="12" t="inlineStr">
        <is>
          <t>http://identifiers.org/so/SO:0000118</t>
        </is>
      </c>
      <c r="C2277" s="12" t="inlineStr">
        <is>
          <t>['transcript stability variant']</t>
        </is>
      </c>
      <c r="D2277" s="12" t="n"/>
      <c r="E2277" s="12" t="n"/>
    </row>
    <row r="2278" ht="15" customHeight="1">
      <c r="A2278" s="12" t="inlineStr">
        <is>
          <t>transcription_end_site</t>
        </is>
      </c>
      <c r="B2278" s="12" t="inlineStr">
        <is>
          <t>http://identifiers.org/so/SO:0000616</t>
        </is>
      </c>
      <c r="C2278" s="12" t="inlineStr">
        <is>
          <t>['transcript translocation']</t>
        </is>
      </c>
      <c r="D2278" s="12" t="n"/>
      <c r="E2278" s="12" t="n"/>
    </row>
    <row r="2279" ht="15" customHeight="1">
      <c r="A2279" s="12" t="inlineStr">
        <is>
          <t>transcription_factor_regulatory_site</t>
        </is>
      </c>
      <c r="B2279" s="12" t="inlineStr">
        <is>
          <t>http://identifiers.org/so/SO:0002295</t>
        </is>
      </c>
      <c r="C2279" s="12" t="inlineStr">
        <is>
          <t>['Jannovar:transcript_variant', 'VAAST:transcript_variant', 'snpEff:TRANSCRIPT', 'transcript variant']</t>
        </is>
      </c>
      <c r="D2279" s="12" t="n"/>
      <c r="E2279" s="12" t="n"/>
    </row>
    <row r="2280" ht="15" customHeight="1">
      <c r="A2280" s="12" t="inlineStr">
        <is>
          <t>transcription_pause_site</t>
        </is>
      </c>
      <c r="B2280" s="12" t="inlineStr">
        <is>
          <t>http://identifiers.org/so/SO:0002047</t>
        </is>
      </c>
      <c r="C2280" s="12" t="n"/>
      <c r="D2280" s="12" t="n"/>
      <c r="E2280" s="12" t="n"/>
    </row>
    <row r="2281" ht="15" customHeight="1">
      <c r="A2281" s="12" t="inlineStr">
        <is>
          <t>transcription_regulatory_region</t>
        </is>
      </c>
      <c r="B2281" s="12" t="inlineStr">
        <is>
          <t>http://identifiers.org/so/SO:0001679</t>
        </is>
      </c>
      <c r="C2281" s="12" t="inlineStr">
        <is>
          <t>['transcript with translational frameshift']</t>
        </is>
      </c>
      <c r="D2281" s="12" t="n"/>
      <c r="E2281" s="12" t="n"/>
    </row>
    <row r="2282" ht="15" customHeight="1">
      <c r="A2282" s="12" t="inlineStr">
        <is>
          <t>transcription_start_cluster</t>
        </is>
      </c>
      <c r="B2282" s="12" t="inlineStr">
        <is>
          <t>http://identifiers.org/so/SO:0001915</t>
        </is>
      </c>
      <c r="C2282" s="12" t="inlineStr">
        <is>
          <t>['transcription end site']</t>
        </is>
      </c>
      <c r="D2282" s="12" t="n"/>
      <c r="E2282" s="12" t="n"/>
    </row>
    <row r="2283" ht="15" customHeight="1">
      <c r="A2283" s="12" t="inlineStr">
        <is>
          <t>transcription_termination_signal</t>
        </is>
      </c>
      <c r="B2283" s="12" t="inlineStr">
        <is>
          <t>http://identifiers.org/so/SO:0002213</t>
        </is>
      </c>
      <c r="C2283" s="12" t="inlineStr">
        <is>
          <t>['transcription factor regulatory site', 'TFRS']</t>
        </is>
      </c>
      <c r="D2283" s="12" t="n"/>
      <c r="E2283" s="12" t="n"/>
    </row>
    <row r="2284" ht="15" customHeight="1">
      <c r="A2284" s="12" t="inlineStr">
        <is>
          <t>transcription_unit</t>
        </is>
      </c>
      <c r="B2284" s="12" t="inlineStr">
        <is>
          <t>http://identifiers.org/so/SO:0002301</t>
        </is>
      </c>
      <c r="C2284" s="12" t="inlineStr">
        <is>
          <t>['transcription pause site']</t>
        </is>
      </c>
      <c r="D2284" s="12" t="n"/>
      <c r="E2284" s="12" t="n"/>
    </row>
    <row r="2285" ht="15" customHeight="1">
      <c r="A2285" s="12" t="inlineStr">
        <is>
          <t>transcription_variant</t>
        </is>
      </c>
      <c r="B2285" s="12" t="inlineStr">
        <is>
          <t>http://identifiers.org/so/SO:0001549</t>
        </is>
      </c>
      <c r="C2285" s="12" t="inlineStr">
        <is>
          <t>['transcription regulatory region']</t>
        </is>
      </c>
      <c r="D2285" s="12" t="n"/>
      <c r="E2285" s="12" t="n"/>
    </row>
    <row r="2286" ht="15" customHeight="1">
      <c r="A2286" s="12" t="inlineStr">
        <is>
          <t>transcriptional_cis_regulatory_region</t>
        </is>
      </c>
      <c r="B2286" s="12" t="inlineStr">
        <is>
          <t>http://identifiers.org/so/SO:0001055</t>
        </is>
      </c>
      <c r="C2286" s="12" t="inlineStr">
        <is>
          <t>['transcriptional initiation cluster', 'transcriptional start site cluster', 'TSS cluster', 'TSC']</t>
        </is>
      </c>
      <c r="D2286" s="12" t="n"/>
      <c r="E2286" s="12" t="n"/>
    </row>
    <row r="2287" ht="15" customHeight="1">
      <c r="A2287" s="12" t="inlineStr">
        <is>
          <t>transcriptionally_constitutive</t>
        </is>
      </c>
      <c r="B2287" s="12" t="inlineStr">
        <is>
          <t>http://identifiers.org/so/SO:0000124</t>
        </is>
      </c>
      <c r="C2287" s="12" t="inlineStr">
        <is>
          <t>['Nrd1-dependent terminator', '(A(U)GUA) motif', 'Nrd1 binding motif', 'transcription termination signal', 'polyA site associated transcription termination signal', 'polyA site downstream element', 'UCUUG motif', 'UGUAA/G motif']</t>
        </is>
      </c>
      <c r="D2287" s="12" t="n"/>
      <c r="E2287" s="12" t="n"/>
    </row>
    <row r="2288" ht="15" customHeight="1">
      <c r="A2288" s="12" t="inlineStr">
        <is>
          <t>transcriptionally_induced</t>
        </is>
      </c>
      <c r="B2288" s="12" t="inlineStr">
        <is>
          <t>http://identifiers.org/so/SO:0000125</t>
        </is>
      </c>
      <c r="C2288" s="12" t="inlineStr">
        <is>
          <t>['transcription unit']</t>
        </is>
      </c>
      <c r="D2288" s="12" t="n"/>
      <c r="E2288" s="12" t="n"/>
    </row>
    <row r="2289" ht="15" customHeight="1">
      <c r="A2289" s="12" t="inlineStr">
        <is>
          <t>transcriptionally_regulated</t>
        </is>
      </c>
      <c r="B2289" s="12" t="inlineStr">
        <is>
          <t>http://identifiers.org/so/SO:0000123</t>
        </is>
      </c>
      <c r="C2289" s="12" t="inlineStr">
        <is>
          <t>['transcription variant']</t>
        </is>
      </c>
      <c r="D2289" s="12" t="n"/>
      <c r="E2289" s="12" t="n"/>
    </row>
    <row r="2290" ht="15" customHeight="1">
      <c r="A2290" s="12" t="inlineStr">
        <is>
          <t>transcriptionally_repressed</t>
        </is>
      </c>
      <c r="B2290" s="12" t="inlineStr">
        <is>
          <t>http://identifiers.org/so/SO:0000126</t>
        </is>
      </c>
      <c r="C2290" s="12" t="inlineStr">
        <is>
          <t>['INSDC_feature:regulatory', 'INSDC_qualifier:transcriptional_cis_regulatory_region', 'transcriptional cis regulatory region', 'transcription-control region']</t>
        </is>
      </c>
      <c r="D2290" s="12" t="n"/>
      <c r="E2290" s="12" t="n"/>
    </row>
    <row r="2291" ht="15" customHeight="1">
      <c r="A2291" s="12" t="inlineStr">
        <is>
          <t>transgene</t>
        </is>
      </c>
      <c r="B2291" s="12" t="inlineStr">
        <is>
          <t>http://identifiers.org/so/SO:0000902</t>
        </is>
      </c>
      <c r="C2291" s="12" t="inlineStr">
        <is>
          <t>['transcriptionally constitutive']</t>
        </is>
      </c>
      <c r="D2291" s="12" t="n"/>
      <c r="E2291" s="12" t="n"/>
    </row>
    <row r="2292" ht="15" customHeight="1">
      <c r="A2292" s="12" t="inlineStr">
        <is>
          <t>transgene_attribute</t>
        </is>
      </c>
      <c r="B2292" s="12" t="inlineStr">
        <is>
          <t>http://identifiers.org/so/SO:0000452</t>
        </is>
      </c>
      <c r="C2292" s="12" t="inlineStr">
        <is>
          <t>['transcriptionally induced']</t>
        </is>
      </c>
      <c r="D2292" s="12" t="n"/>
      <c r="E2292" s="12" t="n"/>
    </row>
    <row r="2293" ht="15" customHeight="1">
      <c r="A2293" s="12" t="inlineStr">
        <is>
          <t>transgenic</t>
        </is>
      </c>
      <c r="B2293" s="12" t="inlineStr">
        <is>
          <t>http://identifiers.org/so/SO:0000781</t>
        </is>
      </c>
      <c r="C2293" s="12" t="inlineStr">
        <is>
          <t>['transcriptionally regulated']</t>
        </is>
      </c>
      <c r="D2293" s="12" t="n"/>
      <c r="E2293" s="12" t="n"/>
    </row>
    <row r="2294" ht="15" customHeight="1">
      <c r="A2294" s="12" t="inlineStr">
        <is>
          <t>transgenic_insertion</t>
        </is>
      </c>
      <c r="B2294" s="12" t="inlineStr">
        <is>
          <t>http://identifiers.org/so/SO:0001218</t>
        </is>
      </c>
      <c r="C2294" s="12" t="inlineStr">
        <is>
          <t>['transcriptionally repressed']</t>
        </is>
      </c>
      <c r="D2294" s="12" t="n"/>
      <c r="E2294" s="12" t="n"/>
    </row>
    <row r="2295" ht="15" customHeight="1">
      <c r="A2295" s="12" t="inlineStr">
        <is>
          <t>transgenic_transposable_element</t>
        </is>
      </c>
      <c r="B2295" s="12" t="inlineStr">
        <is>
          <t>http://identifiers.org/so/SO:0000796</t>
        </is>
      </c>
      <c r="C2295" s="12" t="n"/>
      <c r="D2295" s="12" t="n"/>
      <c r="E2295" s="12" t="n"/>
    </row>
    <row r="2296" ht="15" customHeight="1">
      <c r="A2296" s="12" t="inlineStr">
        <is>
          <t>Transib_TIR_transposon</t>
        </is>
      </c>
      <c r="B2296" s="12" t="inlineStr">
        <is>
          <t>http://identifiers.org/so/SO:0002282</t>
        </is>
      </c>
      <c r="C2296" s="12" t="n"/>
      <c r="D2296" s="12" t="n"/>
      <c r="E2296" s="12" t="n"/>
    </row>
    <row r="2297" ht="15" customHeight="1">
      <c r="A2297" s="12" t="inlineStr">
        <is>
          <t>transit_peptide</t>
        </is>
      </c>
      <c r="B2297" s="12" t="inlineStr">
        <is>
          <t>http://identifiers.org/so/SO:0000725</t>
        </is>
      </c>
      <c r="C2297" s="12" t="n"/>
      <c r="D2297" s="12" t="n"/>
      <c r="E2297" s="12" t="n"/>
    </row>
    <row r="2298" ht="15" customHeight="1">
      <c r="A2298" s="12" t="inlineStr">
        <is>
          <t>transit_peptide_region_of_CDS</t>
        </is>
      </c>
      <c r="B2298" s="12" t="inlineStr">
        <is>
          <t>http://identifiers.org/so/SO:0002252</t>
        </is>
      </c>
      <c r="C2298" s="12" t="inlineStr">
        <is>
          <t>['transgenic insertion']</t>
        </is>
      </c>
      <c r="D2298" s="12" t="n"/>
      <c r="E2298" s="12" t="n"/>
    </row>
    <row r="2299" ht="15" customHeight="1">
      <c r="A2299" s="12" t="inlineStr">
        <is>
          <t>transition</t>
        </is>
      </c>
      <c r="B2299" s="12" t="inlineStr">
        <is>
          <t>http://identifiers.org/so/SO:1000009</t>
        </is>
      </c>
      <c r="C2299" s="12" t="inlineStr">
        <is>
          <t>['transgenic transposable element']</t>
        </is>
      </c>
      <c r="D2299" s="12" t="n"/>
      <c r="E2299" s="12" t="n"/>
    </row>
    <row r="2300" ht="15" customHeight="1">
      <c r="A2300" s="12" t="inlineStr">
        <is>
          <t>translated_nucleotide_match</t>
        </is>
      </c>
      <c r="B2300" s="12" t="inlineStr">
        <is>
          <t>http://identifiers.org/so/SO:0000181</t>
        </is>
      </c>
      <c r="C2300" s="12" t="inlineStr">
        <is>
          <t>['Transib TIR transposon', 'transib transposon', 'DTR transposon']</t>
        </is>
      </c>
      <c r="D2300" s="12" t="n"/>
      <c r="E2300" s="12" t="n"/>
    </row>
    <row r="2301" ht="15" customHeight="1">
      <c r="A2301" s="12" t="inlineStr">
        <is>
          <t>translated_processed_pseudogene</t>
        </is>
      </c>
      <c r="B2301" s="12" t="inlineStr">
        <is>
          <t>http://identifiers.org/so/SO:0002105</t>
        </is>
      </c>
      <c r="C2301" s="12" t="inlineStr">
        <is>
          <t>['signal', 'transit', 'transit peptide', 'INSDC_feature:transit_peptide']</t>
        </is>
      </c>
      <c r="D2301" s="12" t="n"/>
      <c r="E2301" s="12" t="n"/>
    </row>
    <row r="2302" ht="15" customHeight="1">
      <c r="A2302" s="12" t="inlineStr">
        <is>
          <t>translated_unprocessed_pseudogene</t>
        </is>
      </c>
      <c r="B2302" s="12" t="inlineStr">
        <is>
          <t>http://identifiers.org/so/SO:0002106</t>
        </is>
      </c>
      <c r="C2302" s="12" t="inlineStr">
        <is>
          <t>['transit peptide region of CDS', 'INSDC_feature:transit_peptide']</t>
        </is>
      </c>
      <c r="D2302" s="12" t="n"/>
      <c r="E2302" s="12" t="n"/>
    </row>
    <row r="2303" ht="15" customHeight="1">
      <c r="A2303" s="12" t="inlineStr">
        <is>
          <t>translation_regulatory_region</t>
        </is>
      </c>
      <c r="B2303" s="12" t="inlineStr">
        <is>
          <t>http://identifiers.org/so/SO:0001680</t>
        </is>
      </c>
      <c r="C2303" s="12" t="n"/>
      <c r="D2303" s="12" t="n"/>
      <c r="E2303" s="12" t="n"/>
    </row>
    <row r="2304" ht="15" customHeight="1">
      <c r="A2304" s="12" t="inlineStr">
        <is>
          <t>translational_frameshift</t>
        </is>
      </c>
      <c r="B2304" s="12" t="inlineStr">
        <is>
          <t>http://identifiers.org/so/SO:0001210</t>
        </is>
      </c>
      <c r="C2304" s="12" t="inlineStr">
        <is>
          <t>['translated nucleotide match']</t>
        </is>
      </c>
      <c r="D2304" s="12" t="n"/>
      <c r="E2304" s="12" t="n"/>
    </row>
    <row r="2305" ht="15" customHeight="1">
      <c r="A2305" s="12" t="inlineStr">
        <is>
          <t>translational_product_function_variant</t>
        </is>
      </c>
      <c r="B2305" s="12" t="inlineStr">
        <is>
          <t>http://identifiers.org/so/SO:0001539</t>
        </is>
      </c>
      <c r="C2305" s="12" t="inlineStr">
        <is>
          <t>['translated processed pseudogene']</t>
        </is>
      </c>
      <c r="D2305" s="12" t="n"/>
      <c r="E2305" s="12" t="n"/>
    </row>
    <row r="2306" ht="15" customHeight="1">
      <c r="A2306" s="12" t="inlineStr">
        <is>
          <t>translational_product_level_variant</t>
        </is>
      </c>
      <c r="B2306" s="12" t="inlineStr">
        <is>
          <t>http://identifiers.org/so/SO:0001553</t>
        </is>
      </c>
      <c r="C2306" s="12" t="inlineStr">
        <is>
          <t>['translated_nonprocessed_pseudogene', 'translated unprocessed pseudogene']</t>
        </is>
      </c>
      <c r="D2306" s="12" t="n"/>
      <c r="E2306" s="12" t="n"/>
    </row>
    <row r="2307" ht="15" customHeight="1">
      <c r="A2307" s="12" t="inlineStr">
        <is>
          <t>translational_product_structure_variant</t>
        </is>
      </c>
      <c r="B2307" s="12" t="inlineStr">
        <is>
          <t>http://identifiers.org/so/SO:0001598</t>
        </is>
      </c>
      <c r="C2307" s="12" t="inlineStr">
        <is>
          <t>['translation regulatory region']</t>
        </is>
      </c>
      <c r="D2307" s="12" t="n"/>
      <c r="E2307" s="12" t="n"/>
    </row>
    <row r="2308" ht="15" customHeight="1">
      <c r="A2308" s="12" t="inlineStr">
        <is>
          <t>translationally_frameshifted</t>
        </is>
      </c>
      <c r="B2308" s="12" t="inlineStr">
        <is>
          <t>http://identifiers.org/so/SO:0000887</t>
        </is>
      </c>
      <c r="C2308" s="12" t="inlineStr">
        <is>
          <t>['translational frameshift', 'ribosomal frameshift']</t>
        </is>
      </c>
      <c r="D2308" s="12" t="n"/>
      <c r="E2308" s="12" t="n"/>
    </row>
    <row r="2309" ht="15" customHeight="1">
      <c r="A2309" s="12" t="inlineStr">
        <is>
          <t>translationally_regulated</t>
        </is>
      </c>
      <c r="B2309" s="12" t="inlineStr">
        <is>
          <t>http://identifiers.org/so/SO:0000131</t>
        </is>
      </c>
      <c r="C2309" s="12" t="inlineStr">
        <is>
          <t>['translational product variant']</t>
        </is>
      </c>
      <c r="D2309" s="12" t="n"/>
      <c r="E2309" s="12" t="n"/>
    </row>
    <row r="2310" ht="15" customHeight="1">
      <c r="A2310" s="12" t="inlineStr">
        <is>
          <t>translationally_regulated_gene</t>
        </is>
      </c>
      <c r="B2310" s="12" t="inlineStr">
        <is>
          <t>http://identifiers.org/so/SO:0000896</t>
        </is>
      </c>
      <c r="C2310" s="12" t="inlineStr">
        <is>
          <t>['translational product level variant']</t>
        </is>
      </c>
      <c r="D2310" s="12" t="n"/>
      <c r="E2310" s="12" t="n"/>
    </row>
    <row r="2311" ht="15" customHeight="1">
      <c r="A2311" s="12" t="inlineStr">
        <is>
          <t>translocate</t>
        </is>
      </c>
      <c r="B2311" s="12" t="inlineStr">
        <is>
          <t>http://identifiers.org/so/SO:0000049</t>
        </is>
      </c>
      <c r="C2311" s="12" t="inlineStr">
        <is>
          <t>['translational product structure variant']</t>
        </is>
      </c>
      <c r="D2311" s="12" t="n"/>
      <c r="E2311" s="12" t="n"/>
    </row>
    <row r="2312" ht="15" customHeight="1">
      <c r="A2312" s="12" t="inlineStr">
        <is>
          <t>translocation</t>
        </is>
      </c>
      <c r="B2312" s="12" t="inlineStr">
        <is>
          <t>http://identifiers.org/so/SO:0000199</t>
        </is>
      </c>
      <c r="C2312" s="12" t="inlineStr">
        <is>
          <t>['translationally frameshifted']</t>
        </is>
      </c>
      <c r="D2312" s="12" t="n"/>
      <c r="E2312" s="12" t="n"/>
    </row>
    <row r="2313" ht="15" customHeight="1">
      <c r="A2313" s="12" t="inlineStr">
        <is>
          <t>translocation_breakpoint</t>
        </is>
      </c>
      <c r="B2313" s="12" t="inlineStr">
        <is>
          <t>http://identifiers.org/so/SO:0001413</t>
        </is>
      </c>
      <c r="C2313" s="12" t="inlineStr">
        <is>
          <t>['translationally regulated']</t>
        </is>
      </c>
      <c r="D2313" s="12" t="n"/>
      <c r="E2313" s="12" t="n"/>
    </row>
    <row r="2314" ht="15" customHeight="1">
      <c r="A2314" s="12" t="inlineStr">
        <is>
          <t>translocation_element</t>
        </is>
      </c>
      <c r="B2314" s="12" t="inlineStr">
        <is>
          <t>http://identifiers.org/so/SO:0000686</t>
        </is>
      </c>
      <c r="C2314" s="12" t="inlineStr">
        <is>
          <t>['translationally regulated gene']</t>
        </is>
      </c>
      <c r="D2314" s="12" t="n"/>
      <c r="E2314" s="12" t="n"/>
    </row>
    <row r="2315" ht="15" customHeight="1">
      <c r="A2315" s="12" t="inlineStr">
        <is>
          <t>translocaton_attribute</t>
        </is>
      </c>
      <c r="B2315" s="12" t="inlineStr">
        <is>
          <t>http://identifiers.org/so/SO:0001520</t>
        </is>
      </c>
      <c r="C2315" s="12" t="n"/>
      <c r="D2315" s="12" t="n"/>
      <c r="E2315" s="12" t="n"/>
    </row>
    <row r="2316" ht="15" customHeight="1">
      <c r="A2316" s="12" t="inlineStr">
        <is>
          <t>transmembrane_helix</t>
        </is>
      </c>
      <c r="B2316" s="12" t="inlineStr">
        <is>
          <t>http://identifiers.org/so/SO:0001812</t>
        </is>
      </c>
      <c r="C2316" s="12" t="inlineStr">
        <is>
          <t>['translocated sequence', 'transchr']</t>
        </is>
      </c>
      <c r="D2316" s="12" t="n"/>
      <c r="E2316" s="12" t="n"/>
    </row>
    <row r="2317" ht="15" customHeight="1">
      <c r="A2317" s="12" t="inlineStr">
        <is>
          <t>transmembrane_polypeptide_region</t>
        </is>
      </c>
      <c r="B2317" s="12" t="inlineStr">
        <is>
          <t>http://identifiers.org/so/SO:0001077</t>
        </is>
      </c>
      <c r="C2317" s="12" t="inlineStr">
        <is>
          <t>['translocation breakpoint']</t>
        </is>
      </c>
      <c r="D2317" s="12" t="n"/>
      <c r="E2317" s="12" t="n"/>
    </row>
    <row r="2318" ht="15" customHeight="1">
      <c r="A2318" s="12" t="inlineStr">
        <is>
          <t>transposable_element</t>
        </is>
      </c>
      <c r="B2318" s="12" t="inlineStr">
        <is>
          <t>http://identifiers.org/so/SO:0000101</t>
        </is>
      </c>
      <c r="C2318" s="12" t="inlineStr">
        <is>
          <t>['translocation element']</t>
        </is>
      </c>
      <c r="D2318" s="12" t="n"/>
      <c r="E2318" s="12" t="n"/>
    </row>
    <row r="2319" ht="15" customHeight="1">
      <c r="A2319" s="12" t="inlineStr">
        <is>
          <t>transposable_element_attribute</t>
        </is>
      </c>
      <c r="B2319" s="12" t="inlineStr">
        <is>
          <t>http://identifiers.org/so/SO:0000780</t>
        </is>
      </c>
      <c r="C2319" s="12" t="inlineStr">
        <is>
          <t>['translocation attribute']</t>
        </is>
      </c>
      <c r="D2319" s="12" t="n"/>
      <c r="E2319" s="12" t="n"/>
    </row>
    <row r="2320" ht="15" customHeight="1">
      <c r="A2320" s="12" t="inlineStr">
        <is>
          <t>transposable_element_CDS</t>
        </is>
      </c>
      <c r="B2320" s="12" t="inlineStr">
        <is>
          <t>http://identifiers.org/so/SO:0001896</t>
        </is>
      </c>
      <c r="C2320" s="12" t="inlineStr">
        <is>
          <t>['transmembrane helix']</t>
        </is>
      </c>
      <c r="D2320" s="12" t="n"/>
      <c r="E2320" s="12" t="n"/>
    </row>
    <row r="2321" ht="15" customHeight="1">
      <c r="A2321" s="12" t="inlineStr">
        <is>
          <t>transposable_element_flanking_region</t>
        </is>
      </c>
      <c r="B2321" s="12" t="inlineStr">
        <is>
          <t>http://identifiers.org/so/SO:0000364</t>
        </is>
      </c>
      <c r="C2321" s="12" t="inlineStr">
        <is>
          <t>['transmem', 'transmembrane polypeptide region', 'transmembrane']</t>
        </is>
      </c>
      <c r="D2321" s="12" t="n"/>
      <c r="E2321" s="12" t="n"/>
    </row>
    <row r="2322" ht="15" customHeight="1">
      <c r="A2322" s="12" t="inlineStr">
        <is>
          <t>transposable_element_gene</t>
        </is>
      </c>
      <c r="B2322" s="12" t="inlineStr">
        <is>
          <t>http://identifiers.org/so/SO:0000111</t>
        </is>
      </c>
      <c r="C2322" s="12" t="inlineStr">
        <is>
          <t>['transposon', 'transposable element']</t>
        </is>
      </c>
      <c r="D2322" s="12" t="n"/>
      <c r="E2322" s="12" t="n"/>
    </row>
    <row r="2323" ht="15" customHeight="1">
      <c r="A2323" s="12" t="inlineStr">
        <is>
          <t>transposable_element_insertion_site</t>
        </is>
      </c>
      <c r="B2323" s="12" t="inlineStr">
        <is>
          <t>http://identifiers.org/so/SO:0000368</t>
        </is>
      </c>
      <c r="C2323" s="12" t="n"/>
      <c r="D2323" s="12" t="n"/>
      <c r="E2323" s="12" t="n"/>
    </row>
    <row r="2324" ht="15" customHeight="1">
      <c r="A2324" s="12" t="inlineStr">
        <is>
          <t>transposable_element_pseudogene</t>
        </is>
      </c>
      <c r="B2324" s="12" t="inlineStr">
        <is>
          <t>http://identifiers.org/so/SO:0001897</t>
        </is>
      </c>
      <c r="C2324" s="12" t="inlineStr">
        <is>
          <t>['transposable element CDS']</t>
        </is>
      </c>
      <c r="D2324" s="12" t="n"/>
      <c r="E2324" s="12" t="n"/>
    </row>
    <row r="2325" ht="15" customHeight="1">
      <c r="A2325" s="12" t="inlineStr">
        <is>
          <t>transposon_fragment</t>
        </is>
      </c>
      <c r="B2325" s="12" t="inlineStr">
        <is>
          <t>http://identifiers.org/so/SO:0001054</t>
        </is>
      </c>
      <c r="C2325" s="12" t="inlineStr">
        <is>
          <t>['transposable element flanking region']</t>
        </is>
      </c>
      <c r="D2325" s="12" t="n"/>
      <c r="E2325" s="12" t="n"/>
    </row>
    <row r="2326" ht="15" customHeight="1">
      <c r="A2326" s="12" t="inlineStr">
        <is>
          <t>transversion</t>
        </is>
      </c>
      <c r="B2326" s="12" t="inlineStr">
        <is>
          <t>http://identifiers.org/so/SO:1000017</t>
        </is>
      </c>
      <c r="C2326" s="12" t="inlineStr">
        <is>
          <t>['transposable element gene']</t>
        </is>
      </c>
      <c r="D2326" s="12" t="n"/>
      <c r="E2326" s="12" t="n"/>
    </row>
    <row r="2327" ht="15" customHeight="1">
      <c r="A2327" s="12" t="inlineStr">
        <is>
          <t>TRIM</t>
        </is>
      </c>
      <c r="B2327" s="12" t="inlineStr">
        <is>
          <t>http://identifiers.org/so/SO:0002261</t>
        </is>
      </c>
      <c r="C2327" s="12" t="inlineStr">
        <is>
          <t>['transposable element insertion site']</t>
        </is>
      </c>
      <c r="D2327" s="12" t="n"/>
      <c r="E2327" s="12" t="n"/>
    </row>
    <row r="2328" ht="15" customHeight="1">
      <c r="A2328" s="12" t="inlineStr">
        <is>
          <t>trinucleotide_repeat_expansion</t>
        </is>
      </c>
      <c r="B2328" s="12" t="inlineStr">
        <is>
          <t>http://identifiers.org/so/SO:0002165</t>
        </is>
      </c>
      <c r="C2328" s="12" t="inlineStr">
        <is>
          <t>['transposable element pseudogene']</t>
        </is>
      </c>
      <c r="D2328" s="12" t="n"/>
      <c r="E2328" s="12" t="n"/>
    </row>
    <row r="2329" ht="15" customHeight="1">
      <c r="A2329" s="12" t="inlineStr">
        <is>
          <t>trinucleotide_repeat_microsatellite_feature</t>
        </is>
      </c>
      <c r="B2329" s="12" t="inlineStr">
        <is>
          <t>http://identifiers.org/so/SO:0000291</t>
        </is>
      </c>
      <c r="C2329" s="12" t="inlineStr">
        <is>
          <t>['transposon fragment']</t>
        </is>
      </c>
      <c r="D2329" s="12" t="n"/>
      <c r="E2329" s="12" t="n"/>
    </row>
    <row r="2330" ht="15" customHeight="1">
      <c r="A2330" s="12" t="inlineStr">
        <is>
          <t>tRNA</t>
        </is>
      </c>
      <c r="B2330" s="12" t="inlineStr">
        <is>
          <t>http://identifiers.org/so/SO:0000253</t>
        </is>
      </c>
      <c r="C2330" s="12" t="n"/>
      <c r="D2330" s="12" t="n"/>
      <c r="E2330" s="12" t="n"/>
    </row>
    <row r="2331" ht="15" customHeight="1">
      <c r="A2331" s="12" t="inlineStr">
        <is>
          <t>tRNA_encoding</t>
        </is>
      </c>
      <c r="B2331" s="12" t="inlineStr">
        <is>
          <t>http://identifiers.org/so/SO:0000663</t>
        </is>
      </c>
      <c r="C2331" s="12" t="inlineStr">
        <is>
          <t>['terminal-repeat retrotransposons in miniature', 'terminal-repeat_retrotransposons_in_miniature']</t>
        </is>
      </c>
      <c r="D2331" s="12" t="n"/>
      <c r="E2331" s="12" t="n"/>
    </row>
    <row r="2332" ht="15" customHeight="1">
      <c r="A2332" s="12" t="inlineStr">
        <is>
          <t>tRNA_gene</t>
        </is>
      </c>
      <c r="B2332" s="12" t="inlineStr">
        <is>
          <t>http://identifiers.org/so/SO:0001272</t>
        </is>
      </c>
      <c r="C2332" s="12" t="inlineStr">
        <is>
          <t>['trinucleotide repeat expansion']</t>
        </is>
      </c>
      <c r="D2332" s="12" t="n"/>
      <c r="E2332" s="12" t="n"/>
    </row>
    <row r="2333" ht="15" customHeight="1">
      <c r="A2333" s="12" t="inlineStr">
        <is>
          <t>tRNA_intron</t>
        </is>
      </c>
      <c r="B2333" s="12" t="inlineStr">
        <is>
          <t>http://identifiers.org/so/SO:1001272</t>
        </is>
      </c>
      <c r="C2333" s="12" t="inlineStr">
        <is>
          <t>['trinucleotide repeat microsatellite feature', 'trinucleotide repeat microsatellite locus', 'dinucleotide repeat microsatellite marker', 'rinucleotide repeat microsatellite']</t>
        </is>
      </c>
      <c r="D2333" s="12" t="n"/>
      <c r="E2333" s="12" t="n"/>
    </row>
    <row r="2334" ht="15" customHeight="1">
      <c r="A2334" s="12" t="inlineStr">
        <is>
          <t>tRNA_primary_transcript</t>
        </is>
      </c>
      <c r="B2334" s="12" t="inlineStr">
        <is>
          <t>http://identifiers.org/so/SO:0000210</t>
        </is>
      </c>
      <c r="C2334" s="12" t="inlineStr">
        <is>
          <t>['transfer RNA', 'INSDC_feature:tRNA', 'INSDC_qualifier:unknown', 'transfer ribonucleic acid']</t>
        </is>
      </c>
      <c r="D2334" s="12" t="n"/>
      <c r="E2334" s="12" t="n"/>
    </row>
    <row r="2335" ht="15" customHeight="1">
      <c r="A2335" s="12" t="inlineStr">
        <is>
          <t>tRNA_region</t>
        </is>
      </c>
      <c r="B2335" s="12" t="inlineStr">
        <is>
          <t>http://identifiers.org/so/SO:0001172</t>
        </is>
      </c>
      <c r="C2335" s="12" t="inlineStr">
        <is>
          <t>['tRNA encoding']</t>
        </is>
      </c>
      <c r="D2335" s="12" t="n"/>
      <c r="E2335" s="12" t="n"/>
    </row>
    <row r="2336" ht="15" customHeight="1">
      <c r="A2336" s="12" t="inlineStr">
        <is>
          <t>tRNA_SINE_retrotransposon</t>
        </is>
      </c>
      <c r="B2336" s="12" t="inlineStr">
        <is>
          <t>http://identifiers.org/so/SO:0002274</t>
        </is>
      </c>
      <c r="C2336" s="12" t="inlineStr">
        <is>
          <t>['tRNA gene']</t>
        </is>
      </c>
      <c r="D2336" s="12" t="n"/>
      <c r="E2336" s="12" t="n"/>
    </row>
    <row r="2337" ht="15" customHeight="1">
      <c r="A2337" s="12" t="inlineStr">
        <is>
          <t>tryptophan</t>
        </is>
      </c>
      <c r="B2337" s="12" t="inlineStr">
        <is>
          <t>http://identifiers.org/so/SO:0001440</t>
        </is>
      </c>
      <c r="C2337" s="12" t="inlineStr">
        <is>
          <t>['pre-tRNA intron', 'tRNA intron']</t>
        </is>
      </c>
      <c r="D2337" s="12" t="n"/>
      <c r="E2337" s="12" t="n"/>
    </row>
    <row r="2338" ht="15" customHeight="1">
      <c r="A2338" s="12" t="inlineStr">
        <is>
          <t>tryptophan_tRNA_primary_transcript</t>
        </is>
      </c>
      <c r="B2338" s="12" t="inlineStr">
        <is>
          <t>http://identifiers.org/so/SO:0000228</t>
        </is>
      </c>
      <c r="C2338" s="12" t="inlineStr">
        <is>
          <t>['tRNA primary transcript']</t>
        </is>
      </c>
      <c r="D2338" s="12" t="n"/>
      <c r="E2338" s="12" t="n"/>
    </row>
    <row r="2339" ht="15" customHeight="1">
      <c r="A2339" s="12" t="inlineStr">
        <is>
          <t>tryptophanyl_tRNA</t>
        </is>
      </c>
      <c r="B2339" s="12" t="inlineStr">
        <is>
          <t>http://identifiers.org/so/SO:0000271</t>
        </is>
      </c>
      <c r="C2339" s="12" t="inlineStr">
        <is>
          <t>['tRNA region']</t>
        </is>
      </c>
      <c r="D2339" s="12" t="n"/>
      <c r="E2339" s="12" t="n"/>
    </row>
    <row r="2340" ht="15" customHeight="1">
      <c r="A2340" s="12" t="inlineStr">
        <is>
          <t>TSS</t>
        </is>
      </c>
      <c r="B2340" s="12" t="inlineStr">
        <is>
          <t>http://identifiers.org/so/SO:0000315</t>
        </is>
      </c>
      <c r="C2340" s="12" t="inlineStr">
        <is>
          <t>['tRNA SINE element', 'RST retrotransposon', 'tRNA SINE retrotransposon']</t>
        </is>
      </c>
      <c r="D2340" s="12" t="n"/>
      <c r="E2340" s="12" t="n"/>
    </row>
    <row r="2341" ht="15" customHeight="1">
      <c r="A2341" s="12" t="inlineStr">
        <is>
          <t>TSS_region</t>
        </is>
      </c>
      <c r="B2341" s="12" t="inlineStr">
        <is>
          <t>http://identifiers.org/so/SO:0001240</t>
        </is>
      </c>
      <c r="C2341" s="12" t="inlineStr">
        <is>
          <t>['Trp', 'W']</t>
        </is>
      </c>
      <c r="D2341" s="12" t="n"/>
      <c r="E2341" s="12" t="n"/>
    </row>
    <row r="2342" ht="15" customHeight="1">
      <c r="A2342" s="12" t="inlineStr">
        <is>
          <t>twintron</t>
        </is>
      </c>
      <c r="B2342" s="12" t="inlineStr">
        <is>
          <t>http://identifiers.org/so/SO:0000406</t>
        </is>
      </c>
      <c r="C2342" s="12" t="inlineStr">
        <is>
          <t>['tryptophan tRNA primary transcript']</t>
        </is>
      </c>
      <c r="D2342" s="12" t="n"/>
      <c r="E2342" s="12" t="n"/>
    </row>
    <row r="2343" ht="15" customHeight="1">
      <c r="A2343" s="12" t="inlineStr">
        <is>
          <t>two_methyladenosine</t>
        </is>
      </c>
      <c r="B2343" s="12" t="inlineStr">
        <is>
          <t>http://identifiers.org/so/SO:0001296</t>
        </is>
      </c>
      <c r="C2343" s="12" t="inlineStr">
        <is>
          <t>['tryptophanyl-transfer RNA', 'tryptophanyl-transfer ribonucleic acid', 'tryptophanyl tRNA']</t>
        </is>
      </c>
      <c r="D2343" s="12" t="n"/>
      <c r="E2343" s="12" t="n"/>
    </row>
    <row r="2344" ht="15" customHeight="1">
      <c r="A2344" s="12" t="inlineStr">
        <is>
          <t>two_methylthio_N6_cis_hydroxyisopentenyl_adenosine</t>
        </is>
      </c>
      <c r="B2344" s="12" t="inlineStr">
        <is>
          <t>http://identifiers.org/so/SO:0001303</t>
        </is>
      </c>
      <c r="C2344" s="12" t="inlineStr">
        <is>
          <t>['INSDC_feature:misc_feature', 'INSDC_note:transcription_start_site', 'transcription_start_site', 'transcription start site']</t>
        </is>
      </c>
      <c r="D2344" s="12" t="n"/>
      <c r="E2344" s="12" t="n"/>
    </row>
    <row r="2345" ht="15" customHeight="1">
      <c r="A2345" s="12" t="inlineStr">
        <is>
          <t>two_methylthio_N6_hydroxynorvalyl_carbamoyladenosine</t>
        </is>
      </c>
      <c r="B2345" s="12" t="inlineStr">
        <is>
          <t>http://identifiers.org/so/SO:0001309</t>
        </is>
      </c>
      <c r="C2345" s="12" t="inlineStr">
        <is>
          <t>['TSS region']</t>
        </is>
      </c>
      <c r="D2345" s="12" t="n"/>
      <c r="E2345" s="12" t="n"/>
    </row>
    <row r="2346" ht="15" customHeight="1">
      <c r="A2346" s="12" t="inlineStr">
        <is>
          <t>two_methylthio_N6_isopentenyladenosine</t>
        </is>
      </c>
      <c r="B2346" s="12" t="inlineStr">
        <is>
          <t>http://identifiers.org/so/SO:0001301</t>
        </is>
      </c>
      <c r="C2346" s="12" t="n"/>
      <c r="D2346" s="12" t="n"/>
      <c r="E2346" s="12" t="n"/>
    </row>
    <row r="2347" ht="15" customHeight="1">
      <c r="A2347" s="12" t="inlineStr">
        <is>
          <t>two_methylthio_N6_methyladenosine</t>
        </is>
      </c>
      <c r="B2347" s="12" t="inlineStr">
        <is>
          <t>http://identifiers.org/so/SO:0001299</t>
        </is>
      </c>
      <c r="C2347" s="12" t="inlineStr">
        <is>
          <t>['two methyladenosine', '2-methyladenosine', 'm2A']</t>
        </is>
      </c>
      <c r="D2347" s="12" t="n"/>
      <c r="E2347" s="12" t="n"/>
    </row>
    <row r="2348" ht="15" customHeight="1">
      <c r="A2348" s="12" t="inlineStr">
        <is>
          <t>two_methylthio_N6_threonyl_carbamoyladenosine</t>
        </is>
      </c>
      <c r="B2348" s="12" t="inlineStr">
        <is>
          <t>http://identifiers.org/so/SO:0001306</t>
        </is>
      </c>
      <c r="C2348" s="12" t="inlineStr">
        <is>
          <t>['two methylthio N6 cis hydroxyisopentenyl adenosine', 'ms2io6A', '2-methylthio-N6-(cis-hydroxyisopentenyl) adenosine']</t>
        </is>
      </c>
      <c r="D2348" s="12" t="n"/>
      <c r="E2348" s="12" t="n"/>
    </row>
    <row r="2349" ht="15" customHeight="1">
      <c r="A2349" s="12" t="inlineStr">
        <is>
          <t>two_prime_O_methyladenosine</t>
        </is>
      </c>
      <c r="B2349" s="12" t="inlineStr">
        <is>
          <t>http://identifiers.org/so/SO:0001298</t>
        </is>
      </c>
      <c r="C2349" s="12" t="inlineStr">
        <is>
          <t>['ms2hn6A', '2-methylthio-N6-hydroxynorvalyl carbamoyladenosine', 'two methylthio N6 hydroxynorvalyl carbamoyladenosine']</t>
        </is>
      </c>
      <c r="D2349" s="12" t="n"/>
      <c r="E2349" s="12" t="n"/>
    </row>
    <row r="2350" ht="15" customHeight="1">
      <c r="A2350" s="12" t="inlineStr">
        <is>
          <t>two_prime_O_methylcytidine</t>
        </is>
      </c>
      <c r="B2350" s="12" t="inlineStr">
        <is>
          <t>http://identifiers.org/so/SO:0001283</t>
        </is>
      </c>
      <c r="C2350" s="12" t="inlineStr">
        <is>
          <t>['ms2i6A', 'two methylthio N6 isopentenyladenosine', '2-methylthio-N6-isopentenyladenosine']</t>
        </is>
      </c>
      <c r="D2350" s="12" t="n"/>
      <c r="E2350" s="12" t="n"/>
    </row>
    <row r="2351" ht="15" customHeight="1">
      <c r="A2351" s="12" t="inlineStr">
        <is>
          <t>two_prime_O_methylguanosine</t>
        </is>
      </c>
      <c r="B2351" s="12" t="inlineStr">
        <is>
          <t>http://identifiers.org/so/SO:0001327</t>
        </is>
      </c>
      <c r="C2351" s="12" t="inlineStr">
        <is>
          <t>['two methylthio N6 methyladenosine', 'ms2m6A', '2-methylthio-N6-methyladenosine']</t>
        </is>
      </c>
      <c r="D2351" s="12" t="n"/>
      <c r="E2351" s="12" t="n"/>
    </row>
    <row r="2352" ht="15" customHeight="1">
      <c r="A2352" s="12" t="inlineStr">
        <is>
          <t>two_prime_O_methylinosine</t>
        </is>
      </c>
      <c r="B2352" s="12" t="inlineStr">
        <is>
          <t>http://identifiers.org/so/SO:0001280</t>
        </is>
      </c>
      <c r="C2352" s="12" t="inlineStr">
        <is>
          <t>['two methylthio N6 threonyl carbamoyladenosine', 'ms2t6A', '2-methylthio-N6-threonyl carbamoyladenosine']</t>
        </is>
      </c>
      <c r="D2352" s="12" t="n"/>
      <c r="E2352" s="12" t="n"/>
    </row>
    <row r="2353" ht="15" customHeight="1">
      <c r="A2353" s="12" t="inlineStr">
        <is>
          <t>two_prime_O_methylpseudouridine</t>
        </is>
      </c>
      <c r="B2353" s="12" t="inlineStr">
        <is>
          <t>http://identifiers.org/so/SO:0001348</t>
        </is>
      </c>
      <c r="C2353" s="12" t="inlineStr">
        <is>
          <t>['Am', "2'-O-methyladenosine", 'two prime O methyladenosine']</t>
        </is>
      </c>
      <c r="D2353" s="12" t="n"/>
      <c r="E2353" s="12" t="n"/>
    </row>
    <row r="2354" ht="15" customHeight="1">
      <c r="A2354" s="12" t="inlineStr">
        <is>
          <t>two_prime_O_methyluridine</t>
        </is>
      </c>
      <c r="B2354" s="12" t="inlineStr">
        <is>
          <t>http://identifiers.org/so/SO:0001345</t>
        </is>
      </c>
      <c r="C2354" s="12" t="inlineStr">
        <is>
          <t>['two prime O methylcytidine', 'Cm', "2'-O-methylcytidine"]</t>
        </is>
      </c>
      <c r="D2354" s="12" t="n"/>
      <c r="E2354" s="12" t="n"/>
    </row>
    <row r="2355" ht="15" customHeight="1">
      <c r="A2355" s="12" t="inlineStr">
        <is>
          <t>two_prime_O_ribosyladenosine_phosphate</t>
        </is>
      </c>
      <c r="B2355" s="12" t="inlineStr">
        <is>
          <t>http://identifiers.org/so/SO:0001310</t>
        </is>
      </c>
      <c r="C2355" s="12" t="inlineStr">
        <is>
          <t>["2'-O-methylguanosine", 'two prime O methylguanosine', 'Gm']</t>
        </is>
      </c>
      <c r="D2355" s="12" t="n"/>
      <c r="E2355" s="12" t="n"/>
    </row>
    <row r="2356" ht="15" customHeight="1">
      <c r="A2356" s="12" t="inlineStr">
        <is>
          <t>two_prime_O_ribosylguanosine_phosphate</t>
        </is>
      </c>
      <c r="B2356" s="12" t="inlineStr">
        <is>
          <t>http://identifiers.org/so/SO:0001331</t>
        </is>
      </c>
      <c r="C2356" s="12" t="inlineStr">
        <is>
          <t>["2'-O-methylinosine", 'two prime O methylinosine', 'Im']</t>
        </is>
      </c>
      <c r="D2356" s="12" t="n"/>
      <c r="E2356" s="12" t="n"/>
    </row>
    <row r="2357" ht="15" customHeight="1">
      <c r="A2357" s="12" t="inlineStr">
        <is>
          <t>two_thio_two_prime_O_methyluridine</t>
        </is>
      </c>
      <c r="B2357" s="12" t="inlineStr">
        <is>
          <t>http://identifiers.org/so/SO:0001352</t>
        </is>
      </c>
      <c r="C2357" s="12" t="inlineStr">
        <is>
          <t>["2'-O-methylpseudouridine", 'Ym', 'two prime O methylpseudouridine']</t>
        </is>
      </c>
      <c r="D2357" s="12" t="n"/>
      <c r="E2357" s="12" t="n"/>
    </row>
    <row r="2358" ht="15" customHeight="1">
      <c r="A2358" s="12" t="inlineStr">
        <is>
          <t>two_thiocytidine</t>
        </is>
      </c>
      <c r="B2358" s="12" t="inlineStr">
        <is>
          <t>http://identifiers.org/so/SO:0001284</t>
        </is>
      </c>
      <c r="C2358" s="12" t="inlineStr">
        <is>
          <t>['two prime O methyluridine', "2'-O-methyluridine", 'Um']</t>
        </is>
      </c>
      <c r="D2358" s="12" t="n"/>
      <c r="E2358" s="12" t="n"/>
    </row>
    <row r="2359" ht="15" customHeight="1">
      <c r="A2359" s="12" t="inlineStr">
        <is>
          <t>two_thiouridine</t>
        </is>
      </c>
      <c r="B2359" s="12" t="inlineStr">
        <is>
          <t>http://identifiers.org/so/SO:0001349</t>
        </is>
      </c>
      <c r="C2359" s="12" t="inlineStr">
        <is>
          <t>["2'-O-ribosyladenosine (phosphate)", 'two prime O ribosyladenosine phosphate', 'Ar(p)']</t>
        </is>
      </c>
      <c r="D2359" s="12" t="n"/>
      <c r="E2359" s="12" t="n"/>
    </row>
    <row r="2360" ht="15" customHeight="1">
      <c r="A2360" s="12" t="inlineStr">
        <is>
          <t>type_I_enzyme_restriction_site</t>
        </is>
      </c>
      <c r="B2360" s="12" t="inlineStr">
        <is>
          <t>http://identifiers.org/so/SO:0000284</t>
        </is>
      </c>
      <c r="C2360" s="12" t="inlineStr">
        <is>
          <t>["2'-O-ribosylguanosine (phosphate)", 'two prime O ribosylguanosine phosphate', 'Gr(p)']</t>
        </is>
      </c>
      <c r="D2360" s="12" t="n"/>
      <c r="E2360" s="12" t="n"/>
    </row>
    <row r="2361" ht="15" customHeight="1">
      <c r="A2361" s="12" t="inlineStr">
        <is>
          <t>type_II_enzyme_restriction_site</t>
        </is>
      </c>
      <c r="B2361" s="12" t="inlineStr">
        <is>
          <t>http://identifiers.org/so/SO:0000304</t>
        </is>
      </c>
      <c r="C2361" s="12" t="inlineStr">
        <is>
          <t>["2-thio-2'-O-methyluridine", 's2Um', 'two thio two prime O methyluridine']</t>
        </is>
      </c>
      <c r="D2361" s="12" t="n"/>
      <c r="E2361" s="12" t="n"/>
    </row>
    <row r="2362" ht="15" customHeight="1">
      <c r="A2362" s="12" t="inlineStr">
        <is>
          <t>tyrosine</t>
        </is>
      </c>
      <c r="B2362" s="12" t="inlineStr">
        <is>
          <t>http://identifiers.org/so/SO:0001446</t>
        </is>
      </c>
      <c r="C2362" s="12" t="inlineStr">
        <is>
          <t>['2-thiocytidine', 's2C', 'two thiocytidine']</t>
        </is>
      </c>
      <c r="D2362" s="12" t="n"/>
      <c r="E2362" s="12" t="n"/>
    </row>
    <row r="2363" ht="15" customHeight="1">
      <c r="A2363" s="12" t="inlineStr">
        <is>
          <t>tyrosine_tRNA_primary_transcript</t>
        </is>
      </c>
      <c r="B2363" s="12" t="inlineStr">
        <is>
          <t>http://identifiers.org/so/SO:0000229</t>
        </is>
      </c>
      <c r="C2363" s="12" t="inlineStr">
        <is>
          <t>['2-thiouridine', 'two thiouridine', 's2U']</t>
        </is>
      </c>
      <c r="D2363" s="12" t="n"/>
      <c r="E2363" s="12" t="n"/>
    </row>
    <row r="2364" ht="15" customHeight="1">
      <c r="A2364" s="12" t="inlineStr">
        <is>
          <t>tyrosyl_tRNA</t>
        </is>
      </c>
      <c r="B2364" s="12" t="inlineStr">
        <is>
          <t>http://identifiers.org/so/SO:0000272</t>
        </is>
      </c>
      <c r="C2364" s="12" t="n"/>
      <c r="D2364" s="12" t="n"/>
      <c r="E2364" s="12" t="n"/>
    </row>
    <row r="2365" ht="15" customHeight="1">
      <c r="A2365" s="12" t="inlineStr">
        <is>
          <t>U_box</t>
        </is>
      </c>
      <c r="B2365" s="12" t="inlineStr">
        <is>
          <t>http://identifiers.org/so/SO:0001788</t>
        </is>
      </c>
      <c r="C2365" s="12" t="n"/>
      <c r="D2365" s="12" t="n"/>
      <c r="E2365" s="12" t="n"/>
    </row>
    <row r="2366" ht="15" customHeight="1">
      <c r="A2366" s="12" t="inlineStr">
        <is>
          <t>U1_snRNA</t>
        </is>
      </c>
      <c r="B2366" s="12" t="inlineStr">
        <is>
          <t>http://identifiers.org/so/SO:0000391</t>
        </is>
      </c>
      <c r="C2366" s="12" t="inlineStr">
        <is>
          <t>['Tyr', 'Y']</t>
        </is>
      </c>
      <c r="D2366" s="12" t="n"/>
      <c r="E2366" s="12" t="n"/>
    </row>
    <row r="2367" ht="15" customHeight="1">
      <c r="A2367" s="12" t="inlineStr">
        <is>
          <t>U11_snRNA</t>
        </is>
      </c>
      <c r="B2367" s="12" t="inlineStr">
        <is>
          <t>http://identifiers.org/so/SO:0000398</t>
        </is>
      </c>
      <c r="C2367" s="12" t="inlineStr">
        <is>
          <t>['tyrosine tRNA primary transcript']</t>
        </is>
      </c>
      <c r="D2367" s="12" t="n"/>
      <c r="E2367" s="12" t="n"/>
    </row>
    <row r="2368" ht="15" customHeight="1">
      <c r="A2368" s="12" t="inlineStr">
        <is>
          <t>U12_intron</t>
        </is>
      </c>
      <c r="B2368" s="12" t="inlineStr">
        <is>
          <t>http://identifiers.org/so/SO:0000295</t>
        </is>
      </c>
      <c r="C2368" s="12" t="inlineStr">
        <is>
          <t>['tyrosyl-transfer RNA', 'tyrosyl-transfer ribonucleic acid', 'tyrosyl tRNA']</t>
        </is>
      </c>
      <c r="D2368" s="12" t="n"/>
      <c r="E2368" s="12" t="n"/>
    </row>
    <row r="2369" ht="15" customHeight="1">
      <c r="A2369" s="12" t="inlineStr">
        <is>
          <t>U12_snRNA</t>
        </is>
      </c>
      <c r="B2369" s="12" t="inlineStr">
        <is>
          <t>http://identifiers.org/so/SO:0000399</t>
        </is>
      </c>
      <c r="C2369" s="12" t="inlineStr">
        <is>
          <t>['U-box']</t>
        </is>
      </c>
      <c r="D2369" s="12" t="n"/>
      <c r="E2369" s="12" t="n"/>
    </row>
    <row r="2370" ht="15" customHeight="1">
      <c r="A2370" s="12" t="inlineStr">
        <is>
          <t>U14_snoRNA</t>
        </is>
      </c>
      <c r="B2370" s="12" t="inlineStr">
        <is>
          <t>http://identifiers.org/so/SO:0000403</t>
        </is>
      </c>
      <c r="C2370" s="12" t="inlineStr">
        <is>
          <t>['snRNA U1', 'U1 small nuclear RNA', 'U1 snRNA', 'small nuclear RNA U1']</t>
        </is>
      </c>
      <c r="D2370" s="12" t="n"/>
      <c r="E2370" s="12" t="n"/>
    </row>
    <row r="2371" ht="15" customHeight="1">
      <c r="A2371" s="12" t="inlineStr">
        <is>
          <t>U14_snoRNA_primary_transcript</t>
        </is>
      </c>
      <c r="B2371" s="12" t="inlineStr">
        <is>
          <t>http://identifiers.org/so/SO:0005837</t>
        </is>
      </c>
      <c r="C2371" s="12" t="inlineStr">
        <is>
          <t>['small nuclear RNA U11', 'U11 small nuclear RNA', 'snRNA U11', 'U11 snRNA']</t>
        </is>
      </c>
      <c r="D2371" s="12" t="n"/>
      <c r="E2371" s="12" t="n"/>
    </row>
    <row r="2372" ht="15" customHeight="1">
      <c r="A2372" s="12" t="inlineStr">
        <is>
          <t>U2_intron</t>
        </is>
      </c>
      <c r="B2372" s="12" t="inlineStr">
        <is>
          <t>http://identifiers.org/so/SO:0000184</t>
        </is>
      </c>
      <c r="C2372" s="12" t="inlineStr">
        <is>
          <t>['U12-dependent intron', 'U12 intron']</t>
        </is>
      </c>
      <c r="D2372" s="12" t="n"/>
      <c r="E2372" s="12" t="n"/>
    </row>
    <row r="2373" ht="15" customHeight="1">
      <c r="A2373" s="12" t="inlineStr">
        <is>
          <t>U2_snRNA</t>
        </is>
      </c>
      <c r="B2373" s="12" t="inlineStr">
        <is>
          <t>http://identifiers.org/so/SO:0000392</t>
        </is>
      </c>
      <c r="C2373" s="12" t="inlineStr">
        <is>
          <t>['small nuclear RNA U12', 'U12 small nuclear RNA', 'snRNA U12', 'U12 snRNA']</t>
        </is>
      </c>
      <c r="D2373" s="12" t="n"/>
      <c r="E2373" s="12" t="n"/>
    </row>
    <row r="2374" ht="15" customHeight="1">
      <c r="A2374" s="12" t="inlineStr">
        <is>
          <t>U3_five_prime_LTR_region</t>
        </is>
      </c>
      <c r="B2374" s="12" t="inlineStr">
        <is>
          <t>http://identifiers.org/so/SO:0000429</t>
        </is>
      </c>
      <c r="C2374" s="12" t="inlineStr">
        <is>
          <t>['snoRNA U14', 'small nucleolar RNA U14', 'U14 small nucleolar RNA', 'U14 snoRNA']</t>
        </is>
      </c>
      <c r="D2374" s="12" t="n"/>
      <c r="E2374" s="12" t="n"/>
    </row>
    <row r="2375" ht="15" customHeight="1">
      <c r="A2375" s="12" t="inlineStr">
        <is>
          <t>U3_LTR_region</t>
        </is>
      </c>
      <c r="B2375" s="12" t="inlineStr">
        <is>
          <t>http://identifiers.org/so/SO:0000424</t>
        </is>
      </c>
      <c r="C2375" s="12" t="inlineStr">
        <is>
          <t>['4.5S snRNA primary transcript', 'U14 snoRNA primary transcript']</t>
        </is>
      </c>
      <c r="D2375" s="12" t="n"/>
      <c r="E2375" s="12" t="n"/>
    </row>
    <row r="2376" ht="15" customHeight="1">
      <c r="A2376" s="12" t="inlineStr">
        <is>
          <t>U3_snoRNA</t>
        </is>
      </c>
      <c r="B2376" s="12" t="inlineStr">
        <is>
          <t>http://identifiers.org/so/SO:0001179</t>
        </is>
      </c>
      <c r="C2376" s="12" t="inlineStr">
        <is>
          <t>['U2 intron']</t>
        </is>
      </c>
      <c r="D2376" s="12" t="n"/>
      <c r="E2376" s="12" t="n"/>
    </row>
    <row r="2377" ht="15" customHeight="1">
      <c r="A2377" s="12" t="inlineStr">
        <is>
          <t>U3_three_prime_LTR_region</t>
        </is>
      </c>
      <c r="B2377" s="12" t="inlineStr">
        <is>
          <t>http://identifiers.org/so/SO:0000431</t>
        </is>
      </c>
      <c r="C2377" s="12" t="inlineStr">
        <is>
          <t>['U2 small nuclear RNA', 'small nuclear RNA U2', 'U2 snRNA', 'snRNA U2']</t>
        </is>
      </c>
      <c r="D2377" s="12" t="n"/>
      <c r="E2377" s="12" t="n"/>
    </row>
    <row r="2378" ht="15" customHeight="1">
      <c r="A2378" s="12" t="inlineStr">
        <is>
          <t>U4_snRNA</t>
        </is>
      </c>
      <c r="B2378" s="12" t="inlineStr">
        <is>
          <t>http://identifiers.org/so/SO:0000393</t>
        </is>
      </c>
      <c r="C2378" s="12" t="inlineStr">
        <is>
          <t>["U3 5' long term repeat region", 'U3 five prime LTR region']</t>
        </is>
      </c>
      <c r="D2378" s="12" t="n"/>
      <c r="E2378" s="12" t="n"/>
    </row>
    <row r="2379" ht="15" customHeight="1">
      <c r="A2379" s="12" t="inlineStr">
        <is>
          <t>U4atac_snRNA</t>
        </is>
      </c>
      <c r="B2379" s="12" t="inlineStr">
        <is>
          <t>http://identifiers.org/so/SO:0000394</t>
        </is>
      </c>
      <c r="C2379" s="12" t="inlineStr">
        <is>
          <t>['U3 LTR region', 'U3 long terminal repeat region']</t>
        </is>
      </c>
      <c r="D2379" s="12" t="n"/>
      <c r="E2379" s="12" t="n"/>
    </row>
    <row r="2380" ht="15" customHeight="1">
      <c r="A2380" s="12" t="inlineStr">
        <is>
          <t>U5_five_prime_LTR_region</t>
        </is>
      </c>
      <c r="B2380" s="12" t="inlineStr">
        <is>
          <t>http://identifiers.org/so/SO:0000428</t>
        </is>
      </c>
      <c r="C2380" s="12" t="inlineStr">
        <is>
          <t>['U3 small nucleolar RNA', 'small nucleolar RNA U3', 'U3 snoRNA', 'snoRNA U3']</t>
        </is>
      </c>
      <c r="D2380" s="12" t="n"/>
      <c r="E2380" s="12" t="n"/>
    </row>
    <row r="2381" ht="15" customHeight="1">
      <c r="A2381" s="12" t="inlineStr">
        <is>
          <t>U5_LTR_region</t>
        </is>
      </c>
      <c r="B2381" s="12" t="inlineStr">
        <is>
          <t>http://identifiers.org/so/SO:0000422</t>
        </is>
      </c>
      <c r="C2381" s="12" t="inlineStr">
        <is>
          <t>['U3 three prime LTR region', "U3 3' long terminal repeat region"]</t>
        </is>
      </c>
      <c r="D2381" s="12" t="n"/>
      <c r="E2381" s="12" t="n"/>
    </row>
    <row r="2382" ht="15" customHeight="1">
      <c r="A2382" s="12" t="inlineStr">
        <is>
          <t>U5_snRNA</t>
        </is>
      </c>
      <c r="B2382" s="12" t="inlineStr">
        <is>
          <t>http://identifiers.org/so/SO:0000395</t>
        </is>
      </c>
      <c r="C2382" s="12" t="inlineStr">
        <is>
          <t>['small nuclear RNA U4', 'U4 snRNA', 'U4 small nuclear RNA', 'snRNA U4']</t>
        </is>
      </c>
      <c r="D2382" s="12" t="n"/>
      <c r="E2382" s="12" t="n"/>
    </row>
    <row r="2383" ht="15" customHeight="1">
      <c r="A2383" s="12" t="inlineStr">
        <is>
          <t>U5_three_prime_LTR_region</t>
        </is>
      </c>
      <c r="B2383" s="12" t="inlineStr">
        <is>
          <t>http://identifiers.org/so/SO:0000432</t>
        </is>
      </c>
      <c r="C2383" s="12" t="inlineStr">
        <is>
          <t>['U4atac snRNA', 'small nuclear RNA U4atac', 'snRNA U4atac', 'U4atac small nuclear RNA']</t>
        </is>
      </c>
      <c r="D2383" s="12" t="n"/>
      <c r="E2383" s="12" t="n"/>
    </row>
    <row r="2384" ht="15" customHeight="1">
      <c r="A2384" s="12" t="inlineStr">
        <is>
          <t>U6_snRNA</t>
        </is>
      </c>
      <c r="B2384" s="12" t="inlineStr">
        <is>
          <t>http://identifiers.org/so/SO:0000396</t>
        </is>
      </c>
      <c r="C2384" s="12" t="inlineStr">
        <is>
          <t>["U5 5' long terminal repeat region", 'U5 five prime LTR region']</t>
        </is>
      </c>
      <c r="D2384" s="12" t="n"/>
      <c r="E2384" s="12" t="n"/>
    </row>
    <row r="2385" ht="15" customHeight="1">
      <c r="A2385" s="12" t="inlineStr">
        <is>
          <t>U6atac_snRNA</t>
        </is>
      </c>
      <c r="B2385" s="12" t="inlineStr">
        <is>
          <t>http://identifiers.org/so/SO:0000397</t>
        </is>
      </c>
      <c r="C2385" s="12" t="inlineStr">
        <is>
          <t>['U5 LTR region', 'U5 long terminal repeat region']</t>
        </is>
      </c>
      <c r="D2385" s="12" t="n"/>
      <c r="E2385" s="12" t="n"/>
    </row>
    <row r="2386" ht="15" customHeight="1">
      <c r="A2386" s="12" t="inlineStr">
        <is>
          <t>UAA_stop_codon_signal</t>
        </is>
      </c>
      <c r="B2386" s="12" t="inlineStr">
        <is>
          <t>http://identifiers.org/so/SO:1001283</t>
        </is>
      </c>
      <c r="C2386" s="12" t="inlineStr">
        <is>
          <t>['U5 snRNA', 'small nuclear RNA U5', 'snRNA U5', 'U5 small nuclear RNA']</t>
        </is>
      </c>
      <c r="D2386" s="12" t="n"/>
      <c r="E2386" s="12" t="n"/>
    </row>
    <row r="2387" ht="15" customHeight="1">
      <c r="A2387" s="12" t="inlineStr">
        <is>
          <t>UAG_stop_codon_signal</t>
        </is>
      </c>
      <c r="B2387" s="12" t="inlineStr">
        <is>
          <t>http://identifiers.org/so/SO:1001282</t>
        </is>
      </c>
      <c r="C2387" s="12" t="inlineStr">
        <is>
          <t>['U5 three prime LTR region', "U5 3' long terminal repeat region"]</t>
        </is>
      </c>
      <c r="D2387" s="12" t="n"/>
      <c r="E2387" s="12" t="n"/>
    </row>
    <row r="2388" ht="15" customHeight="1">
      <c r="A2388" s="12" t="inlineStr">
        <is>
          <t>UGA_stop_codon_signal</t>
        </is>
      </c>
      <c r="B2388" s="12" t="inlineStr">
        <is>
          <t>http://identifiers.org/so/SO:1001285</t>
        </is>
      </c>
      <c r="C2388" s="12" t="inlineStr">
        <is>
          <t>['U6 small nuclear RNA', 'small nuclear RNA U6', 'U6 snRNA', 'snRNA U6']</t>
        </is>
      </c>
      <c r="D2388" s="12" t="n"/>
      <c r="E2388" s="12" t="n"/>
    </row>
    <row r="2389" ht="15" customHeight="1">
      <c r="A2389" s="12" t="inlineStr">
        <is>
          <t>ultracontig</t>
        </is>
      </c>
      <c r="B2389" s="12" t="inlineStr">
        <is>
          <t>http://identifiers.org/so/SO:0000719</t>
        </is>
      </c>
      <c r="C2389" s="12" t="inlineStr">
        <is>
          <t>['snRNA U6atac', 'U6atac snRNA', 'U6atac small nuclear RNA']</t>
        </is>
      </c>
      <c r="D2389" s="12" t="n"/>
      <c r="E2389" s="12" t="n"/>
    </row>
    <row r="2390" ht="15" customHeight="1">
      <c r="A2390" s="12" t="inlineStr">
        <is>
          <t>UNAAAC_motif</t>
        </is>
      </c>
      <c r="B2390" s="12" t="inlineStr">
        <is>
          <t>http://identifiers.org/so/SO:0002207</t>
        </is>
      </c>
      <c r="C2390" s="12" t="inlineStr">
        <is>
          <t>['UAA stop codon signal']</t>
        </is>
      </c>
      <c r="D2390" s="12" t="n"/>
      <c r="E2390" s="12" t="n"/>
    </row>
    <row r="2391" ht="15" customHeight="1">
      <c r="A2391" s="12" t="inlineStr">
        <is>
          <t>unassigned_supercontig</t>
        </is>
      </c>
      <c r="B2391" s="12" t="inlineStr">
        <is>
          <t>http://identifiers.org/so/SO:0001875</t>
        </is>
      </c>
      <c r="C2391" s="12" t="inlineStr">
        <is>
          <t>['UAG stop codon signal']</t>
        </is>
      </c>
      <c r="D2391" s="12" t="n"/>
      <c r="E2391" s="12" t="n"/>
    </row>
    <row r="2392" ht="15" customHeight="1">
      <c r="A2392" s="12" t="inlineStr">
        <is>
          <t>uncharacterized_chromosomal_mutation</t>
        </is>
      </c>
      <c r="B2392" s="12" t="inlineStr">
        <is>
          <t>http://identifiers.org/so/SO:1000170</t>
        </is>
      </c>
      <c r="C2392" s="12" t="inlineStr">
        <is>
          <t>['UGA stop codon signal']</t>
        </is>
      </c>
      <c r="D2392" s="12" t="n"/>
      <c r="E2392" s="12" t="n"/>
    </row>
    <row r="2393" ht="15" customHeight="1">
      <c r="A2393" s="12" t="inlineStr">
        <is>
          <t>unconfirmed_transcript</t>
        </is>
      </c>
      <c r="B2393" s="12" t="inlineStr">
        <is>
          <t>http://identifiers.org/so/SO:0002139</t>
        </is>
      </c>
      <c r="C2393" s="12" t="inlineStr">
        <is>
          <t>['pseudochromosome', 'superscaffold']</t>
        </is>
      </c>
      <c r="D2393" s="12" t="n"/>
      <c r="E2393" s="12" t="n"/>
    </row>
    <row r="2394" ht="15" customHeight="1">
      <c r="A2394" s="12" t="inlineStr">
        <is>
          <t>undermodified_hydroxywybutosine</t>
        </is>
      </c>
      <c r="B2394" s="12" t="inlineStr">
        <is>
          <t>http://identifiers.org/so/SO:0001335</t>
        </is>
      </c>
      <c r="C2394" s="12" t="inlineStr">
        <is>
          <t>['UNAAAC motif']</t>
        </is>
      </c>
      <c r="D2394" s="12" t="n"/>
      <c r="E2394" s="12" t="n"/>
    </row>
    <row r="2395" ht="15" customHeight="1">
      <c r="A2395" s="12" t="inlineStr">
        <is>
          <t>unedited_region</t>
        </is>
      </c>
      <c r="B2395" s="12" t="inlineStr">
        <is>
          <t>http://identifiers.org/so/SO:0000607</t>
        </is>
      </c>
      <c r="C2395" s="12" t="inlineStr">
        <is>
          <t>['unassigned supercontig', 'unassigned scaffold']</t>
        </is>
      </c>
      <c r="D2395" s="12" t="n"/>
      <c r="E2395" s="12" t="n"/>
    </row>
    <row r="2396" ht="15" customHeight="1">
      <c r="A2396" s="12" t="inlineStr">
        <is>
          <t>unequally_crossed_over</t>
        </is>
      </c>
      <c r="B2396" s="12" t="inlineStr">
        <is>
          <t>http://identifiers.org/so/SO:0000901</t>
        </is>
      </c>
      <c r="C2396" s="12" t="inlineStr">
        <is>
          <t>['uncharacterized chromosomal mutation']</t>
        </is>
      </c>
      <c r="D2396" s="12" t="n"/>
      <c r="E2396" s="12" t="n"/>
    </row>
    <row r="2397" ht="15" customHeight="1">
      <c r="A2397" s="12" t="inlineStr">
        <is>
          <t>unidirectional_gene_fusion</t>
        </is>
      </c>
      <c r="B2397" s="12" t="inlineStr">
        <is>
          <t>http://identifiers.org/so/SO:0002085</t>
        </is>
      </c>
      <c r="C2397" s="12" t="inlineStr">
        <is>
          <t>['TEC', 'to_be_experimentally_confirmed_transcript']</t>
        </is>
      </c>
      <c r="D2397" s="12" t="n"/>
      <c r="E2397" s="12" t="n"/>
    </row>
    <row r="2398" ht="15" customHeight="1">
      <c r="A2398" s="12" t="inlineStr">
        <is>
          <t>unigene_cluster</t>
        </is>
      </c>
      <c r="B2398" s="12" t="inlineStr">
        <is>
          <t>http://identifiers.org/so/SO:0001458</t>
        </is>
      </c>
      <c r="C2398" s="12" t="inlineStr">
        <is>
          <t>['OHyW*', 'undermodified hydroxywybutosine']</t>
        </is>
      </c>
      <c r="D2398" s="12" t="n"/>
      <c r="E2398" s="12" t="n"/>
    </row>
    <row r="2399" ht="15" customHeight="1">
      <c r="A2399" s="12" t="inlineStr">
        <is>
          <t>uninverted_insertional_duplication</t>
        </is>
      </c>
      <c r="B2399" s="12" t="inlineStr">
        <is>
          <t>http://identifiers.org/so/SO:1000152</t>
        </is>
      </c>
      <c r="C2399" s="12" t="inlineStr">
        <is>
          <t>['unedited region']</t>
        </is>
      </c>
      <c r="D2399" s="12" t="n"/>
      <c r="E2399" s="12" t="n"/>
    </row>
    <row r="2400" ht="15" customHeight="1">
      <c r="A2400" s="12" t="inlineStr">
        <is>
          <t>uninverted_interchromosomal_transposition</t>
        </is>
      </c>
      <c r="B2400" s="12" t="inlineStr">
        <is>
          <t>http://identifiers.org/so/SO:1000157</t>
        </is>
      </c>
      <c r="C2400" s="12" t="inlineStr">
        <is>
          <t>['unequally crossed over']</t>
        </is>
      </c>
      <c r="D2400" s="12" t="n"/>
      <c r="E2400" s="12" t="n"/>
    </row>
    <row r="2401" ht="15" customHeight="1">
      <c r="A2401" s="12" t="inlineStr">
        <is>
          <t>uninverted_intrachromosomal_transposition</t>
        </is>
      </c>
      <c r="B2401" s="12" t="inlineStr">
        <is>
          <t>http://identifiers.org/so/SO:1000159</t>
        </is>
      </c>
      <c r="C2401" s="12" t="inlineStr">
        <is>
          <t>['unidirectional gene fusion']</t>
        </is>
      </c>
      <c r="D2401" s="12" t="n"/>
      <c r="E2401" s="12" t="n"/>
    </row>
    <row r="2402" ht="15" customHeight="1">
      <c r="A2402" s="12" t="inlineStr">
        <is>
          <t>unique_variant</t>
        </is>
      </c>
      <c r="B2402" s="12" t="inlineStr">
        <is>
          <t>http://identifiers.org/so/SO:0001764</t>
        </is>
      </c>
      <c r="C2402" s="12" t="inlineStr">
        <is>
          <t>['unigene cluster']</t>
        </is>
      </c>
      <c r="D2402" s="12" t="n"/>
      <c r="E2402" s="12" t="n"/>
    </row>
    <row r="2403" ht="15" customHeight="1">
      <c r="A2403" s="12" t="inlineStr">
        <is>
          <t>unit_of_gene_expression</t>
        </is>
      </c>
      <c r="B2403" s="12" t="inlineStr">
        <is>
          <t>http://identifiers.org/so/SO:0002300</t>
        </is>
      </c>
      <c r="C2403" s="12" t="inlineStr">
        <is>
          <t>['(Drosophila)eDp', 'uninverted insertional duplication']</t>
        </is>
      </c>
      <c r="D2403" s="12" t="n"/>
      <c r="E2403" s="12" t="n"/>
    </row>
    <row r="2404" ht="15" customHeight="1">
      <c r="A2404" s="12" t="inlineStr">
        <is>
          <t>unitary_pseudogene</t>
        </is>
      </c>
      <c r="B2404" s="12" t="inlineStr">
        <is>
          <t>http://identifiers.org/so/SO:0001759</t>
        </is>
      </c>
      <c r="C2404" s="12" t="inlineStr">
        <is>
          <t>['(Drosophila)eTp', 'uninverted interchromosomal transposition']</t>
        </is>
      </c>
      <c r="D2404" s="12" t="n"/>
      <c r="E2404" s="12" t="n"/>
    </row>
    <row r="2405" ht="15" customHeight="1">
      <c r="A2405" s="12" t="inlineStr">
        <is>
          <t>unitary_pseudogenic_rRNA</t>
        </is>
      </c>
      <c r="B2405" s="12" t="inlineStr">
        <is>
          <t>http://identifiers.org/so/SO:0002195</t>
        </is>
      </c>
      <c r="C2405" s="12" t="inlineStr">
        <is>
          <t>['uninverted intrachromosomal transposition', '(Drosophila)eTp']</t>
        </is>
      </c>
      <c r="D2405" s="12" t="n"/>
      <c r="E2405" s="12" t="n"/>
    </row>
    <row r="2406" ht="15" customHeight="1">
      <c r="A2406" s="12" t="inlineStr">
        <is>
          <t>unitary_pseudogenic_tRNA</t>
        </is>
      </c>
      <c r="B2406" s="12" t="inlineStr">
        <is>
          <t>http://identifiers.org/so/SO:0002199</t>
        </is>
      </c>
      <c r="C2406" s="12" t="inlineStr">
        <is>
          <t>['unique variant']</t>
        </is>
      </c>
      <c r="D2406" s="12" t="n"/>
      <c r="E2406" s="12" t="n"/>
    </row>
    <row r="2407" ht="15" customHeight="1">
      <c r="A2407" s="12" t="inlineStr">
        <is>
          <t>unoriented_insertional_duplication</t>
        </is>
      </c>
      <c r="B2407" s="12" t="inlineStr">
        <is>
          <t>http://identifiers.org/so/SO:1000160</t>
        </is>
      </c>
      <c r="C2407" s="12" t="inlineStr">
        <is>
          <t>['unit of gene expression']</t>
        </is>
      </c>
      <c r="D2407" s="12" t="n"/>
      <c r="E2407" s="12" t="n"/>
    </row>
    <row r="2408" ht="15" customHeight="1">
      <c r="A2408" s="12" t="inlineStr">
        <is>
          <t>unoriented_interchromosomal_transposition</t>
        </is>
      </c>
      <c r="B2408" s="12" t="inlineStr">
        <is>
          <t>http://identifiers.org/so/SO:1000161</t>
        </is>
      </c>
      <c r="C2408" s="12" t="inlineStr">
        <is>
          <t>['INSDC_qualifier:unitary', 'INSDC_feature:gene', 'disabled gene', 'unitary pseudogene']</t>
        </is>
      </c>
      <c r="D2408" s="12" t="n"/>
      <c r="E2408" s="12" t="n"/>
    </row>
    <row r="2409" ht="15" customHeight="1">
      <c r="A2409" s="12" t="inlineStr">
        <is>
          <t>unoriented_intrachromosomal_transposition</t>
        </is>
      </c>
      <c r="B2409" s="12" t="inlineStr">
        <is>
          <t>http://identifiers.org/so/SO:1000162</t>
        </is>
      </c>
      <c r="C2409" s="12" t="inlineStr">
        <is>
          <t>['INSDC_qualifier:unitary', 'unitary pseudogenic rRNA', 'INSDC_feature:rRNA']</t>
        </is>
      </c>
      <c r="D2409" s="12" t="n"/>
      <c r="E2409" s="12" t="n"/>
    </row>
    <row r="2410" ht="15" customHeight="1">
      <c r="A2410" s="12" t="inlineStr">
        <is>
          <t>unprocessed_pseudogenic_rRNA</t>
        </is>
      </c>
      <c r="B2410" s="12" t="inlineStr">
        <is>
          <t>http://identifiers.org/so/SO:0002194</t>
        </is>
      </c>
      <c r="C2410" s="12" t="inlineStr">
        <is>
          <t>['INSDC_qualifier:unitary', 'INSDC_feature:tRNA', 'unitary pseudogenic tRNA']</t>
        </is>
      </c>
      <c r="D2410" s="12" t="n"/>
      <c r="E2410" s="12" t="n"/>
    </row>
    <row r="2411" ht="15" customHeight="1">
      <c r="A2411" s="12" t="inlineStr">
        <is>
          <t>unprocessed_pseudogenic_tRNA</t>
        </is>
      </c>
      <c r="B2411" s="12" t="inlineStr">
        <is>
          <t>http://identifiers.org/so/SO:0002198</t>
        </is>
      </c>
      <c r="C2411" s="12" t="inlineStr">
        <is>
          <t>['unoriented insertional duplication', '(Drosophila)uDp']</t>
        </is>
      </c>
      <c r="D2411" s="12" t="n"/>
      <c r="E2411" s="12" t="n"/>
    </row>
    <row r="2412" ht="15" customHeight="1">
      <c r="A2412" s="12" t="inlineStr">
        <is>
          <t>unspecified_indel</t>
        </is>
      </c>
      <c r="B2412" s="12" t="inlineStr">
        <is>
          <t>http://identifiers.org/so/SO:0002217</t>
        </is>
      </c>
      <c r="C2412" s="12" t="inlineStr">
        <is>
          <t>['unorientated interchromosomal transposition', '(Drosophila)uTp']</t>
        </is>
      </c>
      <c r="D2412" s="12" t="n"/>
      <c r="E2412" s="12" t="n"/>
    </row>
    <row r="2413" ht="15" customHeight="1">
      <c r="A2413" s="12" t="inlineStr">
        <is>
          <t>untranslated_region_polycistronic_mRNA</t>
        </is>
      </c>
      <c r="B2413" s="12" t="inlineStr">
        <is>
          <t>http://identifiers.org/so/SO:0000242</t>
        </is>
      </c>
      <c r="C2413" s="12" t="inlineStr">
        <is>
          <t>['(Drosophila)uTp', 'unorientated intrachromosomal transposition']</t>
        </is>
      </c>
      <c r="D2413" s="12" t="n"/>
      <c r="E2413" s="12" t="n"/>
    </row>
    <row r="2414" ht="15" customHeight="1">
      <c r="A2414" s="12" t="inlineStr">
        <is>
          <t>uORF</t>
        </is>
      </c>
      <c r="B2414" s="12" t="inlineStr">
        <is>
          <t>http://identifiers.org/so/SO:0002027</t>
        </is>
      </c>
      <c r="C2414" s="12" t="inlineStr">
        <is>
          <t>['unprocessed pseudogenic rRNA', 'INSDC_feature:rRNA', 'INSDC_qualifier:unprocessed']</t>
        </is>
      </c>
      <c r="D2414" s="12" t="n"/>
      <c r="E2414" s="12" t="n"/>
    </row>
    <row r="2415" ht="15" customHeight="1">
      <c r="A2415" s="12" t="inlineStr">
        <is>
          <t>UPD</t>
        </is>
      </c>
      <c r="B2415" s="12" t="inlineStr">
        <is>
          <t>http://identifiers.org/so/SO:0001744</t>
        </is>
      </c>
      <c r="C2415" s="12" t="inlineStr">
        <is>
          <t>['INSDC_feature:tRNA', 'INSDC_qualifier:unprocessed', 'unprocessed pseudogenic tRNA']</t>
        </is>
      </c>
      <c r="D2415" s="12" t="n"/>
      <c r="E2415" s="12" t="n"/>
    </row>
    <row r="2416" ht="15" customHeight="1">
      <c r="A2416" s="12" t="inlineStr">
        <is>
          <t>upstream_AUG_codon</t>
        </is>
      </c>
      <c r="B2416" s="12" t="inlineStr">
        <is>
          <t>http://identifiers.org/so/SO:0000630</t>
        </is>
      </c>
      <c r="C2416" s="12" t="inlineStr">
        <is>
          <t>['insertion or deletion', 'unspecified indel']</t>
        </is>
      </c>
      <c r="D2416" s="12" t="n"/>
      <c r="E2416" s="12" t="n"/>
    </row>
    <row r="2417" ht="15" customHeight="1">
      <c r="A2417" s="12" t="inlineStr">
        <is>
          <t>upstream_gene_variant</t>
        </is>
      </c>
      <c r="B2417" s="12" t="inlineStr">
        <is>
          <t>http://identifiers.org/so/SO:0001631</t>
        </is>
      </c>
      <c r="C2417" s="12" t="inlineStr">
        <is>
          <t>['untranslated region polycistronic mRNA']</t>
        </is>
      </c>
      <c r="D2417" s="12" t="n"/>
      <c r="E2417" s="12" t="n"/>
    </row>
    <row r="2418" ht="15" customHeight="1">
      <c r="A2418" s="12" t="inlineStr">
        <is>
          <t>upstream_transcript_variant</t>
        </is>
      </c>
      <c r="B2418" s="12" t="inlineStr">
        <is>
          <t>http://identifiers.org/so/SO:0001986</t>
        </is>
      </c>
      <c r="C2418" s="12" t="inlineStr">
        <is>
          <t>['regulatory uORF', 'upstream ORF']</t>
        </is>
      </c>
      <c r="D2418" s="12" t="n"/>
      <c r="E2418" s="12" t="n"/>
    </row>
    <row r="2419" ht="15" customHeight="1">
      <c r="A2419" s="12" t="inlineStr">
        <is>
          <t>uridine_five_oxyacetic_acid</t>
        </is>
      </c>
      <c r="B2419" s="12" t="inlineStr">
        <is>
          <t>http://identifiers.org/so/SO:0001356</t>
        </is>
      </c>
      <c r="C2419" s="12" t="inlineStr">
        <is>
          <t>['uniparental disomy', 'UPD']</t>
        </is>
      </c>
      <c r="D2419" s="12" t="n"/>
      <c r="E2419" s="12" t="n"/>
    </row>
    <row r="2420" ht="15" customHeight="1">
      <c r="A2420" s="12" t="inlineStr">
        <is>
          <t>uridine_five_oxyacetic_acid_methyl_ester</t>
        </is>
      </c>
      <c r="B2420" s="12" t="inlineStr">
        <is>
          <t>http://identifiers.org/so/SO:0001357</t>
        </is>
      </c>
      <c r="C2420" s="12" t="inlineStr">
        <is>
          <t>['upstream AUG codon']</t>
        </is>
      </c>
      <c r="D2420" s="12" t="n"/>
      <c r="E2420" s="12" t="n"/>
    </row>
    <row r="2421" ht="15" customHeight="1">
      <c r="A2421" s="12" t="inlineStr">
        <is>
          <t>UST</t>
        </is>
      </c>
      <c r="B2421" s="12" t="inlineStr">
        <is>
          <t>http://identifiers.org/so/SO:0001464</t>
        </is>
      </c>
      <c r="C2421" s="12" t="inlineStr">
        <is>
          <t>['Jannovar:upstream_gene_variant', 'snpEff:UPSTREAM', 'upstream gene variant', 'ANNOVAR:upstream', 'VEP:upstream_gene_variant']</t>
        </is>
      </c>
      <c r="D2421" s="12" t="n"/>
      <c r="E2421" s="12" t="n"/>
    </row>
    <row r="2422" ht="15" customHeight="1">
      <c r="A2422" s="12" t="inlineStr">
        <is>
          <t>UST_match</t>
        </is>
      </c>
      <c r="B2422" s="12" t="inlineStr">
        <is>
          <t>http://identifiers.org/so/SO:0001470</t>
        </is>
      </c>
      <c r="C2422" s="12" t="inlineStr">
        <is>
          <t>['upstream transcript variant']</t>
        </is>
      </c>
      <c r="D2422" s="12" t="n"/>
      <c r="E2422" s="12" t="n"/>
    </row>
    <row r="2423" ht="15" customHeight="1">
      <c r="A2423" s="12" t="inlineStr">
        <is>
          <t>UTR</t>
        </is>
      </c>
      <c r="B2423" s="12" t="inlineStr">
        <is>
          <t>http://identifiers.org/so/SO:0000203</t>
        </is>
      </c>
      <c r="C2423" s="12" t="inlineStr">
        <is>
          <t>['uridine 5-oxyacetic acid', 'cmo5U', 'uridine five oxyacetic acid']</t>
        </is>
      </c>
      <c r="D2423" s="12" t="n"/>
      <c r="E2423" s="12" t="n"/>
    </row>
    <row r="2424" ht="15" customHeight="1">
      <c r="A2424" s="12" t="inlineStr">
        <is>
          <t>UTR_intron</t>
        </is>
      </c>
      <c r="B2424" s="12" t="inlineStr">
        <is>
          <t>http://identifiers.org/so/SO:0000446</t>
        </is>
      </c>
      <c r="C2424" s="12" t="inlineStr">
        <is>
          <t>['uridine 5-oxyacetic acid methyl ester', 'mcmo5U', 'uridine five oxyacetic acid methyl ester']</t>
        </is>
      </c>
      <c r="D2424" s="12" t="n"/>
      <c r="E2424" s="12" t="n"/>
    </row>
    <row r="2425" ht="15" customHeight="1">
      <c r="A2425" s="12" t="inlineStr">
        <is>
          <t>UTR_region</t>
        </is>
      </c>
      <c r="B2425" s="12" t="inlineStr">
        <is>
          <t>http://identifiers.org/so/SO:0000837</t>
        </is>
      </c>
      <c r="C2425" s="12" t="inlineStr">
        <is>
          <t>['UTR sequence tag']</t>
        </is>
      </c>
      <c r="D2425" s="12" t="n"/>
      <c r="E2425" s="12" t="n"/>
    </row>
    <row r="2426" ht="15" customHeight="1">
      <c r="A2426" s="12" t="inlineStr">
        <is>
          <t>UTR_variant</t>
        </is>
      </c>
      <c r="B2426" s="12" t="inlineStr">
        <is>
          <t>http://identifiers.org/so/SO:0001622</t>
        </is>
      </c>
      <c r="C2426" s="12" t="inlineStr">
        <is>
          <t>['UST match']</t>
        </is>
      </c>
      <c r="D2426" s="12" t="n"/>
      <c r="E2426" s="12" t="n"/>
    </row>
    <row r="2427" ht="15" customHeight="1">
      <c r="A2427" s="12" t="inlineStr">
        <is>
          <t>V_cluster</t>
        </is>
      </c>
      <c r="B2427" s="12" t="inlineStr">
        <is>
          <t>http://identifiers.org/so/SO:0000526</t>
        </is>
      </c>
      <c r="C2427" s="12" t="inlineStr">
        <is>
          <t>['untranslated region']</t>
        </is>
      </c>
      <c r="D2427" s="12" t="n"/>
      <c r="E2427" s="12" t="n"/>
    </row>
    <row r="2428" ht="15" customHeight="1">
      <c r="A2428" s="12" t="inlineStr">
        <is>
          <t>V_D_DJ_C_cluster</t>
        </is>
      </c>
      <c r="B2428" s="12" t="inlineStr">
        <is>
          <t>http://identifiers.org/so/SO:0000527</t>
        </is>
      </c>
      <c r="C2428" s="12" t="inlineStr">
        <is>
          <t>['UTR intron']</t>
        </is>
      </c>
      <c r="D2428" s="12" t="n"/>
      <c r="E2428" s="12" t="n"/>
    </row>
    <row r="2429" ht="15" customHeight="1">
      <c r="A2429" s="12" t="inlineStr">
        <is>
          <t>V_D_DJ_cluster</t>
        </is>
      </c>
      <c r="B2429" s="12" t="inlineStr">
        <is>
          <t>http://identifiers.org/so/SO:0000528</t>
        </is>
      </c>
      <c r="C2429" s="12" t="inlineStr">
        <is>
          <t>['UTR region']</t>
        </is>
      </c>
      <c r="D2429" s="12" t="n"/>
      <c r="E2429" s="12" t="n"/>
    </row>
    <row r="2430" ht="15" customHeight="1">
      <c r="A2430" s="12" t="inlineStr">
        <is>
          <t>V_D_DJ_J_C_cluster</t>
        </is>
      </c>
      <c r="B2430" s="12" t="inlineStr">
        <is>
          <t>http://identifiers.org/so/SO:0000529</t>
        </is>
      </c>
      <c r="C2430" s="12" t="inlineStr">
        <is>
          <t>['UTR_', 'UTR variant']</t>
        </is>
      </c>
      <c r="D2430" s="12" t="n"/>
      <c r="E2430" s="12" t="n"/>
    </row>
    <row r="2431" ht="15" customHeight="1">
      <c r="A2431" s="12" t="inlineStr">
        <is>
          <t>V_D_DJ_J_cluster</t>
        </is>
      </c>
      <c r="B2431" s="12" t="inlineStr">
        <is>
          <t>http://identifiers.org/so/SO:0000530</t>
        </is>
      </c>
      <c r="C2431" s="12" t="inlineStr">
        <is>
          <t>['V cluster', 'V-CLUSTER']</t>
        </is>
      </c>
      <c r="D2431" s="12" t="n"/>
      <c r="E2431" s="12" t="n"/>
    </row>
    <row r="2432" ht="15" customHeight="1">
      <c r="A2432" s="12" t="inlineStr">
        <is>
          <t>V_D_J_C_cluster</t>
        </is>
      </c>
      <c r="B2432" s="12" t="inlineStr">
        <is>
          <t>http://identifiers.org/so/SO:0000531</t>
        </is>
      </c>
      <c r="C2432" s="12" t="inlineStr">
        <is>
          <t>['V D DJ C cluster', 'V-D-(DJ)-C-CLUSTER']</t>
        </is>
      </c>
      <c r="D2432" s="12" t="n"/>
      <c r="E2432" s="12" t="n"/>
    </row>
    <row r="2433" ht="15" customHeight="1">
      <c r="A2433" s="12" t="inlineStr">
        <is>
          <t>V_D_J_cluster</t>
        </is>
      </c>
      <c r="B2433" s="12" t="inlineStr">
        <is>
          <t>http://identifiers.org/so/SO:0000532</t>
        </is>
      </c>
      <c r="C2433" s="12" t="inlineStr">
        <is>
          <t>['V-D-(DJ)-CLUSTER', 'V D DJ cluster']</t>
        </is>
      </c>
      <c r="D2433" s="12" t="n"/>
      <c r="E2433" s="12" t="n"/>
    </row>
    <row r="2434" ht="15" customHeight="1">
      <c r="A2434" s="12" t="inlineStr">
        <is>
          <t>V_DJ_C_cluster</t>
        </is>
      </c>
      <c r="B2434" s="12" t="inlineStr">
        <is>
          <t>http://identifiers.org/so/SO:0000542</t>
        </is>
      </c>
      <c r="C2434" s="12" t="inlineStr">
        <is>
          <t>['V D DJ J C cluster', 'V-D-(DJ)-J-C-CLUSTER']</t>
        </is>
      </c>
      <c r="D2434" s="12" t="n"/>
      <c r="E2434" s="12" t="n"/>
    </row>
    <row r="2435" ht="15" customHeight="1">
      <c r="A2435" s="12" t="inlineStr">
        <is>
          <t>V_DJ_cluster</t>
        </is>
      </c>
      <c r="B2435" s="12" t="inlineStr">
        <is>
          <t>http://identifiers.org/so/SO:0000518</t>
        </is>
      </c>
      <c r="C2435" s="12" t="inlineStr">
        <is>
          <t>['V D DJ J cluster', 'V-D-(DJ)-J-CLUSTER']</t>
        </is>
      </c>
      <c r="D2435" s="12" t="n"/>
      <c r="E2435" s="12" t="n"/>
    </row>
    <row r="2436" ht="15" customHeight="1">
      <c r="A2436" s="12" t="inlineStr">
        <is>
          <t>V_DJ_J_C_cluster</t>
        </is>
      </c>
      <c r="B2436" s="12" t="inlineStr">
        <is>
          <t>http://identifiers.org/so/SO:0000564</t>
        </is>
      </c>
      <c r="C2436" s="12" t="inlineStr">
        <is>
          <t>['V D J C cluster', 'V-D-J-C-CLUSTER']</t>
        </is>
      </c>
      <c r="D2436" s="12" t="n"/>
      <c r="E2436" s="12" t="n"/>
    </row>
    <row r="2437" ht="15" customHeight="1">
      <c r="A2437" s="12" t="inlineStr">
        <is>
          <t>V_DJ_J_cluster</t>
        </is>
      </c>
      <c r="B2437" s="12" t="inlineStr">
        <is>
          <t>http://identifiers.org/so/SO:0000519</t>
        </is>
      </c>
      <c r="C2437" s="12" t="inlineStr">
        <is>
          <t>['V-D-J-CLUSTER', 'V D J cluster']</t>
        </is>
      </c>
      <c r="D2437" s="12" t="n"/>
      <c r="E2437" s="12" t="n"/>
    </row>
    <row r="2438" ht="15" customHeight="1">
      <c r="A2438" s="12" t="inlineStr">
        <is>
          <t>V_gene_recombination_feature</t>
        </is>
      </c>
      <c r="B2438" s="12" t="inlineStr">
        <is>
          <t>http://identifiers.org/so/SO:0000538</t>
        </is>
      </c>
      <c r="C2438" s="12" t="inlineStr">
        <is>
          <t>['V DJ C cluster', 'V-(DJ)-C-CLUSTER']</t>
        </is>
      </c>
      <c r="D2438" s="12" t="n"/>
      <c r="E2438" s="12" t="n"/>
    </row>
    <row r="2439" ht="15" customHeight="1">
      <c r="A2439" s="12" t="inlineStr">
        <is>
          <t>V_gene_segment</t>
        </is>
      </c>
      <c r="B2439" s="12" t="inlineStr">
        <is>
          <t>http://identifiers.org/so/SO:0000466</t>
        </is>
      </c>
      <c r="C2439" s="12" t="inlineStr">
        <is>
          <t>['V DJ cluster', 'V-(DJ)-CLUSTER']</t>
        </is>
      </c>
      <c r="D2439" s="12" t="n"/>
      <c r="E2439" s="12" t="n"/>
    </row>
    <row r="2440" ht="15" customHeight="1">
      <c r="A2440" s="12" t="inlineStr">
        <is>
          <t>V_heptamer</t>
        </is>
      </c>
      <c r="B2440" s="12" t="inlineStr">
        <is>
          <t>http://identifiers.org/so/SO:0000533</t>
        </is>
      </c>
      <c r="C2440" s="12" t="inlineStr">
        <is>
          <t>['V DJ J C cluster', 'V-(DJ)-J-C-CLUSTER']</t>
        </is>
      </c>
      <c r="D2440" s="12" t="n"/>
      <c r="E2440" s="12" t="n"/>
    </row>
    <row r="2441" ht="15" customHeight="1">
      <c r="A2441" s="12" t="inlineStr">
        <is>
          <t>V_J_C_cluster</t>
        </is>
      </c>
      <c r="B2441" s="12" t="inlineStr">
        <is>
          <t>http://identifiers.org/so/SO:0000535</t>
        </is>
      </c>
      <c r="C2441" s="12" t="inlineStr">
        <is>
          <t>['V-(DJ)-J-CLUSTER', 'V DJ J cluster']</t>
        </is>
      </c>
      <c r="D2441" s="12" t="n"/>
      <c r="E2441" s="12" t="n"/>
    </row>
    <row r="2442" ht="15" customHeight="1">
      <c r="A2442" s="12" t="inlineStr">
        <is>
          <t>V_J_cluster</t>
        </is>
      </c>
      <c r="B2442" s="12" t="inlineStr">
        <is>
          <t>http://identifiers.org/so/SO:0000534</t>
        </is>
      </c>
      <c r="C2442" s="12" t="inlineStr">
        <is>
          <t>['V gene recombination feature', 'V-RS']</t>
        </is>
      </c>
      <c r="D2442" s="12" t="n"/>
      <c r="E2442" s="12" t="n"/>
    </row>
    <row r="2443" ht="15" customHeight="1">
      <c r="A2443" s="12" t="inlineStr">
        <is>
          <t>V_nonamer</t>
        </is>
      </c>
      <c r="B2443" s="12" t="inlineStr">
        <is>
          <t>http://identifiers.org/so/SO:0000536</t>
        </is>
      </c>
      <c r="C2443" s="12" t="inlineStr">
        <is>
          <t>['V gene', 'variable_gene', 'V gene segment', 'INSDC_feature:V_segment', 'V-GENE']</t>
        </is>
      </c>
      <c r="D2443" s="12" t="n"/>
      <c r="E2443" s="12" t="n"/>
    </row>
    <row r="2444" ht="15" customHeight="1">
      <c r="A2444" s="12" t="inlineStr">
        <is>
          <t>V_region</t>
        </is>
      </c>
      <c r="B2444" s="12" t="inlineStr">
        <is>
          <t>http://identifiers.org/so/SO:0001833</t>
        </is>
      </c>
      <c r="C2444" s="12" t="inlineStr">
        <is>
          <t>['V heptamer', 'V-HEPTAMER']</t>
        </is>
      </c>
      <c r="D2444" s="12" t="n"/>
      <c r="E2444" s="12" t="n"/>
    </row>
    <row r="2445" ht="15" customHeight="1">
      <c r="A2445" s="12" t="inlineStr">
        <is>
          <t>V_spacer</t>
        </is>
      </c>
      <c r="B2445" s="12" t="inlineStr">
        <is>
          <t>http://identifiers.org/so/SO:0000537</t>
        </is>
      </c>
      <c r="C2445" s="12" t="inlineStr">
        <is>
          <t>['V J C cluster', 'V-J-C-CLUSTER']</t>
        </is>
      </c>
      <c r="D2445" s="12" t="n"/>
      <c r="E2445" s="12" t="n"/>
    </row>
    <row r="2446" ht="15" customHeight="1">
      <c r="A2446" s="12" t="inlineStr">
        <is>
          <t>V_VDJ_C_cluster</t>
        </is>
      </c>
      <c r="B2446" s="12" t="inlineStr">
        <is>
          <t>http://identifiers.org/so/SO:0000520</t>
        </is>
      </c>
      <c r="C2446" s="12" t="inlineStr">
        <is>
          <t>['V J cluster', 'V-J-CLUSTER']</t>
        </is>
      </c>
      <c r="D2446" s="12" t="n"/>
      <c r="E2446" s="12" t="n"/>
    </row>
    <row r="2447" ht="15" customHeight="1">
      <c r="A2447" s="12" t="inlineStr">
        <is>
          <t>V_VDJ_cluster</t>
        </is>
      </c>
      <c r="B2447" s="12" t="inlineStr">
        <is>
          <t>http://identifiers.org/so/SO:0000521</t>
        </is>
      </c>
      <c r="C2447" s="12" t="inlineStr">
        <is>
          <t>['V nonamer', 'V-NONAMER']</t>
        </is>
      </c>
      <c r="D2447" s="12" t="n"/>
      <c r="E2447" s="12" t="n"/>
    </row>
    <row r="2448" ht="15" customHeight="1">
      <c r="A2448" s="12" t="inlineStr">
        <is>
          <t>V_VDJ_J_C_cluster</t>
        </is>
      </c>
      <c r="B2448" s="12" t="inlineStr">
        <is>
          <t>http://identifiers.org/so/SO:0000565</t>
        </is>
      </c>
      <c r="C2448" s="12" t="inlineStr">
        <is>
          <t>['INSDC_feature:V_region', 'V region']</t>
        </is>
      </c>
      <c r="D2448" s="12" t="n"/>
      <c r="E2448" s="12" t="n"/>
    </row>
    <row r="2449" ht="15" customHeight="1">
      <c r="A2449" s="12" t="inlineStr">
        <is>
          <t>V_VDJ_J_cluster</t>
        </is>
      </c>
      <c r="B2449" s="12" t="inlineStr">
        <is>
          <t>http://identifiers.org/so/SO:0000522</t>
        </is>
      </c>
      <c r="C2449" s="12" t="inlineStr">
        <is>
          <t>['V spacer', 'V-SPACER']</t>
        </is>
      </c>
      <c r="D2449" s="12" t="n"/>
      <c r="E2449" s="12" t="n"/>
    </row>
    <row r="2450" ht="15" customHeight="1">
      <c r="A2450" s="12" t="inlineStr">
        <is>
          <t>V_VJ_C_cluster</t>
        </is>
      </c>
      <c r="B2450" s="12" t="inlineStr">
        <is>
          <t>http://identifiers.org/so/SO:0000523</t>
        </is>
      </c>
      <c r="C2450" s="12" t="inlineStr">
        <is>
          <t>['V VDJ C cluster', 'V-(VDJ)-C-CLUSTER']</t>
        </is>
      </c>
      <c r="D2450" s="12" t="n"/>
      <c r="E2450" s="12" t="n"/>
    </row>
    <row r="2451" ht="15" customHeight="1">
      <c r="A2451" s="12" t="inlineStr">
        <is>
          <t>V_VJ_cluster</t>
        </is>
      </c>
      <c r="B2451" s="12" t="inlineStr">
        <is>
          <t>http://identifiers.org/so/SO:0000524</t>
        </is>
      </c>
      <c r="C2451" s="12" t="inlineStr">
        <is>
          <t>['V-(VDJ)-CLUSTER', 'V VDJ cluster']</t>
        </is>
      </c>
      <c r="D2451" s="12" t="n"/>
      <c r="E2451" s="12" t="n"/>
    </row>
    <row r="2452" ht="15" customHeight="1">
      <c r="A2452" s="12" t="inlineStr">
        <is>
          <t>V_VJ_J_C_cluster</t>
        </is>
      </c>
      <c r="B2452" s="12" t="inlineStr">
        <is>
          <t>http://identifiers.org/so/SO:0000566</t>
        </is>
      </c>
      <c r="C2452" s="12" t="inlineStr">
        <is>
          <t>['V VDJ J C cluster', 'V-(VDJ)-J-C-CLUSTER']</t>
        </is>
      </c>
      <c r="D2452" s="12" t="n"/>
      <c r="E2452" s="12" t="n"/>
    </row>
    <row r="2453" ht="15" customHeight="1">
      <c r="A2453" s="12" t="inlineStr">
        <is>
          <t>V_VJ_J_cluster</t>
        </is>
      </c>
      <c r="B2453" s="12" t="inlineStr">
        <is>
          <t>http://identifiers.org/so/SO:0000525</t>
        </is>
      </c>
      <c r="C2453" s="12" t="inlineStr">
        <is>
          <t>['V-(VDJ)-J-CLUSTER', 'V VDJ J cluster']</t>
        </is>
      </c>
      <c r="D2453" s="12" t="n"/>
      <c r="E2453" s="12" t="n"/>
    </row>
    <row r="2454" ht="15" customHeight="1">
      <c r="A2454" s="12" t="inlineStr">
        <is>
          <t>vacuolar_sorting_signal</t>
        </is>
      </c>
      <c r="B2454" s="12" t="inlineStr">
        <is>
          <t>http://identifiers.org/so/SO:0001813</t>
        </is>
      </c>
      <c r="C2454" s="12" t="inlineStr">
        <is>
          <t>['V VJ C cluster', 'V-(VJ)-C-CLUSTER']</t>
        </is>
      </c>
      <c r="D2454" s="12" t="n"/>
      <c r="E2454" s="12" t="n"/>
    </row>
    <row r="2455" ht="15" customHeight="1">
      <c r="A2455" s="12" t="inlineStr">
        <is>
          <t>validated</t>
        </is>
      </c>
      <c r="B2455" s="12" t="inlineStr">
        <is>
          <t>http://identifiers.org/so/SO:0000789</t>
        </is>
      </c>
      <c r="C2455" s="12" t="inlineStr">
        <is>
          <t>['V-(VJ)-CLUSTER', 'V VJ cluster']</t>
        </is>
      </c>
      <c r="D2455" s="12" t="n"/>
      <c r="E2455" s="12" t="n"/>
    </row>
    <row r="2456" ht="15" customHeight="1">
      <c r="A2456" s="12" t="inlineStr">
        <is>
          <t>validated_cDNA_clone</t>
        </is>
      </c>
      <c r="B2456" s="12" t="inlineStr">
        <is>
          <t>http://identifiers.org/so/SO:0000808</t>
        </is>
      </c>
      <c r="C2456" s="12" t="inlineStr">
        <is>
          <t>['V VJ J C cluster', 'V-(VJ)-J-C-CLUSTER']</t>
        </is>
      </c>
      <c r="D2456" s="12" t="n"/>
      <c r="E2456" s="12" t="n"/>
    </row>
    <row r="2457" ht="15" customHeight="1">
      <c r="A2457" s="12" t="inlineStr">
        <is>
          <t>valine</t>
        </is>
      </c>
      <c r="B2457" s="12" t="inlineStr">
        <is>
          <t>http://identifiers.org/so/SO:0001436</t>
        </is>
      </c>
      <c r="C2457" s="12" t="inlineStr">
        <is>
          <t>['V VJ J cluster', 'V-(VJ)-J-CLUSTER']</t>
        </is>
      </c>
      <c r="D2457" s="12" t="n"/>
      <c r="E2457" s="12" t="n"/>
    </row>
    <row r="2458" ht="15" customHeight="1">
      <c r="A2458" s="12" t="inlineStr">
        <is>
          <t>valine_tRNA_primary_transcript</t>
        </is>
      </c>
      <c r="B2458" s="12" t="inlineStr">
        <is>
          <t>http://identifiers.org/so/SO:0000230</t>
        </is>
      </c>
      <c r="C2458" s="12" t="inlineStr">
        <is>
          <t>['vacuolar sorting signal']</t>
        </is>
      </c>
      <c r="D2458" s="12" t="n"/>
      <c r="E2458" s="12" t="n"/>
    </row>
    <row r="2459" ht="15" customHeight="1">
      <c r="A2459" s="12" t="inlineStr">
        <is>
          <t>valyl_tRNA</t>
        </is>
      </c>
      <c r="B2459" s="12" t="inlineStr">
        <is>
          <t>http://identifiers.org/so/SO:0000273</t>
        </is>
      </c>
      <c r="C2459" s="12" t="n"/>
      <c r="D2459" s="12" t="n"/>
      <c r="E2459" s="12" t="n"/>
    </row>
    <row r="2460" ht="15" customHeight="1">
      <c r="A2460" s="12" t="inlineStr">
        <is>
          <t>variant_collection</t>
        </is>
      </c>
      <c r="B2460" s="12" t="inlineStr">
        <is>
          <t>http://identifiers.org/so/SO:0001507</t>
        </is>
      </c>
      <c r="C2460" s="12" t="inlineStr">
        <is>
          <t>['validated cDNA clone']</t>
        </is>
      </c>
      <c r="D2460" s="12" t="n"/>
      <c r="E2460" s="12" t="n"/>
    </row>
    <row r="2461" ht="15" customHeight="1">
      <c r="A2461" s="12" t="inlineStr">
        <is>
          <t>variant_frequency</t>
        </is>
      </c>
      <c r="B2461" s="12" t="inlineStr">
        <is>
          <t>http://identifiers.org/so/SO:0001763</t>
        </is>
      </c>
      <c r="C2461" s="12" t="inlineStr">
        <is>
          <t>['V', 'Val']</t>
        </is>
      </c>
      <c r="D2461" s="12" t="n"/>
      <c r="E2461" s="12" t="n"/>
    </row>
    <row r="2462" ht="15" customHeight="1">
      <c r="A2462" s="12" t="inlineStr">
        <is>
          <t>variant_genome</t>
        </is>
      </c>
      <c r="B2462" s="12" t="inlineStr">
        <is>
          <t>http://identifiers.org/so/SO:0001506</t>
        </is>
      </c>
      <c r="C2462" s="12" t="inlineStr">
        <is>
          <t>['valine tRNA primary transcript']</t>
        </is>
      </c>
      <c r="D2462" s="12" t="n"/>
      <c r="E2462" s="12" t="n"/>
    </row>
    <row r="2463" ht="15" customHeight="1">
      <c r="A2463" s="12" t="inlineStr">
        <is>
          <t>variant_origin</t>
        </is>
      </c>
      <c r="B2463" s="12" t="inlineStr">
        <is>
          <t>http://identifiers.org/so/SO:0001762</t>
        </is>
      </c>
      <c r="C2463" s="12" t="inlineStr">
        <is>
          <t>['valyl tRNA', 'valyl-transfer RNA', 'valyl-transfer ribonucleic acid']</t>
        </is>
      </c>
      <c r="D2463" s="12" t="n"/>
      <c r="E2463" s="12" t="n"/>
    </row>
    <row r="2464" ht="15" customHeight="1">
      <c r="A2464" s="12" t="inlineStr">
        <is>
          <t>variant_phenotype</t>
        </is>
      </c>
      <c r="B2464" s="12" t="inlineStr">
        <is>
          <t>http://identifiers.org/so/SO:0001769</t>
        </is>
      </c>
      <c r="C2464" s="12" t="inlineStr">
        <is>
          <t>['variant collection']</t>
        </is>
      </c>
      <c r="D2464" s="12" t="n"/>
      <c r="E2464" s="12" t="n"/>
    </row>
    <row r="2465" ht="15" customHeight="1">
      <c r="A2465" s="12" t="inlineStr">
        <is>
          <t>variant_quality</t>
        </is>
      </c>
      <c r="B2465" s="12" t="inlineStr">
        <is>
          <t>http://identifiers.org/so/SO:0001761</t>
        </is>
      </c>
      <c r="C2465" s="12" t="inlineStr">
        <is>
          <t>['variant frequency']</t>
        </is>
      </c>
      <c r="D2465" s="12" t="n"/>
      <c r="E2465" s="12" t="n"/>
    </row>
    <row r="2466" ht="15" customHeight="1">
      <c r="A2466" s="12" t="inlineStr">
        <is>
          <t>vault_RNA</t>
        </is>
      </c>
      <c r="B2466" s="12" t="inlineStr">
        <is>
          <t>http://identifiers.org/so/SO:0000404</t>
        </is>
      </c>
      <c r="C2466" s="12" t="inlineStr">
        <is>
          <t>['variant genome']</t>
        </is>
      </c>
      <c r="D2466" s="12" t="n"/>
      <c r="E2466" s="12" t="n"/>
    </row>
    <row r="2467" ht="15" customHeight="1">
      <c r="A2467" s="12" t="inlineStr">
        <is>
          <t>vaultRNA_primary_transcript</t>
        </is>
      </c>
      <c r="B2467" s="12" t="inlineStr">
        <is>
          <t>http://identifiers.org/so/SO:0002040</t>
        </is>
      </c>
      <c r="C2467" s="12" t="inlineStr">
        <is>
          <t>['variant origin']</t>
        </is>
      </c>
      <c r="D2467" s="12" t="n"/>
      <c r="E2467" s="12" t="n"/>
    </row>
    <row r="2468" ht="15" customHeight="1">
      <c r="A2468" s="12" t="inlineStr">
        <is>
          <t>VD_gene_segment</t>
        </is>
      </c>
      <c r="B2468" s="12" t="inlineStr">
        <is>
          <t>http://identifiers.org/so/SO:0000510</t>
        </is>
      </c>
      <c r="C2468" s="12" t="inlineStr">
        <is>
          <t>['variant phenotype']</t>
        </is>
      </c>
      <c r="D2468" s="12" t="n"/>
      <c r="E2468" s="12" t="n"/>
    </row>
    <row r="2469" ht="15" customHeight="1">
      <c r="A2469" s="12" t="inlineStr">
        <is>
          <t>VDJ_C_cluster</t>
        </is>
      </c>
      <c r="B2469" s="12" t="inlineStr">
        <is>
          <t>http://identifiers.org/so/SO:0000541</t>
        </is>
      </c>
      <c r="C2469" s="12" t="inlineStr">
        <is>
          <t>['variant quality']</t>
        </is>
      </c>
      <c r="D2469" s="12" t="n"/>
      <c r="E2469" s="12" t="n"/>
    </row>
    <row r="2470" ht="15" customHeight="1">
      <c r="A2470" s="12" t="inlineStr">
        <is>
          <t>VDJ_gene_segment</t>
        </is>
      </c>
      <c r="B2470" s="12" t="inlineStr">
        <is>
          <t>http://identifiers.org/so/SO:0000574</t>
        </is>
      </c>
      <c r="C2470" s="12" t="inlineStr">
        <is>
          <t>['vault RNA', 'INSDC_feature:ncRNA', 'INSDC_qualifier:vault_RNA']</t>
        </is>
      </c>
      <c r="D2470" s="12" t="n"/>
      <c r="E2470" s="12" t="n"/>
    </row>
    <row r="2471" ht="15" customHeight="1">
      <c r="A2471" s="12" t="inlineStr">
        <is>
          <t>VDJ_J_C_cluster</t>
        </is>
      </c>
      <c r="B2471" s="12" t="inlineStr">
        <is>
          <t>http://identifiers.org/so/SO:0000487</t>
        </is>
      </c>
      <c r="C2471" s="12" t="inlineStr">
        <is>
          <t>['vaultRNA primary transcript']</t>
        </is>
      </c>
      <c r="D2471" s="12" t="n"/>
      <c r="E2471" s="12" t="n"/>
    </row>
    <row r="2472" ht="15" customHeight="1">
      <c r="A2472" s="12" t="inlineStr">
        <is>
          <t>VDJ_J_cluster</t>
        </is>
      </c>
      <c r="B2472" s="12" t="inlineStr">
        <is>
          <t>http://identifiers.org/so/SO:0000488</t>
        </is>
      </c>
      <c r="C2472" s="12" t="inlineStr">
        <is>
          <t>['V_D_GENE', 'VD gene']</t>
        </is>
      </c>
      <c r="D2472" s="12" t="n"/>
      <c r="E2472" s="12" t="n"/>
    </row>
    <row r="2473" ht="15" customHeight="1">
      <c r="A2473" s="12" t="inlineStr">
        <is>
          <t>vector_replicon</t>
        </is>
      </c>
      <c r="B2473" s="12" t="inlineStr">
        <is>
          <t>http://identifiers.org/so/SO:0000440</t>
        </is>
      </c>
      <c r="C2473" s="12" t="inlineStr">
        <is>
          <t>['VDJ C cluster', '(VDJ)-C-CLUSTER']</t>
        </is>
      </c>
      <c r="D2473" s="12" t="n"/>
      <c r="E2473" s="12" t="n"/>
    </row>
    <row r="2474" ht="15" customHeight="1">
      <c r="A2474" s="12" t="inlineStr">
        <is>
          <t>vertebrate_immune_system_feature</t>
        </is>
      </c>
      <c r="B2474" s="12" t="inlineStr">
        <is>
          <t>http://identifiers.org/so/SO:0000937</t>
        </is>
      </c>
      <c r="C2474" s="12" t="inlineStr">
        <is>
          <t>['VDJ gene', 'V-D-J-GENE']</t>
        </is>
      </c>
      <c r="D2474" s="12" t="n"/>
      <c r="E2474" s="12" t="n"/>
    </row>
    <row r="2475" ht="15" customHeight="1">
      <c r="A2475" s="12" t="inlineStr">
        <is>
          <t>vertebrate_immune_system_gene</t>
        </is>
      </c>
      <c r="B2475" s="12" t="inlineStr">
        <is>
          <t>http://identifiers.org/so/SO:0002121</t>
        </is>
      </c>
      <c r="C2475" s="12" t="inlineStr">
        <is>
          <t>['VDJ J C cluster', '(VDJ)-J-C-CLUSTER']</t>
        </is>
      </c>
      <c r="D2475" s="12" t="n"/>
      <c r="E2475" s="12" t="n"/>
    </row>
    <row r="2476" ht="15" customHeight="1">
      <c r="A2476" s="12" t="inlineStr">
        <is>
          <t>vertebrate_immune_system_gene_recombination_feature</t>
        </is>
      </c>
      <c r="B2476" s="12" t="inlineStr">
        <is>
          <t>http://identifiers.org/so/SO:0000301</t>
        </is>
      </c>
      <c r="C2476" s="12" t="inlineStr">
        <is>
          <t>['(VDJ)-J-CLUSTER', 'VDJ J cluster']</t>
        </is>
      </c>
      <c r="D2476" s="12" t="n"/>
      <c r="E2476" s="12" t="n"/>
    </row>
    <row r="2477" ht="15" customHeight="1">
      <c r="A2477" s="12" t="inlineStr">
        <is>
          <t>vertebrate_immune_system_gene_recombination_signal_feature</t>
        </is>
      </c>
      <c r="B2477" s="12" t="inlineStr">
        <is>
          <t>http://identifiers.org/so/SO:0000939</t>
        </is>
      </c>
      <c r="C2477" s="12" t="inlineStr">
        <is>
          <t>['vector', 'vector replicon']</t>
        </is>
      </c>
      <c r="D2477" s="12" t="n"/>
      <c r="E2477" s="12" t="n"/>
    </row>
    <row r="2478" ht="15" customHeight="1">
      <c r="A2478" s="12" t="inlineStr">
        <is>
          <t>vertebrate_immune_system_gene_recombination_spacer</t>
        </is>
      </c>
      <c r="B2478" s="12" t="inlineStr">
        <is>
          <t>http://identifiers.org/so/SO:0000563</t>
        </is>
      </c>
      <c r="C2478" s="12" t="n"/>
      <c r="D2478" s="12" t="n"/>
      <c r="E2478" s="12" t="n"/>
    </row>
    <row r="2479" ht="15" customHeight="1">
      <c r="A2479" s="12" t="inlineStr">
        <is>
          <t>vertebrate_immune_system_pseudogene</t>
        </is>
      </c>
      <c r="B2479" s="12" t="inlineStr">
        <is>
          <t>http://identifiers.org/so/SO:0002097</t>
        </is>
      </c>
      <c r="C2479" s="12" t="inlineStr">
        <is>
          <t>['immune_gene']</t>
        </is>
      </c>
      <c r="D2479" s="12" t="n"/>
      <c r="E2479" s="12" t="n"/>
    </row>
    <row r="2480" ht="15" customHeight="1">
      <c r="A2480" s="12" t="inlineStr">
        <is>
          <t>vertebrate_immunoglobulin_T_cell_receptor_gene_cluster</t>
        </is>
      </c>
      <c r="B2480" s="12" t="inlineStr">
        <is>
          <t>http://identifiers.org/so/SO:0000482</t>
        </is>
      </c>
      <c r="C2480" s="12" t="inlineStr">
        <is>
          <t>['vertebrate immune system gene recombination feature']</t>
        </is>
      </c>
      <c r="D2480" s="12" t="n"/>
      <c r="E2480" s="12" t="n"/>
    </row>
    <row r="2481" ht="15" customHeight="1">
      <c r="A2481" s="12" t="inlineStr">
        <is>
          <t>vertebrate_immunoglobulin_T_cell_receptor_rearranged_gene_cluster</t>
        </is>
      </c>
      <c r="B2481" s="12" t="inlineStr">
        <is>
          <t>http://identifiers.org/so/SO:0000938</t>
        </is>
      </c>
      <c r="C2481" s="12" t="inlineStr">
        <is>
          <t>['vertebrate immune system gene recombination signal feature']</t>
        </is>
      </c>
      <c r="D2481" s="12" t="n"/>
      <c r="E2481" s="12" t="n"/>
    </row>
    <row r="2482" ht="15" customHeight="1">
      <c r="A2482" s="12" t="inlineStr">
        <is>
          <t>vertebrate_immunoglobulin_T_cell_receptor_rearranged_segment</t>
        </is>
      </c>
      <c r="B2482" s="12" t="inlineStr">
        <is>
          <t>http://identifiers.org/so/SO:0000936</t>
        </is>
      </c>
      <c r="C2482" s="12" t="inlineStr">
        <is>
          <t>['vertebrate immune system gene recombination spacer']</t>
        </is>
      </c>
      <c r="D2482" s="12" t="n"/>
      <c r="E2482" s="12" t="n"/>
    </row>
    <row r="2483" ht="15" customHeight="1">
      <c r="A2483" s="12" t="inlineStr">
        <is>
          <t>vertebrate_immunoglobulin_T_cell_receptor_segment</t>
        </is>
      </c>
      <c r="B2483" s="12" t="inlineStr">
        <is>
          <t>http://identifiers.org/so/SO:0000460</t>
        </is>
      </c>
      <c r="C2483" s="12" t="inlineStr">
        <is>
          <t>['vertebrate immune system pseudogene']</t>
        </is>
      </c>
      <c r="D2483" s="12" t="n"/>
      <c r="E2483" s="12" t="n"/>
    </row>
    <row r="2484" ht="15" customHeight="1">
      <c r="A2484" s="12" t="inlineStr">
        <is>
          <t>Viper_YR_retrotransposon</t>
        </is>
      </c>
      <c r="B2484" s="12" t="inlineStr">
        <is>
          <t>http://identifiers.org/so/SO:0002289</t>
        </is>
      </c>
      <c r="C2484" s="12" t="inlineStr">
        <is>
          <t>['vertebrate_immunoglobulin/T-cell receptor gene cluster', 'vertebrate immunoglobulin T cell receptor gene cluster']</t>
        </is>
      </c>
      <c r="D2484" s="12" t="n"/>
      <c r="E2484" s="12" t="n"/>
    </row>
    <row r="2485" ht="15" customHeight="1">
      <c r="A2485" s="12" t="inlineStr">
        <is>
          <t>viral_promoter</t>
        </is>
      </c>
      <c r="B2485" s="12" t="inlineStr">
        <is>
          <t>http://identifiers.org/so/SO:0002311</t>
        </is>
      </c>
      <c r="C2485" s="12" t="inlineStr">
        <is>
          <t>['vertebrate immunoglobulin T cell receptor rearranged gene cluster']</t>
        </is>
      </c>
      <c r="D2485" s="12" t="n"/>
      <c r="E2485" s="12" t="n"/>
    </row>
    <row r="2486" ht="15" customHeight="1">
      <c r="A2486" s="12" t="inlineStr">
        <is>
          <t>viral_sequence</t>
        </is>
      </c>
      <c r="B2486" s="12" t="inlineStr">
        <is>
          <t>http://identifiers.org/so/SO:0001041</t>
        </is>
      </c>
      <c r="C2486" s="12" t="inlineStr">
        <is>
          <t>['vertebrate immunoglobulin T cell receptor rearranged segment']</t>
        </is>
      </c>
      <c r="D2486" s="12" t="n"/>
      <c r="E2486" s="12" t="n"/>
    </row>
    <row r="2487" ht="15" customHeight="1">
      <c r="A2487" s="12" t="inlineStr">
        <is>
          <t>virtual_sequence</t>
        </is>
      </c>
      <c r="B2487" s="12" t="inlineStr">
        <is>
          <t>http://identifiers.org/so/SO:0000499</t>
        </is>
      </c>
      <c r="C2487" s="12" t="inlineStr">
        <is>
          <t>['vertebrate_immunoglobulin/T-cell receptor gene', 'vertebrate immunoglobulin T cell receptor segment']</t>
        </is>
      </c>
      <c r="D2487" s="12" t="n"/>
      <c r="E2487" s="12" t="n"/>
    </row>
    <row r="2488" ht="15" customHeight="1">
      <c r="A2488" s="12" t="inlineStr">
        <is>
          <t>VJ_C_cluster</t>
        </is>
      </c>
      <c r="B2488" s="12" t="inlineStr">
        <is>
          <t>http://identifiers.org/so/SO:0000489</t>
        </is>
      </c>
      <c r="C2488" s="12" t="inlineStr">
        <is>
          <t>['Viper retrotransposon', 'RYV retrotransposon', 'Viper YR retrotransposon']</t>
        </is>
      </c>
      <c r="D2488" s="12" t="n"/>
      <c r="E2488" s="12" t="n"/>
    </row>
    <row r="2489" ht="15" customHeight="1">
      <c r="A2489" s="12" t="inlineStr">
        <is>
          <t>VJ_gene_segment</t>
        </is>
      </c>
      <c r="B2489" s="12" t="inlineStr">
        <is>
          <t>http://identifiers.org/so/SO:0000576</t>
        </is>
      </c>
      <c r="C2489" s="12" t="inlineStr">
        <is>
          <t>['viral promoter']</t>
        </is>
      </c>
      <c r="D2489" s="12" t="n"/>
      <c r="E2489" s="12" t="n"/>
    </row>
    <row r="2490" ht="15" customHeight="1">
      <c r="A2490" s="12" t="inlineStr">
        <is>
          <t>VJ_J_C_cluster</t>
        </is>
      </c>
      <c r="B2490" s="12" t="inlineStr">
        <is>
          <t>http://identifiers.org/so/SO:0000490</t>
        </is>
      </c>
      <c r="C2490" s="12" t="inlineStr">
        <is>
          <t>['viral sequence', 'virus sequence']</t>
        </is>
      </c>
      <c r="D2490" s="12" t="n"/>
      <c r="E2490" s="12" t="n"/>
    </row>
    <row r="2491" ht="15" customHeight="1">
      <c r="A2491" s="12" t="inlineStr">
        <is>
          <t>VJ_J_cluster</t>
        </is>
      </c>
      <c r="B2491" s="12" t="inlineStr">
        <is>
          <t>http://identifiers.org/so/SO:0000491</t>
        </is>
      </c>
      <c r="C2491" s="12" t="inlineStr">
        <is>
          <t>['virtual sequence']</t>
        </is>
      </c>
      <c r="D2491" s="12" t="n"/>
      <c r="E2491" s="12" t="n"/>
    </row>
    <row r="2492" ht="15" customHeight="1">
      <c r="A2492" s="12" t="inlineStr">
        <is>
          <t>W_region</t>
        </is>
      </c>
      <c r="B2492" s="12" t="inlineStr">
        <is>
          <t>http://identifiers.org/so/SO:0002024</t>
        </is>
      </c>
      <c r="C2492" s="12" t="inlineStr">
        <is>
          <t>['VJ C cluster', '(VJ)-C-CLUSTER']</t>
        </is>
      </c>
      <c r="D2492" s="12" t="n"/>
      <c r="E2492" s="12" t="n"/>
    </row>
    <row r="2493" ht="15" customHeight="1">
      <c r="A2493" s="12" t="inlineStr">
        <is>
          <t>Watson_strand</t>
        </is>
      </c>
      <c r="B2493" s="12" t="inlineStr">
        <is>
          <t>http://identifiers.org/so/SO:0002262</t>
        </is>
      </c>
      <c r="C2493" s="12" t="inlineStr">
        <is>
          <t>['V-J-GENE', 'VJ gene']</t>
        </is>
      </c>
      <c r="D2493" s="12" t="n"/>
      <c r="E2493" s="12" t="n"/>
    </row>
    <row r="2494" ht="15" customHeight="1">
      <c r="A2494" s="12" t="inlineStr">
        <is>
          <t>WC_base_pair</t>
        </is>
      </c>
      <c r="B2494" s="12" t="inlineStr">
        <is>
          <t>http://identifiers.org/so/SO:0000029</t>
        </is>
      </c>
      <c r="C2494" s="12" t="inlineStr">
        <is>
          <t>['(VJ)-J-C-CLUSTER', 'VJ J C cluster']</t>
        </is>
      </c>
      <c r="D2494" s="12" t="n"/>
      <c r="E2494" s="12" t="n"/>
    </row>
    <row r="2495" ht="15" customHeight="1">
      <c r="A2495" s="12" t="inlineStr">
        <is>
          <t>whole_genome_sequence_status</t>
        </is>
      </c>
      <c r="B2495" s="12" t="inlineStr">
        <is>
          <t>http://identifiers.org/so/SO:0001499</t>
        </is>
      </c>
      <c r="C2495" s="12" t="inlineStr">
        <is>
          <t>['(VJ)-J-CLUSTER', 'VJ J cluster']</t>
        </is>
      </c>
      <c r="D2495" s="12" t="n"/>
      <c r="E2495" s="12" t="n"/>
    </row>
    <row r="2496" ht="15" customHeight="1">
      <c r="A2496" s="12" t="inlineStr">
        <is>
          <t>wild_type</t>
        </is>
      </c>
      <c r="B2496" s="12" t="inlineStr">
        <is>
          <t>http://identifiers.org/so/SO:0000817</t>
        </is>
      </c>
      <c r="C2496" s="12" t="inlineStr">
        <is>
          <t>['W-region']</t>
        </is>
      </c>
      <c r="D2496" s="12" t="n"/>
      <c r="E2496" s="12" t="n"/>
    </row>
    <row r="2497" ht="15" customHeight="1">
      <c r="A2497" s="12" t="inlineStr">
        <is>
          <t>wild_type_rescue_gene</t>
        </is>
      </c>
      <c r="B2497" s="12" t="inlineStr">
        <is>
          <t>http://identifiers.org/so/SO:0000818</t>
        </is>
      </c>
      <c r="C2497" s="12" t="inlineStr">
        <is>
          <t>['Plus strand', 'Watson strand', 'Forward strand', 'Top strand']</t>
        </is>
      </c>
      <c r="D2497" s="12" t="n"/>
      <c r="E2497" s="12" t="n"/>
    </row>
    <row r="2498" ht="15" customHeight="1">
      <c r="A2498" s="12" t="inlineStr">
        <is>
          <t>wobble_base_pair</t>
        </is>
      </c>
      <c r="B2498" s="12" t="inlineStr">
        <is>
          <t>http://identifiers.org/so/SO:0001015</t>
        </is>
      </c>
      <c r="C2498" s="12" t="inlineStr">
        <is>
          <t>['Watson Crick base pair', 'canonical base pair', 'WC base pair', 'Watson-Crick base pair', 'Watson-Crick pair']</t>
        </is>
      </c>
      <c r="D2498" s="12" t="n"/>
      <c r="E2498" s="12" t="n"/>
    </row>
    <row r="2499" ht="15" customHeight="1">
      <c r="A2499" s="12" t="inlineStr">
        <is>
          <t>wybutosine</t>
        </is>
      </c>
      <c r="B2499" s="12" t="inlineStr">
        <is>
          <t>http://identifiers.org/so/SO:0001332</t>
        </is>
      </c>
      <c r="C2499" s="12" t="inlineStr">
        <is>
          <t>['whole genome sequence status']</t>
        </is>
      </c>
      <c r="D2499" s="12" t="n"/>
      <c r="E2499" s="12" t="n"/>
    </row>
    <row r="2500" ht="15" customHeight="1">
      <c r="A2500" s="12" t="inlineStr">
        <is>
          <t>wyosine</t>
        </is>
      </c>
      <c r="B2500" s="12" t="inlineStr">
        <is>
          <t>http://identifiers.org/so/SO:0001336</t>
        </is>
      </c>
      <c r="C2500" s="12" t="inlineStr">
        <is>
          <t>['wild type']</t>
        </is>
      </c>
      <c r="D2500" s="12" t="n"/>
      <c r="E2500" s="12" t="n"/>
    </row>
    <row r="2501" ht="15" customHeight="1">
      <c r="A2501" s="12" t="inlineStr">
        <is>
          <t>X_element</t>
        </is>
      </c>
      <c r="B2501" s="12" t="inlineStr">
        <is>
          <t>http://identifiers.org/so/SO:0001497</t>
        </is>
      </c>
      <c r="C2501" s="12" t="inlineStr">
        <is>
          <t>['wild type rescue gene']</t>
        </is>
      </c>
      <c r="D2501" s="12" t="n"/>
      <c r="E2501" s="12" t="n"/>
    </row>
    <row r="2502" ht="15" customHeight="1">
      <c r="A2502" s="12" t="inlineStr">
        <is>
          <t>X_element_combinatorial_repeat</t>
        </is>
      </c>
      <c r="B2502" s="12" t="inlineStr">
        <is>
          <t>http://identifiers.org/so/SO:0001484</t>
        </is>
      </c>
      <c r="C2502" s="12" t="inlineStr">
        <is>
          <t>['wobble base pair', 'wobble pair']</t>
        </is>
      </c>
      <c r="D2502" s="12" t="n"/>
      <c r="E2502" s="12" t="n"/>
    </row>
    <row r="2503" ht="15" customHeight="1">
      <c r="A2503" s="12" t="inlineStr">
        <is>
          <t>X_region</t>
        </is>
      </c>
      <c r="B2503" s="12" t="inlineStr">
        <is>
          <t>http://identifiers.org/so/SO:0002030</t>
        </is>
      </c>
      <c r="C2503" s="12" t="inlineStr">
        <is>
          <t>['yW']</t>
        </is>
      </c>
      <c r="D2503" s="12" t="n"/>
      <c r="E2503" s="12" t="n"/>
    </row>
    <row r="2504" ht="15" customHeight="1">
      <c r="A2504" s="12" t="inlineStr">
        <is>
          <t>Y_prime_element</t>
        </is>
      </c>
      <c r="B2504" s="12" t="inlineStr">
        <is>
          <t>http://identifiers.org/so/SO:0001485</t>
        </is>
      </c>
      <c r="C2504" s="12" t="inlineStr">
        <is>
          <t>['IMG']</t>
        </is>
      </c>
      <c r="D2504" s="12" t="n"/>
      <c r="E2504" s="12" t="n"/>
    </row>
    <row r="2505" ht="15" customHeight="1">
      <c r="A2505" s="12" t="inlineStr">
        <is>
          <t>Y_region</t>
        </is>
      </c>
      <c r="B2505" s="12" t="inlineStr">
        <is>
          <t>http://identifiers.org/so/SO:0002001</t>
        </is>
      </c>
      <c r="C2505" s="12" t="inlineStr">
        <is>
          <t>['X element core sequence', 'X element']</t>
        </is>
      </c>
      <c r="D2505" s="12" t="n"/>
      <c r="E2505" s="12" t="n"/>
    </row>
    <row r="2506" ht="15" customHeight="1">
      <c r="A2506" s="12" t="inlineStr">
        <is>
          <t>Y_RNA</t>
        </is>
      </c>
      <c r="B2506" s="12" t="inlineStr">
        <is>
          <t>http://identifiers.org/so/SO:0000405</t>
        </is>
      </c>
      <c r="C2506" s="12" t="inlineStr">
        <is>
          <t>['X element combinatorial repeat', 'INSDC_feature:repeat_region', 'INSDC_qualifier:x_element_combinatorial_repeat']</t>
        </is>
      </c>
      <c r="D2506" s="12" t="n"/>
      <c r="E2506" s="12" t="n"/>
    </row>
    <row r="2507" ht="15" customHeight="1">
      <c r="A2507" s="12" t="inlineStr">
        <is>
          <t>Y_RNA_primary_transcript</t>
        </is>
      </c>
      <c r="B2507" s="12" t="inlineStr">
        <is>
          <t>http://identifiers.org/so/SO:0002042</t>
        </is>
      </c>
      <c r="C2507" s="12" t="inlineStr">
        <is>
          <t>['x-region']</t>
        </is>
      </c>
      <c r="D2507" s="12" t="n"/>
      <c r="E2507" s="12" t="n"/>
    </row>
    <row r="2508" ht="15" customHeight="1">
      <c r="A2508" s="12" t="inlineStr">
        <is>
          <t>YAC</t>
        </is>
      </c>
      <c r="B2508" s="12" t="inlineStr">
        <is>
          <t>http://identifiers.org/so/SO:0000152</t>
        </is>
      </c>
      <c r="C2508" s="12" t="inlineStr">
        <is>
          <t>['Y prime element', "Y' element", 'INSDC_feature:repeat_region', 'INSDC_qualifier:Y_prime_element']</t>
        </is>
      </c>
      <c r="D2508" s="12" t="n"/>
      <c r="E2508" s="12" t="n"/>
    </row>
    <row r="2509" ht="15" customHeight="1">
      <c r="A2509" s="12" t="inlineStr">
        <is>
          <t>YAC_clone</t>
        </is>
      </c>
      <c r="B2509" s="12" t="inlineStr">
        <is>
          <t>http://identifiers.org/so/SO:0000760</t>
        </is>
      </c>
      <c r="C2509" s="12" t="inlineStr">
        <is>
          <t>['Y-region']</t>
        </is>
      </c>
      <c r="D2509" s="12" t="n"/>
      <c r="E2509" s="12" t="n"/>
    </row>
    <row r="2510" ht="15" customHeight="1">
      <c r="A2510" s="12" t="inlineStr">
        <is>
          <t>YAC_end</t>
        </is>
      </c>
      <c r="B2510" s="12" t="inlineStr">
        <is>
          <t>http://identifiers.org/so/SO:0001498</t>
        </is>
      </c>
      <c r="C2510" s="12" t="inlineStr">
        <is>
          <t>['INSDC_feature:ncRNA', 'INSDC_qualifier:Y_RNA', 'Y RNA']</t>
        </is>
      </c>
      <c r="D2510" s="12" t="n"/>
      <c r="E2510" s="12" t="n"/>
    </row>
    <row r="2511" ht="15" customHeight="1">
      <c r="A2511" s="12" t="inlineStr">
        <is>
          <t>YR_retrotransposon</t>
        </is>
      </c>
      <c r="B2511" s="12" t="inlineStr">
        <is>
          <t>http://identifiers.org/so/SO:0002286</t>
        </is>
      </c>
      <c r="C2511" s="12" t="inlineStr">
        <is>
          <t>['Y-RNA primary transcript']</t>
        </is>
      </c>
      <c r="D2511" s="12" t="n"/>
      <c r="E2511" s="12" t="n"/>
    </row>
    <row r="2512" ht="15" customHeight="1">
      <c r="A2512" s="12" t="inlineStr">
        <is>
          <t>Z1_region</t>
        </is>
      </c>
      <c r="B2512" s="12" t="inlineStr">
        <is>
          <t>http://identifiers.org/so/SO:0002002</t>
        </is>
      </c>
      <c r="C2512" s="12" t="inlineStr">
        <is>
          <t>['yeast artificial chromosome']</t>
        </is>
      </c>
      <c r="D2512" s="12" t="n"/>
      <c r="E2512" s="12" t="n"/>
    </row>
    <row r="2513" ht="15" customHeight="1">
      <c r="A2513" s="12" t="inlineStr">
        <is>
          <t>Z2_region</t>
        </is>
      </c>
      <c r="B2513" s="12" t="inlineStr">
        <is>
          <t>http://identifiers.org/so/SO:0002003</t>
        </is>
      </c>
      <c r="C2513" s="12" t="n"/>
      <c r="D2513" s="12" t="n"/>
      <c r="E2513" s="12" t="n"/>
    </row>
    <row r="2514" ht="15" customHeight="1">
      <c r="A2514" s="12" t="inlineStr">
        <is>
          <t>Zas1_recognition_motif</t>
        </is>
      </c>
      <c r="B2514" s="12" t="inlineStr">
        <is>
          <t>http://identifiers.org/so/SO:0002215</t>
        </is>
      </c>
      <c r="C2514" s="12" t="inlineStr">
        <is>
          <t>['YAC end']</t>
        </is>
      </c>
      <c r="D2514" s="12" t="n"/>
      <c r="E2514" s="12" t="n"/>
    </row>
    <row r="2515" ht="15" customHeight="1">
      <c r="A2515" s="12" t="inlineStr">
        <is>
          <t>zinc_finger_binding_site</t>
        </is>
      </c>
      <c r="B2515" s="12" t="inlineStr">
        <is>
          <t>http://identifiers.org/so/SO:0001971</t>
        </is>
      </c>
      <c r="C2515" s="12" t="inlineStr">
        <is>
          <t>['YR retrotransposon', 'tyrosine kinase retrotransposon']</t>
        </is>
      </c>
      <c r="D2515" s="12" t="n"/>
      <c r="E2515" s="12" t="n"/>
    </row>
    <row r="2516" ht="15" customHeight="1">
      <c r="A2516" s="12" t="inlineStr">
        <is>
          <t>zinc_repressed_element</t>
        </is>
      </c>
      <c r="B2516" s="12" t="inlineStr">
        <is>
          <t>http://identifiers.org/so/SO:0002006</t>
        </is>
      </c>
      <c r="C2516" s="12" t="inlineStr">
        <is>
          <t>['Z1-region']</t>
        </is>
      </c>
      <c r="D2516" s="12" t="n"/>
      <c r="E2516" s="12" t="n"/>
    </row>
    <row r="2517" ht="15" customHeight="1">
      <c r="A2517" s="12" t="inlineStr">
        <is>
          <t>&lt;new term&gt;</t>
        </is>
      </c>
      <c r="B2517" s="12" t="inlineStr">
        <is>
          <t>http://identifiers.org/so/SO:0002117</t>
        </is>
      </c>
      <c r="C2517" s="12" t="inlineStr">
        <is>
          <t>['Z2-segment']</t>
        </is>
      </c>
      <c r="D2517" s="12" t="n"/>
      <c r="E2517" s="12" t="n"/>
    </row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</sheetData>
  <hyperlinks>
    <hyperlink xmlns:r="http://schemas.openxmlformats.org/officeDocument/2006/relationships"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3">
    <tabColor rgb="0048A9AE"/>
    <outlinePr summaryBelow="0"/>
    <pageSetUpPr/>
  </sheetPr>
  <dimension ref="A1:B47"/>
  <sheetViews>
    <sheetView zoomScaleNormal="100" workbookViewId="0">
      <pane ySplit="1" topLeftCell="A2" activePane="bottomLeft" state="frozen"/>
      <selection pane="bottomLeft" activeCell="A1" sqref="A1"/>
    </sheetView>
  </sheetViews>
  <sheetFormatPr baseColWidth="8" defaultColWidth="8.625" defaultRowHeight="14.25"/>
  <cols>
    <col width="25" customWidth="1" min="1" max="2"/>
    <col width="25" customWidth="1" min="2" max="2"/>
    <col width="13.5" bestFit="1" customWidth="1" min="3" max="3"/>
    <col width="12.5" bestFit="1" customWidth="1" min="4" max="20"/>
  </cols>
  <sheetData>
    <row r="1" ht="20.1" customFormat="1" customHeight="1" s="1">
      <c r="A1" s="11" t="inlineStr">
        <is>
          <t>Organism</t>
        </is>
      </c>
      <c r="B1" s="11" t="inlineStr">
        <is>
          <t>TxID</t>
        </is>
      </c>
    </row>
    <row r="2" ht="15.75" customHeight="1">
      <c r="A2" s="12" t="inlineStr">
        <is>
          <t>Synthetic</t>
        </is>
      </c>
      <c r="B2" s="12" t="inlineStr">
        <is>
          <t>http://purl.obolibrary.org/obo/NCBITaxon_32630</t>
        </is>
      </c>
    </row>
    <row r="3" ht="15.75" customHeight="1">
      <c r="A3" s="12" t="inlineStr">
        <is>
          <t>Saccharomyces cerevisiae</t>
        </is>
      </c>
      <c r="B3" s="12" t="inlineStr">
        <is>
          <t>http://purl.obolibrary.org/obo/NCBITaxon_4932</t>
        </is>
      </c>
    </row>
    <row r="4" ht="15.75" customHeight="1">
      <c r="A4" s="12" t="inlineStr">
        <is>
          <t>Escherichia coli</t>
        </is>
      </c>
      <c r="B4" s="12" t="inlineStr">
        <is>
          <t>http://purl.obolibrary.org/obo/NCBITaxon_562</t>
        </is>
      </c>
    </row>
    <row r="5" ht="15.75" customHeight="1">
      <c r="A5" s="12" t="inlineStr">
        <is>
          <t>Bacteria</t>
        </is>
      </c>
      <c r="B5" s="12" t="inlineStr">
        <is>
          <t>http://purl.obolibrary.org/obo/NCBITaxon_2</t>
        </is>
      </c>
    </row>
    <row r="6" ht="15.75" customHeight="1">
      <c r="A6" s="12" t="inlineStr">
        <is>
          <t>Azorhizobium</t>
        </is>
      </c>
      <c r="B6" s="12" t="inlineStr">
        <is>
          <t>http://purl.obolibrary.org/obo/NCBITaxon_6</t>
        </is>
      </c>
    </row>
    <row r="7" ht="15.75" customHeight="1">
      <c r="A7" s="12" t="inlineStr">
        <is>
          <t>Azorhizobium caulinodans</t>
        </is>
      </c>
      <c r="B7" s="12" t="inlineStr">
        <is>
          <t>http://purl.obolibrary.org/obo/NCBITaxon_7</t>
        </is>
      </c>
    </row>
    <row r="8" ht="15.75" customHeight="1">
      <c r="A8" s="12" t="inlineStr">
        <is>
          <t>Buchnera aphidicola</t>
        </is>
      </c>
      <c r="B8" s="12" t="inlineStr">
        <is>
          <t>http://purl.obolibrary.org/obo/NCBITaxon_9</t>
        </is>
      </c>
    </row>
    <row r="9" ht="15.75" customHeight="1">
      <c r="A9" s="12" t="inlineStr">
        <is>
          <t>Cellvibrio</t>
        </is>
      </c>
      <c r="B9" s="12" t="inlineStr">
        <is>
          <t>http://purl.obolibrary.org/obo/NCBITaxon_10</t>
        </is>
      </c>
    </row>
    <row r="10" ht="15.75" customHeight="1">
      <c r="A10" s="12" t="inlineStr">
        <is>
          <t>Cellulomonas gilvus</t>
        </is>
      </c>
      <c r="B10" s="12" t="inlineStr">
        <is>
          <t>http://purl.obolibrary.org/obo/NCBITaxon_11</t>
        </is>
      </c>
    </row>
    <row r="11" ht="15.75" customHeight="1">
      <c r="A11" s="12" t="inlineStr">
        <is>
          <t>Photobacterium profundum</t>
        </is>
      </c>
      <c r="B11" s="12" t="inlineStr">
        <is>
          <t>http://purl.obolibrary.org/obo/NCBITaxon_12</t>
        </is>
      </c>
    </row>
    <row r="12" ht="15.75" customHeight="1">
      <c r="A12" s="12" t="inlineStr">
        <is>
          <t>Dictyoglomus</t>
        </is>
      </c>
      <c r="B12" s="12" t="inlineStr">
        <is>
          <t>http://purl.obolibrary.org/obo/NCBITaxon_13</t>
        </is>
      </c>
    </row>
    <row r="13" ht="15.75" customHeight="1">
      <c r="A13" s="12" t="inlineStr">
        <is>
          <t>Dictyoglomus thermophilum</t>
        </is>
      </c>
      <c r="B13" s="12" t="inlineStr">
        <is>
          <t>http://purl.obolibrary.org/obo/NCBITaxon_14</t>
        </is>
      </c>
    </row>
    <row r="14" ht="15.75" customHeight="1">
      <c r="A14" s="12" t="inlineStr">
        <is>
          <t>Methylophilus</t>
        </is>
      </c>
      <c r="B14" s="12" t="inlineStr">
        <is>
          <t>http://purl.obolibrary.org/obo/NCBITaxon_16</t>
        </is>
      </c>
    </row>
    <row r="15" ht="15.75" customHeight="1">
      <c r="A15" s="12" t="inlineStr">
        <is>
          <t>Methylophilus methylotrophus</t>
        </is>
      </c>
      <c r="B15" s="12" t="inlineStr">
        <is>
          <t>http://purl.obolibrary.org/obo/NCBITaxon_17</t>
        </is>
      </c>
    </row>
    <row r="16" ht="15.75" customHeight="1">
      <c r="A16" s="12" t="inlineStr">
        <is>
          <t>Pelobacter</t>
        </is>
      </c>
      <c r="B16" s="12" t="inlineStr">
        <is>
          <t>http://purl.obolibrary.org/obo/NCBITaxon_18</t>
        </is>
      </c>
    </row>
    <row r="17" ht="15.75" customHeight="1">
      <c r="A17" s="12" t="inlineStr">
        <is>
          <t>Pelobacter carbinolicus</t>
        </is>
      </c>
      <c r="B17" s="12" t="inlineStr">
        <is>
          <t>http://purl.obolibrary.org/obo/NCBITaxon_19</t>
        </is>
      </c>
    </row>
    <row r="18" ht="15.75" customHeight="1">
      <c r="A18" s="12" t="inlineStr">
        <is>
          <t>Phenylobacterium</t>
        </is>
      </c>
      <c r="B18" s="12" t="inlineStr">
        <is>
          <t>http://purl.obolibrary.org/obo/NCBITaxon_20</t>
        </is>
      </c>
    </row>
    <row r="19" ht="15.75" customHeight="1">
      <c r="A19" s="12" t="inlineStr">
        <is>
          <t>Phenylobacterium immobile</t>
        </is>
      </c>
      <c r="B19" s="12" t="inlineStr">
        <is>
          <t>http://purl.obolibrary.org/obo/NCBITaxon_21</t>
        </is>
      </c>
    </row>
    <row r="20" ht="15.75" customHeight="1">
      <c r="A20" s="12" t="inlineStr">
        <is>
          <t>Shewanella</t>
        </is>
      </c>
      <c r="B20" s="12" t="inlineStr">
        <is>
          <t>http://purl.obolibrary.org/obo/NCBITaxon_22</t>
        </is>
      </c>
    </row>
    <row r="21" ht="15.75" customHeight="1">
      <c r="A21" s="12" t="inlineStr">
        <is>
          <t>Shewanella colwelliana</t>
        </is>
      </c>
      <c r="B21" s="12" t="inlineStr">
        <is>
          <t>http://purl.obolibrary.org/obo/NCBITaxon_23</t>
        </is>
      </c>
    </row>
    <row r="22" ht="15.75" customHeight="1">
      <c r="A22" s="12" t="inlineStr">
        <is>
          <t>Shewanella putrefaciens</t>
        </is>
      </c>
      <c r="B22" s="12" t="inlineStr">
        <is>
          <t>http://purl.obolibrary.org/obo/NCBITaxon_24</t>
        </is>
      </c>
    </row>
    <row r="23" ht="15.75" customHeight="1">
      <c r="A23" s="12" t="inlineStr">
        <is>
          <t>Shewanella hanedai</t>
        </is>
      </c>
      <c r="B23" s="12" t="inlineStr">
        <is>
          <t>http://purl.obolibrary.org/obo/NCBITaxon_25</t>
        </is>
      </c>
    </row>
    <row r="24" ht="15.75" customHeight="1">
      <c r="A24" s="12" t="inlineStr">
        <is>
          <t>halophilic eubacterium NRCC 41227</t>
        </is>
      </c>
      <c r="B24" s="12" t="inlineStr">
        <is>
          <t>http://purl.obolibrary.org/obo/NCBITaxon_27</t>
        </is>
      </c>
    </row>
    <row r="25" ht="15.75" customHeight="1">
      <c r="A25" s="12" t="inlineStr">
        <is>
          <t>halophilic eubacterium</t>
        </is>
      </c>
      <c r="B25" s="12" t="inlineStr">
        <is>
          <t>http://purl.obolibrary.org/obo/NCBITaxon_28</t>
        </is>
      </c>
    </row>
    <row r="26" ht="15.75" customHeight="1">
      <c r="A26" s="12" t="inlineStr">
        <is>
          <t>Myxococcales</t>
        </is>
      </c>
      <c r="B26" s="12" t="inlineStr">
        <is>
          <t>http://purl.obolibrary.org/obo/NCBITaxon_29</t>
        </is>
      </c>
    </row>
    <row r="27" ht="15.75" customHeight="1">
      <c r="A27" s="12" t="inlineStr">
        <is>
          <t>Ashbya gossypii</t>
        </is>
      </c>
      <c r="B27" s="12" t="inlineStr">
        <is>
          <t>http://purl.obolibrary.org/obo/NCBITaxon_1034331</t>
        </is>
      </c>
    </row>
    <row r="28" ht="15.75" customHeight="1">
      <c r="A28" s="12" t="inlineStr">
        <is>
          <t>Corynebacterium glutamicum</t>
        </is>
      </c>
      <c r="B28" s="12" t="inlineStr">
        <is>
          <t>http://purl.obolibrary.org/obo/NCBITaxon_1718</t>
        </is>
      </c>
    </row>
    <row r="29" ht="15.75" customHeight="1">
      <c r="A29" s="12" t="inlineStr">
        <is>
          <t>Aequorea victoria</t>
        </is>
      </c>
      <c r="B29" s="12" t="inlineStr">
        <is>
          <t>http://purl.obolibrary.org/obo/NCBITaxon_6100</t>
        </is>
      </c>
    </row>
    <row r="30" ht="15.75" customHeight="1">
      <c r="A30" s="12" t="inlineStr">
        <is>
          <t>Pseudomonas putida</t>
        </is>
      </c>
      <c r="B30" s="12" t="inlineStr">
        <is>
          <t>http://purl.obolibrary.org/obo/NCBITaxon_2962857</t>
        </is>
      </c>
    </row>
    <row r="31" ht="15.75" customHeight="1">
      <c r="A31" s="12" t="inlineStr">
        <is>
          <t>Synechocystis sp. PCC 6803</t>
        </is>
      </c>
      <c r="B31" s="12" t="inlineStr">
        <is>
          <t>http://purl.obolibrary.org/obo/NCBITaxon_1148</t>
        </is>
      </c>
    </row>
    <row r="32" ht="15" customHeight="1">
      <c r="A32" s="12" t="inlineStr">
        <is>
          <t>Staphylococcus aureus subsp. aureus TW20</t>
        </is>
      </c>
      <c r="B32" s="12" t="inlineStr">
        <is>
          <t>http://purl.obolibrary.org/obo/NCBITaxon_663951</t>
        </is>
      </c>
    </row>
    <row r="33" ht="15.75" customHeight="1">
      <c r="A33" s="12" t="inlineStr">
        <is>
          <t>Bacillus subtilis</t>
        </is>
      </c>
      <c r="B33" s="12" t="inlineStr">
        <is>
          <t>http://purl.obolibrary.org/obo/NCBITaxon_1423</t>
        </is>
      </c>
    </row>
    <row r="34" ht="15.75" customHeight="1">
      <c r="A34" s="12" t="inlineStr">
        <is>
          <t>Pseudoalteromonas luteoviolacea</t>
        </is>
      </c>
      <c r="B34" s="12" t="inlineStr">
        <is>
          <t>http://purl.obolibrary.org/obo/NCBITaxon_43657</t>
        </is>
      </c>
    </row>
    <row r="35" ht="15.75" customHeight="1">
      <c r="A35" s="12" t="inlineStr">
        <is>
          <t>Sinorhizobium meliloti</t>
        </is>
      </c>
      <c r="B35" s="12" t="inlineStr">
        <is>
          <t>http://purl.obolibrary.org/obo/NCBITaxon_383</t>
        </is>
      </c>
    </row>
    <row r="36" ht="15.75" customHeight="1">
      <c r="A36" s="12" t="inlineStr">
        <is>
          <t>Kluyvermomyces marxianus</t>
        </is>
      </c>
      <c r="B36" s="12" t="inlineStr">
        <is>
          <t>http://purl.obolibrary.org/obo/NCBITaxon_4911</t>
        </is>
      </c>
    </row>
    <row r="37" ht="15.75" customHeight="1">
      <c r="A37" s="12" t="inlineStr">
        <is>
          <t>Tobacco etch virus</t>
        </is>
      </c>
      <c r="B37" s="12" t="inlineStr">
        <is>
          <t>http://purl.obolibrary.org/obo/NCBITaxon_12227</t>
        </is>
      </c>
    </row>
    <row r="38" ht="15.75" customHeight="1">
      <c r="A38" s="12" t="inlineStr">
        <is>
          <t>Erysipelotrichaceae bacterium 3_1_53</t>
        </is>
      </c>
      <c r="B38" s="12" t="inlineStr">
        <is>
          <t>http://purl.obolibrary.org/obo/NCBITaxon_658659</t>
        </is>
      </c>
    </row>
    <row r="39" ht="15.75" customHeight="1">
      <c r="A39" s="12" t="inlineStr">
        <is>
          <t>Clostridium hathewayi DSM 13479</t>
        </is>
      </c>
      <c r="B39" s="12" t="inlineStr">
        <is>
          <t>http://purl.obolibrary.org/obo/NCBITaxon_566550</t>
        </is>
      </c>
    </row>
    <row r="40" ht="15.75" customHeight="1">
      <c r="A40" s="12" t="inlineStr">
        <is>
          <t>Acetivibrio cellulolyticus CD2</t>
        </is>
      </c>
      <c r="B40" s="12" t="inlineStr">
        <is>
          <t>http://purl.obolibrary.org/obo/NCBITaxon_509191</t>
        </is>
      </c>
    </row>
    <row r="41" ht="15.75" customHeight="1">
      <c r="A41" s="12" t="inlineStr">
        <is>
          <t>Clostridium botulinum B1 str. Okra</t>
        </is>
      </c>
      <c r="B41" s="12" t="inlineStr">
        <is>
          <t>http://purl.obolibrary.org/obo/NCBITaxon_498213</t>
        </is>
      </c>
    </row>
    <row r="42" ht="15.75" customHeight="1">
      <c r="A42" s="12" t="inlineStr">
        <is>
          <t>Vibrio fischeri</t>
        </is>
      </c>
      <c r="B42" s="12" t="inlineStr">
        <is>
          <t>http://purl.obolibrary.org/obo/NCBITaxon_668</t>
        </is>
      </c>
    </row>
    <row r="43" ht="15.75" customHeight="1">
      <c r="A43" s="12" t="inlineStr">
        <is>
          <t>Haloferax volcanii</t>
        </is>
      </c>
      <c r="B43" s="12" t="inlineStr">
        <is>
          <t>http://purl.obolibrary.org/obo/NCBITaxon_2246</t>
        </is>
      </c>
    </row>
    <row r="44" ht="15.75" customHeight="1">
      <c r="A44" s="12" t="inlineStr">
        <is>
          <t>Pseudomonas putida KT2440</t>
        </is>
      </c>
      <c r="B44" s="12" t="inlineStr">
        <is>
          <t xml:space="preserve">http://purl.obolibrary.org/obo/NCBITaxon_160488 </t>
        </is>
      </c>
    </row>
    <row r="45" ht="15.75" customHeight="1">
      <c r="A45" s="12" t="inlineStr">
        <is>
          <t>Salmonella enterica</t>
        </is>
      </c>
      <c r="B45" s="12" t="inlineStr">
        <is>
          <t>http://purl.obolibrary.org/obo/NCBITaxon_99287</t>
        </is>
      </c>
    </row>
    <row r="46" ht="15.75" customHeight="1">
      <c r="A46" s="12" t="inlineStr">
        <is>
          <t>Rhodobacter sphaeroides 2.4.1</t>
        </is>
      </c>
      <c r="B46" s="13" t="inlineStr">
        <is>
          <t>http://purl.obolibrary.org/obo/NCBITaxon_272943</t>
        </is>
      </c>
    </row>
    <row r="47" ht="15.75" customHeight="1">
      <c r="A47" s="12" t="inlineStr">
        <is>
          <t>Acropora digitifera</t>
        </is>
      </c>
      <c r="B47" s="13" t="inlineStr">
        <is>
          <t>http://purl.obolibrary.org/obo/NCBITaxon_70779</t>
        </is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 count="1">
    <dataValidation sqref="B1 B47:B1048576" showErrorMessage="1" showInputMessage="1" allowBlank="0" errorTitle="Invalid txid" error="Please verify that the txid has not been entered before." type="custom">
      <formula1>COUNTIF(B:B,B1)=1</formula1>
    </dataValidation>
  </dataValidations>
  <hyperlinks>
    <hyperlink xmlns:r="http://schemas.openxmlformats.org/officeDocument/2006/relationships" ref="B46" r:id="rId1"/>
    <hyperlink xmlns:r="http://schemas.openxmlformats.org/officeDocument/2006/relationships" ref="B47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4">
    <tabColor rgb="0048A9AE"/>
    <outlinePr summaryBelow="1" summaryRight="1"/>
    <pageSetUpPr/>
  </sheetPr>
  <dimension ref="A1:B8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10" defaultRowHeight="14.25"/>
  <cols>
    <col width="25" customWidth="1" min="1" max="2"/>
    <col width="25" customWidth="1" min="2" max="2"/>
  </cols>
  <sheetData>
    <row r="1" ht="20.1" customFormat="1" customHeight="1" s="1">
      <c r="A1" s="11" t="inlineStr">
        <is>
          <t>Name</t>
        </is>
      </c>
      <c r="B1" s="11" t="inlineStr">
        <is>
          <t>Identifiers URI</t>
        </is>
      </c>
    </row>
    <row r="2">
      <c r="A2" s="12" t="inlineStr">
        <is>
          <t>DNA</t>
        </is>
      </c>
      <c r="B2" s="12" t="inlineStr">
        <is>
          <t>http://www.biopax.org/release/biopax-level3.owl#Dna</t>
        </is>
      </c>
    </row>
    <row r="3">
      <c r="A3" s="12" t="inlineStr">
        <is>
          <t>DNARegion</t>
        </is>
      </c>
      <c r="B3" s="12" t="inlineStr">
        <is>
          <t>http://www.biopax.org/release/biopax-level3.owl#DnaRegion</t>
        </is>
      </c>
    </row>
    <row r="4">
      <c r="A4" s="12" t="inlineStr">
        <is>
          <t>RNA</t>
        </is>
      </c>
      <c r="B4" s="12" t="inlineStr">
        <is>
          <t>http://www.biopax.org/release/biopax-level3.owl#Rna</t>
        </is>
      </c>
    </row>
    <row r="5">
      <c r="A5" s="12" t="inlineStr">
        <is>
          <t>RNARegion</t>
        </is>
      </c>
      <c r="B5" s="12" t="inlineStr">
        <is>
          <t>http://www.biopax.org/release/biopax-level3.owl#RnaRegion</t>
        </is>
      </c>
    </row>
    <row r="6">
      <c r="A6" s="12" t="inlineStr">
        <is>
          <t>Protein</t>
        </is>
      </c>
      <c r="B6" s="12" t="inlineStr">
        <is>
          <t>http://www.biopax.org/release/biopax-level3.owl#Protein</t>
        </is>
      </c>
    </row>
    <row r="7">
      <c r="A7" s="12" t="inlineStr">
        <is>
          <t>SmallMolecule</t>
        </is>
      </c>
      <c r="B7" s="12" t="inlineStr">
        <is>
          <t>http://www.biopax.org/release/biopax-level3.owl#SmallMolecule</t>
        </is>
      </c>
    </row>
    <row r="8">
      <c r="A8" s="12" t="inlineStr">
        <is>
          <t>Complex</t>
        </is>
      </c>
      <c r="B8" s="12" t="inlineStr">
        <is>
          <t>http://www.biopax.org/release/biopax-level3.owl#Complex</t>
        </is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 codeName="Sheet18">
    <tabColor rgb="0048A9AE"/>
    <outlinePr summaryBelow="1" summaryRight="1"/>
    <pageSetUpPr/>
  </sheetPr>
  <dimension ref="A1:D8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75" defaultRowHeight="14.25"/>
  <cols>
    <col width="25" customWidth="1" min="1" max="4"/>
    <col width="25" customWidth="1" min="2" max="2"/>
    <col width="25" customWidth="1" min="3" max="3"/>
    <col width="25" customWidth="1" min="4" max="4"/>
  </cols>
  <sheetData>
    <row r="1" ht="20.1" customHeight="1">
      <c r="A1" s="11" t="inlineStr">
        <is>
          <t>Sheet Name</t>
        </is>
      </c>
      <c r="B1" s="11" t="inlineStr">
        <is>
          <t>FlapjackObject</t>
        </is>
      </c>
      <c r="C1" s="11" t="inlineStr">
        <is>
          <t>ColName</t>
        </is>
      </c>
      <c r="D1" s="11" t="inlineStr">
        <is>
          <t>FlapjackName</t>
        </is>
      </c>
    </row>
    <row r="2">
      <c r="A2" s="12" t="inlineStr">
        <is>
          <t>media</t>
        </is>
      </c>
      <c r="B2" s="12" t="inlineStr">
        <is>
          <t>Media</t>
        </is>
      </c>
      <c r="C2" s="12" t="inlineStr">
        <is>
          <t>Media ID</t>
        </is>
      </c>
      <c r="D2" s="12" t="inlineStr">
        <is>
          <t>name</t>
        </is>
      </c>
    </row>
    <row r="3">
      <c r="A3" s="12" t="inlineStr">
        <is>
          <t>media</t>
        </is>
      </c>
      <c r="B3" s="12" t="inlineStr">
        <is>
          <t>Media</t>
        </is>
      </c>
      <c r="C3" s="12" t="inlineStr">
        <is>
          <t>Media Description</t>
        </is>
      </c>
      <c r="D3" s="12" t="inlineStr">
        <is>
          <t>description</t>
        </is>
      </c>
    </row>
    <row r="4">
      <c r="A4" s="12" t="inlineStr">
        <is>
          <t>chemicals</t>
        </is>
      </c>
      <c r="B4" s="12" t="inlineStr">
        <is>
          <t>Chemical</t>
        </is>
      </c>
      <c r="C4" s="12" t="inlineStr">
        <is>
          <t>Chemical ID</t>
        </is>
      </c>
      <c r="D4" s="12" t="inlineStr">
        <is>
          <t>name</t>
        </is>
      </c>
    </row>
    <row r="5">
      <c r="A5" s="12" t="inlineStr">
        <is>
          <t>chemicals</t>
        </is>
      </c>
      <c r="B5" s="12" t="inlineStr">
        <is>
          <t>Chemical</t>
        </is>
      </c>
      <c r="C5" s="12" t="inlineStr">
        <is>
          <t>Chemical Description</t>
        </is>
      </c>
      <c r="D5" s="12" t="inlineStr">
        <is>
          <t>description</t>
        </is>
      </c>
    </row>
    <row r="6">
      <c r="A6" s="12" t="inlineStr">
        <is>
          <t>chemicals</t>
        </is>
      </c>
      <c r="B6" s="12" t="inlineStr">
        <is>
          <t>Chemical</t>
        </is>
      </c>
      <c r="C6" s="12" t="inlineStr">
        <is>
          <t>PubChem ID</t>
        </is>
      </c>
      <c r="D6" s="12" t="inlineStr">
        <is>
          <t>pubchemid</t>
        </is>
      </c>
    </row>
    <row r="7">
      <c r="A7" s="14" t="inlineStr">
        <is>
          <t>chassis</t>
        </is>
      </c>
      <c r="B7" s="14" t="inlineStr">
        <is>
          <t>Strain</t>
        </is>
      </c>
      <c r="C7" s="14" t="inlineStr">
        <is>
          <t>Chassis ID</t>
        </is>
      </c>
      <c r="D7" s="14" t="inlineStr">
        <is>
          <t>name</t>
        </is>
      </c>
    </row>
    <row r="8">
      <c r="A8" s="14" t="inlineStr">
        <is>
          <t>chassis</t>
        </is>
      </c>
      <c r="B8" s="14" t="inlineStr">
        <is>
          <t>Strain</t>
        </is>
      </c>
      <c r="C8" s="14" t="inlineStr">
        <is>
          <t>Chassis Description</t>
        </is>
      </c>
      <c r="D8" s="14" t="inlineStr">
        <is>
          <t>description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48A9AE"/>
    <outlinePr summaryBelow="1" summaryRight="1"/>
    <pageSetUpPr/>
  </sheetPr>
  <dimension ref="A1:L2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SBOL Version</t>
        </is>
      </c>
      <c r="B1" s="22" t="n">
        <v>2</v>
      </c>
    </row>
    <row r="2">
      <c r="A2" s="23" t="inlineStr">
        <is>
          <t>Library Name</t>
        </is>
      </c>
      <c r="B2" s="23" t="inlineStr">
        <is>
          <t>Resources</t>
        </is>
      </c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  <c r="L2" s="23" t="n"/>
    </row>
    <row r="3">
      <c r="A3" s="23" t="n"/>
      <c r="B3" s="23" t="n"/>
      <c r="C3" s="23" t="n"/>
      <c r="D3" s="23" t="n"/>
      <c r="E3" s="23" t="n"/>
      <c r="F3" s="23" t="n"/>
      <c r="G3" s="23" t="n"/>
      <c r="H3" s="23" t="n"/>
      <c r="I3" s="23" t="n"/>
      <c r="J3" s="23" t="n"/>
      <c r="K3" s="23" t="n"/>
      <c r="L3" s="23" t="n"/>
    </row>
    <row r="4">
      <c r="A4" s="23" t="n"/>
      <c r="B4" s="23" t="n"/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>
      <c r="A5" s="23" t="n"/>
      <c r="B5" s="23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>
      <c r="A6" s="23" t="n"/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</row>
    <row r="7">
      <c r="A7" s="23" t="n"/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</row>
    <row r="8">
      <c r="A8" s="23" t="n"/>
      <c r="B8" s="23" t="n"/>
      <c r="C8" s="23" t="n"/>
      <c r="D8" s="23" t="n"/>
      <c r="E8" s="23" t="n"/>
      <c r="F8" s="23" t="n"/>
      <c r="G8" s="23" t="n"/>
      <c r="H8" s="23" t="n"/>
      <c r="I8" s="23" t="n"/>
      <c r="J8" s="23" t="n"/>
      <c r="K8" s="23" t="n"/>
      <c r="L8" s="23" t="n"/>
    </row>
    <row r="9">
      <c r="A9" s="23" t="n"/>
      <c r="B9" s="23" t="n"/>
      <c r="C9" s="23" t="n"/>
      <c r="D9" s="23" t="n"/>
      <c r="E9" s="23" t="n"/>
      <c r="F9" s="23" t="n"/>
      <c r="G9" s="23" t="n"/>
      <c r="H9" s="23" t="n"/>
      <c r="I9" s="23" t="n"/>
      <c r="J9" s="23" t="n"/>
      <c r="K9" s="23" t="n"/>
      <c r="L9" s="23" t="n"/>
    </row>
    <row r="10">
      <c r="A10" s="23" t="inlineStr">
        <is>
          <t>Sheet Name</t>
        </is>
      </c>
      <c r="B10" s="23" t="inlineStr">
        <is>
          <t>Convert</t>
        </is>
      </c>
      <c r="C10" s="23" t="inlineStr">
        <is>
          <t>Has Collections</t>
        </is>
      </c>
      <c r="D10" s="23" t="inlineStr">
        <is>
          <t>Collect Cols</t>
        </is>
      </c>
      <c r="E10" s="23" t="inlineStr">
        <is>
          <t># of Collect Rows</t>
        </is>
      </c>
      <c r="F10" s="23" t="inlineStr">
        <is>
          <t>Has Descripts</t>
        </is>
      </c>
      <c r="G10" s="23" t="inlineStr">
        <is>
          <t>Descript Cols</t>
        </is>
      </c>
      <c r="H10" s="23" t="inlineStr">
        <is>
          <t>Descript Start Row</t>
        </is>
      </c>
      <c r="I10" s="23" t="inlineStr">
        <is>
          <t>Lib Start Row</t>
        </is>
      </c>
      <c r="J10" s="23" t="inlineStr">
        <is>
          <t>SBOL Object Type</t>
        </is>
      </c>
      <c r="K10" s="23" t="inlineStr">
        <is>
          <t>Molecule Type</t>
        </is>
      </c>
      <c r="L10" s="23" t="inlineStr">
        <is>
          <t>Role</t>
        </is>
      </c>
    </row>
    <row r="11">
      <c r="A11" s="23" t="inlineStr">
        <is>
          <t>promoter</t>
        </is>
      </c>
      <c r="B11" s="25" t="b">
        <v>1</v>
      </c>
      <c r="C11" s="25" t="b">
        <v>0</v>
      </c>
      <c r="D11" s="23" t="n">
        <v>0</v>
      </c>
      <c r="E11" s="23" t="n">
        <v>0</v>
      </c>
      <c r="F11" s="25" t="b">
        <v>0</v>
      </c>
      <c r="G11" s="23" t="n">
        <v>0</v>
      </c>
      <c r="H11" s="23" t="n">
        <v>0</v>
      </c>
      <c r="I11" s="23" t="n">
        <v>1</v>
      </c>
      <c r="J11" s="23" t="inlineStr">
        <is>
          <t>ComponentDefinition</t>
        </is>
      </c>
      <c r="K11" s="23" t="inlineStr">
        <is>
          <t>DNARegion</t>
        </is>
      </c>
      <c r="L11" s="23" t="inlineStr">
        <is>
          <t>http://identifiers.org/so/SO:0000167</t>
        </is>
      </c>
    </row>
    <row r="12">
      <c r="A12" s="23" t="inlineStr">
        <is>
          <t>rbs</t>
        </is>
      </c>
      <c r="B12" s="25" t="b">
        <v>1</v>
      </c>
      <c r="C12" s="25" t="b">
        <v>0</v>
      </c>
      <c r="D12" s="23" t="n">
        <v>0</v>
      </c>
      <c r="E12" s="23" t="n">
        <v>0</v>
      </c>
      <c r="F12" s="25" t="b">
        <v>0</v>
      </c>
      <c r="G12" s="23" t="n">
        <v>0</v>
      </c>
      <c r="H12" s="23" t="n">
        <v>0</v>
      </c>
      <c r="I12" s="23" t="n">
        <v>1</v>
      </c>
      <c r="J12" s="23" t="inlineStr">
        <is>
          <t>ComponentDefinition</t>
        </is>
      </c>
      <c r="K12" s="23" t="inlineStr">
        <is>
          <t>DNARegion</t>
        </is>
      </c>
      <c r="L12" s="23" t="inlineStr">
        <is>
          <t>http://identifiers.org/so/SO:0000139</t>
        </is>
      </c>
    </row>
    <row r="13">
      <c r="A13" s="23" t="inlineStr">
        <is>
          <t>cds</t>
        </is>
      </c>
      <c r="B13" s="25" t="b">
        <v>1</v>
      </c>
      <c r="C13" s="25" t="b">
        <v>0</v>
      </c>
      <c r="D13" s="23" t="n">
        <v>0</v>
      </c>
      <c r="E13" s="23" t="n">
        <v>0</v>
      </c>
      <c r="F13" s="25" t="b">
        <v>0</v>
      </c>
      <c r="G13" s="23" t="n">
        <v>0</v>
      </c>
      <c r="H13" s="23" t="n">
        <v>0</v>
      </c>
      <c r="I13" s="23" t="n">
        <v>1</v>
      </c>
      <c r="J13" s="23" t="inlineStr">
        <is>
          <t>ComponentDefinition</t>
        </is>
      </c>
      <c r="K13" s="23" t="inlineStr">
        <is>
          <t>DNARegion</t>
        </is>
      </c>
      <c r="L13" s="23" t="inlineStr">
        <is>
          <t>http://identifiers.org/so/SO:0000316</t>
        </is>
      </c>
    </row>
    <row r="14">
      <c r="A14" s="23" t="inlineStr">
        <is>
          <t>terminator</t>
        </is>
      </c>
      <c r="B14" s="25" t="b">
        <v>1</v>
      </c>
      <c r="C14" s="25" t="b">
        <v>0</v>
      </c>
      <c r="D14" s="23" t="n">
        <v>0</v>
      </c>
      <c r="E14" s="23" t="n">
        <v>0</v>
      </c>
      <c r="F14" s="25" t="b">
        <v>0</v>
      </c>
      <c r="G14" s="23" t="n">
        <v>0</v>
      </c>
      <c r="H14" s="23" t="n">
        <v>0</v>
      </c>
      <c r="I14" s="23" t="n">
        <v>1</v>
      </c>
      <c r="J14" s="23" t="inlineStr">
        <is>
          <t>ComponentDefinition</t>
        </is>
      </c>
      <c r="K14" s="23" t="inlineStr">
        <is>
          <t>DNARegion</t>
        </is>
      </c>
      <c r="L14" s="23" t="inlineStr">
        <is>
          <t>http://identifiers.org/so/SO:0000141</t>
        </is>
      </c>
    </row>
    <row r="15">
      <c r="A15" s="23" t="inlineStr">
        <is>
          <t>other</t>
        </is>
      </c>
      <c r="B15" s="25" t="b">
        <v>1</v>
      </c>
      <c r="C15" s="25" t="b">
        <v>0</v>
      </c>
      <c r="D15" s="23" t="n">
        <v>0</v>
      </c>
      <c r="E15" s="23" t="n">
        <v>0</v>
      </c>
      <c r="F15" s="25" t="b">
        <v>0</v>
      </c>
      <c r="G15" s="23" t="n">
        <v>0</v>
      </c>
      <c r="H15" s="23" t="n">
        <v>0</v>
      </c>
      <c r="I15" s="23" t="n">
        <v>1</v>
      </c>
      <c r="J15" s="23" t="inlineStr">
        <is>
          <t>ComponentDefinition</t>
        </is>
      </c>
      <c r="K15" s="23" t="inlineStr">
        <is>
          <t>DNARegion</t>
        </is>
      </c>
      <c r="L15" s="23" t="inlineStr"/>
    </row>
    <row r="16">
      <c r="A16" s="23" t="inlineStr">
        <is>
          <t>ncrna</t>
        </is>
      </c>
      <c r="B16" s="25" t="b">
        <v>1</v>
      </c>
      <c r="C16" s="25" t="b">
        <v>0</v>
      </c>
      <c r="D16" s="23" t="n">
        <v>0</v>
      </c>
      <c r="E16" s="23" t="n">
        <v>0</v>
      </c>
      <c r="F16" s="25" t="b">
        <v>0</v>
      </c>
      <c r="G16" s="23" t="n">
        <v>0</v>
      </c>
      <c r="H16" s="23" t="n">
        <v>0</v>
      </c>
      <c r="I16" s="23" t="n">
        <v>1</v>
      </c>
      <c r="J16" s="23" t="inlineStr">
        <is>
          <t>ComponentDefinition</t>
        </is>
      </c>
      <c r="K16" s="23" t="inlineStr">
        <is>
          <t>RNA</t>
        </is>
      </c>
      <c r="L16" s="23" t="inlineStr">
        <is>
          <t>http://identifiers.org/so/SO:0000356</t>
        </is>
      </c>
    </row>
    <row r="17">
      <c r="A17" s="23" t="inlineStr">
        <is>
          <t>rna</t>
        </is>
      </c>
      <c r="B17" s="25" t="b">
        <v>1</v>
      </c>
      <c r="C17" s="25" t="b">
        <v>0</v>
      </c>
      <c r="D17" s="23" t="n">
        <v>0</v>
      </c>
      <c r="E17" s="23" t="n">
        <v>0</v>
      </c>
      <c r="F17" s="25" t="b">
        <v>0</v>
      </c>
      <c r="G17" s="23" t="n">
        <v>0</v>
      </c>
      <c r="H17" s="23" t="n">
        <v>0</v>
      </c>
      <c r="I17" s="23" t="n">
        <v>1</v>
      </c>
      <c r="J17" s="23" t="inlineStr">
        <is>
          <t>ComponentDefinition</t>
        </is>
      </c>
      <c r="K17" s="23" t="inlineStr">
        <is>
          <t>RNA</t>
        </is>
      </c>
      <c r="L17" s="23" t="inlineStr"/>
    </row>
    <row r="18">
      <c r="A18" s="23" t="inlineStr">
        <is>
          <t>protein</t>
        </is>
      </c>
      <c r="B18" s="25" t="b">
        <v>1</v>
      </c>
      <c r="C18" s="25" t="b">
        <v>0</v>
      </c>
      <c r="D18" s="23" t="n">
        <v>0</v>
      </c>
      <c r="E18" s="23" t="n">
        <v>0</v>
      </c>
      <c r="F18" s="25" t="b">
        <v>0</v>
      </c>
      <c r="G18" s="23" t="n">
        <v>0</v>
      </c>
      <c r="H18" s="23" t="n">
        <v>0</v>
      </c>
      <c r="I18" s="23" t="n">
        <v>1</v>
      </c>
      <c r="J18" s="23" t="inlineStr">
        <is>
          <t>ComponentDefinition</t>
        </is>
      </c>
      <c r="K18" s="23" t="inlineStr">
        <is>
          <t>Protein</t>
        </is>
      </c>
      <c r="L18" s="23" t="inlineStr"/>
    </row>
    <row r="19">
      <c r="A19" s="23" t="inlineStr">
        <is>
          <t>complex</t>
        </is>
      </c>
      <c r="B19" s="25" t="b">
        <v>1</v>
      </c>
      <c r="C19" s="25" t="b">
        <v>0</v>
      </c>
      <c r="D19" s="23" t="n">
        <v>0</v>
      </c>
      <c r="E19" s="23" t="n">
        <v>0</v>
      </c>
      <c r="F19" s="25" t="b">
        <v>0</v>
      </c>
      <c r="G19" s="23" t="n">
        <v>0</v>
      </c>
      <c r="H19" s="23" t="n">
        <v>0</v>
      </c>
      <c r="I19" s="23" t="n">
        <v>1</v>
      </c>
      <c r="J19" s="23" t="inlineStr">
        <is>
          <t>ComponentDefinition</t>
        </is>
      </c>
      <c r="K19" s="23" t="inlineStr">
        <is>
          <t>Complex</t>
        </is>
      </c>
      <c r="L19" s="23" t="inlineStr"/>
    </row>
    <row r="20">
      <c r="A20" s="23" t="inlineStr">
        <is>
          <t>chassis</t>
        </is>
      </c>
      <c r="B20" s="25" t="b">
        <v>1</v>
      </c>
      <c r="C20" s="25" t="b">
        <v>0</v>
      </c>
      <c r="D20" s="23" t="n">
        <v>0</v>
      </c>
      <c r="E20" s="23" t="n">
        <v>0</v>
      </c>
      <c r="F20" s="25" t="b">
        <v>0</v>
      </c>
      <c r="G20" s="23" t="n">
        <v>0</v>
      </c>
      <c r="H20" s="23" t="n">
        <v>0</v>
      </c>
      <c r="I20" s="23" t="n">
        <v>1</v>
      </c>
      <c r="J20" s="23" t="inlineStr">
        <is>
          <t>ModuleDefinition</t>
        </is>
      </c>
      <c r="K20" s="23" t="inlineStr"/>
      <c r="L20" s="23" t="inlineStr">
        <is>
          <t>http://identifiers.org/ncit/NCIT:C14419</t>
        </is>
      </c>
    </row>
    <row r="21">
      <c r="A21" s="23" t="inlineStr">
        <is>
          <t>media</t>
        </is>
      </c>
      <c r="B21" s="25" t="b">
        <v>1</v>
      </c>
      <c r="C21" s="25" t="b">
        <v>0</v>
      </c>
      <c r="D21" s="23" t="n">
        <v>0</v>
      </c>
      <c r="E21" s="23" t="n">
        <v>0</v>
      </c>
      <c r="F21" s="25" t="b">
        <v>0</v>
      </c>
      <c r="G21" s="23" t="n">
        <v>0</v>
      </c>
      <c r="H21" s="23" t="n">
        <v>0</v>
      </c>
      <c r="I21" s="23" t="n">
        <v>1</v>
      </c>
      <c r="J21" s="23" t="inlineStr">
        <is>
          <t>ModuleDefinition</t>
        </is>
      </c>
      <c r="K21" s="23" t="inlineStr"/>
      <c r="L21" s="23" t="inlineStr">
        <is>
          <t>http://identifiers.org/ncit/NCIT:C48164</t>
        </is>
      </c>
    </row>
    <row r="22">
      <c r="A22" s="23" t="inlineStr">
        <is>
          <t>chemicals</t>
        </is>
      </c>
      <c r="B22" s="25" t="b">
        <v>1</v>
      </c>
      <c r="C22" s="25" t="b">
        <v>0</v>
      </c>
      <c r="D22" s="23" t="n">
        <v>0</v>
      </c>
      <c r="E22" s="23" t="n">
        <v>0</v>
      </c>
      <c r="F22" s="25" t="b">
        <v>0</v>
      </c>
      <c r="G22" s="23" t="n">
        <v>0</v>
      </c>
      <c r="H22" s="23" t="n">
        <v>0</v>
      </c>
      <c r="I22" s="23" t="n">
        <v>1</v>
      </c>
      <c r="J22" s="23" t="inlineStr">
        <is>
          <t>ComponentDefinition</t>
        </is>
      </c>
      <c r="K22" s="23" t="inlineStr">
        <is>
          <t>SmallMolecule</t>
        </is>
      </c>
      <c r="L22" s="23" t="inlineStr"/>
    </row>
    <row r="23">
      <c r="A23" s="23" t="inlineStr">
        <is>
          <t>ontology_terms</t>
        </is>
      </c>
      <c r="B23" s="25" t="b">
        <v>0</v>
      </c>
      <c r="C23" s="25" t="b">
        <v>0</v>
      </c>
      <c r="D23" s="23" t="n">
        <v>0</v>
      </c>
      <c r="E23" s="23" t="n">
        <v>0</v>
      </c>
      <c r="F23" s="25" t="b">
        <v>0</v>
      </c>
      <c r="G23" s="23" t="n">
        <v>0</v>
      </c>
      <c r="H23" s="23" t="n">
        <v>0</v>
      </c>
      <c r="I23" s="23" t="n">
        <v>0</v>
      </c>
      <c r="J23" s="23" t="inlineStr"/>
      <c r="K23" s="23" t="inlineStr"/>
      <c r="L23" s="23" t="inlineStr"/>
    </row>
    <row r="24">
      <c r="A24" s="23" t="inlineStr">
        <is>
          <t>organism_terms</t>
        </is>
      </c>
      <c r="B24" s="25" t="b">
        <v>0</v>
      </c>
      <c r="C24" s="25" t="b">
        <v>0</v>
      </c>
      <c r="D24" s="23" t="n">
        <v>0</v>
      </c>
      <c r="E24" s="23" t="n">
        <v>0</v>
      </c>
      <c r="F24" s="25" t="b">
        <v>0</v>
      </c>
      <c r="G24" s="23" t="n">
        <v>0</v>
      </c>
      <c r="H24" s="23" t="n">
        <v>0</v>
      </c>
      <c r="I24" s="23" t="n">
        <v>0</v>
      </c>
      <c r="J24" s="23" t="inlineStr"/>
      <c r="K24" s="23" t="inlineStr"/>
      <c r="L24" s="23" t="inlineStr"/>
    </row>
    <row r="25">
      <c r="A25" s="23" t="inlineStr">
        <is>
          <t>molecule_types</t>
        </is>
      </c>
      <c r="B25" s="25" t="b">
        <v>0</v>
      </c>
      <c r="C25" s="25" t="b">
        <v>0</v>
      </c>
      <c r="D25" s="23" t="n">
        <v>0</v>
      </c>
      <c r="E25" s="23" t="n">
        <v>0</v>
      </c>
      <c r="F25" s="25" t="b">
        <v>0</v>
      </c>
      <c r="G25" s="23" t="n">
        <v>0</v>
      </c>
      <c r="H25" s="23" t="n">
        <v>0</v>
      </c>
      <c r="I25" s="23" t="n">
        <v>0</v>
      </c>
      <c r="J25" s="23" t="inlineStr"/>
      <c r="K25" s="23" t="inlineStr"/>
      <c r="L25" s="23" t="inlineStr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48A9AE"/>
    <outlinePr summaryBelow="1" summaryRight="1"/>
    <pageSetUpPr/>
  </sheetPr>
  <dimension ref="A1:S11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25" customWidth="1" min="15" max="15"/>
    <col width="25" customWidth="1" min="16" max="16"/>
    <col width="25" customWidth="1" min="17" max="17"/>
    <col width="25" customWidth="1" min="18" max="18"/>
    <col width="25" customWidth="1" min="19" max="19"/>
  </cols>
  <sheetData>
    <row r="1" ht="20" customHeight="1">
      <c r="A1" s="22" t="inlineStr">
        <is>
          <t>Sheet Name</t>
        </is>
      </c>
      <c r="B1" s="22" t="inlineStr">
        <is>
          <t>Column Name</t>
        </is>
      </c>
      <c r="C1" s="22" t="inlineStr">
        <is>
          <t>SBOL Term</t>
        </is>
      </c>
      <c r="D1" s="22" t="inlineStr">
        <is>
          <t>Namespace URL</t>
        </is>
      </c>
      <c r="E1" s="22" t="inlineStr">
        <is>
          <t>Type</t>
        </is>
      </c>
      <c r="F1" s="22" t="inlineStr">
        <is>
          <t>Split On</t>
        </is>
      </c>
      <c r="G1" s="22" t="inlineStr">
        <is>
          <t>Pattern</t>
        </is>
      </c>
      <c r="H1" s="22" t="inlineStr">
        <is>
          <t>Multicolumn</t>
        </is>
      </c>
      <c r="I1" s="22" t="inlineStr">
        <is>
          <t>Tyto Lookup</t>
        </is>
      </c>
      <c r="J1" s="22" t="inlineStr">
        <is>
          <t>Sheet Lookup</t>
        </is>
      </c>
      <c r="K1" s="22" t="inlineStr">
        <is>
          <t>Replacement Lookup</t>
        </is>
      </c>
      <c r="L1" s="22" t="inlineStr">
        <is>
          <t>Object_ID Lookup</t>
        </is>
      </c>
      <c r="M1" s="22" t="inlineStr">
        <is>
          <t>Parent Lookup</t>
        </is>
      </c>
      <c r="N1" s="22" t="inlineStr">
        <is>
          <t>Ontology Name</t>
        </is>
      </c>
      <c r="O1" s="22" t="inlineStr">
        <is>
          <t>Lookup Sheet Name</t>
        </is>
      </c>
      <c r="P1" s="22" t="inlineStr">
        <is>
          <t>From Col</t>
        </is>
      </c>
      <c r="Q1" s="22" t="inlineStr">
        <is>
          <t>To Col</t>
        </is>
      </c>
      <c r="R1" s="22" t="inlineStr">
        <is>
          <t>comma_append</t>
        </is>
      </c>
      <c r="S1" s="22" t="inlineStr">
        <is>
          <t>translate_target</t>
        </is>
      </c>
    </row>
    <row r="2">
      <c r="A2" s="23" t="inlineStr">
        <is>
          <t>Init</t>
        </is>
      </c>
      <c r="B2" s="23" t="inlineStr">
        <is>
          <t>SBOL Object Type</t>
        </is>
      </c>
      <c r="C2" s="23" t="inlineStr">
        <is>
          <t>sbol_objectType</t>
        </is>
      </c>
      <c r="D2" s="23" t="inlineStr">
        <is>
          <t>http://sbols.org/v2#</t>
        </is>
      </c>
      <c r="E2" s="23" t="inlineStr">
        <is>
          <t>String</t>
        </is>
      </c>
      <c r="F2" s="23" t="inlineStr">
        <is>
          <t>""</t>
        </is>
      </c>
      <c r="G2" s="23" t="inlineStr">
        <is>
          <t>""</t>
        </is>
      </c>
      <c r="H2" s="23" t="inlineStr"/>
      <c r="I2" s="23" t="b">
        <v>0</v>
      </c>
      <c r="J2" s="23" t="b">
        <v>0</v>
      </c>
      <c r="K2" s="23" t="b">
        <v>0</v>
      </c>
      <c r="L2" s="23" t="b">
        <v>0</v>
      </c>
      <c r="M2" s="23" t="b">
        <v>0</v>
      </c>
      <c r="N2" s="23" t="inlineStr"/>
      <c r="O2" s="23" t="inlineStr"/>
      <c r="P2" s="23" t="inlineStr"/>
      <c r="Q2" s="23" t="inlineStr"/>
      <c r="R2" s="23" t="b">
        <v>0</v>
      </c>
      <c r="S2" s="23" t="inlineStr"/>
    </row>
    <row r="3">
      <c r="A3" s="23" t="inlineStr">
        <is>
          <t>Init</t>
        </is>
      </c>
      <c r="B3" s="23" t="inlineStr">
        <is>
          <t>Molecule Type</t>
        </is>
      </c>
      <c r="C3" s="23" t="inlineStr">
        <is>
          <t>sbol_types</t>
        </is>
      </c>
      <c r="D3" s="23" t="inlineStr">
        <is>
          <t>http://sbols.org/v2#</t>
        </is>
      </c>
      <c r="E3" s="23" t="inlineStr">
        <is>
          <t>String</t>
        </is>
      </c>
      <c r="F3" s="23" t="inlineStr">
        <is>
          <t>""</t>
        </is>
      </c>
      <c r="G3" s="23" t="inlineStr">
        <is>
          <t>""</t>
        </is>
      </c>
      <c r="H3" s="23" t="inlineStr"/>
      <c r="I3" s="23" t="b">
        <v>0</v>
      </c>
      <c r="J3" s="23" t="b">
        <v>1</v>
      </c>
      <c r="K3" s="23" t="b">
        <v>0</v>
      </c>
      <c r="L3" s="23" t="b">
        <v>0</v>
      </c>
      <c r="M3" s="23" t="b">
        <v>0</v>
      </c>
      <c r="N3" s="23" t="inlineStr">
        <is>
          <t>BIOPAX</t>
        </is>
      </c>
      <c r="O3" s="23" t="inlineStr">
        <is>
          <t>molecule_types</t>
        </is>
      </c>
      <c r="P3" s="23" t="inlineStr">
        <is>
          <t>A</t>
        </is>
      </c>
      <c r="Q3" s="23" t="inlineStr">
        <is>
          <t>B</t>
        </is>
      </c>
      <c r="R3" s="23" t="b">
        <v>0</v>
      </c>
      <c r="S3" s="23" t="inlineStr"/>
    </row>
    <row r="4">
      <c r="A4" s="23" t="inlineStr">
        <is>
          <t>Init</t>
        </is>
      </c>
      <c r="B4" s="23" t="inlineStr">
        <is>
          <t>Role</t>
        </is>
      </c>
      <c r="C4" s="23" t="inlineStr">
        <is>
          <t>sbol_roles</t>
        </is>
      </c>
      <c r="D4" s="23" t="inlineStr">
        <is>
          <t>http://sbols.org/v2#</t>
        </is>
      </c>
      <c r="E4" s="23" t="inlineStr">
        <is>
          <t>URI</t>
        </is>
      </c>
      <c r="F4" s="23" t="inlineStr">
        <is>
          <t>""</t>
        </is>
      </c>
      <c r="G4" s="23" t="inlineStr">
        <is>
          <t>""</t>
        </is>
      </c>
      <c r="H4" s="23" t="inlineStr"/>
      <c r="I4" s="23" t="b">
        <v>0</v>
      </c>
      <c r="J4" s="23" t="b">
        <v>0</v>
      </c>
      <c r="K4" s="23" t="b">
        <v>0</v>
      </c>
      <c r="L4" s="23" t="b">
        <v>0</v>
      </c>
      <c r="M4" s="23" t="b">
        <v>0</v>
      </c>
      <c r="N4" s="23" t="inlineStr"/>
      <c r="O4" s="23" t="inlineStr"/>
      <c r="P4" s="23" t="inlineStr"/>
      <c r="Q4" s="23" t="inlineStr"/>
      <c r="R4" s="23" t="b">
        <v>0</v>
      </c>
      <c r="S4" s="23" t="inlineStr"/>
    </row>
    <row r="5">
      <c r="A5" s="23" t="inlineStr">
        <is>
          <t>promoter</t>
        </is>
      </c>
      <c r="B5" s="23" t="inlineStr">
        <is>
          <t>Promoter Name</t>
        </is>
      </c>
      <c r="C5" s="23" t="inlineStr">
        <is>
          <t>sbol_name</t>
        </is>
      </c>
      <c r="D5" s="23" t="inlineStr">
        <is>
          <t>http://sbols.org/v2#</t>
        </is>
      </c>
      <c r="E5" s="23" t="inlineStr">
        <is>
          <t>String</t>
        </is>
      </c>
      <c r="F5" s="23" t="inlineStr">
        <is>
          <t>""</t>
        </is>
      </c>
      <c r="G5" s="23" t="inlineStr">
        <is>
          <t>""</t>
        </is>
      </c>
      <c r="H5" s="23" t="inlineStr"/>
      <c r="I5" s="23" t="b">
        <v>0</v>
      </c>
      <c r="J5" s="23" t="b">
        <v>0</v>
      </c>
      <c r="K5" s="23" t="b">
        <v>0</v>
      </c>
      <c r="L5" s="23" t="b">
        <v>0</v>
      </c>
      <c r="M5" s="23" t="b">
        <v>0</v>
      </c>
      <c r="N5" s="23" t="inlineStr"/>
      <c r="O5" s="23" t="inlineStr"/>
      <c r="P5" s="23" t="inlineStr"/>
      <c r="Q5" s="23" t="inlineStr"/>
      <c r="R5" s="23" t="b">
        <v>0</v>
      </c>
      <c r="S5" s="23" t="inlineStr"/>
    </row>
    <row r="6">
      <c r="A6" s="23" t="inlineStr">
        <is>
          <t>promoter</t>
        </is>
      </c>
      <c r="B6" s="23" t="inlineStr">
        <is>
          <t>Promoter ID</t>
        </is>
      </c>
      <c r="C6" s="23" t="inlineStr">
        <is>
          <t>sbol_displayId</t>
        </is>
      </c>
      <c r="D6" s="23" t="inlineStr">
        <is>
          <t>http://sbols.org/v2#</t>
        </is>
      </c>
      <c r="E6" s="23" t="inlineStr">
        <is>
          <t>String</t>
        </is>
      </c>
      <c r="F6" s="23" t="inlineStr">
        <is>
          <t>""</t>
        </is>
      </c>
      <c r="G6" s="23" t="inlineStr">
        <is>
          <t>""</t>
        </is>
      </c>
      <c r="H6" s="23" t="inlineStr"/>
      <c r="I6" s="23" t="b">
        <v>0</v>
      </c>
      <c r="J6" s="23" t="b">
        <v>0</v>
      </c>
      <c r="K6" s="23" t="b">
        <v>0</v>
      </c>
      <c r="L6" s="23" t="b">
        <v>0</v>
      </c>
      <c r="M6" s="23" t="b">
        <v>0</v>
      </c>
      <c r="N6" s="23" t="inlineStr"/>
      <c r="O6" s="23" t="inlineStr"/>
      <c r="P6" s="23" t="inlineStr"/>
      <c r="Q6" s="23" t="inlineStr"/>
      <c r="R6" s="23" t="b">
        <v>0</v>
      </c>
      <c r="S6" s="23" t="inlineStr"/>
    </row>
    <row r="7">
      <c r="A7" s="23" t="inlineStr">
        <is>
          <t>promoter</t>
        </is>
      </c>
      <c r="B7" s="23" t="inlineStr">
        <is>
          <t>Previous Version (URI)</t>
        </is>
      </c>
      <c r="C7" s="23" t="inlineStr">
        <is>
          <t>sbol_wasDerivedFrom</t>
        </is>
      </c>
      <c r="D7" s="23" t="inlineStr">
        <is>
          <t>http://sbols.org/v2#</t>
        </is>
      </c>
      <c r="E7" s="23" t="inlineStr">
        <is>
          <t>URI</t>
        </is>
      </c>
      <c r="F7" s="23" t="inlineStr">
        <is>
          <t>""</t>
        </is>
      </c>
      <c r="G7" s="23" t="inlineStr">
        <is>
          <t>""</t>
        </is>
      </c>
      <c r="H7" s="23" t="inlineStr"/>
      <c r="I7" s="23" t="b">
        <v>0</v>
      </c>
      <c r="J7" s="23" t="b">
        <v>0</v>
      </c>
      <c r="K7" s="23" t="b">
        <v>0</v>
      </c>
      <c r="L7" s="23" t="b">
        <v>0</v>
      </c>
      <c r="M7" s="23" t="b">
        <v>0</v>
      </c>
      <c r="N7" s="23" t="inlineStr"/>
      <c r="O7" s="23" t="inlineStr"/>
      <c r="P7" s="23" t="inlineStr"/>
      <c r="Q7" s="23" t="inlineStr"/>
      <c r="R7" s="23" t="b">
        <v>0</v>
      </c>
      <c r="S7" s="23" t="inlineStr"/>
    </row>
    <row r="8">
      <c r="A8" s="23" t="inlineStr">
        <is>
          <t>promoter</t>
        </is>
      </c>
      <c r="B8" s="23" t="inlineStr">
        <is>
          <t>Promoter Description</t>
        </is>
      </c>
      <c r="C8" s="23" t="inlineStr">
        <is>
          <t>sbol_description</t>
        </is>
      </c>
      <c r="D8" s="23" t="inlineStr">
        <is>
          <t>http://purl.org/dc/terms/#</t>
        </is>
      </c>
      <c r="E8" s="23" t="inlineStr">
        <is>
          <t>String</t>
        </is>
      </c>
      <c r="F8" s="23" t="inlineStr">
        <is>
          <t>""</t>
        </is>
      </c>
      <c r="G8" s="23" t="inlineStr">
        <is>
          <t>""</t>
        </is>
      </c>
      <c r="H8" s="23" t="inlineStr"/>
      <c r="I8" s="23" t="b">
        <v>0</v>
      </c>
      <c r="J8" s="23" t="b">
        <v>0</v>
      </c>
      <c r="K8" s="23" t="b">
        <v>0</v>
      </c>
      <c r="L8" s="23" t="b">
        <v>0</v>
      </c>
      <c r="M8" s="23" t="b">
        <v>0</v>
      </c>
      <c r="N8" s="23" t="inlineStr"/>
      <c r="O8" s="23" t="inlineStr"/>
      <c r="P8" s="23" t="inlineStr"/>
      <c r="Q8" s="23" t="inlineStr"/>
      <c r="R8" s="23" t="b">
        <v>0</v>
      </c>
      <c r="S8" s="23" t="inlineStr"/>
    </row>
    <row r="9">
      <c r="A9" s="23" t="inlineStr">
        <is>
          <t>promoter</t>
        </is>
      </c>
      <c r="B9" s="23" t="inlineStr">
        <is>
          <t>Data Source</t>
        </is>
      </c>
      <c r="C9" s="23" t="inlineStr">
        <is>
          <t>sbol_wasDerivedFrom</t>
        </is>
      </c>
      <c r="D9" s="23" t="inlineStr">
        <is>
          <t>http://sbols.org/v2#</t>
        </is>
      </c>
      <c r="E9" s="23" t="inlineStr">
        <is>
          <t>URI</t>
        </is>
      </c>
      <c r="F9" s="23" t="inlineStr">
        <is>
          <t>""</t>
        </is>
      </c>
      <c r="G9" s="23" t="inlineStr">
        <is>
          <t>""</t>
        </is>
      </c>
      <c r="H9" s="23" t="inlineStr"/>
      <c r="I9" s="23" t="b">
        <v>0</v>
      </c>
      <c r="J9" s="23" t="b">
        <v>0</v>
      </c>
      <c r="K9" s="23" t="b">
        <v>0</v>
      </c>
      <c r="L9" s="23" t="b">
        <v>0</v>
      </c>
      <c r="M9" s="23" t="b">
        <v>0</v>
      </c>
      <c r="N9" s="23" t="inlineStr"/>
      <c r="O9" s="23" t="inlineStr"/>
      <c r="P9" s="23" t="inlineStr"/>
      <c r="Q9" s="23" t="inlineStr"/>
      <c r="R9" s="23" t="b">
        <v>0</v>
      </c>
      <c r="S9" s="23" t="inlineStr"/>
    </row>
    <row r="10">
      <c r="A10" s="23" t="inlineStr">
        <is>
          <t>promoter</t>
        </is>
      </c>
      <c r="B10" s="23" t="inlineStr">
        <is>
          <t>PubMed ID</t>
        </is>
      </c>
      <c r="C10" s="23" t="inlineStr">
        <is>
          <t>obo_OBI_0001617</t>
        </is>
      </c>
      <c r="D10" s="23" t="inlineStr">
        <is>
          <t>http://purl.obolibrary.org/obo/</t>
        </is>
      </c>
      <c r="E10" s="23" t="inlineStr">
        <is>
          <t>String</t>
        </is>
      </c>
      <c r="F10" s="23" t="inlineStr">
        <is>
          <t>""</t>
        </is>
      </c>
      <c r="G10" s="23" t="inlineStr">
        <is>
          <t>""</t>
        </is>
      </c>
      <c r="H10" s="23" t="inlineStr"/>
      <c r="I10" s="23" t="b">
        <v>0</v>
      </c>
      <c r="J10" s="23" t="b">
        <v>0</v>
      </c>
      <c r="K10" s="23" t="b">
        <v>0</v>
      </c>
      <c r="L10" s="23" t="b">
        <v>0</v>
      </c>
      <c r="M10" s="23" t="b">
        <v>0</v>
      </c>
      <c r="N10" s="23" t="inlineStr"/>
      <c r="O10" s="23" t="inlineStr"/>
      <c r="P10" s="23" t="inlineStr"/>
      <c r="Q10" s="23" t="inlineStr"/>
      <c r="R10" s="23" t="b">
        <v>0</v>
      </c>
      <c r="S10" s="23" t="inlineStr"/>
    </row>
    <row r="11">
      <c r="A11" s="23" t="inlineStr">
        <is>
          <t>promoter</t>
        </is>
      </c>
      <c r="B11" s="23" t="inlineStr">
        <is>
          <t>DOI</t>
        </is>
      </c>
      <c r="C11" s="23" t="inlineStr">
        <is>
          <t>sbol_wasDerivedFrom</t>
        </is>
      </c>
      <c r="D11" s="23" t="inlineStr">
        <is>
          <t>http://sbols.org/v2#</t>
        </is>
      </c>
      <c r="E11" s="23" t="inlineStr">
        <is>
          <t>URI</t>
        </is>
      </c>
      <c r="F11" s="23" t="inlineStr">
        <is>
          <t>""</t>
        </is>
      </c>
      <c r="G11" s="23" t="inlineStr">
        <is>
          <t>""</t>
        </is>
      </c>
      <c r="H11" s="23" t="inlineStr"/>
      <c r="I11" s="23" t="b">
        <v>0</v>
      </c>
      <c r="J11" s="23" t="b">
        <v>0</v>
      </c>
      <c r="K11" s="23" t="b">
        <v>0</v>
      </c>
      <c r="L11" s="23" t="b">
        <v>0</v>
      </c>
      <c r="M11" s="23" t="b">
        <v>0</v>
      </c>
      <c r="N11" s="23" t="inlineStr"/>
      <c r="O11" s="23" t="inlineStr"/>
      <c r="P11" s="23" t="inlineStr"/>
      <c r="Q11" s="23" t="inlineStr"/>
      <c r="R11" s="23" t="b">
        <v>0</v>
      </c>
      <c r="S11" s="23" t="inlineStr"/>
    </row>
    <row r="12">
      <c r="A12" s="23" t="inlineStr">
        <is>
          <t>promoter</t>
        </is>
      </c>
      <c r="B12" s="23" t="inlineStr">
        <is>
          <t>Source Organism</t>
        </is>
      </c>
      <c r="C12" s="23" t="inlineStr">
        <is>
          <t>sbh_sourceOrganism</t>
        </is>
      </c>
      <c r="D12" s="23" t="inlineStr">
        <is>
          <t>https://wiki.synbiohub.org/wiki/Terms/synbiohub#</t>
        </is>
      </c>
      <c r="E12" s="23" t="inlineStr">
        <is>
          <t>URI</t>
        </is>
      </c>
      <c r="F12" s="23" t="inlineStr">
        <is>
          <t>""</t>
        </is>
      </c>
      <c r="G12" s="23" t="inlineStr">
        <is>
          <t>""</t>
        </is>
      </c>
      <c r="H12" s="23" t="inlineStr"/>
      <c r="I12" s="23" t="b">
        <v>0</v>
      </c>
      <c r="J12" s="23" t="b">
        <v>1</v>
      </c>
      <c r="K12" s="23" t="b">
        <v>0</v>
      </c>
      <c r="L12" s="23" t="b">
        <v>0</v>
      </c>
      <c r="M12" s="23" t="b">
        <v>0</v>
      </c>
      <c r="N12" s="23" t="inlineStr">
        <is>
          <t>NCBITaxon</t>
        </is>
      </c>
      <c r="O12" s="23" t="inlineStr">
        <is>
          <t>organism_terms</t>
        </is>
      </c>
      <c r="P12" s="23" t="inlineStr">
        <is>
          <t>A</t>
        </is>
      </c>
      <c r="Q12" s="23" t="inlineStr">
        <is>
          <t>B</t>
        </is>
      </c>
      <c r="R12" s="23" t="b">
        <v>0</v>
      </c>
      <c r="S12" s="23" t="inlineStr"/>
    </row>
    <row r="13">
      <c r="A13" s="23" t="inlineStr">
        <is>
          <t>promoter</t>
        </is>
      </c>
      <c r="B13" s="23" t="inlineStr">
        <is>
          <t>Activators</t>
        </is>
      </c>
      <c r="C13" s="23" t="inlineStr">
        <is>
          <t>sbol_activator</t>
        </is>
      </c>
      <c r="D13" s="23" t="inlineStr">
        <is>
          <t>https://wiki.synbiohub.org/wiki/Terms/synbiohub#</t>
        </is>
      </c>
      <c r="E13" s="23" t="inlineStr">
        <is>
          <t>URI</t>
        </is>
      </c>
      <c r="F13" s="23" t="inlineStr">
        <is>
          <t>","</t>
        </is>
      </c>
      <c r="G13" s="23" t="inlineStr">
        <is>
          <t>""</t>
        </is>
      </c>
      <c r="H13" s="23" t="inlineStr"/>
      <c r="I13" s="23" t="b">
        <v>0</v>
      </c>
      <c r="J13" s="23" t="b">
        <v>0</v>
      </c>
      <c r="K13" s="23" t="b">
        <v>0</v>
      </c>
      <c r="L13" s="23" t="b">
        <v>1</v>
      </c>
      <c r="M13" s="23" t="b">
        <v>0</v>
      </c>
      <c r="N13" s="23" t="inlineStr"/>
      <c r="O13" s="23" t="inlineStr"/>
      <c r="P13" s="23" t="inlineStr"/>
      <c r="Q13" s="23" t="inlineStr"/>
      <c r="R13" s="23" t="b">
        <v>1</v>
      </c>
      <c r="S13" s="23" t="inlineStr"/>
    </row>
    <row r="14">
      <c r="A14" s="23" t="inlineStr">
        <is>
          <t>promoter</t>
        </is>
      </c>
      <c r="B14" s="23" t="inlineStr">
        <is>
          <t>Repressors</t>
        </is>
      </c>
      <c r="C14" s="23" t="inlineStr">
        <is>
          <t>sbol_repressor</t>
        </is>
      </c>
      <c r="D14" s="23" t="inlineStr">
        <is>
          <t>https://wiki.synbiohub.org/wiki/Terms/synbiohub#</t>
        </is>
      </c>
      <c r="E14" s="23" t="inlineStr">
        <is>
          <t>URI</t>
        </is>
      </c>
      <c r="F14" s="23" t="inlineStr">
        <is>
          <t>","</t>
        </is>
      </c>
      <c r="G14" s="23" t="inlineStr">
        <is>
          <t>""</t>
        </is>
      </c>
      <c r="H14" s="23" t="inlineStr"/>
      <c r="I14" s="23" t="b">
        <v>0</v>
      </c>
      <c r="J14" s="23" t="b">
        <v>0</v>
      </c>
      <c r="K14" s="23" t="b">
        <v>0</v>
      </c>
      <c r="L14" s="23" t="b">
        <v>1</v>
      </c>
      <c r="M14" s="23" t="b">
        <v>0</v>
      </c>
      <c r="N14" s="23" t="inlineStr"/>
      <c r="O14" s="23" t="inlineStr"/>
      <c r="P14" s="23" t="inlineStr"/>
      <c r="Q14" s="23" t="inlineStr"/>
      <c r="R14" s="23" t="b">
        <v>1</v>
      </c>
      <c r="S14" s="23" t="inlineStr"/>
    </row>
    <row r="15">
      <c r="A15" s="23" t="inlineStr">
        <is>
          <t>promoter</t>
        </is>
      </c>
      <c r="B15" s="23" t="inlineStr">
        <is>
          <t>Length (bp)</t>
        </is>
      </c>
      <c r="C15" s="23" t="inlineStr">
        <is>
          <t>Not_applicable</t>
        </is>
      </c>
      <c r="D15" s="23" t="inlineStr">
        <is>
          <t>Not_applicable</t>
        </is>
      </c>
      <c r="E15" s="23" t="inlineStr">
        <is>
          <t>Not_applicable</t>
        </is>
      </c>
      <c r="F15" s="23" t="inlineStr">
        <is>
          <t>""</t>
        </is>
      </c>
      <c r="G15" s="23" t="inlineStr">
        <is>
          <t>""</t>
        </is>
      </c>
      <c r="H15" s="23" t="inlineStr"/>
      <c r="I15" s="23" t="b">
        <v>0</v>
      </c>
      <c r="J15" s="23" t="b">
        <v>0</v>
      </c>
      <c r="K15" s="23" t="b">
        <v>0</v>
      </c>
      <c r="L15" s="23" t="b">
        <v>0</v>
      </c>
      <c r="M15" s="23" t="b">
        <v>0</v>
      </c>
      <c r="N15" s="23" t="inlineStr"/>
      <c r="O15" s="23" t="inlineStr"/>
      <c r="P15" s="23" t="inlineStr"/>
      <c r="Q15" s="23" t="inlineStr"/>
      <c r="R15" s="23" t="b">
        <v>0</v>
      </c>
      <c r="S15" s="23" t="inlineStr"/>
    </row>
    <row r="16">
      <c r="A16" s="23" t="inlineStr">
        <is>
          <t>promoter</t>
        </is>
      </c>
      <c r="B16" s="23" t="inlineStr">
        <is>
          <t>Sequence</t>
        </is>
      </c>
      <c r="C16" s="23" t="inlineStr">
        <is>
          <t>sbol_sequence</t>
        </is>
      </c>
      <c r="D16" s="23" t="inlineStr">
        <is>
          <t>http://sbols.org/v2#</t>
        </is>
      </c>
      <c r="E16" s="23" t="inlineStr">
        <is>
          <t>String</t>
        </is>
      </c>
      <c r="F16" s="23" t="inlineStr">
        <is>
          <t>""</t>
        </is>
      </c>
      <c r="G16" s="23" t="inlineStr">
        <is>
          <t>""</t>
        </is>
      </c>
      <c r="H16" s="23" t="inlineStr"/>
      <c r="I16" s="23" t="b">
        <v>0</v>
      </c>
      <c r="J16" s="23" t="b">
        <v>0</v>
      </c>
      <c r="K16" s="23" t="b">
        <v>0</v>
      </c>
      <c r="L16" s="23" t="b">
        <v>0</v>
      </c>
      <c r="M16" s="23" t="b">
        <v>0</v>
      </c>
      <c r="N16" s="23" t="inlineStr"/>
      <c r="O16" s="23" t="inlineStr"/>
      <c r="P16" s="23" t="inlineStr"/>
      <c r="Q16" s="23" t="inlineStr"/>
      <c r="R16" s="23" t="b">
        <v>0</v>
      </c>
      <c r="S16" s="23" t="inlineStr"/>
    </row>
    <row r="17">
      <c r="A17" s="23" t="inlineStr">
        <is>
          <t>rbs</t>
        </is>
      </c>
      <c r="B17" s="23" t="inlineStr">
        <is>
          <t>RBS Name</t>
        </is>
      </c>
      <c r="C17" s="23" t="inlineStr">
        <is>
          <t>sbol_name</t>
        </is>
      </c>
      <c r="D17" s="23" t="inlineStr">
        <is>
          <t>http://sbols.org/v2#</t>
        </is>
      </c>
      <c r="E17" s="23" t="inlineStr">
        <is>
          <t>String</t>
        </is>
      </c>
      <c r="F17" s="23" t="inlineStr">
        <is>
          <t>""</t>
        </is>
      </c>
      <c r="G17" s="23" t="inlineStr">
        <is>
          <t>""</t>
        </is>
      </c>
      <c r="H17" s="23" t="inlineStr"/>
      <c r="I17" s="23" t="b">
        <v>0</v>
      </c>
      <c r="J17" s="23" t="b">
        <v>0</v>
      </c>
      <c r="K17" s="23" t="b">
        <v>0</v>
      </c>
      <c r="L17" s="23" t="b">
        <v>0</v>
      </c>
      <c r="M17" s="23" t="b">
        <v>0</v>
      </c>
      <c r="N17" s="23" t="inlineStr"/>
      <c r="O17" s="23" t="inlineStr"/>
      <c r="P17" s="23" t="inlineStr"/>
      <c r="Q17" s="23" t="inlineStr"/>
      <c r="R17" s="23" t="b">
        <v>0</v>
      </c>
      <c r="S17" s="23" t="inlineStr"/>
    </row>
    <row r="18">
      <c r="A18" s="23" t="inlineStr">
        <is>
          <t>rbs</t>
        </is>
      </c>
      <c r="B18" s="23" t="inlineStr">
        <is>
          <t>RBS ID</t>
        </is>
      </c>
      <c r="C18" s="23" t="inlineStr">
        <is>
          <t>sbol_displayId</t>
        </is>
      </c>
      <c r="D18" s="23" t="inlineStr">
        <is>
          <t>http://sbols.org/v2#</t>
        </is>
      </c>
      <c r="E18" s="23" t="inlineStr">
        <is>
          <t>String</t>
        </is>
      </c>
      <c r="F18" s="23" t="inlineStr">
        <is>
          <t>""</t>
        </is>
      </c>
      <c r="G18" s="23" t="inlineStr">
        <is>
          <t>""</t>
        </is>
      </c>
      <c r="H18" s="23" t="inlineStr"/>
      <c r="I18" s="23" t="b">
        <v>0</v>
      </c>
      <c r="J18" s="23" t="b">
        <v>0</v>
      </c>
      <c r="K18" s="23" t="b">
        <v>0</v>
      </c>
      <c r="L18" s="23" t="b">
        <v>0</v>
      </c>
      <c r="M18" s="23" t="b">
        <v>0</v>
      </c>
      <c r="N18" s="23" t="inlineStr"/>
      <c r="O18" s="23" t="inlineStr"/>
      <c r="P18" s="23" t="inlineStr"/>
      <c r="Q18" s="23" t="inlineStr"/>
      <c r="R18" s="23" t="b">
        <v>0</v>
      </c>
      <c r="S18" s="23" t="inlineStr"/>
    </row>
    <row r="19">
      <c r="A19" s="23" t="inlineStr">
        <is>
          <t>rbs</t>
        </is>
      </c>
      <c r="B19" s="23" t="inlineStr">
        <is>
          <t>Previous Version (URI)</t>
        </is>
      </c>
      <c r="C19" s="23" t="inlineStr">
        <is>
          <t>sbol_wasDerivedFrom</t>
        </is>
      </c>
      <c r="D19" s="23" t="inlineStr">
        <is>
          <t>http://sbols.org/v2#</t>
        </is>
      </c>
      <c r="E19" s="23" t="inlineStr">
        <is>
          <t>URI</t>
        </is>
      </c>
      <c r="F19" s="23" t="inlineStr">
        <is>
          <t>""</t>
        </is>
      </c>
      <c r="G19" s="23" t="inlineStr">
        <is>
          <t>""</t>
        </is>
      </c>
      <c r="H19" s="23" t="inlineStr"/>
      <c r="I19" s="23" t="b">
        <v>0</v>
      </c>
      <c r="J19" s="23" t="b">
        <v>0</v>
      </c>
      <c r="K19" s="23" t="b">
        <v>0</v>
      </c>
      <c r="L19" s="23" t="b">
        <v>0</v>
      </c>
      <c r="M19" s="23" t="b">
        <v>0</v>
      </c>
      <c r="N19" s="23" t="inlineStr"/>
      <c r="O19" s="23" t="inlineStr"/>
      <c r="P19" s="23" t="inlineStr"/>
      <c r="Q19" s="23" t="inlineStr"/>
      <c r="R19" s="23" t="b">
        <v>0</v>
      </c>
      <c r="S19" s="23" t="inlineStr"/>
    </row>
    <row r="20">
      <c r="A20" s="23" t="inlineStr">
        <is>
          <t>rbs</t>
        </is>
      </c>
      <c r="B20" s="23" t="inlineStr">
        <is>
          <t>RBS Description</t>
        </is>
      </c>
      <c r="C20" s="23" t="inlineStr">
        <is>
          <t>sbol_description</t>
        </is>
      </c>
      <c r="D20" s="23" t="inlineStr">
        <is>
          <t>http://purl.org/dc/terms/#</t>
        </is>
      </c>
      <c r="E20" s="23" t="inlineStr">
        <is>
          <t>String</t>
        </is>
      </c>
      <c r="F20" s="23" t="inlineStr">
        <is>
          <t>""</t>
        </is>
      </c>
      <c r="G20" s="23" t="inlineStr">
        <is>
          <t>""</t>
        </is>
      </c>
      <c r="H20" s="23" t="inlineStr"/>
      <c r="I20" s="23" t="b">
        <v>0</v>
      </c>
      <c r="J20" s="23" t="b">
        <v>0</v>
      </c>
      <c r="K20" s="23" t="b">
        <v>0</v>
      </c>
      <c r="L20" s="23" t="b">
        <v>0</v>
      </c>
      <c r="M20" s="23" t="b">
        <v>0</v>
      </c>
      <c r="N20" s="23" t="inlineStr"/>
      <c r="O20" s="23" t="inlineStr"/>
      <c r="P20" s="23" t="inlineStr"/>
      <c r="Q20" s="23" t="inlineStr"/>
      <c r="R20" s="23" t="b">
        <v>0</v>
      </c>
      <c r="S20" s="23" t="inlineStr"/>
    </row>
    <row r="21">
      <c r="A21" s="23" t="inlineStr">
        <is>
          <t>rbs</t>
        </is>
      </c>
      <c r="B21" s="23" t="inlineStr">
        <is>
          <t>Data Source</t>
        </is>
      </c>
      <c r="C21" s="23" t="inlineStr">
        <is>
          <t>sbol_wasDerivedFrom</t>
        </is>
      </c>
      <c r="D21" s="23" t="inlineStr">
        <is>
          <t>http://sbols.org/v2#</t>
        </is>
      </c>
      <c r="E21" s="23" t="inlineStr">
        <is>
          <t>URI</t>
        </is>
      </c>
      <c r="F21" s="23" t="inlineStr">
        <is>
          <t>""</t>
        </is>
      </c>
      <c r="G21" s="23" t="inlineStr">
        <is>
          <t>""</t>
        </is>
      </c>
      <c r="H21" s="23" t="inlineStr"/>
      <c r="I21" s="23" t="b">
        <v>0</v>
      </c>
      <c r="J21" s="23" t="b">
        <v>0</v>
      </c>
      <c r="K21" s="23" t="b">
        <v>0</v>
      </c>
      <c r="L21" s="23" t="b">
        <v>0</v>
      </c>
      <c r="M21" s="23" t="b">
        <v>0</v>
      </c>
      <c r="N21" s="23" t="inlineStr"/>
      <c r="O21" s="23" t="inlineStr"/>
      <c r="P21" s="23" t="inlineStr"/>
      <c r="Q21" s="23" t="inlineStr"/>
      <c r="R21" s="23" t="b">
        <v>0</v>
      </c>
      <c r="S21" s="23" t="inlineStr"/>
    </row>
    <row r="22">
      <c r="A22" s="23" t="inlineStr">
        <is>
          <t>rbs</t>
        </is>
      </c>
      <c r="B22" s="23" t="inlineStr">
        <is>
          <t>PubMed ID</t>
        </is>
      </c>
      <c r="C22" s="23" t="inlineStr">
        <is>
          <t>obo_OBI_0001617</t>
        </is>
      </c>
      <c r="D22" s="23" t="inlineStr">
        <is>
          <t>http://purl.obolibrary.org/obo/</t>
        </is>
      </c>
      <c r="E22" s="23" t="inlineStr">
        <is>
          <t>String</t>
        </is>
      </c>
      <c r="F22" s="23" t="inlineStr">
        <is>
          <t>""</t>
        </is>
      </c>
      <c r="G22" s="23" t="inlineStr">
        <is>
          <t>""</t>
        </is>
      </c>
      <c r="H22" s="23" t="inlineStr"/>
      <c r="I22" s="23" t="b">
        <v>0</v>
      </c>
      <c r="J22" s="23" t="b">
        <v>0</v>
      </c>
      <c r="K22" s="23" t="b">
        <v>0</v>
      </c>
      <c r="L22" s="23" t="b">
        <v>0</v>
      </c>
      <c r="M22" s="23" t="b">
        <v>0</v>
      </c>
      <c r="N22" s="23" t="inlineStr"/>
      <c r="O22" s="23" t="inlineStr"/>
      <c r="P22" s="23" t="inlineStr"/>
      <c r="Q22" s="23" t="inlineStr"/>
      <c r="R22" s="23" t="b">
        <v>0</v>
      </c>
      <c r="S22" s="23" t="inlineStr"/>
    </row>
    <row r="23">
      <c r="A23" s="23" t="inlineStr">
        <is>
          <t>rbs</t>
        </is>
      </c>
      <c r="B23" s="23" t="inlineStr">
        <is>
          <t>DOI</t>
        </is>
      </c>
      <c r="C23" s="23" t="inlineStr">
        <is>
          <t>sbol_wasDerivedFrom</t>
        </is>
      </c>
      <c r="D23" s="23" t="inlineStr">
        <is>
          <t>http://sbols.org/v2#</t>
        </is>
      </c>
      <c r="E23" s="23" t="inlineStr">
        <is>
          <t>URI</t>
        </is>
      </c>
      <c r="F23" s="23" t="inlineStr">
        <is>
          <t>""</t>
        </is>
      </c>
      <c r="G23" s="23" t="inlineStr">
        <is>
          <t>""</t>
        </is>
      </c>
      <c r="H23" s="23" t="inlineStr"/>
      <c r="I23" s="23" t="b">
        <v>0</v>
      </c>
      <c r="J23" s="23" t="b">
        <v>0</v>
      </c>
      <c r="K23" s="23" t="b">
        <v>0</v>
      </c>
      <c r="L23" s="23" t="b">
        <v>0</v>
      </c>
      <c r="M23" s="23" t="b">
        <v>0</v>
      </c>
      <c r="N23" s="23" t="inlineStr"/>
      <c r="O23" s="23" t="inlineStr"/>
      <c r="P23" s="23" t="inlineStr"/>
      <c r="Q23" s="23" t="inlineStr"/>
      <c r="R23" s="23" t="b">
        <v>0</v>
      </c>
      <c r="S23" s="23" t="inlineStr"/>
    </row>
    <row r="24">
      <c r="A24" s="23" t="inlineStr">
        <is>
          <t>rbs</t>
        </is>
      </c>
      <c r="B24" s="23" t="inlineStr">
        <is>
          <t>Source Organism</t>
        </is>
      </c>
      <c r="C24" s="23" t="inlineStr">
        <is>
          <t>sbh_sourceOrganism</t>
        </is>
      </c>
      <c r="D24" s="23" t="inlineStr">
        <is>
          <t>https://wiki.synbiohub.org/wiki/Terms/synbiohub#</t>
        </is>
      </c>
      <c r="E24" s="23" t="inlineStr">
        <is>
          <t>URI</t>
        </is>
      </c>
      <c r="F24" s="23" t="inlineStr">
        <is>
          <t>""</t>
        </is>
      </c>
      <c r="G24" s="23" t="inlineStr">
        <is>
          <t>""</t>
        </is>
      </c>
      <c r="H24" s="23" t="inlineStr"/>
      <c r="I24" s="23" t="b">
        <v>0</v>
      </c>
      <c r="J24" s="23" t="b">
        <v>1</v>
      </c>
      <c r="K24" s="23" t="b">
        <v>0</v>
      </c>
      <c r="L24" s="23" t="b">
        <v>0</v>
      </c>
      <c r="M24" s="23" t="b">
        <v>0</v>
      </c>
      <c r="N24" s="23" t="inlineStr">
        <is>
          <t>NCBITaxon</t>
        </is>
      </c>
      <c r="O24" s="23" t="inlineStr">
        <is>
          <t>organism_terms</t>
        </is>
      </c>
      <c r="P24" s="23" t="inlineStr">
        <is>
          <t>A</t>
        </is>
      </c>
      <c r="Q24" s="23" t="inlineStr">
        <is>
          <t>B</t>
        </is>
      </c>
      <c r="R24" s="23" t="b">
        <v>0</v>
      </c>
      <c r="S24" s="23" t="inlineStr"/>
    </row>
    <row r="25">
      <c r="A25" s="23" t="inlineStr">
        <is>
          <t>rbs</t>
        </is>
      </c>
      <c r="B25" s="23" t="inlineStr">
        <is>
          <t>Length (bp)</t>
        </is>
      </c>
      <c r="C25" s="23" t="inlineStr">
        <is>
          <t>Not_applicable</t>
        </is>
      </c>
      <c r="D25" s="23" t="inlineStr">
        <is>
          <t>Not_applicable</t>
        </is>
      </c>
      <c r="E25" s="23" t="inlineStr">
        <is>
          <t>Not_applicable</t>
        </is>
      </c>
      <c r="F25" s="23" t="inlineStr">
        <is>
          <t>""</t>
        </is>
      </c>
      <c r="G25" s="23" t="inlineStr">
        <is>
          <t>""</t>
        </is>
      </c>
      <c r="H25" s="23" t="inlineStr"/>
      <c r="I25" s="23" t="b">
        <v>0</v>
      </c>
      <c r="J25" s="23" t="b">
        <v>0</v>
      </c>
      <c r="K25" s="23" t="b">
        <v>0</v>
      </c>
      <c r="L25" s="23" t="b">
        <v>0</v>
      </c>
      <c r="M25" s="23" t="b">
        <v>0</v>
      </c>
      <c r="N25" s="23" t="inlineStr"/>
      <c r="O25" s="23" t="inlineStr"/>
      <c r="P25" s="23" t="inlineStr"/>
      <c r="Q25" s="23" t="inlineStr"/>
      <c r="R25" s="23" t="b">
        <v>0</v>
      </c>
      <c r="S25" s="23" t="inlineStr"/>
    </row>
    <row r="26">
      <c r="A26" s="23" t="inlineStr">
        <is>
          <t>rbs</t>
        </is>
      </c>
      <c r="B26" s="23" t="inlineStr">
        <is>
          <t>Sequence</t>
        </is>
      </c>
      <c r="C26" s="23" t="inlineStr">
        <is>
          <t>sbol_sequence</t>
        </is>
      </c>
      <c r="D26" s="23" t="inlineStr">
        <is>
          <t>http://sbols.org/v2#</t>
        </is>
      </c>
      <c r="E26" s="23" t="inlineStr">
        <is>
          <t>String</t>
        </is>
      </c>
      <c r="F26" s="23" t="inlineStr">
        <is>
          <t>""</t>
        </is>
      </c>
      <c r="G26" s="23" t="inlineStr">
        <is>
          <t>""</t>
        </is>
      </c>
      <c r="H26" s="23" t="inlineStr"/>
      <c r="I26" s="23" t="b">
        <v>0</v>
      </c>
      <c r="J26" s="23" t="b">
        <v>0</v>
      </c>
      <c r="K26" s="23" t="b">
        <v>0</v>
      </c>
      <c r="L26" s="23" t="b">
        <v>0</v>
      </c>
      <c r="M26" s="23" t="b">
        <v>0</v>
      </c>
      <c r="N26" s="23" t="inlineStr"/>
      <c r="O26" s="23" t="inlineStr"/>
      <c r="P26" s="23" t="inlineStr"/>
      <c r="Q26" s="23" t="inlineStr"/>
      <c r="R26" s="23" t="b">
        <v>0</v>
      </c>
      <c r="S26" s="23" t="inlineStr"/>
    </row>
    <row r="27">
      <c r="A27" s="23" t="inlineStr">
        <is>
          <t>cds</t>
        </is>
      </c>
      <c r="B27" s="23" t="inlineStr">
        <is>
          <t>CDS Name</t>
        </is>
      </c>
      <c r="C27" s="23" t="inlineStr">
        <is>
          <t>sbol_name</t>
        </is>
      </c>
      <c r="D27" s="23" t="inlineStr">
        <is>
          <t>http://sbols.org/v2#</t>
        </is>
      </c>
      <c r="E27" s="23" t="inlineStr">
        <is>
          <t>String</t>
        </is>
      </c>
      <c r="F27" s="23" t="inlineStr">
        <is>
          <t>""</t>
        </is>
      </c>
      <c r="G27" s="23" t="inlineStr">
        <is>
          <t>""</t>
        </is>
      </c>
      <c r="H27" s="23" t="inlineStr"/>
      <c r="I27" s="23" t="b">
        <v>0</v>
      </c>
      <c r="J27" s="23" t="b">
        <v>0</v>
      </c>
      <c r="K27" s="23" t="b">
        <v>0</v>
      </c>
      <c r="L27" s="23" t="b">
        <v>0</v>
      </c>
      <c r="M27" s="23" t="b">
        <v>0</v>
      </c>
      <c r="N27" s="23" t="inlineStr"/>
      <c r="O27" s="23" t="inlineStr"/>
      <c r="P27" s="23" t="inlineStr"/>
      <c r="Q27" s="23" t="inlineStr"/>
      <c r="R27" s="23" t="b">
        <v>0</v>
      </c>
      <c r="S27" s="23" t="inlineStr"/>
    </row>
    <row r="28">
      <c r="A28" s="23" t="inlineStr">
        <is>
          <t>cds</t>
        </is>
      </c>
      <c r="B28" s="23" t="inlineStr">
        <is>
          <t>CDS ID</t>
        </is>
      </c>
      <c r="C28" s="23" t="inlineStr">
        <is>
          <t>sbol_displayId</t>
        </is>
      </c>
      <c r="D28" s="23" t="inlineStr">
        <is>
          <t>http://sbols.org/v2#</t>
        </is>
      </c>
      <c r="E28" s="23" t="inlineStr">
        <is>
          <t>String</t>
        </is>
      </c>
      <c r="F28" s="23" t="inlineStr">
        <is>
          <t>""</t>
        </is>
      </c>
      <c r="G28" s="23" t="inlineStr">
        <is>
          <t>""</t>
        </is>
      </c>
      <c r="H28" s="23" t="inlineStr"/>
      <c r="I28" s="23" t="b">
        <v>0</v>
      </c>
      <c r="J28" s="23" t="b">
        <v>0</v>
      </c>
      <c r="K28" s="23" t="b">
        <v>0</v>
      </c>
      <c r="L28" s="23" t="b">
        <v>0</v>
      </c>
      <c r="M28" s="23" t="b">
        <v>0</v>
      </c>
      <c r="N28" s="23" t="inlineStr"/>
      <c r="O28" s="23" t="inlineStr"/>
      <c r="P28" s="23" t="inlineStr"/>
      <c r="Q28" s="23" t="inlineStr"/>
      <c r="R28" s="23" t="b">
        <v>0</v>
      </c>
      <c r="S28" s="23" t="inlineStr"/>
    </row>
    <row r="29">
      <c r="A29" s="23" t="inlineStr">
        <is>
          <t>cds</t>
        </is>
      </c>
      <c r="B29" s="23" t="inlineStr">
        <is>
          <t>Previous Version (URI)</t>
        </is>
      </c>
      <c r="C29" s="23" t="inlineStr">
        <is>
          <t>sbol_wasDerivedFrom</t>
        </is>
      </c>
      <c r="D29" s="23" t="inlineStr">
        <is>
          <t>http://sbols.org/v2#</t>
        </is>
      </c>
      <c r="E29" s="23" t="inlineStr">
        <is>
          <t>URI</t>
        </is>
      </c>
      <c r="F29" s="23" t="inlineStr">
        <is>
          <t>""</t>
        </is>
      </c>
      <c r="G29" s="23" t="inlineStr">
        <is>
          <t>""</t>
        </is>
      </c>
      <c r="H29" s="23" t="inlineStr"/>
      <c r="I29" s="23" t="b">
        <v>0</v>
      </c>
      <c r="J29" s="23" t="b">
        <v>0</v>
      </c>
      <c r="K29" s="23" t="b">
        <v>0</v>
      </c>
      <c r="L29" s="23" t="b">
        <v>0</v>
      </c>
      <c r="M29" s="23" t="b">
        <v>0</v>
      </c>
      <c r="N29" s="23" t="inlineStr"/>
      <c r="O29" s="23" t="inlineStr"/>
      <c r="P29" s="23" t="inlineStr"/>
      <c r="Q29" s="23" t="inlineStr"/>
      <c r="R29" s="23" t="b">
        <v>0</v>
      </c>
      <c r="S29" s="23" t="inlineStr"/>
    </row>
    <row r="30">
      <c r="A30" s="23" t="inlineStr">
        <is>
          <t>cds</t>
        </is>
      </c>
      <c r="B30" s="23" t="inlineStr">
        <is>
          <t>CDS Description</t>
        </is>
      </c>
      <c r="C30" s="23" t="inlineStr">
        <is>
          <t>sbol_description</t>
        </is>
      </c>
      <c r="D30" s="23" t="inlineStr">
        <is>
          <t>http://purl.org/dc/terms/#</t>
        </is>
      </c>
      <c r="E30" s="23" t="inlineStr">
        <is>
          <t>String</t>
        </is>
      </c>
      <c r="F30" s="23" t="inlineStr">
        <is>
          <t>""</t>
        </is>
      </c>
      <c r="G30" s="23" t="inlineStr">
        <is>
          <t>""</t>
        </is>
      </c>
      <c r="H30" s="23" t="inlineStr"/>
      <c r="I30" s="23" t="b">
        <v>0</v>
      </c>
      <c r="J30" s="23" t="b">
        <v>0</v>
      </c>
      <c r="K30" s="23" t="b">
        <v>0</v>
      </c>
      <c r="L30" s="23" t="b">
        <v>0</v>
      </c>
      <c r="M30" s="23" t="b">
        <v>0</v>
      </c>
      <c r="N30" s="23" t="inlineStr"/>
      <c r="O30" s="23" t="inlineStr"/>
      <c r="P30" s="23" t="inlineStr"/>
      <c r="Q30" s="23" t="inlineStr"/>
      <c r="R30" s="23" t="b">
        <v>0</v>
      </c>
      <c r="S30" s="23" t="inlineStr"/>
    </row>
    <row r="31">
      <c r="A31" s="23" t="inlineStr">
        <is>
          <t>cds</t>
        </is>
      </c>
      <c r="B31" s="23" t="inlineStr">
        <is>
          <t>Data Source</t>
        </is>
      </c>
      <c r="C31" s="23" t="inlineStr">
        <is>
          <t>sbol_wasDerivedFrom</t>
        </is>
      </c>
      <c r="D31" s="23" t="inlineStr">
        <is>
          <t>http://sbols.org/v2#</t>
        </is>
      </c>
      <c r="E31" s="23" t="inlineStr">
        <is>
          <t>URI</t>
        </is>
      </c>
      <c r="F31" s="23" t="inlineStr">
        <is>
          <t>""</t>
        </is>
      </c>
      <c r="G31" s="23" t="inlineStr">
        <is>
          <t>""</t>
        </is>
      </c>
      <c r="H31" s="23" t="inlineStr"/>
      <c r="I31" s="23" t="b">
        <v>0</v>
      </c>
      <c r="J31" s="23" t="b">
        <v>0</v>
      </c>
      <c r="K31" s="23" t="b">
        <v>0</v>
      </c>
      <c r="L31" s="23" t="b">
        <v>0</v>
      </c>
      <c r="M31" s="23" t="b">
        <v>0</v>
      </c>
      <c r="N31" s="23" t="inlineStr"/>
      <c r="O31" s="23" t="inlineStr"/>
      <c r="P31" s="23" t="inlineStr"/>
      <c r="Q31" s="23" t="inlineStr"/>
      <c r="R31" s="23" t="b">
        <v>0</v>
      </c>
      <c r="S31" s="23" t="inlineStr"/>
    </row>
    <row r="32">
      <c r="A32" s="23" t="inlineStr">
        <is>
          <t>cds</t>
        </is>
      </c>
      <c r="B32" s="23" t="inlineStr">
        <is>
          <t>PubMed ID</t>
        </is>
      </c>
      <c r="C32" s="23" t="inlineStr">
        <is>
          <t>obo_OBI_0001617</t>
        </is>
      </c>
      <c r="D32" s="23" t="inlineStr">
        <is>
          <t>http://purl.obolibrary.org/obo/</t>
        </is>
      </c>
      <c r="E32" s="23" t="inlineStr">
        <is>
          <t>String</t>
        </is>
      </c>
      <c r="F32" s="23" t="inlineStr">
        <is>
          <t>""</t>
        </is>
      </c>
      <c r="G32" s="23" t="inlineStr">
        <is>
          <t>""</t>
        </is>
      </c>
      <c r="H32" s="23" t="inlineStr"/>
      <c r="I32" s="23" t="b">
        <v>0</v>
      </c>
      <c r="J32" s="23" t="b">
        <v>0</v>
      </c>
      <c r="K32" s="23" t="b">
        <v>0</v>
      </c>
      <c r="L32" s="23" t="b">
        <v>0</v>
      </c>
      <c r="M32" s="23" t="b">
        <v>0</v>
      </c>
      <c r="N32" s="23" t="inlineStr"/>
      <c r="O32" s="23" t="inlineStr"/>
      <c r="P32" s="23" t="inlineStr"/>
      <c r="Q32" s="23" t="inlineStr"/>
      <c r="R32" s="23" t="b">
        <v>0</v>
      </c>
      <c r="S32" s="23" t="inlineStr"/>
    </row>
    <row r="33">
      <c r="A33" s="23" t="inlineStr">
        <is>
          <t>cds</t>
        </is>
      </c>
      <c r="B33" s="23" t="inlineStr">
        <is>
          <t>DOI</t>
        </is>
      </c>
      <c r="C33" s="23" t="inlineStr">
        <is>
          <t>sbol_wasDerivedFrom</t>
        </is>
      </c>
      <c r="D33" s="23" t="inlineStr">
        <is>
          <t>http://sbols.org/v2#</t>
        </is>
      </c>
      <c r="E33" s="23" t="inlineStr">
        <is>
          <t>URI</t>
        </is>
      </c>
      <c r="F33" s="23" t="inlineStr">
        <is>
          <t>""</t>
        </is>
      </c>
      <c r="G33" s="23" t="inlineStr">
        <is>
          <t>""</t>
        </is>
      </c>
      <c r="H33" s="23" t="inlineStr"/>
      <c r="I33" s="23" t="b">
        <v>0</v>
      </c>
      <c r="J33" s="23" t="b">
        <v>0</v>
      </c>
      <c r="K33" s="23" t="b">
        <v>0</v>
      </c>
      <c r="L33" s="23" t="b">
        <v>0</v>
      </c>
      <c r="M33" s="23" t="b">
        <v>0</v>
      </c>
      <c r="N33" s="23" t="inlineStr"/>
      <c r="O33" s="23" t="inlineStr"/>
      <c r="P33" s="23" t="inlineStr"/>
      <c r="Q33" s="23" t="inlineStr"/>
      <c r="R33" s="23" t="b">
        <v>0</v>
      </c>
      <c r="S33" s="23" t="inlineStr"/>
    </row>
    <row r="34">
      <c r="A34" s="23" t="inlineStr">
        <is>
          <t>cds</t>
        </is>
      </c>
      <c r="B34" s="23" t="inlineStr">
        <is>
          <t>Source Organism</t>
        </is>
      </c>
      <c r="C34" s="23" t="inlineStr">
        <is>
          <t>sbh_sourceOrganism</t>
        </is>
      </c>
      <c r="D34" s="23" t="inlineStr">
        <is>
          <t>https://wiki.synbiohub.org/wiki/Terms/synbiohub#</t>
        </is>
      </c>
      <c r="E34" s="23" t="inlineStr">
        <is>
          <t>URI</t>
        </is>
      </c>
      <c r="F34" s="23" t="inlineStr">
        <is>
          <t>""</t>
        </is>
      </c>
      <c r="G34" s="23" t="inlineStr">
        <is>
          <t>""</t>
        </is>
      </c>
      <c r="H34" s="23" t="inlineStr"/>
      <c r="I34" s="23" t="b">
        <v>0</v>
      </c>
      <c r="J34" s="23" t="b">
        <v>1</v>
      </c>
      <c r="K34" s="23" t="b">
        <v>0</v>
      </c>
      <c r="L34" s="23" t="b">
        <v>0</v>
      </c>
      <c r="M34" s="23" t="b">
        <v>0</v>
      </c>
      <c r="N34" s="23" t="inlineStr">
        <is>
          <t>NCBITaxon</t>
        </is>
      </c>
      <c r="O34" s="23" t="inlineStr">
        <is>
          <t>organism_terms</t>
        </is>
      </c>
      <c r="P34" s="23" t="inlineStr">
        <is>
          <t>A</t>
        </is>
      </c>
      <c r="Q34" s="23" t="inlineStr">
        <is>
          <t>B</t>
        </is>
      </c>
      <c r="R34" s="23" t="b">
        <v>0</v>
      </c>
      <c r="S34" s="23" t="inlineStr"/>
    </row>
    <row r="35">
      <c r="A35" s="23" t="inlineStr">
        <is>
          <t>cds</t>
        </is>
      </c>
      <c r="B35" s="23" t="inlineStr">
        <is>
          <t>Encodes for</t>
        </is>
      </c>
      <c r="C35" s="23" t="inlineStr">
        <is>
          <t>sbol_encodesFor</t>
        </is>
      </c>
      <c r="D35" s="23" t="inlineStr">
        <is>
          <t>https://wiki.synbiohub.org/wiki/Terms/synbiohub#</t>
        </is>
      </c>
      <c r="E35" s="23" t="inlineStr">
        <is>
          <t>URI</t>
        </is>
      </c>
      <c r="F35" s="23" t="inlineStr">
        <is>
          <t>""</t>
        </is>
      </c>
      <c r="G35" s="23" t="inlineStr">
        <is>
          <t>""</t>
        </is>
      </c>
      <c r="H35" s="23" t="inlineStr"/>
      <c r="I35" s="23" t="b">
        <v>0</v>
      </c>
      <c r="J35" s="23" t="b">
        <v>0</v>
      </c>
      <c r="K35" s="23" t="b">
        <v>0</v>
      </c>
      <c r="L35" s="23" t="b">
        <v>1</v>
      </c>
      <c r="M35" s="23" t="b">
        <v>0</v>
      </c>
      <c r="N35" s="23" t="inlineStr"/>
      <c r="O35" s="23" t="inlineStr"/>
      <c r="P35" s="23" t="inlineStr"/>
      <c r="Q35" s="23" t="inlineStr"/>
      <c r="R35" s="23" t="b">
        <v>0</v>
      </c>
      <c r="S35" s="23" t="inlineStr"/>
    </row>
    <row r="36">
      <c r="A36" s="23" t="inlineStr">
        <is>
          <t>cds</t>
        </is>
      </c>
      <c r="B36" s="23" t="inlineStr">
        <is>
          <t>Length (bp)</t>
        </is>
      </c>
      <c r="C36" s="23" t="inlineStr">
        <is>
          <t>Not_applicable</t>
        </is>
      </c>
      <c r="D36" s="23" t="inlineStr">
        <is>
          <t>Not_applicable</t>
        </is>
      </c>
      <c r="E36" s="23" t="inlineStr">
        <is>
          <t>Not_applicable</t>
        </is>
      </c>
      <c r="F36" s="23" t="inlineStr">
        <is>
          <t>""</t>
        </is>
      </c>
      <c r="G36" s="23" t="inlineStr">
        <is>
          <t>""</t>
        </is>
      </c>
      <c r="H36" s="23" t="inlineStr"/>
      <c r="I36" s="23" t="b">
        <v>0</v>
      </c>
      <c r="J36" s="23" t="b">
        <v>0</v>
      </c>
      <c r="K36" s="23" t="b">
        <v>0</v>
      </c>
      <c r="L36" s="23" t="b">
        <v>0</v>
      </c>
      <c r="M36" s="23" t="b">
        <v>0</v>
      </c>
      <c r="N36" s="23" t="inlineStr"/>
      <c r="O36" s="23" t="inlineStr"/>
      <c r="P36" s="23" t="inlineStr"/>
      <c r="Q36" s="23" t="inlineStr"/>
      <c r="R36" s="23" t="b">
        <v>0</v>
      </c>
      <c r="S36" s="23" t="inlineStr"/>
    </row>
    <row r="37">
      <c r="A37" s="23" t="inlineStr">
        <is>
          <t>cds</t>
        </is>
      </c>
      <c r="B37" s="23" t="inlineStr">
        <is>
          <t>Sequence</t>
        </is>
      </c>
      <c r="C37" s="23" t="inlineStr">
        <is>
          <t>sbol_sequence</t>
        </is>
      </c>
      <c r="D37" s="23" t="inlineStr">
        <is>
          <t>http://sbols.org/v2#</t>
        </is>
      </c>
      <c r="E37" s="23" t="inlineStr">
        <is>
          <t>String</t>
        </is>
      </c>
      <c r="F37" s="23" t="inlineStr">
        <is>
          <t>""</t>
        </is>
      </c>
      <c r="G37" s="23" t="inlineStr">
        <is>
          <t>""</t>
        </is>
      </c>
      <c r="H37" s="23" t="inlineStr"/>
      <c r="I37" s="23" t="b">
        <v>0</v>
      </c>
      <c r="J37" s="23" t="b">
        <v>0</v>
      </c>
      <c r="K37" s="23" t="b">
        <v>0</v>
      </c>
      <c r="L37" s="23" t="b">
        <v>0</v>
      </c>
      <c r="M37" s="23" t="b">
        <v>0</v>
      </c>
      <c r="N37" s="23" t="inlineStr"/>
      <c r="O37" s="23" t="inlineStr"/>
      <c r="P37" s="23" t="inlineStr"/>
      <c r="Q37" s="23" t="inlineStr"/>
      <c r="R37" s="23" t="b">
        <v>0</v>
      </c>
      <c r="S37" s="23" t="inlineStr"/>
    </row>
    <row r="38">
      <c r="A38" s="23" t="inlineStr">
        <is>
          <t>cds</t>
        </is>
      </c>
      <c r="B38" s="23" t="inlineStr">
        <is>
          <t>Translate to Protein</t>
        </is>
      </c>
      <c r="C38" s="23" t="inlineStr">
        <is>
          <t>Not_applicable</t>
        </is>
      </c>
      <c r="D38" s="23" t="inlineStr">
        <is>
          <t>Not_applicable</t>
        </is>
      </c>
      <c r="E38" s="23" t="inlineStr">
        <is>
          <t>Not_applicable</t>
        </is>
      </c>
      <c r="F38" s="23" t="inlineStr">
        <is>
          <t>""</t>
        </is>
      </c>
      <c r="G38" s="23" t="inlineStr">
        <is>
          <t>""</t>
        </is>
      </c>
      <c r="H38" s="23" t="inlineStr"/>
      <c r="I38" s="23" t="b">
        <v>0</v>
      </c>
      <c r="J38" s="23" t="b">
        <v>0</v>
      </c>
      <c r="K38" s="23" t="b">
        <v>0</v>
      </c>
      <c r="L38" s="23" t="b">
        <v>0</v>
      </c>
      <c r="M38" s="23" t="b">
        <v>0</v>
      </c>
      <c r="N38" s="23" t="inlineStr"/>
      <c r="O38" s="23" t="inlineStr"/>
      <c r="P38" s="23" t="inlineStr"/>
      <c r="Q38" s="23" t="inlineStr"/>
      <c r="R38" s="23" t="b">
        <v>0</v>
      </c>
      <c r="S38" s="23" t="inlineStr">
        <is>
          <t>protein</t>
        </is>
      </c>
    </row>
    <row r="39">
      <c r="A39" s="23" t="inlineStr">
        <is>
          <t>terminator</t>
        </is>
      </c>
      <c r="B39" s="23" t="inlineStr">
        <is>
          <t>Terminator Name</t>
        </is>
      </c>
      <c r="C39" s="23" t="inlineStr">
        <is>
          <t>sbol_name</t>
        </is>
      </c>
      <c r="D39" s="23" t="inlineStr">
        <is>
          <t>http://sbols.org/v2#</t>
        </is>
      </c>
      <c r="E39" s="23" t="inlineStr">
        <is>
          <t>String</t>
        </is>
      </c>
      <c r="F39" s="23" t="inlineStr">
        <is>
          <t>""</t>
        </is>
      </c>
      <c r="G39" s="23" t="inlineStr">
        <is>
          <t>""</t>
        </is>
      </c>
      <c r="H39" s="23" t="inlineStr"/>
      <c r="I39" s="23" t="b">
        <v>0</v>
      </c>
      <c r="J39" s="23" t="b">
        <v>0</v>
      </c>
      <c r="K39" s="23" t="b">
        <v>0</v>
      </c>
      <c r="L39" s="23" t="b">
        <v>0</v>
      </c>
      <c r="M39" s="23" t="b">
        <v>0</v>
      </c>
      <c r="N39" s="23" t="inlineStr"/>
      <c r="O39" s="23" t="inlineStr"/>
      <c r="P39" s="23" t="inlineStr"/>
      <c r="Q39" s="23" t="inlineStr"/>
      <c r="R39" s="23" t="b">
        <v>0</v>
      </c>
      <c r="S39" s="23" t="inlineStr"/>
    </row>
    <row r="40">
      <c r="A40" s="23" t="inlineStr">
        <is>
          <t>terminator</t>
        </is>
      </c>
      <c r="B40" s="23" t="inlineStr">
        <is>
          <t>Terminator ID</t>
        </is>
      </c>
      <c r="C40" s="23" t="inlineStr">
        <is>
          <t>sbol_displayId</t>
        </is>
      </c>
      <c r="D40" s="23" t="inlineStr">
        <is>
          <t>http://sbols.org/v2#</t>
        </is>
      </c>
      <c r="E40" s="23" t="inlineStr">
        <is>
          <t>String</t>
        </is>
      </c>
      <c r="F40" s="23" t="inlineStr">
        <is>
          <t>""</t>
        </is>
      </c>
      <c r="G40" s="23" t="inlineStr">
        <is>
          <t>""</t>
        </is>
      </c>
      <c r="H40" s="23" t="inlineStr"/>
      <c r="I40" s="23" t="b">
        <v>0</v>
      </c>
      <c r="J40" s="23" t="b">
        <v>0</v>
      </c>
      <c r="K40" s="23" t="b">
        <v>0</v>
      </c>
      <c r="L40" s="23" t="b">
        <v>0</v>
      </c>
      <c r="M40" s="23" t="b">
        <v>0</v>
      </c>
      <c r="N40" s="23" t="inlineStr"/>
      <c r="O40" s="23" t="inlineStr"/>
      <c r="P40" s="23" t="inlineStr"/>
      <c r="Q40" s="23" t="inlineStr"/>
      <c r="R40" s="23" t="b">
        <v>0</v>
      </c>
      <c r="S40" s="23" t="inlineStr"/>
    </row>
    <row r="41">
      <c r="A41" s="23" t="inlineStr">
        <is>
          <t>terminator</t>
        </is>
      </c>
      <c r="B41" s="23" t="inlineStr">
        <is>
          <t>Previous Version (URI)</t>
        </is>
      </c>
      <c r="C41" s="23" t="inlineStr">
        <is>
          <t>sbol_wasDerivedFrom</t>
        </is>
      </c>
      <c r="D41" s="23" t="inlineStr">
        <is>
          <t>http://sbols.org/v2#</t>
        </is>
      </c>
      <c r="E41" s="23" t="inlineStr">
        <is>
          <t>URI</t>
        </is>
      </c>
      <c r="F41" s="23" t="inlineStr">
        <is>
          <t>""</t>
        </is>
      </c>
      <c r="G41" s="23" t="inlineStr">
        <is>
          <t>""</t>
        </is>
      </c>
      <c r="H41" s="23" t="inlineStr"/>
      <c r="I41" s="23" t="b">
        <v>0</v>
      </c>
      <c r="J41" s="23" t="b">
        <v>0</v>
      </c>
      <c r="K41" s="23" t="b">
        <v>0</v>
      </c>
      <c r="L41" s="23" t="b">
        <v>0</v>
      </c>
      <c r="M41" s="23" t="b">
        <v>0</v>
      </c>
      <c r="N41" s="23" t="inlineStr"/>
      <c r="O41" s="23" t="inlineStr"/>
      <c r="P41" s="23" t="inlineStr"/>
      <c r="Q41" s="23" t="inlineStr"/>
      <c r="R41" s="23" t="b">
        <v>0</v>
      </c>
      <c r="S41" s="23" t="inlineStr"/>
    </row>
    <row r="42">
      <c r="A42" s="23" t="inlineStr">
        <is>
          <t>terminator</t>
        </is>
      </c>
      <c r="B42" s="23" t="inlineStr">
        <is>
          <t>Terminator Description</t>
        </is>
      </c>
      <c r="C42" s="23" t="inlineStr">
        <is>
          <t>sbol_description</t>
        </is>
      </c>
      <c r="D42" s="23" t="inlineStr">
        <is>
          <t>http://purl.org/dc/terms/#</t>
        </is>
      </c>
      <c r="E42" s="23" t="inlineStr">
        <is>
          <t>String</t>
        </is>
      </c>
      <c r="F42" s="23" t="inlineStr">
        <is>
          <t>""</t>
        </is>
      </c>
      <c r="G42" s="23" t="inlineStr">
        <is>
          <t>""</t>
        </is>
      </c>
      <c r="H42" s="23" t="inlineStr"/>
      <c r="I42" s="23" t="b">
        <v>0</v>
      </c>
      <c r="J42" s="23" t="b">
        <v>0</v>
      </c>
      <c r="K42" s="23" t="b">
        <v>0</v>
      </c>
      <c r="L42" s="23" t="b">
        <v>0</v>
      </c>
      <c r="M42" s="23" t="b">
        <v>0</v>
      </c>
      <c r="N42" s="23" t="inlineStr"/>
      <c r="O42" s="23" t="inlineStr"/>
      <c r="P42" s="23" t="inlineStr"/>
      <c r="Q42" s="23" t="inlineStr"/>
      <c r="R42" s="23" t="b">
        <v>0</v>
      </c>
      <c r="S42" s="23" t="inlineStr"/>
    </row>
    <row r="43">
      <c r="A43" s="23" t="inlineStr">
        <is>
          <t>terminator</t>
        </is>
      </c>
      <c r="B43" s="23" t="inlineStr">
        <is>
          <t>Data Source</t>
        </is>
      </c>
      <c r="C43" s="23" t="inlineStr">
        <is>
          <t>sbol_wasDerivedFrom</t>
        </is>
      </c>
      <c r="D43" s="23" t="inlineStr">
        <is>
          <t>http://sbols.org/v2#</t>
        </is>
      </c>
      <c r="E43" s="23" t="inlineStr">
        <is>
          <t>URI</t>
        </is>
      </c>
      <c r="F43" s="23" t="inlineStr">
        <is>
          <t>""</t>
        </is>
      </c>
      <c r="G43" s="23" t="inlineStr">
        <is>
          <t>""</t>
        </is>
      </c>
      <c r="H43" s="23" t="inlineStr"/>
      <c r="I43" s="23" t="b">
        <v>0</v>
      </c>
      <c r="J43" s="23" t="b">
        <v>0</v>
      </c>
      <c r="K43" s="23" t="b">
        <v>0</v>
      </c>
      <c r="L43" s="23" t="b">
        <v>0</v>
      </c>
      <c r="M43" s="23" t="b">
        <v>0</v>
      </c>
      <c r="N43" s="23" t="inlineStr"/>
      <c r="O43" s="23" t="inlineStr"/>
      <c r="P43" s="23" t="inlineStr"/>
      <c r="Q43" s="23" t="inlineStr"/>
      <c r="R43" s="23" t="b">
        <v>0</v>
      </c>
      <c r="S43" s="23" t="inlineStr"/>
    </row>
    <row r="44">
      <c r="A44" s="23" t="inlineStr">
        <is>
          <t>terminator</t>
        </is>
      </c>
      <c r="B44" s="23" t="inlineStr">
        <is>
          <t>PubMed ID</t>
        </is>
      </c>
      <c r="C44" s="23" t="inlineStr">
        <is>
          <t>obo_OBI_0001617</t>
        </is>
      </c>
      <c r="D44" s="23" t="inlineStr">
        <is>
          <t>http://purl.obolibrary.org/obo/</t>
        </is>
      </c>
      <c r="E44" s="23" t="inlineStr">
        <is>
          <t>String</t>
        </is>
      </c>
      <c r="F44" s="23" t="inlineStr">
        <is>
          <t>""</t>
        </is>
      </c>
      <c r="G44" s="23" t="inlineStr">
        <is>
          <t>""</t>
        </is>
      </c>
      <c r="H44" s="23" t="inlineStr"/>
      <c r="I44" s="23" t="b">
        <v>0</v>
      </c>
      <c r="J44" s="23" t="b">
        <v>0</v>
      </c>
      <c r="K44" s="23" t="b">
        <v>0</v>
      </c>
      <c r="L44" s="23" t="b">
        <v>0</v>
      </c>
      <c r="M44" s="23" t="b">
        <v>0</v>
      </c>
      <c r="N44" s="23" t="inlineStr"/>
      <c r="O44" s="23" t="inlineStr"/>
      <c r="P44" s="23" t="inlineStr"/>
      <c r="Q44" s="23" t="inlineStr"/>
      <c r="R44" s="23" t="b">
        <v>0</v>
      </c>
      <c r="S44" s="23" t="inlineStr"/>
    </row>
    <row r="45">
      <c r="A45" s="23" t="inlineStr">
        <is>
          <t>terminator</t>
        </is>
      </c>
      <c r="B45" s="23" t="inlineStr">
        <is>
          <t>DOI</t>
        </is>
      </c>
      <c r="C45" s="23" t="inlineStr">
        <is>
          <t>sbol_wasDerivedFrom</t>
        </is>
      </c>
      <c r="D45" s="23" t="inlineStr">
        <is>
          <t>http://sbols.org/v2#</t>
        </is>
      </c>
      <c r="E45" s="23" t="inlineStr">
        <is>
          <t>URI</t>
        </is>
      </c>
      <c r="F45" s="23" t="inlineStr">
        <is>
          <t>""</t>
        </is>
      </c>
      <c r="G45" s="23" t="inlineStr">
        <is>
          <t>""</t>
        </is>
      </c>
      <c r="H45" s="23" t="inlineStr"/>
      <c r="I45" s="23" t="b">
        <v>0</v>
      </c>
      <c r="J45" s="23" t="b">
        <v>0</v>
      </c>
      <c r="K45" s="23" t="b">
        <v>0</v>
      </c>
      <c r="L45" s="23" t="b">
        <v>0</v>
      </c>
      <c r="M45" s="23" t="b">
        <v>0</v>
      </c>
      <c r="N45" s="23" t="inlineStr"/>
      <c r="O45" s="23" t="inlineStr"/>
      <c r="P45" s="23" t="inlineStr"/>
      <c r="Q45" s="23" t="inlineStr"/>
      <c r="R45" s="23" t="b">
        <v>0</v>
      </c>
      <c r="S45" s="23" t="inlineStr"/>
    </row>
    <row r="46">
      <c r="A46" s="23" t="inlineStr">
        <is>
          <t>terminator</t>
        </is>
      </c>
      <c r="B46" s="23" t="inlineStr">
        <is>
          <t>Source Organism</t>
        </is>
      </c>
      <c r="C46" s="23" t="inlineStr">
        <is>
          <t>sbh_sourceOrganism</t>
        </is>
      </c>
      <c r="D46" s="23" t="inlineStr">
        <is>
          <t>https://wiki.synbiohub.org/wiki/Terms/synbiohub#</t>
        </is>
      </c>
      <c r="E46" s="23" t="inlineStr">
        <is>
          <t>URI</t>
        </is>
      </c>
      <c r="F46" s="23" t="inlineStr">
        <is>
          <t>""</t>
        </is>
      </c>
      <c r="G46" s="23" t="inlineStr">
        <is>
          <t>""</t>
        </is>
      </c>
      <c r="H46" s="23" t="inlineStr"/>
      <c r="I46" s="23" t="b">
        <v>0</v>
      </c>
      <c r="J46" s="23" t="b">
        <v>1</v>
      </c>
      <c r="K46" s="23" t="b">
        <v>0</v>
      </c>
      <c r="L46" s="23" t="b">
        <v>0</v>
      </c>
      <c r="M46" s="23" t="b">
        <v>0</v>
      </c>
      <c r="N46" s="23" t="inlineStr">
        <is>
          <t>NCBITaxon</t>
        </is>
      </c>
      <c r="O46" s="23" t="inlineStr">
        <is>
          <t>organism_terms</t>
        </is>
      </c>
      <c r="P46" s="23" t="inlineStr">
        <is>
          <t>A</t>
        </is>
      </c>
      <c r="Q46" s="23" t="inlineStr">
        <is>
          <t>B</t>
        </is>
      </c>
      <c r="R46" s="23" t="b">
        <v>0</v>
      </c>
      <c r="S46" s="23" t="inlineStr"/>
    </row>
    <row r="47">
      <c r="A47" s="23" t="inlineStr">
        <is>
          <t>terminator</t>
        </is>
      </c>
      <c r="B47" s="23" t="inlineStr">
        <is>
          <t>Length (bp)</t>
        </is>
      </c>
      <c r="C47" s="23" t="inlineStr">
        <is>
          <t>Not_applicable</t>
        </is>
      </c>
      <c r="D47" s="23" t="inlineStr">
        <is>
          <t>Not_applicable</t>
        </is>
      </c>
      <c r="E47" s="23" t="inlineStr">
        <is>
          <t>Not_applicable</t>
        </is>
      </c>
      <c r="F47" s="23" t="inlineStr">
        <is>
          <t>""</t>
        </is>
      </c>
      <c r="G47" s="23" t="inlineStr">
        <is>
          <t>""</t>
        </is>
      </c>
      <c r="H47" s="23" t="inlineStr"/>
      <c r="I47" s="23" t="b">
        <v>0</v>
      </c>
      <c r="J47" s="23" t="b">
        <v>0</v>
      </c>
      <c r="K47" s="23" t="b">
        <v>0</v>
      </c>
      <c r="L47" s="23" t="b">
        <v>0</v>
      </c>
      <c r="M47" s="23" t="b">
        <v>0</v>
      </c>
      <c r="N47" s="23" t="inlineStr"/>
      <c r="O47" s="23" t="inlineStr"/>
      <c r="P47" s="23" t="inlineStr"/>
      <c r="Q47" s="23" t="inlineStr"/>
      <c r="R47" s="23" t="b">
        <v>0</v>
      </c>
      <c r="S47" s="23" t="inlineStr"/>
    </row>
    <row r="48">
      <c r="A48" s="23" t="inlineStr">
        <is>
          <t>terminator</t>
        </is>
      </c>
      <c r="B48" s="23" t="inlineStr">
        <is>
          <t>Sequence</t>
        </is>
      </c>
      <c r="C48" s="23" t="inlineStr">
        <is>
          <t>sbol_sequence</t>
        </is>
      </c>
      <c r="D48" s="23" t="inlineStr">
        <is>
          <t>http://sbols.org/v2#</t>
        </is>
      </c>
      <c r="E48" s="23" t="inlineStr">
        <is>
          <t>String</t>
        </is>
      </c>
      <c r="F48" s="23" t="inlineStr">
        <is>
          <t>""</t>
        </is>
      </c>
      <c r="G48" s="23" t="inlineStr">
        <is>
          <t>""</t>
        </is>
      </c>
      <c r="H48" s="23" t="inlineStr"/>
      <c r="I48" s="23" t="b">
        <v>0</v>
      </c>
      <c r="J48" s="23" t="b">
        <v>0</v>
      </c>
      <c r="K48" s="23" t="b">
        <v>0</v>
      </c>
      <c r="L48" s="23" t="b">
        <v>0</v>
      </c>
      <c r="M48" s="23" t="b">
        <v>0</v>
      </c>
      <c r="N48" s="23" t="inlineStr"/>
      <c r="O48" s="23" t="inlineStr"/>
      <c r="P48" s="23" t="inlineStr"/>
      <c r="Q48" s="23" t="inlineStr"/>
      <c r="R48" s="23" t="b">
        <v>0</v>
      </c>
      <c r="S48" s="23" t="inlineStr"/>
    </row>
    <row r="49">
      <c r="A49" s="23" t="inlineStr">
        <is>
          <t>other</t>
        </is>
      </c>
      <c r="B49" s="23" t="inlineStr">
        <is>
          <t>Part Name</t>
        </is>
      </c>
      <c r="C49" s="23" t="inlineStr">
        <is>
          <t>sbol_name</t>
        </is>
      </c>
      <c r="D49" s="23" t="inlineStr">
        <is>
          <t>http://sbols.org/v2#</t>
        </is>
      </c>
      <c r="E49" s="23" t="inlineStr">
        <is>
          <t>String</t>
        </is>
      </c>
      <c r="F49" s="23" t="inlineStr">
        <is>
          <t>""</t>
        </is>
      </c>
      <c r="G49" s="23" t="inlineStr">
        <is>
          <t>""</t>
        </is>
      </c>
      <c r="H49" s="23" t="inlineStr"/>
      <c r="I49" s="23" t="b">
        <v>0</v>
      </c>
      <c r="J49" s="23" t="b">
        <v>0</v>
      </c>
      <c r="K49" s="23" t="b">
        <v>0</v>
      </c>
      <c r="L49" s="23" t="b">
        <v>0</v>
      </c>
      <c r="M49" s="23" t="b">
        <v>0</v>
      </c>
      <c r="N49" s="23" t="inlineStr"/>
      <c r="O49" s="23" t="inlineStr"/>
      <c r="P49" s="23" t="inlineStr"/>
      <c r="Q49" s="23" t="inlineStr"/>
      <c r="R49" s="23" t="b">
        <v>0</v>
      </c>
      <c r="S49" s="23" t="inlineStr"/>
    </row>
    <row r="50">
      <c r="A50" s="23" t="inlineStr">
        <is>
          <t>other</t>
        </is>
      </c>
      <c r="B50" s="23" t="inlineStr">
        <is>
          <t>Part ID</t>
        </is>
      </c>
      <c r="C50" s="23" t="inlineStr">
        <is>
          <t>sbol_displayId</t>
        </is>
      </c>
      <c r="D50" s="23" t="inlineStr">
        <is>
          <t>http://sbols.org/v2#</t>
        </is>
      </c>
      <c r="E50" s="23" t="inlineStr">
        <is>
          <t>String</t>
        </is>
      </c>
      <c r="F50" s="23" t="inlineStr">
        <is>
          <t>""</t>
        </is>
      </c>
      <c r="G50" s="23" t="inlineStr">
        <is>
          <t>""</t>
        </is>
      </c>
      <c r="H50" s="23" t="inlineStr"/>
      <c r="I50" s="23" t="b">
        <v>0</v>
      </c>
      <c r="J50" s="23" t="b">
        <v>0</v>
      </c>
      <c r="K50" s="23" t="b">
        <v>0</v>
      </c>
      <c r="L50" s="23" t="b">
        <v>0</v>
      </c>
      <c r="M50" s="23" t="b">
        <v>0</v>
      </c>
      <c r="N50" s="23" t="inlineStr"/>
      <c r="O50" s="23" t="inlineStr"/>
      <c r="P50" s="23" t="inlineStr"/>
      <c r="Q50" s="23" t="inlineStr"/>
      <c r="R50" s="23" t="b">
        <v>0</v>
      </c>
      <c r="S50" s="23" t="inlineStr"/>
    </row>
    <row r="51">
      <c r="A51" s="23" t="inlineStr">
        <is>
          <t>other</t>
        </is>
      </c>
      <c r="B51" s="23" t="inlineStr">
        <is>
          <t>Previous Version (URI)</t>
        </is>
      </c>
      <c r="C51" s="23" t="inlineStr">
        <is>
          <t>sbol_wasDerivedFrom</t>
        </is>
      </c>
      <c r="D51" s="23" t="inlineStr">
        <is>
          <t>http://sbols.org/v2#</t>
        </is>
      </c>
      <c r="E51" s="23" t="inlineStr">
        <is>
          <t>URI</t>
        </is>
      </c>
      <c r="F51" s="23" t="inlineStr">
        <is>
          <t>""</t>
        </is>
      </c>
      <c r="G51" s="23" t="inlineStr">
        <is>
          <t>""</t>
        </is>
      </c>
      <c r="H51" s="23" t="inlineStr"/>
      <c r="I51" s="23" t="b">
        <v>0</v>
      </c>
      <c r="J51" s="23" t="b">
        <v>0</v>
      </c>
      <c r="K51" s="23" t="b">
        <v>0</v>
      </c>
      <c r="L51" s="23" t="b">
        <v>0</v>
      </c>
      <c r="M51" s="23" t="b">
        <v>0</v>
      </c>
      <c r="N51" s="23" t="inlineStr"/>
      <c r="O51" s="23" t="inlineStr"/>
      <c r="P51" s="23" t="inlineStr"/>
      <c r="Q51" s="23" t="inlineStr"/>
      <c r="R51" s="23" t="b">
        <v>0</v>
      </c>
      <c r="S51" s="23" t="inlineStr"/>
    </row>
    <row r="52">
      <c r="A52" s="23" t="inlineStr">
        <is>
          <t>other</t>
        </is>
      </c>
      <c r="B52" s="23" t="inlineStr">
        <is>
          <t>Part Description</t>
        </is>
      </c>
      <c r="C52" s="23" t="inlineStr">
        <is>
          <t>sbol_description</t>
        </is>
      </c>
      <c r="D52" s="23" t="inlineStr">
        <is>
          <t>http://purl.org/dc/terms/#</t>
        </is>
      </c>
      <c r="E52" s="23" t="inlineStr">
        <is>
          <t>String</t>
        </is>
      </c>
      <c r="F52" s="23" t="inlineStr">
        <is>
          <t>""</t>
        </is>
      </c>
      <c r="G52" s="23" t="inlineStr">
        <is>
          <t>""</t>
        </is>
      </c>
      <c r="H52" s="23" t="inlineStr"/>
      <c r="I52" s="23" t="b">
        <v>0</v>
      </c>
      <c r="J52" s="23" t="b">
        <v>0</v>
      </c>
      <c r="K52" s="23" t="b">
        <v>0</v>
      </c>
      <c r="L52" s="23" t="b">
        <v>0</v>
      </c>
      <c r="M52" s="23" t="b">
        <v>0</v>
      </c>
      <c r="N52" s="23" t="inlineStr"/>
      <c r="O52" s="23" t="inlineStr"/>
      <c r="P52" s="23" t="inlineStr"/>
      <c r="Q52" s="23" t="inlineStr"/>
      <c r="R52" s="23" t="b">
        <v>0</v>
      </c>
      <c r="S52" s="23" t="inlineStr"/>
    </row>
    <row r="53">
      <c r="A53" s="23" t="inlineStr">
        <is>
          <t>other</t>
        </is>
      </c>
      <c r="B53" s="23" t="inlineStr">
        <is>
          <t>Role</t>
        </is>
      </c>
      <c r="C53" s="23" t="inlineStr">
        <is>
          <t>sbol_roles</t>
        </is>
      </c>
      <c r="D53" s="23" t="inlineStr">
        <is>
          <t>http://sbols.org/v2#</t>
        </is>
      </c>
      <c r="E53" s="23" t="inlineStr">
        <is>
          <t>URI</t>
        </is>
      </c>
      <c r="F53" s="23" t="inlineStr">
        <is>
          <t>""</t>
        </is>
      </c>
      <c r="G53" s="23" t="inlineStr">
        <is>
          <t>""</t>
        </is>
      </c>
      <c r="H53" s="23" t="inlineStr"/>
      <c r="I53" s="23" t="b">
        <v>0</v>
      </c>
      <c r="J53" s="23" t="b">
        <v>1</v>
      </c>
      <c r="K53" s="23" t="b">
        <v>0</v>
      </c>
      <c r="L53" s="23" t="b">
        <v>0</v>
      </c>
      <c r="M53" s="23" t="b">
        <v>0</v>
      </c>
      <c r="N53" s="23" t="inlineStr">
        <is>
          <t>SO</t>
        </is>
      </c>
      <c r="O53" s="23" t="inlineStr">
        <is>
          <t>ontology_terms</t>
        </is>
      </c>
      <c r="P53" s="23" t="inlineStr">
        <is>
          <t>A</t>
        </is>
      </c>
      <c r="Q53" s="23" t="inlineStr">
        <is>
          <t>B</t>
        </is>
      </c>
      <c r="R53" s="23" t="b">
        <v>0</v>
      </c>
      <c r="S53" s="23" t="inlineStr"/>
    </row>
    <row r="54">
      <c r="A54" s="23" t="inlineStr">
        <is>
          <t>other</t>
        </is>
      </c>
      <c r="B54" s="23" t="inlineStr">
        <is>
          <t>Data Source</t>
        </is>
      </c>
      <c r="C54" s="23" t="inlineStr">
        <is>
          <t>sbol_wasDerivedFrom</t>
        </is>
      </c>
      <c r="D54" s="23" t="inlineStr">
        <is>
          <t>http://sbols.org/v2#</t>
        </is>
      </c>
      <c r="E54" s="23" t="inlineStr">
        <is>
          <t>URI</t>
        </is>
      </c>
      <c r="F54" s="23" t="inlineStr">
        <is>
          <t>""</t>
        </is>
      </c>
      <c r="G54" s="23" t="inlineStr">
        <is>
          <t>""</t>
        </is>
      </c>
      <c r="H54" s="23" t="inlineStr"/>
      <c r="I54" s="23" t="b">
        <v>0</v>
      </c>
      <c r="J54" s="23" t="b">
        <v>0</v>
      </c>
      <c r="K54" s="23" t="b">
        <v>0</v>
      </c>
      <c r="L54" s="23" t="b">
        <v>0</v>
      </c>
      <c r="M54" s="23" t="b">
        <v>0</v>
      </c>
      <c r="N54" s="23" t="inlineStr"/>
      <c r="O54" s="23" t="inlineStr"/>
      <c r="P54" s="23" t="inlineStr"/>
      <c r="Q54" s="23" t="inlineStr"/>
      <c r="R54" s="23" t="b">
        <v>0</v>
      </c>
      <c r="S54" s="23" t="inlineStr"/>
    </row>
    <row r="55">
      <c r="A55" s="23" t="inlineStr">
        <is>
          <t>other</t>
        </is>
      </c>
      <c r="B55" s="23" t="inlineStr">
        <is>
          <t>PubMed ID</t>
        </is>
      </c>
      <c r="C55" s="23" t="inlineStr">
        <is>
          <t>obo_OBI_0001617</t>
        </is>
      </c>
      <c r="D55" s="23" t="inlineStr">
        <is>
          <t>http://purl.obolibrary.org/obo/</t>
        </is>
      </c>
      <c r="E55" s="23" t="inlineStr">
        <is>
          <t>String</t>
        </is>
      </c>
      <c r="F55" s="23" t="inlineStr">
        <is>
          <t>""</t>
        </is>
      </c>
      <c r="G55" s="23" t="inlineStr">
        <is>
          <t>""</t>
        </is>
      </c>
      <c r="H55" s="23" t="inlineStr"/>
      <c r="I55" s="23" t="b">
        <v>0</v>
      </c>
      <c r="J55" s="23" t="b">
        <v>0</v>
      </c>
      <c r="K55" s="23" t="b">
        <v>0</v>
      </c>
      <c r="L55" s="23" t="b">
        <v>0</v>
      </c>
      <c r="M55" s="23" t="b">
        <v>0</v>
      </c>
      <c r="N55" s="23" t="inlineStr"/>
      <c r="O55" s="23" t="inlineStr"/>
      <c r="P55" s="23" t="inlineStr"/>
      <c r="Q55" s="23" t="inlineStr"/>
      <c r="R55" s="23" t="b">
        <v>0</v>
      </c>
      <c r="S55" s="23" t="inlineStr"/>
    </row>
    <row r="56">
      <c r="A56" s="23" t="inlineStr">
        <is>
          <t>other</t>
        </is>
      </c>
      <c r="B56" s="23" t="inlineStr">
        <is>
          <t>DOI</t>
        </is>
      </c>
      <c r="C56" s="23" t="inlineStr">
        <is>
          <t>sbol_wasDerivedFrom</t>
        </is>
      </c>
      <c r="D56" s="23" t="inlineStr">
        <is>
          <t>http://sbols.org/v2#</t>
        </is>
      </c>
      <c r="E56" s="23" t="inlineStr">
        <is>
          <t>URI</t>
        </is>
      </c>
      <c r="F56" s="23" t="inlineStr">
        <is>
          <t>""</t>
        </is>
      </c>
      <c r="G56" s="23" t="inlineStr">
        <is>
          <t>""</t>
        </is>
      </c>
      <c r="H56" s="23" t="inlineStr"/>
      <c r="I56" s="23" t="b">
        <v>0</v>
      </c>
      <c r="J56" s="23" t="b">
        <v>0</v>
      </c>
      <c r="K56" s="23" t="b">
        <v>0</v>
      </c>
      <c r="L56" s="23" t="b">
        <v>0</v>
      </c>
      <c r="M56" s="23" t="b">
        <v>0</v>
      </c>
      <c r="N56" s="23" t="inlineStr"/>
      <c r="O56" s="23" t="inlineStr"/>
      <c r="P56" s="23" t="inlineStr"/>
      <c r="Q56" s="23" t="inlineStr"/>
      <c r="R56" s="23" t="b">
        <v>0</v>
      </c>
      <c r="S56" s="23" t="inlineStr"/>
    </row>
    <row r="57">
      <c r="A57" s="23" t="inlineStr">
        <is>
          <t>other</t>
        </is>
      </c>
      <c r="B57" s="23" t="inlineStr">
        <is>
          <t>Source Organism</t>
        </is>
      </c>
      <c r="C57" s="23" t="inlineStr">
        <is>
          <t>sbh_sourceOrganism</t>
        </is>
      </c>
      <c r="D57" s="23" t="inlineStr">
        <is>
          <t>https://wiki.synbiohub.org/wiki/Terms/synbiohub#</t>
        </is>
      </c>
      <c r="E57" s="23" t="inlineStr">
        <is>
          <t>URI</t>
        </is>
      </c>
      <c r="F57" s="23" t="inlineStr">
        <is>
          <t>""</t>
        </is>
      </c>
      <c r="G57" s="23" t="inlineStr">
        <is>
          <t>""</t>
        </is>
      </c>
      <c r="H57" s="23" t="inlineStr"/>
      <c r="I57" s="23" t="b">
        <v>0</v>
      </c>
      <c r="J57" s="23" t="b">
        <v>1</v>
      </c>
      <c r="K57" s="23" t="b">
        <v>0</v>
      </c>
      <c r="L57" s="23" t="b">
        <v>0</v>
      </c>
      <c r="M57" s="23" t="b">
        <v>0</v>
      </c>
      <c r="N57" s="23" t="inlineStr">
        <is>
          <t>NCBITaxon</t>
        </is>
      </c>
      <c r="O57" s="23" t="inlineStr">
        <is>
          <t>organism_terms</t>
        </is>
      </c>
      <c r="P57" s="23" t="inlineStr">
        <is>
          <t>A</t>
        </is>
      </c>
      <c r="Q57" s="23" t="inlineStr">
        <is>
          <t>B</t>
        </is>
      </c>
      <c r="R57" s="23" t="b">
        <v>0</v>
      </c>
      <c r="S57" s="23" t="inlineStr"/>
    </row>
    <row r="58">
      <c r="A58" s="23" t="inlineStr">
        <is>
          <t>other</t>
        </is>
      </c>
      <c r="B58" s="23" t="inlineStr">
        <is>
          <t>Length (bp)</t>
        </is>
      </c>
      <c r="C58" s="23" t="inlineStr">
        <is>
          <t>Not_applicable</t>
        </is>
      </c>
      <c r="D58" s="23" t="inlineStr">
        <is>
          <t>Not_applicable</t>
        </is>
      </c>
      <c r="E58" s="23" t="inlineStr">
        <is>
          <t>Not_applicable</t>
        </is>
      </c>
      <c r="F58" s="23" t="inlineStr">
        <is>
          <t>""</t>
        </is>
      </c>
      <c r="G58" s="23" t="inlineStr">
        <is>
          <t>""</t>
        </is>
      </c>
      <c r="H58" s="23" t="inlineStr"/>
      <c r="I58" s="23" t="b">
        <v>0</v>
      </c>
      <c r="J58" s="23" t="b">
        <v>0</v>
      </c>
      <c r="K58" s="23" t="b">
        <v>0</v>
      </c>
      <c r="L58" s="23" t="b">
        <v>0</v>
      </c>
      <c r="M58" s="23" t="b">
        <v>0</v>
      </c>
      <c r="N58" s="23" t="inlineStr"/>
      <c r="O58" s="23" t="inlineStr"/>
      <c r="P58" s="23" t="inlineStr"/>
      <c r="Q58" s="23" t="inlineStr"/>
      <c r="R58" s="23" t="b">
        <v>0</v>
      </c>
      <c r="S58" s="23" t="inlineStr"/>
    </row>
    <row r="59">
      <c r="A59" s="23" t="inlineStr">
        <is>
          <t>other</t>
        </is>
      </c>
      <c r="B59" s="23" t="inlineStr">
        <is>
          <t>Sequence</t>
        </is>
      </c>
      <c r="C59" s="23" t="inlineStr">
        <is>
          <t>sbol_sequence</t>
        </is>
      </c>
      <c r="D59" s="23" t="inlineStr">
        <is>
          <t>http://sbols.org/v2#</t>
        </is>
      </c>
      <c r="E59" s="23" t="inlineStr">
        <is>
          <t>String</t>
        </is>
      </c>
      <c r="F59" s="23" t="inlineStr">
        <is>
          <t>""</t>
        </is>
      </c>
      <c r="G59" s="23" t="inlineStr">
        <is>
          <t>""</t>
        </is>
      </c>
      <c r="H59" s="23" t="inlineStr"/>
      <c r="I59" s="23" t="b">
        <v>0</v>
      </c>
      <c r="J59" s="23" t="b">
        <v>0</v>
      </c>
      <c r="K59" s="23" t="b">
        <v>0</v>
      </c>
      <c r="L59" s="23" t="b">
        <v>0</v>
      </c>
      <c r="M59" s="23" t="b">
        <v>0</v>
      </c>
      <c r="N59" s="23" t="inlineStr"/>
      <c r="O59" s="23" t="inlineStr"/>
      <c r="P59" s="23" t="inlineStr"/>
      <c r="Q59" s="23" t="inlineStr"/>
      <c r="R59" s="23" t="b">
        <v>0</v>
      </c>
      <c r="S59" s="23" t="inlineStr"/>
    </row>
    <row r="60">
      <c r="A60" s="23" t="inlineStr">
        <is>
          <t>ncrna</t>
        </is>
      </c>
      <c r="B60" s="23" t="inlineStr">
        <is>
          <t>ncRNA Name</t>
        </is>
      </c>
      <c r="C60" s="23" t="inlineStr">
        <is>
          <t>sbol_name</t>
        </is>
      </c>
      <c r="D60" s="23" t="inlineStr">
        <is>
          <t>http://sbols.org/v2#</t>
        </is>
      </c>
      <c r="E60" s="23" t="inlineStr">
        <is>
          <t>String</t>
        </is>
      </c>
      <c r="F60" s="23" t="inlineStr">
        <is>
          <t>""</t>
        </is>
      </c>
      <c r="G60" s="23" t="inlineStr">
        <is>
          <t>""</t>
        </is>
      </c>
      <c r="H60" s="23" t="inlineStr"/>
      <c r="I60" s="23" t="b">
        <v>0</v>
      </c>
      <c r="J60" s="23" t="b">
        <v>0</v>
      </c>
      <c r="K60" s="23" t="b">
        <v>0</v>
      </c>
      <c r="L60" s="23" t="b">
        <v>0</v>
      </c>
      <c r="M60" s="23" t="b">
        <v>0</v>
      </c>
      <c r="N60" s="23" t="inlineStr"/>
      <c r="O60" s="23" t="inlineStr"/>
      <c r="P60" s="23" t="inlineStr"/>
      <c r="Q60" s="23" t="inlineStr"/>
      <c r="R60" s="23" t="b">
        <v>0</v>
      </c>
      <c r="S60" s="23" t="inlineStr"/>
    </row>
    <row r="61">
      <c r="A61" s="23" t="inlineStr">
        <is>
          <t>ncrna</t>
        </is>
      </c>
      <c r="B61" s="23" t="inlineStr">
        <is>
          <t>ncRNA ID</t>
        </is>
      </c>
      <c r="C61" s="23" t="inlineStr">
        <is>
          <t>sbol_displayId</t>
        </is>
      </c>
      <c r="D61" s="23" t="inlineStr">
        <is>
          <t>http://sbols.org/v2#</t>
        </is>
      </c>
      <c r="E61" s="23" t="inlineStr">
        <is>
          <t>String</t>
        </is>
      </c>
      <c r="F61" s="23" t="inlineStr">
        <is>
          <t>""</t>
        </is>
      </c>
      <c r="G61" s="23" t="inlineStr">
        <is>
          <t>""</t>
        </is>
      </c>
      <c r="H61" s="23" t="inlineStr"/>
      <c r="I61" s="23" t="b">
        <v>0</v>
      </c>
      <c r="J61" s="23" t="b">
        <v>0</v>
      </c>
      <c r="K61" s="23" t="b">
        <v>0</v>
      </c>
      <c r="L61" s="23" t="b">
        <v>0</v>
      </c>
      <c r="M61" s="23" t="b">
        <v>0</v>
      </c>
      <c r="N61" s="23" t="inlineStr"/>
      <c r="O61" s="23" t="inlineStr"/>
      <c r="P61" s="23" t="inlineStr"/>
      <c r="Q61" s="23" t="inlineStr"/>
      <c r="R61" s="23" t="b">
        <v>0</v>
      </c>
      <c r="S61" s="23" t="inlineStr"/>
    </row>
    <row r="62">
      <c r="A62" s="23" t="inlineStr">
        <is>
          <t>ncrna</t>
        </is>
      </c>
      <c r="B62" s="23" t="inlineStr">
        <is>
          <t>Previous Version (URI)</t>
        </is>
      </c>
      <c r="C62" s="23" t="inlineStr">
        <is>
          <t>sbol_wasDerivedFrom</t>
        </is>
      </c>
      <c r="D62" s="23" t="inlineStr">
        <is>
          <t>http://sbols.org/v2#</t>
        </is>
      </c>
      <c r="E62" s="23" t="inlineStr">
        <is>
          <t>URI</t>
        </is>
      </c>
      <c r="F62" s="23" t="inlineStr">
        <is>
          <t>""</t>
        </is>
      </c>
      <c r="G62" s="23" t="inlineStr">
        <is>
          <t>""</t>
        </is>
      </c>
      <c r="H62" s="23" t="inlineStr"/>
      <c r="I62" s="23" t="b">
        <v>0</v>
      </c>
      <c r="J62" s="23" t="b">
        <v>0</v>
      </c>
      <c r="K62" s="23" t="b">
        <v>0</v>
      </c>
      <c r="L62" s="23" t="b">
        <v>0</v>
      </c>
      <c r="M62" s="23" t="b">
        <v>0</v>
      </c>
      <c r="N62" s="23" t="inlineStr"/>
      <c r="O62" s="23" t="inlineStr"/>
      <c r="P62" s="23" t="inlineStr"/>
      <c r="Q62" s="23" t="inlineStr"/>
      <c r="R62" s="23" t="b">
        <v>0</v>
      </c>
      <c r="S62" s="23" t="inlineStr"/>
    </row>
    <row r="63">
      <c r="A63" s="23" t="inlineStr">
        <is>
          <t>ncrna</t>
        </is>
      </c>
      <c r="B63" s="23" t="inlineStr">
        <is>
          <t>ncRNA Description</t>
        </is>
      </c>
      <c r="C63" s="23" t="inlineStr">
        <is>
          <t>sbol_description</t>
        </is>
      </c>
      <c r="D63" s="23" t="inlineStr">
        <is>
          <t>http://purl.org/dc/terms/#</t>
        </is>
      </c>
      <c r="E63" s="23" t="inlineStr">
        <is>
          <t>String</t>
        </is>
      </c>
      <c r="F63" s="23" t="inlineStr">
        <is>
          <t>""</t>
        </is>
      </c>
      <c r="G63" s="23" t="inlineStr">
        <is>
          <t>""</t>
        </is>
      </c>
      <c r="H63" s="23" t="inlineStr"/>
      <c r="I63" s="23" t="b">
        <v>0</v>
      </c>
      <c r="J63" s="23" t="b">
        <v>0</v>
      </c>
      <c r="K63" s="23" t="b">
        <v>0</v>
      </c>
      <c r="L63" s="23" t="b">
        <v>0</v>
      </c>
      <c r="M63" s="23" t="b">
        <v>0</v>
      </c>
      <c r="N63" s="23" t="inlineStr"/>
      <c r="O63" s="23" t="inlineStr"/>
      <c r="P63" s="23" t="inlineStr"/>
      <c r="Q63" s="23" t="inlineStr"/>
      <c r="R63" s="23" t="b">
        <v>0</v>
      </c>
      <c r="S63" s="23" t="inlineStr"/>
    </row>
    <row r="64">
      <c r="A64" s="23" t="inlineStr">
        <is>
          <t>ncrna</t>
        </is>
      </c>
      <c r="B64" s="23" t="inlineStr">
        <is>
          <t>Data Source</t>
        </is>
      </c>
      <c r="C64" s="23" t="inlineStr">
        <is>
          <t>sbol_wasDerivedFrom</t>
        </is>
      </c>
      <c r="D64" s="23" t="inlineStr">
        <is>
          <t>http://sbols.org/v2#</t>
        </is>
      </c>
      <c r="E64" s="23" t="inlineStr">
        <is>
          <t>URI</t>
        </is>
      </c>
      <c r="F64" s="23" t="inlineStr">
        <is>
          <t>""</t>
        </is>
      </c>
      <c r="G64" s="23" t="inlineStr">
        <is>
          <t>""</t>
        </is>
      </c>
      <c r="H64" s="23" t="inlineStr"/>
      <c r="I64" s="23" t="b">
        <v>0</v>
      </c>
      <c r="J64" s="23" t="b">
        <v>0</v>
      </c>
      <c r="K64" s="23" t="b">
        <v>0</v>
      </c>
      <c r="L64" s="23" t="b">
        <v>0</v>
      </c>
      <c r="M64" s="23" t="b">
        <v>0</v>
      </c>
      <c r="N64" s="23" t="inlineStr"/>
      <c r="O64" s="23" t="inlineStr"/>
      <c r="P64" s="23" t="inlineStr"/>
      <c r="Q64" s="23" t="inlineStr"/>
      <c r="R64" s="23" t="b">
        <v>0</v>
      </c>
      <c r="S64" s="23" t="inlineStr"/>
    </row>
    <row r="65">
      <c r="A65" s="23" t="inlineStr">
        <is>
          <t>ncrna</t>
        </is>
      </c>
      <c r="B65" s="23" t="inlineStr">
        <is>
          <t>PubMed ID</t>
        </is>
      </c>
      <c r="C65" s="23" t="inlineStr">
        <is>
          <t>obo_OBI_0001617</t>
        </is>
      </c>
      <c r="D65" s="23" t="inlineStr">
        <is>
          <t>http://purl.obolibrary.org/obo/</t>
        </is>
      </c>
      <c r="E65" s="23" t="inlineStr">
        <is>
          <t>String</t>
        </is>
      </c>
      <c r="F65" s="23" t="inlineStr">
        <is>
          <t>""</t>
        </is>
      </c>
      <c r="G65" s="23" t="inlineStr">
        <is>
          <t>""</t>
        </is>
      </c>
      <c r="H65" s="23" t="inlineStr"/>
      <c r="I65" s="23" t="b">
        <v>0</v>
      </c>
      <c r="J65" s="23" t="b">
        <v>0</v>
      </c>
      <c r="K65" s="23" t="b">
        <v>0</v>
      </c>
      <c r="L65" s="23" t="b">
        <v>0</v>
      </c>
      <c r="M65" s="23" t="b">
        <v>0</v>
      </c>
      <c r="N65" s="23" t="inlineStr"/>
      <c r="O65" s="23" t="inlineStr"/>
      <c r="P65" s="23" t="inlineStr"/>
      <c r="Q65" s="23" t="inlineStr"/>
      <c r="R65" s="23" t="b">
        <v>0</v>
      </c>
      <c r="S65" s="23" t="inlineStr"/>
    </row>
    <row r="66">
      <c r="A66" s="23" t="inlineStr">
        <is>
          <t>ncrna</t>
        </is>
      </c>
      <c r="B66" s="23" t="inlineStr">
        <is>
          <t>DOI</t>
        </is>
      </c>
      <c r="C66" s="23" t="inlineStr">
        <is>
          <t>sbol_wasDerivedFrom</t>
        </is>
      </c>
      <c r="D66" s="23" t="inlineStr">
        <is>
          <t>http://sbols.org/v2#</t>
        </is>
      </c>
      <c r="E66" s="23" t="inlineStr">
        <is>
          <t>URI</t>
        </is>
      </c>
      <c r="F66" s="23" t="inlineStr">
        <is>
          <t>""</t>
        </is>
      </c>
      <c r="G66" s="23" t="inlineStr">
        <is>
          <t>""</t>
        </is>
      </c>
      <c r="H66" s="23" t="inlineStr"/>
      <c r="I66" s="23" t="b">
        <v>0</v>
      </c>
      <c r="J66" s="23" t="b">
        <v>0</v>
      </c>
      <c r="K66" s="23" t="b">
        <v>0</v>
      </c>
      <c r="L66" s="23" t="b">
        <v>0</v>
      </c>
      <c r="M66" s="23" t="b">
        <v>0</v>
      </c>
      <c r="N66" s="23" t="inlineStr"/>
      <c r="O66" s="23" t="inlineStr"/>
      <c r="P66" s="23" t="inlineStr"/>
      <c r="Q66" s="23" t="inlineStr"/>
      <c r="R66" s="23" t="b">
        <v>0</v>
      </c>
      <c r="S66" s="23" t="inlineStr"/>
    </row>
    <row r="67">
      <c r="A67" s="23" t="inlineStr">
        <is>
          <t>ncrna</t>
        </is>
      </c>
      <c r="B67" s="23" t="inlineStr">
        <is>
          <t>Source Organism</t>
        </is>
      </c>
      <c r="C67" s="23" t="inlineStr">
        <is>
          <t>sbh_sourceOrganism</t>
        </is>
      </c>
      <c r="D67" s="23" t="inlineStr">
        <is>
          <t>https://wiki.synbiohub.org/wiki/Terms/synbiohub#</t>
        </is>
      </c>
      <c r="E67" s="23" t="inlineStr">
        <is>
          <t>URI</t>
        </is>
      </c>
      <c r="F67" s="23" t="inlineStr">
        <is>
          <t>""</t>
        </is>
      </c>
      <c r="G67" s="23" t="inlineStr">
        <is>
          <t>""</t>
        </is>
      </c>
      <c r="H67" s="23" t="inlineStr"/>
      <c r="I67" s="23" t="b">
        <v>0</v>
      </c>
      <c r="J67" s="23" t="b">
        <v>1</v>
      </c>
      <c r="K67" s="23" t="b">
        <v>0</v>
      </c>
      <c r="L67" s="23" t="b">
        <v>0</v>
      </c>
      <c r="M67" s="23" t="b">
        <v>0</v>
      </c>
      <c r="N67" s="23" t="inlineStr">
        <is>
          <t>NCBITaxon</t>
        </is>
      </c>
      <c r="O67" s="23" t="inlineStr">
        <is>
          <t>organism_terms</t>
        </is>
      </c>
      <c r="P67" s="23" t="inlineStr">
        <is>
          <t>A</t>
        </is>
      </c>
      <c r="Q67" s="23" t="inlineStr">
        <is>
          <t>B</t>
        </is>
      </c>
      <c r="R67" s="23" t="b">
        <v>0</v>
      </c>
      <c r="S67" s="23" t="inlineStr"/>
    </row>
    <row r="68">
      <c r="A68" s="23" t="inlineStr">
        <is>
          <t>ncrna</t>
        </is>
      </c>
      <c r="B68" s="23" t="inlineStr">
        <is>
          <t>Encodes for</t>
        </is>
      </c>
      <c r="C68" s="23" t="inlineStr">
        <is>
          <t>sbol_encodesFor</t>
        </is>
      </c>
      <c r="D68" s="23" t="inlineStr">
        <is>
          <t>https://wiki.synbiohub.org/wiki/Terms/synbiohub#</t>
        </is>
      </c>
      <c r="E68" s="23" t="inlineStr">
        <is>
          <t>URI</t>
        </is>
      </c>
      <c r="F68" s="23" t="inlineStr">
        <is>
          <t>""</t>
        </is>
      </c>
      <c r="G68" s="23" t="inlineStr">
        <is>
          <t>""</t>
        </is>
      </c>
      <c r="H68" s="23" t="inlineStr"/>
      <c r="I68" s="23" t="b">
        <v>0</v>
      </c>
      <c r="J68" s="23" t="b">
        <v>0</v>
      </c>
      <c r="K68" s="23" t="b">
        <v>0</v>
      </c>
      <c r="L68" s="23" t="b">
        <v>1</v>
      </c>
      <c r="M68" s="23" t="b">
        <v>0</v>
      </c>
      <c r="N68" s="23" t="inlineStr"/>
      <c r="O68" s="23" t="inlineStr"/>
      <c r="P68" s="23" t="inlineStr"/>
      <c r="Q68" s="23" t="inlineStr"/>
      <c r="R68" s="23" t="b">
        <v>0</v>
      </c>
      <c r="S68" s="23" t="inlineStr"/>
    </row>
    <row r="69">
      <c r="A69" s="23" t="inlineStr">
        <is>
          <t>ncrna</t>
        </is>
      </c>
      <c r="B69" s="23" t="inlineStr">
        <is>
          <t>Length (nt)</t>
        </is>
      </c>
      <c r="C69" s="23" t="inlineStr">
        <is>
          <t>Not_applicable</t>
        </is>
      </c>
      <c r="D69" s="23" t="inlineStr">
        <is>
          <t>Not_applicable</t>
        </is>
      </c>
      <c r="E69" s="23" t="inlineStr">
        <is>
          <t>Not_applicable</t>
        </is>
      </c>
      <c r="F69" s="23" t="inlineStr">
        <is>
          <t>""</t>
        </is>
      </c>
      <c r="G69" s="23" t="inlineStr">
        <is>
          <t>""</t>
        </is>
      </c>
      <c r="H69" s="23" t="inlineStr"/>
      <c r="I69" s="23" t="b">
        <v>0</v>
      </c>
      <c r="J69" s="23" t="b">
        <v>0</v>
      </c>
      <c r="K69" s="23" t="b">
        <v>0</v>
      </c>
      <c r="L69" s="23" t="b">
        <v>0</v>
      </c>
      <c r="M69" s="23" t="b">
        <v>0</v>
      </c>
      <c r="N69" s="23" t="inlineStr"/>
      <c r="O69" s="23" t="inlineStr"/>
      <c r="P69" s="23" t="inlineStr"/>
      <c r="Q69" s="23" t="inlineStr"/>
      <c r="R69" s="23" t="b">
        <v>0</v>
      </c>
      <c r="S69" s="23" t="inlineStr"/>
    </row>
    <row r="70">
      <c r="A70" s="23" t="inlineStr">
        <is>
          <t>ncrna</t>
        </is>
      </c>
      <c r="B70" s="23" t="inlineStr">
        <is>
          <t>Sequence</t>
        </is>
      </c>
      <c r="C70" s="23" t="inlineStr">
        <is>
          <t>sbol_sequence</t>
        </is>
      </c>
      <c r="D70" s="23" t="inlineStr">
        <is>
          <t>http://sbols.org/v2#</t>
        </is>
      </c>
      <c r="E70" s="23" t="inlineStr">
        <is>
          <t>String</t>
        </is>
      </c>
      <c r="F70" s="23" t="inlineStr">
        <is>
          <t>""</t>
        </is>
      </c>
      <c r="G70" s="23" t="inlineStr">
        <is>
          <t>""</t>
        </is>
      </c>
      <c r="H70" s="23" t="inlineStr"/>
      <c r="I70" s="23" t="b">
        <v>0</v>
      </c>
      <c r="J70" s="23" t="b">
        <v>0</v>
      </c>
      <c r="K70" s="23" t="b">
        <v>0</v>
      </c>
      <c r="L70" s="23" t="b">
        <v>0</v>
      </c>
      <c r="M70" s="23" t="b">
        <v>0</v>
      </c>
      <c r="N70" s="23" t="inlineStr"/>
      <c r="O70" s="23" t="inlineStr"/>
      <c r="P70" s="23" t="inlineStr"/>
      <c r="Q70" s="23" t="inlineStr"/>
      <c r="R70" s="23" t="b">
        <v>0</v>
      </c>
      <c r="S70" s="23" t="inlineStr"/>
    </row>
    <row r="71">
      <c r="A71" s="23" t="inlineStr">
        <is>
          <t>ncrna</t>
        </is>
      </c>
      <c r="B71" s="23" t="inlineStr">
        <is>
          <t>Translate to RNA</t>
        </is>
      </c>
      <c r="C71" s="23" t="inlineStr">
        <is>
          <t>Not_applicable</t>
        </is>
      </c>
      <c r="D71" s="23" t="inlineStr">
        <is>
          <t>Not_applicable</t>
        </is>
      </c>
      <c r="E71" s="23" t="inlineStr">
        <is>
          <t>Not_applicable</t>
        </is>
      </c>
      <c r="F71" s="23" t="inlineStr">
        <is>
          <t>""</t>
        </is>
      </c>
      <c r="G71" s="23" t="inlineStr">
        <is>
          <t>""</t>
        </is>
      </c>
      <c r="H71" s="23" t="inlineStr"/>
      <c r="I71" s="23" t="b">
        <v>0</v>
      </c>
      <c r="J71" s="23" t="b">
        <v>0</v>
      </c>
      <c r="K71" s="23" t="b">
        <v>0</v>
      </c>
      <c r="L71" s="23" t="b">
        <v>0</v>
      </c>
      <c r="M71" s="23" t="b">
        <v>0</v>
      </c>
      <c r="N71" s="23" t="inlineStr"/>
      <c r="O71" s="23" t="inlineStr"/>
      <c r="P71" s="23" t="inlineStr"/>
      <c r="Q71" s="23" t="inlineStr"/>
      <c r="R71" s="23" t="b">
        <v>0</v>
      </c>
      <c r="S71" s="23" t="inlineStr">
        <is>
          <t>rna</t>
        </is>
      </c>
    </row>
    <row r="72">
      <c r="A72" s="23" t="inlineStr">
        <is>
          <t>rna</t>
        </is>
      </c>
      <c r="B72" s="23" t="inlineStr">
        <is>
          <t>RNA Name</t>
        </is>
      </c>
      <c r="C72" s="23" t="inlineStr">
        <is>
          <t>sbol_name</t>
        </is>
      </c>
      <c r="D72" s="23" t="inlineStr">
        <is>
          <t>http://sbols.org/v2#</t>
        </is>
      </c>
      <c r="E72" s="23" t="inlineStr">
        <is>
          <t>String</t>
        </is>
      </c>
      <c r="F72" s="23" t="inlineStr">
        <is>
          <t>""</t>
        </is>
      </c>
      <c r="G72" s="23" t="inlineStr">
        <is>
          <t>""</t>
        </is>
      </c>
      <c r="H72" s="23" t="inlineStr"/>
      <c r="I72" s="23" t="b">
        <v>0</v>
      </c>
      <c r="J72" s="23" t="b">
        <v>0</v>
      </c>
      <c r="K72" s="23" t="b">
        <v>0</v>
      </c>
      <c r="L72" s="23" t="b">
        <v>0</v>
      </c>
      <c r="M72" s="23" t="b">
        <v>0</v>
      </c>
      <c r="N72" s="23" t="inlineStr"/>
      <c r="O72" s="23" t="inlineStr"/>
      <c r="P72" s="23" t="inlineStr"/>
      <c r="Q72" s="23" t="inlineStr"/>
      <c r="R72" s="23" t="b">
        <v>0</v>
      </c>
      <c r="S72" s="23" t="inlineStr"/>
    </row>
    <row r="73">
      <c r="A73" s="23" t="inlineStr">
        <is>
          <t>rna</t>
        </is>
      </c>
      <c r="B73" s="23" t="inlineStr">
        <is>
          <t>RNA ID</t>
        </is>
      </c>
      <c r="C73" s="23" t="inlineStr">
        <is>
          <t>sbol_displayId</t>
        </is>
      </c>
      <c r="D73" s="23" t="inlineStr">
        <is>
          <t>http://sbols.org/v2#</t>
        </is>
      </c>
      <c r="E73" s="23" t="inlineStr">
        <is>
          <t>String</t>
        </is>
      </c>
      <c r="F73" s="23" t="inlineStr">
        <is>
          <t>""</t>
        </is>
      </c>
      <c r="G73" s="23" t="inlineStr">
        <is>
          <t>""</t>
        </is>
      </c>
      <c r="H73" s="23" t="inlineStr"/>
      <c r="I73" s="23" t="b">
        <v>0</v>
      </c>
      <c r="J73" s="23" t="b">
        <v>0</v>
      </c>
      <c r="K73" s="23" t="b">
        <v>0</v>
      </c>
      <c r="L73" s="23" t="b">
        <v>0</v>
      </c>
      <c r="M73" s="23" t="b">
        <v>0</v>
      </c>
      <c r="N73" s="23" t="inlineStr"/>
      <c r="O73" s="23" t="inlineStr"/>
      <c r="P73" s="23" t="inlineStr"/>
      <c r="Q73" s="23" t="inlineStr"/>
      <c r="R73" s="23" t="b">
        <v>0</v>
      </c>
      <c r="S73" s="23" t="inlineStr"/>
    </row>
    <row r="74">
      <c r="A74" s="23" t="inlineStr">
        <is>
          <t>rna</t>
        </is>
      </c>
      <c r="B74" s="23" t="inlineStr">
        <is>
          <t>Previous Version (URI)</t>
        </is>
      </c>
      <c r="C74" s="23" t="inlineStr">
        <is>
          <t>sbol_wasDerivedFrom</t>
        </is>
      </c>
      <c r="D74" s="23" t="inlineStr">
        <is>
          <t>http://sbols.org/v2#</t>
        </is>
      </c>
      <c r="E74" s="23" t="inlineStr">
        <is>
          <t>URI</t>
        </is>
      </c>
      <c r="F74" s="23" t="inlineStr">
        <is>
          <t>""</t>
        </is>
      </c>
      <c r="G74" s="23" t="inlineStr">
        <is>
          <t>""</t>
        </is>
      </c>
      <c r="H74" s="23" t="inlineStr"/>
      <c r="I74" s="23" t="b">
        <v>0</v>
      </c>
      <c r="J74" s="23" t="b">
        <v>0</v>
      </c>
      <c r="K74" s="23" t="b">
        <v>0</v>
      </c>
      <c r="L74" s="23" t="b">
        <v>0</v>
      </c>
      <c r="M74" s="23" t="b">
        <v>0</v>
      </c>
      <c r="N74" s="23" t="inlineStr"/>
      <c r="O74" s="23" t="inlineStr"/>
      <c r="P74" s="23" t="inlineStr"/>
      <c r="Q74" s="23" t="inlineStr"/>
      <c r="R74" s="23" t="b">
        <v>0</v>
      </c>
      <c r="S74" s="23" t="inlineStr"/>
    </row>
    <row r="75">
      <c r="A75" s="23" t="inlineStr">
        <is>
          <t>rna</t>
        </is>
      </c>
      <c r="B75" s="23" t="inlineStr">
        <is>
          <t>RNA Description</t>
        </is>
      </c>
      <c r="C75" s="23" t="inlineStr">
        <is>
          <t>sbol_description</t>
        </is>
      </c>
      <c r="D75" s="23" t="inlineStr">
        <is>
          <t>http://purl.org/dc/terms/#</t>
        </is>
      </c>
      <c r="E75" s="23" t="inlineStr">
        <is>
          <t>String</t>
        </is>
      </c>
      <c r="F75" s="23" t="inlineStr">
        <is>
          <t>""</t>
        </is>
      </c>
      <c r="G75" s="23" t="inlineStr">
        <is>
          <t>""</t>
        </is>
      </c>
      <c r="H75" s="23" t="inlineStr"/>
      <c r="I75" s="23" t="b">
        <v>0</v>
      </c>
      <c r="J75" s="23" t="b">
        <v>0</v>
      </c>
      <c r="K75" s="23" t="b">
        <v>0</v>
      </c>
      <c r="L75" s="23" t="b">
        <v>0</v>
      </c>
      <c r="M75" s="23" t="b">
        <v>0</v>
      </c>
      <c r="N75" s="23" t="inlineStr"/>
      <c r="O75" s="23" t="inlineStr"/>
      <c r="P75" s="23" t="inlineStr"/>
      <c r="Q75" s="23" t="inlineStr"/>
      <c r="R75" s="23" t="b">
        <v>0</v>
      </c>
      <c r="S75" s="23" t="inlineStr"/>
    </row>
    <row r="76">
      <c r="A76" s="23" t="inlineStr">
        <is>
          <t>rna</t>
        </is>
      </c>
      <c r="B76" s="23" t="inlineStr">
        <is>
          <t>Data Source</t>
        </is>
      </c>
      <c r="C76" s="23" t="inlineStr">
        <is>
          <t>sbol_wasDerivedFrom</t>
        </is>
      </c>
      <c r="D76" s="23" t="inlineStr">
        <is>
          <t>http://sbols.org/v2#</t>
        </is>
      </c>
      <c r="E76" s="23" t="inlineStr">
        <is>
          <t>URI</t>
        </is>
      </c>
      <c r="F76" s="23" t="inlineStr">
        <is>
          <t>""</t>
        </is>
      </c>
      <c r="G76" s="23" t="inlineStr">
        <is>
          <t>""</t>
        </is>
      </c>
      <c r="H76" s="23" t="inlineStr"/>
      <c r="I76" s="23" t="b">
        <v>0</v>
      </c>
      <c r="J76" s="23" t="b">
        <v>0</v>
      </c>
      <c r="K76" s="23" t="b">
        <v>0</v>
      </c>
      <c r="L76" s="23" t="b">
        <v>0</v>
      </c>
      <c r="M76" s="23" t="b">
        <v>0</v>
      </c>
      <c r="N76" s="23" t="inlineStr"/>
      <c r="O76" s="23" t="inlineStr"/>
      <c r="P76" s="23" t="inlineStr"/>
      <c r="Q76" s="23" t="inlineStr"/>
      <c r="R76" s="23" t="b">
        <v>0</v>
      </c>
      <c r="S76" s="23" t="inlineStr"/>
    </row>
    <row r="77">
      <c r="A77" s="23" t="inlineStr">
        <is>
          <t>rna</t>
        </is>
      </c>
      <c r="B77" s="23" t="inlineStr">
        <is>
          <t>PubMed ID</t>
        </is>
      </c>
      <c r="C77" s="23" t="inlineStr">
        <is>
          <t>obo_OBI_0001617</t>
        </is>
      </c>
      <c r="D77" s="23" t="inlineStr">
        <is>
          <t>http://purl.obolibrary.org/obo/</t>
        </is>
      </c>
      <c r="E77" s="23" t="inlineStr">
        <is>
          <t>String</t>
        </is>
      </c>
      <c r="F77" s="23" t="inlineStr">
        <is>
          <t>""</t>
        </is>
      </c>
      <c r="G77" s="23" t="inlineStr">
        <is>
          <t>""</t>
        </is>
      </c>
      <c r="H77" s="23" t="inlineStr"/>
      <c r="I77" s="23" t="b">
        <v>0</v>
      </c>
      <c r="J77" s="23" t="b">
        <v>0</v>
      </c>
      <c r="K77" s="23" t="b">
        <v>0</v>
      </c>
      <c r="L77" s="23" t="b">
        <v>0</v>
      </c>
      <c r="M77" s="23" t="b">
        <v>0</v>
      </c>
      <c r="N77" s="23" t="inlineStr"/>
      <c r="O77" s="23" t="inlineStr"/>
      <c r="P77" s="23" t="inlineStr"/>
      <c r="Q77" s="23" t="inlineStr"/>
      <c r="R77" s="23" t="b">
        <v>0</v>
      </c>
      <c r="S77" s="23" t="inlineStr"/>
    </row>
    <row r="78">
      <c r="A78" s="23" t="inlineStr">
        <is>
          <t>rna</t>
        </is>
      </c>
      <c r="B78" s="23" t="inlineStr">
        <is>
          <t>DOI</t>
        </is>
      </c>
      <c r="C78" s="23" t="inlineStr">
        <is>
          <t>sbol_wasDerivedFrom</t>
        </is>
      </c>
      <c r="D78" s="23" t="inlineStr">
        <is>
          <t>http://sbols.org/v2#</t>
        </is>
      </c>
      <c r="E78" s="23" t="inlineStr">
        <is>
          <t>URI</t>
        </is>
      </c>
      <c r="F78" s="23" t="inlineStr">
        <is>
          <t>""</t>
        </is>
      </c>
      <c r="G78" s="23" t="inlineStr">
        <is>
          <t>""</t>
        </is>
      </c>
      <c r="H78" s="23" t="inlineStr"/>
      <c r="I78" s="23" t="b">
        <v>0</v>
      </c>
      <c r="J78" s="23" t="b">
        <v>0</v>
      </c>
      <c r="K78" s="23" t="b">
        <v>0</v>
      </c>
      <c r="L78" s="23" t="b">
        <v>0</v>
      </c>
      <c r="M78" s="23" t="b">
        <v>0</v>
      </c>
      <c r="N78" s="23" t="inlineStr"/>
      <c r="O78" s="23" t="inlineStr"/>
      <c r="P78" s="23" t="inlineStr"/>
      <c r="Q78" s="23" t="inlineStr"/>
      <c r="R78" s="23" t="b">
        <v>0</v>
      </c>
      <c r="S78" s="23" t="inlineStr"/>
    </row>
    <row r="79">
      <c r="A79" s="23" t="inlineStr">
        <is>
          <t>rna</t>
        </is>
      </c>
      <c r="B79" s="23" t="inlineStr">
        <is>
          <t>Length (nt)</t>
        </is>
      </c>
      <c r="C79" s="23" t="inlineStr">
        <is>
          <t>Not_applicable</t>
        </is>
      </c>
      <c r="D79" s="23" t="inlineStr">
        <is>
          <t>Not_applicable</t>
        </is>
      </c>
      <c r="E79" s="23" t="inlineStr">
        <is>
          <t>Not_applicable</t>
        </is>
      </c>
      <c r="F79" s="23" t="inlineStr">
        <is>
          <t>""</t>
        </is>
      </c>
      <c r="G79" s="23" t="inlineStr">
        <is>
          <t>""</t>
        </is>
      </c>
      <c r="H79" s="23" t="inlineStr"/>
      <c r="I79" s="23" t="b">
        <v>0</v>
      </c>
      <c r="J79" s="23" t="b">
        <v>0</v>
      </c>
      <c r="K79" s="23" t="b">
        <v>0</v>
      </c>
      <c r="L79" s="23" t="b">
        <v>0</v>
      </c>
      <c r="M79" s="23" t="b">
        <v>0</v>
      </c>
      <c r="N79" s="23" t="inlineStr"/>
      <c r="O79" s="23" t="inlineStr"/>
      <c r="P79" s="23" t="inlineStr"/>
      <c r="Q79" s="23" t="inlineStr"/>
      <c r="R79" s="23" t="b">
        <v>0</v>
      </c>
      <c r="S79" s="23" t="inlineStr"/>
    </row>
    <row r="80">
      <c r="A80" s="23" t="inlineStr">
        <is>
          <t>rna</t>
        </is>
      </c>
      <c r="B80" s="23" t="inlineStr">
        <is>
          <t>Sequence</t>
        </is>
      </c>
      <c r="C80" s="23" t="inlineStr">
        <is>
          <t>sbol_sequence</t>
        </is>
      </c>
      <c r="D80" s="23" t="inlineStr">
        <is>
          <t>http://sbols.org/v2#</t>
        </is>
      </c>
      <c r="E80" s="23" t="inlineStr">
        <is>
          <t>String</t>
        </is>
      </c>
      <c r="F80" s="23" t="inlineStr">
        <is>
          <t>""</t>
        </is>
      </c>
      <c r="G80" s="23" t="inlineStr">
        <is>
          <t>""</t>
        </is>
      </c>
      <c r="H80" s="23" t="inlineStr"/>
      <c r="I80" s="23" t="b">
        <v>0</v>
      </c>
      <c r="J80" s="23" t="b">
        <v>0</v>
      </c>
      <c r="K80" s="23" t="b">
        <v>0</v>
      </c>
      <c r="L80" s="23" t="b">
        <v>0</v>
      </c>
      <c r="M80" s="23" t="b">
        <v>0</v>
      </c>
      <c r="N80" s="23" t="inlineStr"/>
      <c r="O80" s="23" t="inlineStr"/>
      <c r="P80" s="23" t="inlineStr"/>
      <c r="Q80" s="23" t="inlineStr"/>
      <c r="R80" s="23" t="b">
        <v>0</v>
      </c>
      <c r="S80" s="23" t="inlineStr"/>
    </row>
    <row r="81">
      <c r="A81" s="23" t="inlineStr">
        <is>
          <t>protein</t>
        </is>
      </c>
      <c r="B81" s="23" t="inlineStr">
        <is>
          <t>Protein Name</t>
        </is>
      </c>
      <c r="C81" s="23" t="inlineStr">
        <is>
          <t>sbol_name</t>
        </is>
      </c>
      <c r="D81" s="23" t="inlineStr">
        <is>
          <t>http://sbols.org/v2#</t>
        </is>
      </c>
      <c r="E81" s="23" t="inlineStr">
        <is>
          <t>String</t>
        </is>
      </c>
      <c r="F81" s="23" t="inlineStr">
        <is>
          <t>""</t>
        </is>
      </c>
      <c r="G81" s="23" t="inlineStr">
        <is>
          <t>""</t>
        </is>
      </c>
      <c r="H81" s="23" t="inlineStr"/>
      <c r="I81" s="23" t="b">
        <v>0</v>
      </c>
      <c r="J81" s="23" t="b">
        <v>0</v>
      </c>
      <c r="K81" s="23" t="b">
        <v>0</v>
      </c>
      <c r="L81" s="23" t="b">
        <v>0</v>
      </c>
      <c r="M81" s="23" t="b">
        <v>0</v>
      </c>
      <c r="N81" s="23" t="inlineStr"/>
      <c r="O81" s="23" t="inlineStr"/>
      <c r="P81" s="23" t="inlineStr"/>
      <c r="Q81" s="23" t="inlineStr"/>
      <c r="R81" s="23" t="b">
        <v>0</v>
      </c>
      <c r="S81" s="23" t="inlineStr"/>
    </row>
    <row r="82">
      <c r="A82" s="23" t="inlineStr">
        <is>
          <t>protein</t>
        </is>
      </c>
      <c r="B82" s="23" t="inlineStr">
        <is>
          <t>Protein ID</t>
        </is>
      </c>
      <c r="C82" s="23" t="inlineStr">
        <is>
          <t>sbol_displayId</t>
        </is>
      </c>
      <c r="D82" s="23" t="inlineStr">
        <is>
          <t>http://sbols.org/v2#</t>
        </is>
      </c>
      <c r="E82" s="23" t="inlineStr">
        <is>
          <t>String</t>
        </is>
      </c>
      <c r="F82" s="23" t="inlineStr">
        <is>
          <t>""</t>
        </is>
      </c>
      <c r="G82" s="23" t="inlineStr">
        <is>
          <t>""</t>
        </is>
      </c>
      <c r="H82" s="23" t="inlineStr"/>
      <c r="I82" s="23" t="b">
        <v>0</v>
      </c>
      <c r="J82" s="23" t="b">
        <v>0</v>
      </c>
      <c r="K82" s="23" t="b">
        <v>0</v>
      </c>
      <c r="L82" s="23" t="b">
        <v>0</v>
      </c>
      <c r="M82" s="23" t="b">
        <v>0</v>
      </c>
      <c r="N82" s="23" t="inlineStr"/>
      <c r="O82" s="23" t="inlineStr"/>
      <c r="P82" s="23" t="inlineStr"/>
      <c r="Q82" s="23" t="inlineStr"/>
      <c r="R82" s="23" t="b">
        <v>0</v>
      </c>
      <c r="S82" s="23" t="inlineStr"/>
    </row>
    <row r="83">
      <c r="A83" s="23" t="inlineStr">
        <is>
          <t>protein</t>
        </is>
      </c>
      <c r="B83" s="23" t="inlineStr">
        <is>
          <t>Previous Version (URI)</t>
        </is>
      </c>
      <c r="C83" s="23" t="inlineStr">
        <is>
          <t>sbol_wasDerivedFrom</t>
        </is>
      </c>
      <c r="D83" s="23" t="inlineStr">
        <is>
          <t>http://sbols.org/v2#</t>
        </is>
      </c>
      <c r="E83" s="23" t="inlineStr">
        <is>
          <t>URI</t>
        </is>
      </c>
      <c r="F83" s="23" t="inlineStr">
        <is>
          <t>""</t>
        </is>
      </c>
      <c r="G83" s="23" t="inlineStr">
        <is>
          <t>""</t>
        </is>
      </c>
      <c r="H83" s="23" t="inlineStr"/>
      <c r="I83" s="23" t="b">
        <v>0</v>
      </c>
      <c r="J83" s="23" t="b">
        <v>0</v>
      </c>
      <c r="K83" s="23" t="b">
        <v>0</v>
      </c>
      <c r="L83" s="23" t="b">
        <v>0</v>
      </c>
      <c r="M83" s="23" t="b">
        <v>0</v>
      </c>
      <c r="N83" s="23" t="inlineStr"/>
      <c r="O83" s="23" t="inlineStr"/>
      <c r="P83" s="23" t="inlineStr"/>
      <c r="Q83" s="23" t="inlineStr"/>
      <c r="R83" s="23" t="b">
        <v>0</v>
      </c>
      <c r="S83" s="23" t="inlineStr"/>
    </row>
    <row r="84">
      <c r="A84" s="23" t="inlineStr">
        <is>
          <t>protein</t>
        </is>
      </c>
      <c r="B84" s="23" t="inlineStr">
        <is>
          <t>Protein Description</t>
        </is>
      </c>
      <c r="C84" s="23" t="inlineStr">
        <is>
          <t>sbol_description</t>
        </is>
      </c>
      <c r="D84" s="23" t="inlineStr">
        <is>
          <t>http://purl.org/dc/terms/#</t>
        </is>
      </c>
      <c r="E84" s="23" t="inlineStr">
        <is>
          <t>String</t>
        </is>
      </c>
      <c r="F84" s="23" t="inlineStr">
        <is>
          <t>""</t>
        </is>
      </c>
      <c r="G84" s="23" t="inlineStr">
        <is>
          <t>""</t>
        </is>
      </c>
      <c r="H84" s="23" t="inlineStr"/>
      <c r="I84" s="23" t="b">
        <v>0</v>
      </c>
      <c r="J84" s="23" t="b">
        <v>0</v>
      </c>
      <c r="K84" s="23" t="b">
        <v>0</v>
      </c>
      <c r="L84" s="23" t="b">
        <v>0</v>
      </c>
      <c r="M84" s="23" t="b">
        <v>0</v>
      </c>
      <c r="N84" s="23" t="inlineStr"/>
      <c r="O84" s="23" t="inlineStr"/>
      <c r="P84" s="23" t="inlineStr"/>
      <c r="Q84" s="23" t="inlineStr"/>
      <c r="R84" s="23" t="b">
        <v>0</v>
      </c>
      <c r="S84" s="23" t="inlineStr"/>
    </row>
    <row r="85">
      <c r="A85" s="23" t="inlineStr">
        <is>
          <t>protein</t>
        </is>
      </c>
      <c r="B85" s="23" t="inlineStr">
        <is>
          <t>Data Source</t>
        </is>
      </c>
      <c r="C85" s="23" t="inlineStr">
        <is>
          <t>sbol_wasDerivedFrom</t>
        </is>
      </c>
      <c r="D85" s="23" t="inlineStr">
        <is>
          <t>http://sbols.org/v2#</t>
        </is>
      </c>
      <c r="E85" s="23" t="inlineStr">
        <is>
          <t>URI</t>
        </is>
      </c>
      <c r="F85" s="23" t="inlineStr">
        <is>
          <t>""</t>
        </is>
      </c>
      <c r="G85" s="23" t="inlineStr">
        <is>
          <t>""</t>
        </is>
      </c>
      <c r="H85" s="23" t="inlineStr"/>
      <c r="I85" s="23" t="b">
        <v>0</v>
      </c>
      <c r="J85" s="23" t="b">
        <v>0</v>
      </c>
      <c r="K85" s="23" t="b">
        <v>0</v>
      </c>
      <c r="L85" s="23" t="b">
        <v>0</v>
      </c>
      <c r="M85" s="23" t="b">
        <v>0</v>
      </c>
      <c r="N85" s="23" t="inlineStr"/>
      <c r="O85" s="23" t="inlineStr"/>
      <c r="P85" s="23" t="inlineStr"/>
      <c r="Q85" s="23" t="inlineStr"/>
      <c r="R85" s="23" t="b">
        <v>0</v>
      </c>
      <c r="S85" s="23" t="inlineStr"/>
    </row>
    <row r="86">
      <c r="A86" s="23" t="inlineStr">
        <is>
          <t>protein</t>
        </is>
      </c>
      <c r="B86" s="23" t="inlineStr">
        <is>
          <t>PubMed ID</t>
        </is>
      </c>
      <c r="C86" s="23" t="inlineStr">
        <is>
          <t>obo_OBI_0001617</t>
        </is>
      </c>
      <c r="D86" s="23" t="inlineStr">
        <is>
          <t>http://purl.obolibrary.org/obo/</t>
        </is>
      </c>
      <c r="E86" s="23" t="inlineStr">
        <is>
          <t>String</t>
        </is>
      </c>
      <c r="F86" s="23" t="inlineStr">
        <is>
          <t>""</t>
        </is>
      </c>
      <c r="G86" s="23" t="inlineStr">
        <is>
          <t>""</t>
        </is>
      </c>
      <c r="H86" s="23" t="inlineStr"/>
      <c r="I86" s="23" t="b">
        <v>0</v>
      </c>
      <c r="J86" s="23" t="b">
        <v>0</v>
      </c>
      <c r="K86" s="23" t="b">
        <v>0</v>
      </c>
      <c r="L86" s="23" t="b">
        <v>0</v>
      </c>
      <c r="M86" s="23" t="b">
        <v>0</v>
      </c>
      <c r="N86" s="23" t="inlineStr"/>
      <c r="O86" s="23" t="inlineStr"/>
      <c r="P86" s="23" t="inlineStr"/>
      <c r="Q86" s="23" t="inlineStr"/>
      <c r="R86" s="23" t="b">
        <v>0</v>
      </c>
      <c r="S86" s="23" t="inlineStr"/>
    </row>
    <row r="87">
      <c r="A87" s="23" t="inlineStr">
        <is>
          <t>protein</t>
        </is>
      </c>
      <c r="B87" s="23" t="inlineStr">
        <is>
          <t>DOI</t>
        </is>
      </c>
      <c r="C87" s="23" t="inlineStr">
        <is>
          <t>sbol_wasDerivedFrom</t>
        </is>
      </c>
      <c r="D87" s="23" t="inlineStr">
        <is>
          <t>http://sbols.org/v2#</t>
        </is>
      </c>
      <c r="E87" s="23" t="inlineStr">
        <is>
          <t>URI</t>
        </is>
      </c>
      <c r="F87" s="23" t="inlineStr">
        <is>
          <t>""</t>
        </is>
      </c>
      <c r="G87" s="23" t="inlineStr">
        <is>
          <t>""</t>
        </is>
      </c>
      <c r="H87" s="23" t="inlineStr"/>
      <c r="I87" s="23" t="b">
        <v>0</v>
      </c>
      <c r="J87" s="23" t="b">
        <v>0</v>
      </c>
      <c r="K87" s="23" t="b">
        <v>0</v>
      </c>
      <c r="L87" s="23" t="b">
        <v>0</v>
      </c>
      <c r="M87" s="23" t="b">
        <v>0</v>
      </c>
      <c r="N87" s="23" t="inlineStr"/>
      <c r="O87" s="23" t="inlineStr"/>
      <c r="P87" s="23" t="inlineStr"/>
      <c r="Q87" s="23" t="inlineStr"/>
      <c r="R87" s="23" t="b">
        <v>0</v>
      </c>
      <c r="S87" s="23" t="inlineStr"/>
    </row>
    <row r="88">
      <c r="A88" s="23" t="inlineStr">
        <is>
          <t>protein</t>
        </is>
      </c>
      <c r="B88" s="23" t="inlineStr">
        <is>
          <t>Length (aa)</t>
        </is>
      </c>
      <c r="C88" s="23" t="inlineStr">
        <is>
          <t>Not_applicable</t>
        </is>
      </c>
      <c r="D88" s="23" t="inlineStr">
        <is>
          <t>Not_applicable</t>
        </is>
      </c>
      <c r="E88" s="23" t="inlineStr">
        <is>
          <t>Not_applicable</t>
        </is>
      </c>
      <c r="F88" s="23" t="inlineStr">
        <is>
          <t>""</t>
        </is>
      </c>
      <c r="G88" s="23" t="inlineStr">
        <is>
          <t>""</t>
        </is>
      </c>
      <c r="H88" s="23" t="inlineStr"/>
      <c r="I88" s="23" t="b">
        <v>0</v>
      </c>
      <c r="J88" s="23" t="b">
        <v>0</v>
      </c>
      <c r="K88" s="23" t="b">
        <v>0</v>
      </c>
      <c r="L88" s="23" t="b">
        <v>0</v>
      </c>
      <c r="M88" s="23" t="b">
        <v>0</v>
      </c>
      <c r="N88" s="23" t="inlineStr"/>
      <c r="O88" s="23" t="inlineStr"/>
      <c r="P88" s="23" t="inlineStr"/>
      <c r="Q88" s="23" t="inlineStr"/>
      <c r="R88" s="23" t="b">
        <v>0</v>
      </c>
      <c r="S88" s="23" t="inlineStr"/>
    </row>
    <row r="89">
      <c r="A89" s="23" t="inlineStr">
        <is>
          <t>protein</t>
        </is>
      </c>
      <c r="B89" s="23" t="inlineStr">
        <is>
          <t>Sequence</t>
        </is>
      </c>
      <c r="C89" s="23" t="inlineStr">
        <is>
          <t>sbol_proteinSequence</t>
        </is>
      </c>
      <c r="D89" s="23" t="inlineStr">
        <is>
          <t>http://sbols.org/v2#</t>
        </is>
      </c>
      <c r="E89" s="23" t="inlineStr">
        <is>
          <t>String</t>
        </is>
      </c>
      <c r="F89" s="23" t="inlineStr">
        <is>
          <t>""</t>
        </is>
      </c>
      <c r="G89" s="23" t="inlineStr">
        <is>
          <t>""</t>
        </is>
      </c>
      <c r="H89" s="23" t="inlineStr"/>
      <c r="I89" s="23" t="b">
        <v>0</v>
      </c>
      <c r="J89" s="23" t="b">
        <v>0</v>
      </c>
      <c r="K89" s="23" t="b">
        <v>0</v>
      </c>
      <c r="L89" s="23" t="b">
        <v>0</v>
      </c>
      <c r="M89" s="23" t="b">
        <v>0</v>
      </c>
      <c r="N89" s="23" t="inlineStr"/>
      <c r="O89" s="23" t="inlineStr"/>
      <c r="P89" s="23" t="inlineStr"/>
      <c r="Q89" s="23" t="inlineStr"/>
      <c r="R89" s="23" t="b">
        <v>0</v>
      </c>
      <c r="S89" s="23" t="inlineStr"/>
    </row>
    <row r="90">
      <c r="A90" s="23" t="inlineStr">
        <is>
          <t>complex</t>
        </is>
      </c>
      <c r="B90" s="23" t="inlineStr">
        <is>
          <t>Complex Name</t>
        </is>
      </c>
      <c r="C90" s="23" t="inlineStr">
        <is>
          <t>sbol_name</t>
        </is>
      </c>
      <c r="D90" s="23" t="inlineStr">
        <is>
          <t>http://sbols.org/v2#</t>
        </is>
      </c>
      <c r="E90" s="23" t="inlineStr">
        <is>
          <t>String</t>
        </is>
      </c>
      <c r="F90" s="23" t="inlineStr">
        <is>
          <t>""</t>
        </is>
      </c>
      <c r="G90" s="23" t="inlineStr">
        <is>
          <t>""</t>
        </is>
      </c>
      <c r="H90" s="23" t="inlineStr"/>
      <c r="I90" s="23" t="b">
        <v>0</v>
      </c>
      <c r="J90" s="23" t="b">
        <v>0</v>
      </c>
      <c r="K90" s="23" t="b">
        <v>0</v>
      </c>
      <c r="L90" s="23" t="b">
        <v>0</v>
      </c>
      <c r="M90" s="23" t="b">
        <v>0</v>
      </c>
      <c r="N90" s="23" t="inlineStr"/>
      <c r="O90" s="23" t="inlineStr"/>
      <c r="P90" s="23" t="inlineStr"/>
      <c r="Q90" s="23" t="inlineStr"/>
      <c r="R90" s="23" t="b">
        <v>0</v>
      </c>
      <c r="S90" s="23" t="inlineStr"/>
    </row>
    <row r="91">
      <c r="A91" s="23" t="inlineStr">
        <is>
          <t>complex</t>
        </is>
      </c>
      <c r="B91" s="23" t="inlineStr">
        <is>
          <t>Complex ID</t>
        </is>
      </c>
      <c r="C91" s="23" t="inlineStr">
        <is>
          <t>sbol_displayId</t>
        </is>
      </c>
      <c r="D91" s="23" t="inlineStr">
        <is>
          <t>http://sbols.org/v2#</t>
        </is>
      </c>
      <c r="E91" s="23" t="inlineStr">
        <is>
          <t>String</t>
        </is>
      </c>
      <c r="F91" s="23" t="inlineStr">
        <is>
          <t>""</t>
        </is>
      </c>
      <c r="G91" s="23" t="inlineStr">
        <is>
          <t>""</t>
        </is>
      </c>
      <c r="H91" s="23" t="inlineStr"/>
      <c r="I91" s="23" t="b">
        <v>0</v>
      </c>
      <c r="J91" s="23" t="b">
        <v>0</v>
      </c>
      <c r="K91" s="23" t="b">
        <v>0</v>
      </c>
      <c r="L91" s="23" t="b">
        <v>0</v>
      </c>
      <c r="M91" s="23" t="b">
        <v>0</v>
      </c>
      <c r="N91" s="23" t="inlineStr"/>
      <c r="O91" s="23" t="inlineStr"/>
      <c r="P91" s="23" t="inlineStr"/>
      <c r="Q91" s="23" t="inlineStr"/>
      <c r="R91" s="23" t="b">
        <v>0</v>
      </c>
      <c r="S91" s="23" t="inlineStr"/>
    </row>
    <row r="92">
      <c r="A92" s="23" t="inlineStr">
        <is>
          <t>complex</t>
        </is>
      </c>
      <c r="B92" s="23" t="inlineStr">
        <is>
          <t>Previous Version (URI)</t>
        </is>
      </c>
      <c r="C92" s="23" t="inlineStr">
        <is>
          <t>sbol_wasDerivedFrom</t>
        </is>
      </c>
      <c r="D92" s="23" t="inlineStr">
        <is>
          <t>http://sbols.org/v2#</t>
        </is>
      </c>
      <c r="E92" s="23" t="inlineStr">
        <is>
          <t>URI</t>
        </is>
      </c>
      <c r="F92" s="23" t="inlineStr">
        <is>
          <t>""</t>
        </is>
      </c>
      <c r="G92" s="23" t="inlineStr">
        <is>
          <t>""</t>
        </is>
      </c>
      <c r="H92" s="23" t="inlineStr"/>
      <c r="I92" s="23" t="b">
        <v>0</v>
      </c>
      <c r="J92" s="23" t="b">
        <v>0</v>
      </c>
      <c r="K92" s="23" t="b">
        <v>0</v>
      </c>
      <c r="L92" s="23" t="b">
        <v>0</v>
      </c>
      <c r="M92" s="23" t="b">
        <v>0</v>
      </c>
      <c r="N92" s="23" t="inlineStr"/>
      <c r="O92" s="23" t="inlineStr"/>
      <c r="P92" s="23" t="inlineStr"/>
      <c r="Q92" s="23" t="inlineStr"/>
      <c r="R92" s="23" t="b">
        <v>0</v>
      </c>
      <c r="S92" s="23" t="inlineStr"/>
    </row>
    <row r="93">
      <c r="A93" s="23" t="inlineStr">
        <is>
          <t>complex</t>
        </is>
      </c>
      <c r="B93" s="23" t="inlineStr">
        <is>
          <t>Complex Description</t>
        </is>
      </c>
      <c r="C93" s="23" t="inlineStr">
        <is>
          <t>sbol_description</t>
        </is>
      </c>
      <c r="D93" s="23" t="inlineStr">
        <is>
          <t>http://purl.org/dc/terms/#</t>
        </is>
      </c>
      <c r="E93" s="23" t="inlineStr">
        <is>
          <t>String</t>
        </is>
      </c>
      <c r="F93" s="23" t="inlineStr">
        <is>
          <t>""</t>
        </is>
      </c>
      <c r="G93" s="23" t="inlineStr">
        <is>
          <t>""</t>
        </is>
      </c>
      <c r="H93" s="23" t="inlineStr"/>
      <c r="I93" s="23" t="b">
        <v>0</v>
      </c>
      <c r="J93" s="23" t="b">
        <v>0</v>
      </c>
      <c r="K93" s="23" t="b">
        <v>0</v>
      </c>
      <c r="L93" s="23" t="b">
        <v>0</v>
      </c>
      <c r="M93" s="23" t="b">
        <v>0</v>
      </c>
      <c r="N93" s="23" t="inlineStr"/>
      <c r="O93" s="23" t="inlineStr"/>
      <c r="P93" s="23" t="inlineStr"/>
      <c r="Q93" s="23" t="inlineStr"/>
      <c r="R93" s="23" t="b">
        <v>0</v>
      </c>
      <c r="S93" s="23" t="inlineStr"/>
    </row>
    <row r="94">
      <c r="A94" s="23" t="inlineStr">
        <is>
          <t>complex</t>
        </is>
      </c>
      <c r="B94" s="23" t="inlineStr">
        <is>
          <t>Data Source</t>
        </is>
      </c>
      <c r="C94" s="23" t="inlineStr">
        <is>
          <t>sbol_wasDerivedFrom</t>
        </is>
      </c>
      <c r="D94" s="23" t="inlineStr">
        <is>
          <t>http://sbols.org/v2#</t>
        </is>
      </c>
      <c r="E94" s="23" t="inlineStr">
        <is>
          <t>URI</t>
        </is>
      </c>
      <c r="F94" s="23" t="inlineStr">
        <is>
          <t>""</t>
        </is>
      </c>
      <c r="G94" s="23" t="inlineStr">
        <is>
          <t>""</t>
        </is>
      </c>
      <c r="H94" s="23" t="inlineStr"/>
      <c r="I94" s="23" t="b">
        <v>0</v>
      </c>
      <c r="J94" s="23" t="b">
        <v>0</v>
      </c>
      <c r="K94" s="23" t="b">
        <v>0</v>
      </c>
      <c r="L94" s="23" t="b">
        <v>0</v>
      </c>
      <c r="M94" s="23" t="b">
        <v>0</v>
      </c>
      <c r="N94" s="23" t="inlineStr"/>
      <c r="O94" s="23" t="inlineStr"/>
      <c r="P94" s="23" t="inlineStr"/>
      <c r="Q94" s="23" t="inlineStr"/>
      <c r="R94" s="23" t="b">
        <v>0</v>
      </c>
      <c r="S94" s="23" t="inlineStr"/>
    </row>
    <row r="95">
      <c r="A95" s="23" t="inlineStr">
        <is>
          <t>complex</t>
        </is>
      </c>
      <c r="B95" s="23" t="inlineStr">
        <is>
          <t>PubMed ID</t>
        </is>
      </c>
      <c r="C95" s="23" t="inlineStr">
        <is>
          <t>obo_OBI_0001617</t>
        </is>
      </c>
      <c r="D95" s="23" t="inlineStr">
        <is>
          <t>http://purl.obolibrary.org/obo/</t>
        </is>
      </c>
      <c r="E95" s="23" t="inlineStr">
        <is>
          <t>String</t>
        </is>
      </c>
      <c r="F95" s="23" t="inlineStr">
        <is>
          <t>""</t>
        </is>
      </c>
      <c r="G95" s="23" t="inlineStr">
        <is>
          <t>""</t>
        </is>
      </c>
      <c r="H95" s="23" t="inlineStr"/>
      <c r="I95" s="23" t="b">
        <v>0</v>
      </c>
      <c r="J95" s="23" t="b">
        <v>0</v>
      </c>
      <c r="K95" s="23" t="b">
        <v>0</v>
      </c>
      <c r="L95" s="23" t="b">
        <v>0</v>
      </c>
      <c r="M95" s="23" t="b">
        <v>0</v>
      </c>
      <c r="N95" s="23" t="inlineStr"/>
      <c r="O95" s="23" t="inlineStr"/>
      <c r="P95" s="23" t="inlineStr"/>
      <c r="Q95" s="23" t="inlineStr"/>
      <c r="R95" s="23" t="b">
        <v>0</v>
      </c>
      <c r="S95" s="23" t="inlineStr"/>
    </row>
    <row r="96">
      <c r="A96" s="23" t="inlineStr">
        <is>
          <t>complex</t>
        </is>
      </c>
      <c r="B96" s="23" t="inlineStr">
        <is>
          <t>DOI</t>
        </is>
      </c>
      <c r="C96" s="23" t="inlineStr">
        <is>
          <t>sbol_wasDerivedFrom</t>
        </is>
      </c>
      <c r="D96" s="23" t="inlineStr">
        <is>
          <t>http://sbols.org/v2#</t>
        </is>
      </c>
      <c r="E96" s="23" t="inlineStr">
        <is>
          <t>URI</t>
        </is>
      </c>
      <c r="F96" s="23" t="inlineStr">
        <is>
          <t>""</t>
        </is>
      </c>
      <c r="G96" s="23" t="inlineStr">
        <is>
          <t>""</t>
        </is>
      </c>
      <c r="H96" s="23" t="inlineStr"/>
      <c r="I96" s="23" t="b">
        <v>0</v>
      </c>
      <c r="J96" s="23" t="b">
        <v>0</v>
      </c>
      <c r="K96" s="23" t="b">
        <v>0</v>
      </c>
      <c r="L96" s="23" t="b">
        <v>0</v>
      </c>
      <c r="M96" s="23" t="b">
        <v>0</v>
      </c>
      <c r="N96" s="23" t="inlineStr"/>
      <c r="O96" s="23" t="inlineStr"/>
      <c r="P96" s="23" t="inlineStr"/>
      <c r="Q96" s="23" t="inlineStr"/>
      <c r="R96" s="23" t="b">
        <v>0</v>
      </c>
      <c r="S96" s="23" t="inlineStr"/>
    </row>
    <row r="97">
      <c r="A97" s="23" t="inlineStr">
        <is>
          <t>complex</t>
        </is>
      </c>
      <c r="B97" s="23" t="inlineStr">
        <is>
          <t>Components IDs</t>
        </is>
      </c>
      <c r="C97" s="23" t="inlineStr">
        <is>
          <t>sbol_complexComponent</t>
        </is>
      </c>
      <c r="D97" s="23" t="inlineStr">
        <is>
          <t>http://sbols.org/v2#</t>
        </is>
      </c>
      <c r="E97" s="23" t="inlineStr">
        <is>
          <t>URI</t>
        </is>
      </c>
      <c r="F97" s="23" t="inlineStr">
        <is>
          <t>","</t>
        </is>
      </c>
      <c r="G97" s="23" t="inlineStr">
        <is>
          <t>""</t>
        </is>
      </c>
      <c r="H97" s="23" t="inlineStr"/>
      <c r="I97" s="23" t="b">
        <v>0</v>
      </c>
      <c r="J97" s="23" t="b">
        <v>0</v>
      </c>
      <c r="K97" s="23" t="b">
        <v>0</v>
      </c>
      <c r="L97" s="23" t="b">
        <v>1</v>
      </c>
      <c r="M97" s="23" t="b">
        <v>0</v>
      </c>
      <c r="N97" s="23" t="inlineStr"/>
      <c r="O97" s="23" t="inlineStr"/>
      <c r="P97" s="23" t="inlineStr"/>
      <c r="Q97" s="23" t="inlineStr"/>
      <c r="R97" s="23" t="b">
        <v>1</v>
      </c>
      <c r="S97" s="23" t="inlineStr"/>
    </row>
    <row r="98">
      <c r="A98" s="23" t="inlineStr">
        <is>
          <t>chassis</t>
        </is>
      </c>
      <c r="B98" s="23" t="inlineStr">
        <is>
          <t>Chassis Name</t>
        </is>
      </c>
      <c r="C98" s="23" t="inlineStr">
        <is>
          <t>sbol_name</t>
        </is>
      </c>
      <c r="D98" s="23" t="inlineStr">
        <is>
          <t>http://sbols.org/v2#</t>
        </is>
      </c>
      <c r="E98" s="23" t="inlineStr">
        <is>
          <t>String</t>
        </is>
      </c>
      <c r="F98" s="23" t="inlineStr">
        <is>
          <t>""</t>
        </is>
      </c>
      <c r="G98" s="23" t="inlineStr">
        <is>
          <t>""</t>
        </is>
      </c>
      <c r="H98" s="23" t="inlineStr"/>
      <c r="I98" s="23" t="b">
        <v>0</v>
      </c>
      <c r="J98" s="23" t="b">
        <v>0</v>
      </c>
      <c r="K98" s="23" t="b">
        <v>0</v>
      </c>
      <c r="L98" s="23" t="b">
        <v>0</v>
      </c>
      <c r="M98" s="23" t="b">
        <v>0</v>
      </c>
      <c r="N98" s="23" t="inlineStr"/>
      <c r="O98" s="23" t="inlineStr"/>
      <c r="P98" s="23" t="inlineStr"/>
      <c r="Q98" s="23" t="inlineStr"/>
      <c r="R98" s="23" t="b">
        <v>0</v>
      </c>
      <c r="S98" s="23" t="inlineStr"/>
    </row>
    <row r="99">
      <c r="A99" s="23" t="inlineStr">
        <is>
          <t>chassis</t>
        </is>
      </c>
      <c r="B99" s="23" t="inlineStr">
        <is>
          <t>Chassis ID</t>
        </is>
      </c>
      <c r="C99" s="23" t="inlineStr">
        <is>
          <t>sbol_displayId</t>
        </is>
      </c>
      <c r="D99" s="23" t="inlineStr">
        <is>
          <t>http://sbols.org/v2#</t>
        </is>
      </c>
      <c r="E99" s="23" t="inlineStr">
        <is>
          <t>String</t>
        </is>
      </c>
      <c r="F99" s="23" t="inlineStr">
        <is>
          <t>""</t>
        </is>
      </c>
      <c r="G99" s="23" t="inlineStr">
        <is>
          <t>""</t>
        </is>
      </c>
      <c r="H99" s="23" t="inlineStr"/>
      <c r="I99" s="23" t="b">
        <v>0</v>
      </c>
      <c r="J99" s="23" t="b">
        <v>0</v>
      </c>
      <c r="K99" s="23" t="b">
        <v>0</v>
      </c>
      <c r="L99" s="23" t="b">
        <v>0</v>
      </c>
      <c r="M99" s="23" t="b">
        <v>0</v>
      </c>
      <c r="N99" s="23" t="inlineStr"/>
      <c r="O99" s="23" t="inlineStr"/>
      <c r="P99" s="23" t="inlineStr"/>
      <c r="Q99" s="23" t="inlineStr"/>
      <c r="R99" s="23" t="b">
        <v>0</v>
      </c>
      <c r="S99" s="23" t="inlineStr"/>
    </row>
    <row r="100">
      <c r="A100" s="23" t="inlineStr">
        <is>
          <t>chassis</t>
        </is>
      </c>
      <c r="B100" s="23" t="inlineStr">
        <is>
          <t>Previous Version (URI)</t>
        </is>
      </c>
      <c r="C100" s="23" t="inlineStr">
        <is>
          <t>sbol_wasDerivedFrom</t>
        </is>
      </c>
      <c r="D100" s="23" t="inlineStr">
        <is>
          <t>http://sbols.org/v2#</t>
        </is>
      </c>
      <c r="E100" s="23" t="inlineStr">
        <is>
          <t>URI</t>
        </is>
      </c>
      <c r="F100" s="23" t="inlineStr">
        <is>
          <t>""</t>
        </is>
      </c>
      <c r="G100" s="23" t="inlineStr">
        <is>
          <t>""</t>
        </is>
      </c>
      <c r="H100" s="23" t="inlineStr"/>
      <c r="I100" s="23" t="b">
        <v>0</v>
      </c>
      <c r="J100" s="23" t="b">
        <v>0</v>
      </c>
      <c r="K100" s="23" t="b">
        <v>0</v>
      </c>
      <c r="L100" s="23" t="b">
        <v>0</v>
      </c>
      <c r="M100" s="23" t="b">
        <v>0</v>
      </c>
      <c r="N100" s="23" t="inlineStr"/>
      <c r="O100" s="23" t="inlineStr"/>
      <c r="P100" s="23" t="inlineStr"/>
      <c r="Q100" s="23" t="inlineStr"/>
      <c r="R100" s="23" t="b">
        <v>0</v>
      </c>
      <c r="S100" s="23" t="inlineStr"/>
    </row>
    <row r="101">
      <c r="A101" s="23" t="inlineStr">
        <is>
          <t>chassis</t>
        </is>
      </c>
      <c r="B101" s="23" t="inlineStr">
        <is>
          <t>Chassis Description</t>
        </is>
      </c>
      <c r="C101" s="23" t="inlineStr">
        <is>
          <t>sbol_description</t>
        </is>
      </c>
      <c r="D101" s="23" t="inlineStr">
        <is>
          <t>http://purl.org/dc/terms/#</t>
        </is>
      </c>
      <c r="E101" s="23" t="inlineStr">
        <is>
          <t>String</t>
        </is>
      </c>
      <c r="F101" s="23" t="inlineStr">
        <is>
          <t>""</t>
        </is>
      </c>
      <c r="G101" s="23" t="inlineStr">
        <is>
          <t>""</t>
        </is>
      </c>
      <c r="H101" s="23" t="inlineStr"/>
      <c r="I101" s="23" t="b">
        <v>0</v>
      </c>
      <c r="J101" s="23" t="b">
        <v>0</v>
      </c>
      <c r="K101" s="23" t="b">
        <v>0</v>
      </c>
      <c r="L101" s="23" t="b">
        <v>0</v>
      </c>
      <c r="M101" s="23" t="b">
        <v>0</v>
      </c>
      <c r="N101" s="23" t="inlineStr"/>
      <c r="O101" s="23" t="inlineStr"/>
      <c r="P101" s="23" t="inlineStr"/>
      <c r="Q101" s="23" t="inlineStr"/>
      <c r="R101" s="23" t="b">
        <v>0</v>
      </c>
      <c r="S101" s="23" t="inlineStr"/>
    </row>
    <row r="102">
      <c r="A102" s="23" t="inlineStr">
        <is>
          <t>chassis</t>
        </is>
      </c>
      <c r="B102" s="23" t="inlineStr">
        <is>
          <t>Data Source</t>
        </is>
      </c>
      <c r="C102" s="23" t="inlineStr">
        <is>
          <t>sbol_wasDerivedFrom</t>
        </is>
      </c>
      <c r="D102" s="23" t="inlineStr">
        <is>
          <t>http://sbols.org/v2#</t>
        </is>
      </c>
      <c r="E102" s="23" t="inlineStr">
        <is>
          <t>URI</t>
        </is>
      </c>
      <c r="F102" s="23" t="inlineStr">
        <is>
          <t>""</t>
        </is>
      </c>
      <c r="G102" s="23" t="inlineStr">
        <is>
          <t>""</t>
        </is>
      </c>
      <c r="H102" s="23" t="inlineStr"/>
      <c r="I102" s="23" t="b">
        <v>0</v>
      </c>
      <c r="J102" s="23" t="b">
        <v>0</v>
      </c>
      <c r="K102" s="23" t="b">
        <v>0</v>
      </c>
      <c r="L102" s="23" t="b">
        <v>0</v>
      </c>
      <c r="M102" s="23" t="b">
        <v>0</v>
      </c>
      <c r="N102" s="23" t="inlineStr"/>
      <c r="O102" s="23" t="inlineStr"/>
      <c r="P102" s="23" t="inlineStr"/>
      <c r="Q102" s="23" t="inlineStr"/>
      <c r="R102" s="23" t="b">
        <v>0</v>
      </c>
      <c r="S102" s="23" t="inlineStr"/>
    </row>
    <row r="103">
      <c r="A103" s="23" t="inlineStr">
        <is>
          <t>chassis</t>
        </is>
      </c>
      <c r="B103" s="23" t="inlineStr">
        <is>
          <t>PubMed ID</t>
        </is>
      </c>
      <c r="C103" s="23" t="inlineStr">
        <is>
          <t>obo_OBI_0001617</t>
        </is>
      </c>
      <c r="D103" s="23" t="inlineStr">
        <is>
          <t>http://purl.obolibrary.org/obo/</t>
        </is>
      </c>
      <c r="E103" s="23" t="inlineStr">
        <is>
          <t>String</t>
        </is>
      </c>
      <c r="F103" s="23" t="inlineStr">
        <is>
          <t>""</t>
        </is>
      </c>
      <c r="G103" s="23" t="inlineStr">
        <is>
          <t>""</t>
        </is>
      </c>
      <c r="H103" s="23" t="inlineStr"/>
      <c r="I103" s="23" t="b">
        <v>0</v>
      </c>
      <c r="J103" s="23" t="b">
        <v>0</v>
      </c>
      <c r="K103" s="23" t="b">
        <v>0</v>
      </c>
      <c r="L103" s="23" t="b">
        <v>0</v>
      </c>
      <c r="M103" s="23" t="b">
        <v>0</v>
      </c>
      <c r="N103" s="23" t="inlineStr"/>
      <c r="O103" s="23" t="inlineStr"/>
      <c r="P103" s="23" t="inlineStr"/>
      <c r="Q103" s="23" t="inlineStr"/>
      <c r="R103" s="23" t="b">
        <v>0</v>
      </c>
      <c r="S103" s="23" t="inlineStr"/>
    </row>
    <row r="104">
      <c r="A104" s="23" t="inlineStr">
        <is>
          <t>chassis</t>
        </is>
      </c>
      <c r="B104" s="23" t="inlineStr">
        <is>
          <t>DOI</t>
        </is>
      </c>
      <c r="C104" s="23" t="inlineStr">
        <is>
          <t>sbol_wasDerivedFrom</t>
        </is>
      </c>
      <c r="D104" s="23" t="inlineStr">
        <is>
          <t>http://sbols.org/v2#</t>
        </is>
      </c>
      <c r="E104" s="23" t="inlineStr">
        <is>
          <t>URI</t>
        </is>
      </c>
      <c r="F104" s="23" t="inlineStr">
        <is>
          <t>""</t>
        </is>
      </c>
      <c r="G104" s="23" t="inlineStr">
        <is>
          <t>""</t>
        </is>
      </c>
      <c r="H104" s="23" t="inlineStr"/>
      <c r="I104" s="23" t="b">
        <v>0</v>
      </c>
      <c r="J104" s="23" t="b">
        <v>0</v>
      </c>
      <c r="K104" s="23" t="b">
        <v>0</v>
      </c>
      <c r="L104" s="23" t="b">
        <v>0</v>
      </c>
      <c r="M104" s="23" t="b">
        <v>0</v>
      </c>
      <c r="N104" s="23" t="inlineStr"/>
      <c r="O104" s="23" t="inlineStr"/>
      <c r="P104" s="23" t="inlineStr"/>
      <c r="Q104" s="23" t="inlineStr"/>
      <c r="R104" s="23" t="b">
        <v>0</v>
      </c>
      <c r="S104" s="23" t="inlineStr"/>
    </row>
    <row r="105">
      <c r="A105" s="23" t="inlineStr">
        <is>
          <t>media</t>
        </is>
      </c>
      <c r="B105" s="23" t="inlineStr">
        <is>
          <t>Media Name</t>
        </is>
      </c>
      <c r="C105" s="23" t="inlineStr">
        <is>
          <t>sbol_name</t>
        </is>
      </c>
      <c r="D105" s="23" t="inlineStr">
        <is>
          <t>http://sbols.org/v2#</t>
        </is>
      </c>
      <c r="E105" s="23" t="inlineStr">
        <is>
          <t>String</t>
        </is>
      </c>
      <c r="F105" s="23" t="inlineStr">
        <is>
          <t>""</t>
        </is>
      </c>
      <c r="G105" s="23" t="inlineStr">
        <is>
          <t>""</t>
        </is>
      </c>
      <c r="H105" s="23" t="inlineStr"/>
      <c r="I105" s="23" t="b">
        <v>0</v>
      </c>
      <c r="J105" s="23" t="b">
        <v>0</v>
      </c>
      <c r="K105" s="23" t="b">
        <v>0</v>
      </c>
      <c r="L105" s="23" t="b">
        <v>0</v>
      </c>
      <c r="M105" s="23" t="b">
        <v>0</v>
      </c>
      <c r="N105" s="23" t="inlineStr"/>
      <c r="O105" s="23" t="inlineStr"/>
      <c r="P105" s="23" t="inlineStr"/>
      <c r="Q105" s="23" t="inlineStr"/>
      <c r="R105" s="23" t="b">
        <v>0</v>
      </c>
      <c r="S105" s="23" t="inlineStr"/>
    </row>
    <row r="106">
      <c r="A106" s="23" t="inlineStr">
        <is>
          <t>media</t>
        </is>
      </c>
      <c r="B106" s="23" t="inlineStr">
        <is>
          <t>Media ID</t>
        </is>
      </c>
      <c r="C106" s="23" t="inlineStr">
        <is>
          <t>sbol_displayId</t>
        </is>
      </c>
      <c r="D106" s="23" t="inlineStr">
        <is>
          <t>http://sbols.org/v2#</t>
        </is>
      </c>
      <c r="E106" s="23" t="inlineStr">
        <is>
          <t>String</t>
        </is>
      </c>
      <c r="F106" s="23" t="inlineStr">
        <is>
          <t>""</t>
        </is>
      </c>
      <c r="G106" s="23" t="inlineStr">
        <is>
          <t>""</t>
        </is>
      </c>
      <c r="H106" s="23" t="inlineStr"/>
      <c r="I106" s="23" t="b">
        <v>0</v>
      </c>
      <c r="J106" s="23" t="b">
        <v>0</v>
      </c>
      <c r="K106" s="23" t="b">
        <v>0</v>
      </c>
      <c r="L106" s="23" t="b">
        <v>0</v>
      </c>
      <c r="M106" s="23" t="b">
        <v>0</v>
      </c>
      <c r="N106" s="23" t="inlineStr"/>
      <c r="O106" s="23" t="inlineStr"/>
      <c r="P106" s="23" t="inlineStr"/>
      <c r="Q106" s="23" t="inlineStr"/>
      <c r="R106" s="23" t="b">
        <v>0</v>
      </c>
      <c r="S106" s="23" t="inlineStr"/>
    </row>
    <row r="107">
      <c r="A107" s="23" t="inlineStr">
        <is>
          <t>media</t>
        </is>
      </c>
      <c r="B107" s="23" t="inlineStr">
        <is>
          <t>Previous Version (URI)</t>
        </is>
      </c>
      <c r="C107" s="23" t="inlineStr">
        <is>
          <t>sbol_wasDerivedFrom</t>
        </is>
      </c>
      <c r="D107" s="23" t="inlineStr">
        <is>
          <t>http://sbols.org/v2#</t>
        </is>
      </c>
      <c r="E107" s="23" t="inlineStr">
        <is>
          <t>URI</t>
        </is>
      </c>
      <c r="F107" s="23" t="inlineStr">
        <is>
          <t>""</t>
        </is>
      </c>
      <c r="G107" s="23" t="inlineStr">
        <is>
          <t>""</t>
        </is>
      </c>
      <c r="H107" s="23" t="inlineStr"/>
      <c r="I107" s="23" t="b">
        <v>0</v>
      </c>
      <c r="J107" s="23" t="b">
        <v>0</v>
      </c>
      <c r="K107" s="23" t="b">
        <v>0</v>
      </c>
      <c r="L107" s="23" t="b">
        <v>0</v>
      </c>
      <c r="M107" s="23" t="b">
        <v>0</v>
      </c>
      <c r="N107" s="23" t="inlineStr"/>
      <c r="O107" s="23" t="inlineStr"/>
      <c r="P107" s="23" t="inlineStr"/>
      <c r="Q107" s="23" t="inlineStr"/>
      <c r="R107" s="23" t="b">
        <v>0</v>
      </c>
      <c r="S107" s="23" t="inlineStr"/>
    </row>
    <row r="108">
      <c r="A108" s="23" t="inlineStr">
        <is>
          <t>media</t>
        </is>
      </c>
      <c r="B108" s="23" t="inlineStr">
        <is>
          <t>Media Description</t>
        </is>
      </c>
      <c r="C108" s="23" t="inlineStr">
        <is>
          <t>sbol_description</t>
        </is>
      </c>
      <c r="D108" s="23" t="inlineStr">
        <is>
          <t>http://purl.org/dc/terms/#</t>
        </is>
      </c>
      <c r="E108" s="23" t="inlineStr">
        <is>
          <t>String</t>
        </is>
      </c>
      <c r="F108" s="23" t="inlineStr">
        <is>
          <t>""</t>
        </is>
      </c>
      <c r="G108" s="23" t="inlineStr">
        <is>
          <t>""</t>
        </is>
      </c>
      <c r="H108" s="23" t="inlineStr"/>
      <c r="I108" s="23" t="b">
        <v>0</v>
      </c>
      <c r="J108" s="23" t="b">
        <v>0</v>
      </c>
      <c r="K108" s="23" t="b">
        <v>0</v>
      </c>
      <c r="L108" s="23" t="b">
        <v>0</v>
      </c>
      <c r="M108" s="23" t="b">
        <v>0</v>
      </c>
      <c r="N108" s="23" t="inlineStr"/>
      <c r="O108" s="23" t="inlineStr"/>
      <c r="P108" s="23" t="inlineStr"/>
      <c r="Q108" s="23" t="inlineStr"/>
      <c r="R108" s="23" t="b">
        <v>0</v>
      </c>
      <c r="S108" s="23" t="inlineStr"/>
    </row>
    <row r="109">
      <c r="A109" s="23" t="inlineStr">
        <is>
          <t>media</t>
        </is>
      </c>
      <c r="B109" s="23" t="inlineStr">
        <is>
          <t>Data Source</t>
        </is>
      </c>
      <c r="C109" s="23" t="inlineStr">
        <is>
          <t>sbol_wasDerivedFrom</t>
        </is>
      </c>
      <c r="D109" s="23" t="inlineStr">
        <is>
          <t>http://sbols.org/v2#</t>
        </is>
      </c>
      <c r="E109" s="23" t="inlineStr">
        <is>
          <t>URI</t>
        </is>
      </c>
      <c r="F109" s="23" t="inlineStr">
        <is>
          <t>""</t>
        </is>
      </c>
      <c r="G109" s="23" t="inlineStr">
        <is>
          <t>""</t>
        </is>
      </c>
      <c r="H109" s="23" t="inlineStr"/>
      <c r="I109" s="23" t="b">
        <v>0</v>
      </c>
      <c r="J109" s="23" t="b">
        <v>0</v>
      </c>
      <c r="K109" s="23" t="b">
        <v>0</v>
      </c>
      <c r="L109" s="23" t="b">
        <v>0</v>
      </c>
      <c r="M109" s="23" t="b">
        <v>0</v>
      </c>
      <c r="N109" s="23" t="inlineStr"/>
      <c r="O109" s="23" t="inlineStr"/>
      <c r="P109" s="23" t="inlineStr"/>
      <c r="Q109" s="23" t="inlineStr"/>
      <c r="R109" s="23" t="b">
        <v>0</v>
      </c>
      <c r="S109" s="23" t="inlineStr"/>
    </row>
    <row r="110">
      <c r="A110" s="23" t="inlineStr">
        <is>
          <t>media</t>
        </is>
      </c>
      <c r="B110" s="23" t="inlineStr">
        <is>
          <t>PubMed ID</t>
        </is>
      </c>
      <c r="C110" s="23" t="inlineStr">
        <is>
          <t>obo_OBI_0001617</t>
        </is>
      </c>
      <c r="D110" s="23" t="inlineStr">
        <is>
          <t>http://purl.obolibrary.org/obo/</t>
        </is>
      </c>
      <c r="E110" s="23" t="inlineStr">
        <is>
          <t>String</t>
        </is>
      </c>
      <c r="F110" s="23" t="inlineStr">
        <is>
          <t>""</t>
        </is>
      </c>
      <c r="G110" s="23" t="inlineStr">
        <is>
          <t>""</t>
        </is>
      </c>
      <c r="H110" s="23" t="inlineStr"/>
      <c r="I110" s="23" t="b">
        <v>0</v>
      </c>
      <c r="J110" s="23" t="b">
        <v>0</v>
      </c>
      <c r="K110" s="23" t="b">
        <v>0</v>
      </c>
      <c r="L110" s="23" t="b">
        <v>0</v>
      </c>
      <c r="M110" s="23" t="b">
        <v>0</v>
      </c>
      <c r="N110" s="23" t="inlineStr"/>
      <c r="O110" s="23" t="inlineStr"/>
      <c r="P110" s="23" t="inlineStr"/>
      <c r="Q110" s="23" t="inlineStr"/>
      <c r="R110" s="23" t="b">
        <v>0</v>
      </c>
      <c r="S110" s="23" t="inlineStr"/>
    </row>
    <row r="111">
      <c r="A111" s="23" t="inlineStr">
        <is>
          <t>media</t>
        </is>
      </c>
      <c r="B111" s="23" t="inlineStr">
        <is>
          <t>DOI</t>
        </is>
      </c>
      <c r="C111" s="23" t="inlineStr">
        <is>
          <t>sbol_wasDerivedFrom</t>
        </is>
      </c>
      <c r="D111" s="23" t="inlineStr">
        <is>
          <t>http://sbols.org/v2#</t>
        </is>
      </c>
      <c r="E111" s="23" t="inlineStr">
        <is>
          <t>URI</t>
        </is>
      </c>
      <c r="F111" s="23" t="inlineStr">
        <is>
          <t>""</t>
        </is>
      </c>
      <c r="G111" s="23" t="inlineStr">
        <is>
          <t>""</t>
        </is>
      </c>
      <c r="H111" s="23" t="inlineStr"/>
      <c r="I111" s="23" t="b">
        <v>0</v>
      </c>
      <c r="J111" s="23" t="b">
        <v>0</v>
      </c>
      <c r="K111" s="23" t="b">
        <v>0</v>
      </c>
      <c r="L111" s="23" t="b">
        <v>0</v>
      </c>
      <c r="M111" s="23" t="b">
        <v>0</v>
      </c>
      <c r="N111" s="23" t="inlineStr"/>
      <c r="O111" s="23" t="inlineStr"/>
      <c r="P111" s="23" t="inlineStr"/>
      <c r="Q111" s="23" t="inlineStr"/>
      <c r="R111" s="23" t="b">
        <v>0</v>
      </c>
      <c r="S111" s="23" t="inlineStr"/>
    </row>
    <row r="112">
      <c r="A112" s="23" t="inlineStr">
        <is>
          <t>chemicals</t>
        </is>
      </c>
      <c r="B112" s="23" t="inlineStr">
        <is>
          <t>Chemical Name</t>
        </is>
      </c>
      <c r="C112" s="23" t="inlineStr">
        <is>
          <t>sbol_name</t>
        </is>
      </c>
      <c r="D112" s="23" t="inlineStr">
        <is>
          <t>http://sbols.org/v2#</t>
        </is>
      </c>
      <c r="E112" s="23" t="inlineStr">
        <is>
          <t>String</t>
        </is>
      </c>
      <c r="F112" s="23" t="inlineStr">
        <is>
          <t>""</t>
        </is>
      </c>
      <c r="G112" s="23" t="inlineStr">
        <is>
          <t>""</t>
        </is>
      </c>
      <c r="H112" s="23" t="inlineStr"/>
      <c r="I112" s="23" t="b">
        <v>0</v>
      </c>
      <c r="J112" s="23" t="b">
        <v>0</v>
      </c>
      <c r="K112" s="23" t="b">
        <v>0</v>
      </c>
      <c r="L112" s="23" t="b">
        <v>0</v>
      </c>
      <c r="M112" s="23" t="b">
        <v>0</v>
      </c>
      <c r="N112" s="23" t="inlineStr"/>
      <c r="O112" s="23" t="inlineStr"/>
      <c r="P112" s="23" t="inlineStr"/>
      <c r="Q112" s="23" t="inlineStr"/>
      <c r="R112" s="23" t="b">
        <v>0</v>
      </c>
      <c r="S112" s="23" t="inlineStr"/>
    </row>
    <row r="113">
      <c r="A113" s="23" t="inlineStr">
        <is>
          <t>chemicals</t>
        </is>
      </c>
      <c r="B113" s="23" t="inlineStr">
        <is>
          <t>Chemical ID</t>
        </is>
      </c>
      <c r="C113" s="23" t="inlineStr">
        <is>
          <t>sbol_displayId</t>
        </is>
      </c>
      <c r="D113" s="23" t="inlineStr">
        <is>
          <t>http://sbols.org/v2#</t>
        </is>
      </c>
      <c r="E113" s="23" t="inlineStr">
        <is>
          <t>String</t>
        </is>
      </c>
      <c r="F113" s="23" t="inlineStr">
        <is>
          <t>""</t>
        </is>
      </c>
      <c r="G113" s="23" t="inlineStr">
        <is>
          <t>""</t>
        </is>
      </c>
      <c r="H113" s="23" t="inlineStr"/>
      <c r="I113" s="23" t="b">
        <v>0</v>
      </c>
      <c r="J113" s="23" t="b">
        <v>0</v>
      </c>
      <c r="K113" s="23" t="b">
        <v>0</v>
      </c>
      <c r="L113" s="23" t="b">
        <v>0</v>
      </c>
      <c r="M113" s="23" t="b">
        <v>0</v>
      </c>
      <c r="N113" s="23" t="inlineStr"/>
      <c r="O113" s="23" t="inlineStr"/>
      <c r="P113" s="23" t="inlineStr"/>
      <c r="Q113" s="23" t="inlineStr"/>
      <c r="R113" s="23" t="b">
        <v>0</v>
      </c>
      <c r="S113" s="23" t="inlineStr"/>
    </row>
    <row r="114">
      <c r="A114" s="23" t="inlineStr">
        <is>
          <t>chemicals</t>
        </is>
      </c>
      <c r="B114" s="23" t="inlineStr">
        <is>
          <t>Previous Version (URI)</t>
        </is>
      </c>
      <c r="C114" s="23" t="inlineStr">
        <is>
          <t>sbol_wasDerivedFrom</t>
        </is>
      </c>
      <c r="D114" s="23" t="inlineStr">
        <is>
          <t>http://sbols.org/v2#</t>
        </is>
      </c>
      <c r="E114" s="23" t="inlineStr">
        <is>
          <t>URI</t>
        </is>
      </c>
      <c r="F114" s="23" t="inlineStr">
        <is>
          <t>""</t>
        </is>
      </c>
      <c r="G114" s="23" t="inlineStr">
        <is>
          <t>""</t>
        </is>
      </c>
      <c r="H114" s="23" t="inlineStr"/>
      <c r="I114" s="23" t="b">
        <v>0</v>
      </c>
      <c r="J114" s="23" t="b">
        <v>0</v>
      </c>
      <c r="K114" s="23" t="b">
        <v>0</v>
      </c>
      <c r="L114" s="23" t="b">
        <v>0</v>
      </c>
      <c r="M114" s="23" t="b">
        <v>0</v>
      </c>
      <c r="N114" s="23" t="inlineStr"/>
      <c r="O114" s="23" t="inlineStr"/>
      <c r="P114" s="23" t="inlineStr"/>
      <c r="Q114" s="23" t="inlineStr"/>
      <c r="R114" s="23" t="b">
        <v>0</v>
      </c>
      <c r="S114" s="23" t="inlineStr"/>
    </row>
    <row r="115">
      <c r="A115" s="23" t="inlineStr">
        <is>
          <t>chemicals</t>
        </is>
      </c>
      <c r="B115" s="23" t="inlineStr">
        <is>
          <t>Chemical Description</t>
        </is>
      </c>
      <c r="C115" s="23" t="inlineStr">
        <is>
          <t>sbol_description</t>
        </is>
      </c>
      <c r="D115" s="23" t="inlineStr">
        <is>
          <t>http://purl.org/dc/terms/#</t>
        </is>
      </c>
      <c r="E115" s="23" t="inlineStr">
        <is>
          <t>String</t>
        </is>
      </c>
      <c r="F115" s="23" t="inlineStr">
        <is>
          <t>""</t>
        </is>
      </c>
      <c r="G115" s="23" t="inlineStr">
        <is>
          <t>""</t>
        </is>
      </c>
      <c r="H115" s="23" t="inlineStr"/>
      <c r="I115" s="23" t="b">
        <v>0</v>
      </c>
      <c r="J115" s="23" t="b">
        <v>0</v>
      </c>
      <c r="K115" s="23" t="b">
        <v>0</v>
      </c>
      <c r="L115" s="23" t="b">
        <v>0</v>
      </c>
      <c r="M115" s="23" t="b">
        <v>0</v>
      </c>
      <c r="N115" s="23" t="inlineStr"/>
      <c r="O115" s="23" t="inlineStr"/>
      <c r="P115" s="23" t="inlineStr"/>
      <c r="Q115" s="23" t="inlineStr"/>
      <c r="R115" s="23" t="b">
        <v>0</v>
      </c>
      <c r="S115" s="23" t="inlineStr"/>
    </row>
    <row r="116">
      <c r="A116" s="23" t="inlineStr">
        <is>
          <t>chemicals</t>
        </is>
      </c>
      <c r="B116" s="23" t="inlineStr">
        <is>
          <t>PubChem ID</t>
        </is>
      </c>
      <c r="C116" s="23" t="inlineStr">
        <is>
          <t>edam_data_2639</t>
        </is>
      </c>
      <c r="D116" s="23" t="inlineStr">
        <is>
          <t>http://edamontology.org/</t>
        </is>
      </c>
      <c r="E116" s="23" t="inlineStr">
        <is>
          <t>String</t>
        </is>
      </c>
      <c r="F116" s="23" t="inlineStr">
        <is>
          <t>""</t>
        </is>
      </c>
      <c r="G116" s="23" t="inlineStr">
        <is>
          <t>""</t>
        </is>
      </c>
      <c r="H116" s="23" t="inlineStr"/>
      <c r="I116" s="23" t="b">
        <v>0</v>
      </c>
      <c r="J116" s="23" t="b">
        <v>0</v>
      </c>
      <c r="K116" s="23" t="b">
        <v>0</v>
      </c>
      <c r="L116" s="23" t="b">
        <v>0</v>
      </c>
      <c r="M116" s="23" t="b">
        <v>0</v>
      </c>
      <c r="N116" s="23" t="inlineStr"/>
      <c r="O116" s="23" t="inlineStr"/>
      <c r="P116" s="23" t="inlineStr"/>
      <c r="Q116" s="23" t="inlineStr"/>
      <c r="R116" s="23" t="b">
        <v>0</v>
      </c>
      <c r="S116" s="23" t="inlineStr"/>
    </row>
    <row r="117">
      <c r="A117" s="23" t="inlineStr">
        <is>
          <t>chemicals</t>
        </is>
      </c>
      <c r="B117" s="23" t="inlineStr">
        <is>
          <t>Data Source</t>
        </is>
      </c>
      <c r="C117" s="23" t="inlineStr">
        <is>
          <t>sbol_wasDerivedFrom</t>
        </is>
      </c>
      <c r="D117" s="23" t="inlineStr">
        <is>
          <t>http://sbols.org/v2#</t>
        </is>
      </c>
      <c r="E117" s="23" t="inlineStr">
        <is>
          <t>URI</t>
        </is>
      </c>
      <c r="F117" s="23" t="inlineStr">
        <is>
          <t>""</t>
        </is>
      </c>
      <c r="G117" s="23" t="inlineStr">
        <is>
          <t>""</t>
        </is>
      </c>
      <c r="H117" s="23" t="inlineStr"/>
      <c r="I117" s="23" t="b">
        <v>0</v>
      </c>
      <c r="J117" s="23" t="b">
        <v>0</v>
      </c>
      <c r="K117" s="23" t="b">
        <v>0</v>
      </c>
      <c r="L117" s="23" t="b">
        <v>0</v>
      </c>
      <c r="M117" s="23" t="b">
        <v>0</v>
      </c>
      <c r="N117" s="23" t="inlineStr"/>
      <c r="O117" s="23" t="inlineStr"/>
      <c r="P117" s="23" t="inlineStr"/>
      <c r="Q117" s="23" t="inlineStr"/>
      <c r="R117" s="23" t="b">
        <v>0</v>
      </c>
      <c r="S117" s="23" t="inlineStr"/>
    </row>
    <row r="118">
      <c r="A118" s="23" t="inlineStr">
        <is>
          <t>chemicals</t>
        </is>
      </c>
      <c r="B118" s="23" t="inlineStr">
        <is>
          <t>PubMed ID</t>
        </is>
      </c>
      <c r="C118" s="23" t="inlineStr">
        <is>
          <t>obo_OBI_0001617</t>
        </is>
      </c>
      <c r="D118" s="23" t="inlineStr">
        <is>
          <t>http://purl.obolibrary.org/obo/</t>
        </is>
      </c>
      <c r="E118" s="23" t="inlineStr">
        <is>
          <t>String</t>
        </is>
      </c>
      <c r="F118" s="23" t="inlineStr">
        <is>
          <t>""</t>
        </is>
      </c>
      <c r="G118" s="23" t="inlineStr">
        <is>
          <t>""</t>
        </is>
      </c>
      <c r="H118" s="23" t="inlineStr"/>
      <c r="I118" s="23" t="b">
        <v>0</v>
      </c>
      <c r="J118" s="23" t="b">
        <v>0</v>
      </c>
      <c r="K118" s="23" t="b">
        <v>0</v>
      </c>
      <c r="L118" s="23" t="b">
        <v>0</v>
      </c>
      <c r="M118" s="23" t="b">
        <v>0</v>
      </c>
      <c r="N118" s="23" t="inlineStr"/>
      <c r="O118" s="23" t="inlineStr"/>
      <c r="P118" s="23" t="inlineStr"/>
      <c r="Q118" s="23" t="inlineStr"/>
      <c r="R118" s="23" t="b">
        <v>0</v>
      </c>
      <c r="S118" s="23" t="inlineStr"/>
    </row>
    <row r="119">
      <c r="A119" s="23" t="inlineStr">
        <is>
          <t>chemicals</t>
        </is>
      </c>
      <c r="B119" s="23" t="inlineStr">
        <is>
          <t>DOI</t>
        </is>
      </c>
      <c r="C119" s="23" t="inlineStr">
        <is>
          <t>sbol_wasDerivedFrom</t>
        </is>
      </c>
      <c r="D119" s="23" t="inlineStr">
        <is>
          <t>http://sbols.org/v2#</t>
        </is>
      </c>
      <c r="E119" s="23" t="inlineStr">
        <is>
          <t>URI</t>
        </is>
      </c>
      <c r="F119" s="23" t="inlineStr">
        <is>
          <t>""</t>
        </is>
      </c>
      <c r="G119" s="23" t="inlineStr">
        <is>
          <t>""</t>
        </is>
      </c>
      <c r="H119" s="23" t="inlineStr"/>
      <c r="I119" s="23" t="b">
        <v>0</v>
      </c>
      <c r="J119" s="23" t="b">
        <v>0</v>
      </c>
      <c r="K119" s="23" t="b">
        <v>0</v>
      </c>
      <c r="L119" s="23" t="b">
        <v>0</v>
      </c>
      <c r="M119" s="23" t="b">
        <v>0</v>
      </c>
      <c r="N119" s="23" t="inlineStr"/>
      <c r="O119" s="23" t="inlineStr"/>
      <c r="P119" s="23" t="inlineStr"/>
      <c r="Q119" s="23" t="inlineStr"/>
      <c r="R119" s="23" t="b">
        <v>0</v>
      </c>
      <c r="S119" s="23" t="inlineStr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Promoter Name</t>
        </is>
      </c>
      <c r="B1" s="22" t="inlineStr">
        <is>
          <t>Promoter ID</t>
        </is>
      </c>
      <c r="C1" s="22" t="inlineStr">
        <is>
          <t>Previous Version (URI)</t>
        </is>
      </c>
      <c r="D1" s="22" t="inlineStr">
        <is>
          <t>Promoter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Source Organism</t>
        </is>
      </c>
      <c r="I1" s="22" t="inlineStr">
        <is>
          <t>Activators</t>
        </is>
      </c>
      <c r="J1" s="22" t="inlineStr">
        <is>
          <t>Repressors</t>
        </is>
      </c>
      <c r="K1" s="22" t="inlineStr">
        <is>
          <t>Length (bp)</t>
        </is>
      </c>
      <c r="L1" s="22" t="inlineStr">
        <is>
          <t>Sequence</t>
        </is>
      </c>
    </row>
    <row r="2">
      <c r="A2" s="23" t="n"/>
      <c r="B2" s="23">
        <f>IF(promoter[[#This Row],[Promoter Name]]="","",SUBSTITUTE(SUBSTITUTE(TRIM(promoter[[#This Row],[Promoter Name]])," ","_"),"-","_"))</f>
        <v/>
      </c>
      <c r="C2" s="23" t="n"/>
      <c r="D2" s="23" t="n"/>
      <c r="E2" s="23" t="n"/>
      <c r="F2" s="23" t="n"/>
      <c r="G2" s="23" t="n"/>
      <c r="H2" s="23" t="n"/>
      <c r="I2" s="23" t="n"/>
      <c r="J2" s="23" t="n"/>
      <c r="K2" s="23">
        <f>IF(promoter[[#This Row],[Sequence]]="","",LEN(TRIM(CLEAN(SUBSTITUTE(promoter[[#This Row],[Sequence]]," ","")))))</f>
        <v/>
      </c>
      <c r="L2" s="23" t="n"/>
    </row>
  </sheetData>
  <dataValidations count="1">
    <dataValidation sqref="H2" showErrorMessage="1" showInputMessage="1" allowBlank="1" type="list">
      <formula1>'organism_terms'!$A$2:$A$47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J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</cols>
  <sheetData>
    <row r="1" ht="20" customHeight="1">
      <c r="A1" s="22" t="inlineStr">
        <is>
          <t>RBS Name</t>
        </is>
      </c>
      <c r="B1" s="22" t="inlineStr">
        <is>
          <t>RBS ID</t>
        </is>
      </c>
      <c r="C1" s="22" t="inlineStr">
        <is>
          <t>Previous Version (URI)</t>
        </is>
      </c>
      <c r="D1" s="22" t="inlineStr">
        <is>
          <t>RBS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Source Organism</t>
        </is>
      </c>
      <c r="I1" s="22" t="inlineStr">
        <is>
          <t>Length (bp)</t>
        </is>
      </c>
      <c r="J1" s="22" t="inlineStr">
        <is>
          <t>Sequence</t>
        </is>
      </c>
    </row>
    <row r="2">
      <c r="A2" s="23" t="n"/>
      <c r="B2" s="23">
        <f>IF(rbs[[#This Row],[RBS Name]]="","",SUBSTITUTE(SUBSTITUTE(TRIM(rbs[[#This Row],[RBS Name]])," ","_"),"-","_"))</f>
        <v/>
      </c>
      <c r="C2" s="23" t="n"/>
      <c r="D2" s="23" t="n"/>
      <c r="E2" s="23" t="n"/>
      <c r="F2" s="23" t="n"/>
      <c r="G2" s="23" t="n"/>
      <c r="H2" s="23" t="n"/>
      <c r="I2" s="23">
        <f>IF(rbs[[#This Row],[Sequence]]="","",LEN(TRIM(CLEAN(SUBSTITUTE(rbs[[#This Row],[Sequence]]," ","")))))</f>
        <v/>
      </c>
      <c r="J2" s="23" t="n"/>
    </row>
  </sheetData>
  <dataValidations count="1">
    <dataValidation sqref="H2" showErrorMessage="1" showInputMessage="1" allowBlank="1" type="list">
      <formula1>'organism_terms'!$A$2:$A$47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CDS Name</t>
        </is>
      </c>
      <c r="B1" s="22" t="inlineStr">
        <is>
          <t>CDS ID</t>
        </is>
      </c>
      <c r="C1" s="22" t="inlineStr">
        <is>
          <t>Previous Version (URI)</t>
        </is>
      </c>
      <c r="D1" s="22" t="inlineStr">
        <is>
          <t>CDS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Source Organism</t>
        </is>
      </c>
      <c r="I1" s="22" t="inlineStr">
        <is>
          <t>Encodes for</t>
        </is>
      </c>
      <c r="J1" s="22" t="inlineStr">
        <is>
          <t>Length (bp)</t>
        </is>
      </c>
      <c r="K1" s="22" t="inlineStr">
        <is>
          <t>Sequence</t>
        </is>
      </c>
      <c r="L1" s="22" t="inlineStr">
        <is>
          <t>Translate to Protein</t>
        </is>
      </c>
    </row>
    <row r="2">
      <c r="A2" s="23" t="n"/>
      <c r="B2" s="23">
        <f>IF(cds[[#This Row],[CDS Name]]="","",SUBSTITUTE(SUBSTITUTE(TRIM(cds[[#This Row],[CDS Name]])," ","_"),"-","_"))</f>
        <v/>
      </c>
      <c r="C2" s="23" t="n"/>
      <c r="D2" s="23" t="n"/>
      <c r="E2" s="23" t="n"/>
      <c r="F2" s="23" t="n"/>
      <c r="G2" s="23" t="n"/>
      <c r="H2" s="23" t="n"/>
      <c r="I2" s="23" t="n"/>
      <c r="J2" s="23">
        <f>IF(cds[[#This Row],[Sequence]]="","",LEN(TRIM(CLEAN(SUBSTITUTE(cds[[#This Row],[Sequence]]," ","")))))</f>
        <v/>
      </c>
      <c r="K2" s="23" t="n"/>
      <c r="L2" s="24" t="inlineStr">
        <is>
          <t>☐</t>
        </is>
      </c>
    </row>
  </sheetData>
  <dataValidations count="2">
    <dataValidation sqref="H2" showErrorMessage="1" showInputMessage="1" allowBlank="1" type="list">
      <formula1>'organism_terms'!$A$2:$A$47</formula1>
    </dataValidation>
    <dataValidation sqref="I2" showErrorMessage="1" showInputMessage="1" allowBlank="1" type="list">
      <formula1>=dv_protein_Protein_ID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J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</cols>
  <sheetData>
    <row r="1" ht="20" customHeight="1">
      <c r="A1" s="22" t="inlineStr">
        <is>
          <t>Terminator Name</t>
        </is>
      </c>
      <c r="B1" s="22" t="inlineStr">
        <is>
          <t>Terminator ID</t>
        </is>
      </c>
      <c r="C1" s="22" t="inlineStr">
        <is>
          <t>Previous Version (URI)</t>
        </is>
      </c>
      <c r="D1" s="22" t="inlineStr">
        <is>
          <t>Terminator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Source Organism</t>
        </is>
      </c>
      <c r="I1" s="22" t="inlineStr">
        <is>
          <t>Length (bp)</t>
        </is>
      </c>
      <c r="J1" s="22" t="inlineStr">
        <is>
          <t>Sequence</t>
        </is>
      </c>
    </row>
    <row r="2">
      <c r="A2" s="23" t="n"/>
      <c r="B2" s="23">
        <f>IF(terminator[[#This Row],[Terminator Name]]="","",SUBSTITUTE(SUBSTITUTE(TRIM(terminator[[#This Row],[Terminator Name]])," ","_"),"-","_"))</f>
        <v/>
      </c>
      <c r="C2" s="23" t="n"/>
      <c r="D2" s="23" t="n"/>
      <c r="E2" s="23" t="n"/>
      <c r="F2" s="23" t="n"/>
      <c r="G2" s="23" t="n"/>
      <c r="H2" s="23" t="n"/>
      <c r="I2" s="23">
        <f>IF(terminator[[#This Row],[Sequence]]="","",LEN(TRIM(CLEAN(SUBSTITUTE(terminator[[#This Row],[Sequence]]," ","")))))</f>
        <v/>
      </c>
      <c r="J2" s="23" t="n"/>
    </row>
  </sheetData>
  <dataValidations count="1">
    <dataValidation sqref="H2" showErrorMessage="1" showInputMessage="1" allowBlank="1" type="list">
      <formula1>'organism_terms'!$A$2:$A$47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K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</cols>
  <sheetData>
    <row r="1" ht="20" customHeight="1">
      <c r="A1" s="22" t="inlineStr">
        <is>
          <t>Part Name</t>
        </is>
      </c>
      <c r="B1" s="22" t="inlineStr">
        <is>
          <t>Part ID</t>
        </is>
      </c>
      <c r="C1" s="22" t="inlineStr">
        <is>
          <t>Previous Version (URI)</t>
        </is>
      </c>
      <c r="D1" s="22" t="inlineStr">
        <is>
          <t>Part Description</t>
        </is>
      </c>
      <c r="E1" s="22" t="inlineStr">
        <is>
          <t>Role</t>
        </is>
      </c>
      <c r="F1" s="22" t="inlineStr">
        <is>
          <t>Data Source</t>
        </is>
      </c>
      <c r="G1" s="22" t="inlineStr">
        <is>
          <t>PubMed ID</t>
        </is>
      </c>
      <c r="H1" s="22" t="inlineStr">
        <is>
          <t>DOI</t>
        </is>
      </c>
      <c r="I1" s="22" t="inlineStr">
        <is>
          <t>Source Organism</t>
        </is>
      </c>
      <c r="J1" s="22" t="inlineStr">
        <is>
          <t>Length (bp)</t>
        </is>
      </c>
      <c r="K1" s="22" t="inlineStr">
        <is>
          <t>Sequence</t>
        </is>
      </c>
    </row>
    <row r="2">
      <c r="A2" s="23" t="n"/>
      <c r="B2" s="23">
        <f>IF(other[[#This Row],[Part Name]]="","",SUBSTITUTE(SUBSTITUTE(TRIM(other[[#This Row],[Part Name]])," ","_"),"-","_"))</f>
        <v/>
      </c>
      <c r="C2" s="23" t="n"/>
      <c r="D2" s="23" t="n"/>
      <c r="E2" s="23" t="n"/>
      <c r="F2" s="23" t="n"/>
      <c r="G2" s="23" t="n"/>
      <c r="H2" s="23" t="n"/>
      <c r="I2" s="23" t="n"/>
      <c r="J2" s="23">
        <f>IF(other[[#This Row],[Sequence]]="","",LEN(TRIM(CLEAN(SUBSTITUTE(other[[#This Row],[Sequence]]," ","")))))</f>
        <v/>
      </c>
      <c r="K2" s="23" t="n"/>
    </row>
  </sheetData>
  <dataValidations count="2">
    <dataValidation sqref="E2" showErrorMessage="1" showInputMessage="1" allowBlank="1" type="list">
      <formula1>'ontology_terms'!$A$2:$A$2517</formula1>
    </dataValidation>
    <dataValidation sqref="I2" showErrorMessage="1" showInputMessage="1" allowBlank="1" type="list">
      <formula1>'organism_terms'!$A$2:$A$47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ncRNA Name</t>
        </is>
      </c>
      <c r="B1" s="22" t="inlineStr">
        <is>
          <t>ncRNA ID</t>
        </is>
      </c>
      <c r="C1" s="22" t="inlineStr">
        <is>
          <t>Previous Version (URI)</t>
        </is>
      </c>
      <c r="D1" s="22" t="inlineStr">
        <is>
          <t>ncRNA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Source Organism</t>
        </is>
      </c>
      <c r="I1" s="22" t="inlineStr">
        <is>
          <t>Encodes for</t>
        </is>
      </c>
      <c r="J1" s="22" t="inlineStr">
        <is>
          <t>Length (nt)</t>
        </is>
      </c>
      <c r="K1" s="22" t="inlineStr">
        <is>
          <t>Sequence</t>
        </is>
      </c>
      <c r="L1" s="22" t="inlineStr">
        <is>
          <t>Translate to RNA</t>
        </is>
      </c>
    </row>
    <row r="2">
      <c r="A2" s="23" t="n"/>
      <c r="B2" s="23">
        <f>IF(ncrna[[#This Row],[ncRNA Name]]="","",SUBSTITUTE(SUBSTITUTE(TRIM(ncrna[[#This Row],[ncRNA Name]])," ","_"),"-","_"))</f>
        <v/>
      </c>
      <c r="C2" s="23" t="n"/>
      <c r="D2" s="23" t="n"/>
      <c r="E2" s="23" t="n"/>
      <c r="F2" s="23" t="n"/>
      <c r="G2" s="23" t="n"/>
      <c r="H2" s="23" t="n"/>
      <c r="I2" s="23" t="n"/>
      <c r="J2" s="23">
        <f>IF(ncrna[[#This Row],[Sequence]]="","",LEN(TRIM(CLEAN(SUBSTITUTE(ncrna[[#This Row],[Sequence]]," ","")))))</f>
        <v/>
      </c>
      <c r="K2" s="23" t="n"/>
      <c r="L2" s="24" t="inlineStr">
        <is>
          <t>☐</t>
        </is>
      </c>
    </row>
  </sheetData>
  <dataValidations count="2">
    <dataValidation sqref="H2" showErrorMessage="1" showInputMessage="1" allowBlank="1" type="list">
      <formula1>'organism_terms'!$A$2:$A$47</formula1>
    </dataValidation>
    <dataValidation sqref="I2" showErrorMessage="1" showInputMessage="1" allowBlank="1" type="list">
      <formula1>=dv_rna_RNA_ID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</cols>
  <sheetData>
    <row r="1" ht="20" customHeight="1">
      <c r="A1" s="22" t="inlineStr">
        <is>
          <t>RNA Name</t>
        </is>
      </c>
      <c r="B1" s="22" t="inlineStr">
        <is>
          <t>RNA ID</t>
        </is>
      </c>
      <c r="C1" s="22" t="inlineStr">
        <is>
          <t>Previous Version (URI)</t>
        </is>
      </c>
      <c r="D1" s="22" t="inlineStr">
        <is>
          <t>RNA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Length (nt)</t>
        </is>
      </c>
      <c r="I1" s="22" t="inlineStr">
        <is>
          <t>Sequence</t>
        </is>
      </c>
    </row>
    <row r="2">
      <c r="A2" s="23" t="n"/>
      <c r="B2" s="23">
        <f>IF(rna[[#This Row],[RNA Name]]="","",SUBSTITUTE(SUBSTITUTE(TRIM(rna[[#This Row],[RNA Name]])," ","_"),"-","_"))</f>
        <v/>
      </c>
      <c r="C2" s="23" t="n"/>
      <c r="D2" s="23" t="n"/>
      <c r="E2" s="23" t="n"/>
      <c r="F2" s="23" t="n"/>
      <c r="G2" s="23" t="n"/>
      <c r="H2" s="23">
        <f>IF(rna[[#This Row],[Sequence]]="","",LEN(TRIM(CLEAN(SUBSTITUTE(rna[[#This Row],[Sequence]]," ","")))))</f>
        <v/>
      </c>
      <c r="I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</cols>
  <sheetData>
    <row r="1" ht="20" customHeight="1">
      <c r="A1" s="22" t="inlineStr">
        <is>
          <t>Protein Name</t>
        </is>
      </c>
      <c r="B1" s="22" t="inlineStr">
        <is>
          <t>Protein ID</t>
        </is>
      </c>
      <c r="C1" s="22" t="inlineStr">
        <is>
          <t>Previous Version (URI)</t>
        </is>
      </c>
      <c r="D1" s="22" t="inlineStr">
        <is>
          <t>Protein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Length (aa)</t>
        </is>
      </c>
      <c r="I1" s="22" t="inlineStr">
        <is>
          <t>Sequence</t>
        </is>
      </c>
    </row>
    <row r="2">
      <c r="A2" s="23" t="n"/>
      <c r="B2" s="23">
        <f>IF(protein[[#This Row],[Protein Name]]="","",SUBSTITUTE(SUBSTITUTE(TRIM(protein[[#This Row],[Protein Name]])," ","_"),"-","_"))</f>
        <v/>
      </c>
      <c r="C2" s="23" t="n"/>
      <c r="D2" s="23" t="n"/>
      <c r="E2" s="23" t="n"/>
      <c r="F2" s="23" t="n"/>
      <c r="G2" s="23" t="n"/>
      <c r="H2" s="23">
        <f>IF(protein[[#This Row],[Sequence]]="","",LEN(TRIM(CLEAN(SUBSTITUTE(protein[[#This Row],[Sequence]]," ","")))))</f>
        <v/>
      </c>
      <c r="I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H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</cols>
  <sheetData>
    <row r="1" ht="20" customHeight="1">
      <c r="A1" s="22" t="inlineStr">
        <is>
          <t>Complex Name</t>
        </is>
      </c>
      <c r="B1" s="22" t="inlineStr">
        <is>
          <t>Complex ID</t>
        </is>
      </c>
      <c r="C1" s="22" t="inlineStr">
        <is>
          <t>Previous Version (URI)</t>
        </is>
      </c>
      <c r="D1" s="22" t="inlineStr">
        <is>
          <t>Complex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  <c r="H1" s="22" t="inlineStr">
        <is>
          <t>Components IDs</t>
        </is>
      </c>
    </row>
    <row r="2">
      <c r="A2" s="23" t="n"/>
      <c r="B2" s="23">
        <f>IF(complex[[#This Row],[Complex Name]]="","",SUBSTITUTE(SUBSTITUTE(TRIM(complex[[#This Row],[Complex Name]])," ","_"),"-","_"))</f>
        <v/>
      </c>
      <c r="C2" s="23" t="n"/>
      <c r="D2" s="23" t="n"/>
      <c r="E2" s="23" t="n"/>
      <c r="F2" s="23" t="n"/>
      <c r="G2" s="23" t="n"/>
      <c r="H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G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</cols>
  <sheetData>
    <row r="1" ht="20" customHeight="1">
      <c r="A1" s="22" t="inlineStr">
        <is>
          <t>Chassis Name</t>
        </is>
      </c>
      <c r="B1" s="22" t="inlineStr">
        <is>
          <t>Chassis ID</t>
        </is>
      </c>
      <c r="C1" s="22" t="inlineStr">
        <is>
          <t>Previous Version (URI)</t>
        </is>
      </c>
      <c r="D1" s="22" t="inlineStr">
        <is>
          <t>Chassis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</row>
    <row r="2">
      <c r="A2" s="23" t="n"/>
      <c r="B2" s="23">
        <f>IF(chassis[[#This Row],[Chassis Name]]="","",SUBSTITUTE(SUBSTITUTE(TRIM(chassis[[#This Row],[Chassis Name]])," ","_"),"-","_"))</f>
        <v/>
      </c>
      <c r="C2" s="23" t="n"/>
      <c r="D2" s="23" t="n"/>
      <c r="E2" s="23" t="n"/>
      <c r="F2" s="23" t="n"/>
      <c r="G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G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</cols>
  <sheetData>
    <row r="1" ht="20" customHeight="1">
      <c r="A1" s="22" t="inlineStr">
        <is>
          <t>Media Name</t>
        </is>
      </c>
      <c r="B1" s="22" t="inlineStr">
        <is>
          <t>Media ID</t>
        </is>
      </c>
      <c r="C1" s="22" t="inlineStr">
        <is>
          <t>Previous Version (URI)</t>
        </is>
      </c>
      <c r="D1" s="22" t="inlineStr">
        <is>
          <t>Media Description</t>
        </is>
      </c>
      <c r="E1" s="22" t="inlineStr">
        <is>
          <t>Data Source</t>
        </is>
      </c>
      <c r="F1" s="22" t="inlineStr">
        <is>
          <t>PubMed ID</t>
        </is>
      </c>
      <c r="G1" s="22" t="inlineStr">
        <is>
          <t>DOI</t>
        </is>
      </c>
    </row>
    <row r="2">
      <c r="A2" s="23" t="n"/>
      <c r="B2" s="23">
        <f>IF(media[[#This Row],[Media Name]]="","",SUBSTITUTE(SUBSTITUTE(TRIM(media[[#This Row],[Media Name]])," ","_"),"-","_"))</f>
        <v/>
      </c>
      <c r="C2" s="23" t="n"/>
      <c r="D2" s="23" t="n"/>
      <c r="E2" s="23" t="n"/>
      <c r="F2" s="23" t="n"/>
      <c r="G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</cols>
  <sheetData>
    <row r="1" ht="20" customHeight="1">
      <c r="A1" s="22" t="inlineStr">
        <is>
          <t>Chemical Name</t>
        </is>
      </c>
      <c r="B1" s="22" t="inlineStr">
        <is>
          <t>Chemical ID</t>
        </is>
      </c>
      <c r="C1" s="22" t="inlineStr">
        <is>
          <t>Previous Version (URI)</t>
        </is>
      </c>
      <c r="D1" s="22" t="inlineStr">
        <is>
          <t>Chemical Description</t>
        </is>
      </c>
      <c r="E1" s="22" t="inlineStr">
        <is>
          <t>PubChem ID</t>
        </is>
      </c>
      <c r="F1" s="22" t="inlineStr">
        <is>
          <t>Data Source</t>
        </is>
      </c>
      <c r="G1" s="22" t="inlineStr">
        <is>
          <t>PubMed ID</t>
        </is>
      </c>
      <c r="H1" s="22" t="inlineStr">
        <is>
          <t>DOI</t>
        </is>
      </c>
    </row>
    <row r="2">
      <c r="A2" s="23" t="n"/>
      <c r="B2" s="23">
        <f>IF(chemicals[[#This Row],[Chemical Name]]="","",SUBSTITUTE(SUBSTITUTE(TRIM(chemicals[[#This Row],[Chemical Name]])," ","_"),"-","_"))</f>
        <v/>
      </c>
      <c r="C2" s="23" t="n"/>
      <c r="D2" s="23" t="n"/>
      <c r="E2" s="23" t="n"/>
      <c r="F2" s="23" t="n"/>
      <c r="G2" s="23" t="n"/>
      <c r="H2" s="23" t="n"/>
    </row>
  </sheetData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2026-07-23T15:15:28Z</dcterms:modified>
  <cp:lastModifiedBy>SYSTEM</cp:lastModifiedBy>
</cp:coreProperties>
</file>