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CHARMME/Project_EBUGS/Test/templates/"/>
    </mc:Choice>
  </mc:AlternateContent>
  <xr:revisionPtr revIDLastSave="0" documentId="13_ncr:1_{89E555F3-4D73-1240-859F-566B634B0727}" xr6:coauthVersionLast="47" xr6:coauthVersionMax="47" xr10:uidLastSave="{00000000-0000-0000-0000-000000000000}"/>
  <bookViews>
    <workbookView xWindow="33600" yWindow="-100" windowWidth="38400" windowHeight="19400" tabRatio="745" xr2:uid="{00000000-000D-0000-FFFF-FFFF00000000}"/>
  </bookViews>
  <sheets>
    <sheet name="welcome" sheetId="20" r:id="rId1"/>
    <sheet name="study" sheetId="25" r:id="rId2"/>
    <sheet name="assay" sheetId="26" r:id="rId3"/>
    <sheet name="sample" sheetId="32" r:id="rId4"/>
    <sheet name="measurement" sheetId="33" r:id="rId5"/>
    <sheet name="Init" sheetId="3" state="hidden" r:id="rId6"/>
    <sheet name="FlapjackCols" sheetId="24" state="hidden" r:id="rId7"/>
    <sheet name="column_definitions" sheetId="4" state="hidden" r:id="rId8"/>
    <sheet name="Ontology Terms" sheetId="5" state="hidden" r:id="rId9"/>
    <sheet name="unique_values" sheetId="21" state="hidden" r:id="rId10"/>
    <sheet name="SBH_sampledesigns_collection" sheetId="29" r:id="rId11"/>
    <sheet name="SBH_signals_collection" sheetId="30" r:id="rId12"/>
  </sheets>
  <externalReferences>
    <externalReference r:id="rId13"/>
  </externalReferences>
  <definedNames>
    <definedName name="_xlnm._FilterDatabase" localSheetId="8">'Ontology Terms'!$A$1:$C$1</definedName>
    <definedName name="_xleta.COMPLEX" hidden="1" xlm="1">#NAME?</definedName>
    <definedName name="_xlpm.chars" hidden="1" xlm="1">#NAME?</definedName>
    <definedName name="_xlpm.seq" hidden="1" xlm="1">#NAME?</definedName>
    <definedName name="_xlpm.unique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1" l="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O5" i="25" l="1" a="1"/>
  <c r="O5" i="25" s="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Q5" i="25" l="1" a="1"/>
  <c r="P5" i="25" a="1"/>
  <c r="Q5" i="25" l="1"/>
  <c r="P5" i="25"/>
  <c r="E38" i="4"/>
  <c r="E37" i="4"/>
  <c r="E36" i="4"/>
  <c r="E4" i="4"/>
  <c r="E3" i="4"/>
  <c r="E2" i="4"/>
  <c r="D2" i="21"/>
  <c r="C2" i="21"/>
  <c r="A5" i="33"/>
  <c r="A5" i="32" l="1"/>
  <c r="B2" i="21" l="1"/>
  <c r="A2" i="21"/>
  <c r="N5" i="26" l="1"/>
  <c r="A5" i="26"/>
  <c r="R5" i="26" a="1"/>
  <c r="Q5" i="26" a="1"/>
  <c r="P5" i="26" a="1"/>
  <c r="O5" i="26" a="1"/>
  <c r="O5" i="26" l="1"/>
  <c r="P5" i="26"/>
  <c r="Q5" i="26"/>
  <c r="R5" i="26"/>
  <c r="N5" i="25"/>
  <c r="A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<sst xmlns="http://schemas.openxmlformats.org/spreadsheetml/2006/main" count="372" uniqueCount="160">
  <si>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</si>
  <si>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</si>
  <si>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</si>
  <si>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</si>
  <si>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</si>
  <si>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</si>
  <si>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</si>
  <si>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</si>
  <si>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</si>
  <si>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DOI</t>
  </si>
  <si>
    <t>Role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</si>
  <si>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</si>
  <si>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</si>
  <si>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</si>
  <si>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</si>
  <si>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</si>
  <si>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</si>
  <si>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</si>
  <si>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</si>
  <si>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</si>
  <si>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</si>
  <si>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</si>
  <si>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</si>
  <si>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</si>
  <si>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</si>
  <si>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</si>
  <si>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</si>
  <si>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</si>
  <si>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</si>
  <si>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</si>
  <si>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</si>
  <si>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</si>
  <si>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</si>
  <si>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</si>
  <si>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</si>
  <si>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</si>
  <si>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</si>
  <si>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</si>
  <si>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</si>
  <si>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</si>
  <si>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</si>
  <si>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</si>
  <si>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</si>
  <si>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</si>
  <si>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</si>
  <si>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</si>
  <si>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</si>
  <si>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</si>
  <si>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</si>
  <si>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</si>
  <si>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</si>
  <si>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</si>
  <si>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</si>
  <si>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>A</t>
  </si>
  <si>
    <t>B</t>
  </si>
  <si>
    <t>sbol_roles</t>
  </si>
  <si>
    <t>":"</t>
  </si>
  <si>
    <t>Init</t>
  </si>
  <si>
    <t>sbol_objectType</t>
  </si>
  <si>
    <t>sbol_types</t>
  </si>
  <si>
    <t>Synonyms</t>
  </si>
  <si>
    <t>Circular Drop down</t>
  </si>
  <si>
    <t>Previous Version (URI)</t>
  </si>
  <si>
    <t>Domain</t>
  </si>
  <si>
    <t>Master Collection</t>
  </si>
  <si>
    <t>Sample Design Name</t>
  </si>
  <si>
    <t>Sample Design Description</t>
  </si>
  <si>
    <t>Sample Design</t>
  </si>
  <si>
    <t>['sample_design']</t>
  </si>
  <si>
    <t>sample_design</t>
  </si>
  <si>
    <t>https://identifiers.org/obo/OBI:0000073</t>
  </si>
  <si>
    <t>FlapjackObject</t>
  </si>
  <si>
    <t>ColName</t>
  </si>
  <si>
    <t>FlapjackName</t>
  </si>
  <si>
    <t>name</t>
  </si>
  <si>
    <t>description</t>
  </si>
  <si>
    <t>Study</t>
  </si>
  <si>
    <t>Update</t>
  </si>
  <si>
    <t>This ID is used to reference the proteins in the other sheets.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</si>
  <si>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</si>
  <si>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</si>
  <si>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</si>
  <si>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</si>
  <si>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DO NOT CHANGE</t>
  </si>
  <si>
    <t>URL Checker - Data Source</t>
  </si>
  <si>
    <t>URL Checker - DOI</t>
  </si>
  <si>
    <t>sample design</t>
  </si>
  <si>
    <t>URL Checker - Previous Version</t>
  </si>
  <si>
    <t>URL Checker - URI</t>
  </si>
  <si>
    <t>PubMed ID</t>
  </si>
  <si>
    <t>sample</t>
  </si>
  <si>
    <t>https://identifiers.org/ncit/NCIT:C164385</t>
  </si>
  <si>
    <t>factor</t>
  </si>
  <si>
    <t>['supplement']</t>
  </si>
  <si>
    <t>https://synbiohub.org/public/igem/BBa_J23101/1</t>
  </si>
  <si>
    <t>welcome</t>
  </si>
  <si>
    <t>unique_values</t>
  </si>
  <si>
    <t>Study ID</t>
  </si>
  <si>
    <t>Study Description</t>
  </si>
  <si>
    <t>Study Title</t>
  </si>
  <si>
    <t>Submission Date</t>
  </si>
  <si>
    <t>Public Release Date</t>
  </si>
  <si>
    <t>Contacts</t>
  </si>
  <si>
    <t>Design Type</t>
  </si>
  <si>
    <t>Factor Name</t>
  </si>
  <si>
    <t>Factor Type</t>
  </si>
  <si>
    <t>Assay ID</t>
  </si>
  <si>
    <t>Assay Name</t>
  </si>
  <si>
    <t>Assay Description</t>
  </si>
  <si>
    <t>Measurement Type</t>
  </si>
  <si>
    <t>Technology Type</t>
  </si>
  <si>
    <t>Technology Platform</t>
  </si>
  <si>
    <t>Protocols</t>
  </si>
  <si>
    <t>Temperature</t>
  </si>
  <si>
    <t>Sample ID</t>
  </si>
  <si>
    <t>Sample Name</t>
  </si>
  <si>
    <t>Row</t>
  </si>
  <si>
    <t>Column</t>
  </si>
  <si>
    <t>Measurement Name</t>
  </si>
  <si>
    <t>Measurement ID</t>
  </si>
  <si>
    <t>Signal ID</t>
  </si>
  <si>
    <t>Time</t>
  </si>
  <si>
    <t>Value</t>
  </si>
  <si>
    <t>study</t>
  </si>
  <si>
    <t>Assay</t>
  </si>
  <si>
    <t>assay</t>
  </si>
  <si>
    <t>Sample</t>
  </si>
  <si>
    <t>Measurement</t>
  </si>
  <si>
    <t>sampledesign name</t>
  </si>
  <si>
    <t>sampledesign URI</t>
  </si>
  <si>
    <t>signal name</t>
  </si>
  <si>
    <t>signal URI</t>
  </si>
  <si>
    <t>Collection</t>
  </si>
  <si>
    <t>Experiment</t>
  </si>
  <si>
    <t>ExperimentalData</t>
  </si>
  <si>
    <t>isa_submissionDate</t>
  </si>
  <si>
    <t>https://wiki.synbiohub.org/wiki/Terms/ISA#</t>
  </si>
  <si>
    <t>isa_contacts</t>
  </si>
  <si>
    <t>isa_factorName</t>
  </si>
  <si>
    <t>isa_publicReleaseDate</t>
  </si>
  <si>
    <t>http://sbols.org/v2#</t>
  </si>
  <si>
    <t>isa_measurementType</t>
  </si>
  <si>
    <t>isa_technologyType</t>
  </si>
  <si>
    <t xml:space="preserve">Technology Platform	</t>
  </si>
  <si>
    <t>isa_technologyPlatform</t>
  </si>
  <si>
    <t>https://flapjack.rudge-lab.org/</t>
  </si>
  <si>
    <t>fj_temperature</t>
  </si>
  <si>
    <t>sbol_members</t>
  </si>
  <si>
    <t>sbol_experimentalData</t>
  </si>
  <si>
    <t>fj_row</t>
  </si>
  <si>
    <t>https://wiki.synbiohub.org/wiki/Terms/Flapjack#</t>
  </si>
  <si>
    <t>Integer</t>
  </si>
  <si>
    <t>fj_column</t>
  </si>
  <si>
    <t>SBH_sampledesigns_collection</t>
  </si>
  <si>
    <t>SBH_signals_collection</t>
  </si>
  <si>
    <t>Previous Version</t>
  </si>
  <si>
    <t>Studies</t>
  </si>
  <si>
    <t>example_sd</t>
  </si>
  <si>
    <t>example_OD</t>
  </si>
  <si>
    <t>example_GFP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</si>
</sst>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rgb="FF111827"/>
      <name val="Arial"/>
      <family val="2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5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  <xf numFmtId="0" fontId="5" fillId="0" borderId="1" applyNumberFormat="0" applyFill="0" applyBorder="0" applyAlignment="0" applyProtection="0"/>
  </cellStyleXfs>
  <cellXfs count="39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9" fillId="0" borderId="7" xfId="0" applyFont="1" applyBorder="1"/>
    <xf numFmtId="0" fontId="0" fillId="0" borderId="1" xfId="0" quotePrefix="1" applyBorder="1"/>
    <xf numFmtId="0" fontId="10" fillId="3" borderId="0" xfId="0" applyFont="1" applyFill="1"/>
    <xf numFmtId="0" fontId="10" fillId="0" borderId="0" xfId="0" applyFont="1"/>
    <xf numFmtId="0" fontId="11" fillId="3" borderId="0" xfId="0" applyFont="1" applyFill="1"/>
    <xf numFmtId="0" fontId="11" fillId="0" borderId="0" xfId="0" applyFont="1"/>
    <xf numFmtId="0" fontId="6" fillId="0" borderId="0" xfId="0" applyFont="1"/>
    <xf numFmtId="0" fontId="6" fillId="0" borderId="1" xfId="0" applyFont="1" applyBorder="1"/>
    <xf numFmtId="0" fontId="7" fillId="5" borderId="1" xfId="0" applyFont="1" applyFill="1" applyBorder="1"/>
    <xf numFmtId="0" fontId="8" fillId="0" borderId="1" xfId="3"/>
    <xf numFmtId="0" fontId="8" fillId="4" borderId="1" xfId="3" applyFill="1"/>
    <xf numFmtId="0" fontId="9" fillId="0" borderId="7" xfId="3" applyFont="1" applyBorder="1"/>
    <xf numFmtId="0" fontId="8" fillId="0" borderId="1" xfId="3" applyAlignment="1">
      <alignment wrapText="1"/>
    </xf>
    <xf numFmtId="0" fontId="1" fillId="0" borderId="1" xfId="3" applyFont="1"/>
    <xf numFmtId="0" fontId="5" fillId="0" borderId="1" xfId="4" applyBorder="1"/>
    <xf numFmtId="1" fontId="12" fillId="0" borderId="1" xfId="3" applyNumberFormat="1" applyFont="1"/>
    <xf numFmtId="0" fontId="10" fillId="0" borderId="1" xfId="3" applyFont="1"/>
    <xf numFmtId="0" fontId="13" fillId="0" borderId="1" xfId="0" applyFont="1" applyBorder="1"/>
    <xf numFmtId="0" fontId="14" fillId="0" borderId="1" xfId="0" applyFont="1" applyBorder="1"/>
    <xf numFmtId="0" fontId="14" fillId="0" borderId="1" xfId="0" applyFont="1" applyBorder="1" applyAlignment="1">
      <alignment horizontal="left"/>
    </xf>
    <xf numFmtId="14" fontId="14" fillId="0" borderId="1" xfId="0" applyNumberFormat="1" applyFont="1" applyBorder="1" applyAlignment="1">
      <alignment horizontal="left"/>
    </xf>
    <xf numFmtId="0" fontId="13" fillId="0" borderId="8" xfId="0" applyFont="1" applyBorder="1"/>
    <xf numFmtId="0" fontId="13" fillId="0" borderId="9" xfId="0" applyFont="1" applyBorder="1"/>
    <xf numFmtId="0" fontId="5" fillId="0" borderId="1" xfId="4"/>
    <xf numFmtId="0" fontId="1" fillId="0" borderId="0" xfId="0" applyFont="1"/>
    <xf numFmtId="0" fontId="1" fillId="0" borderId="1" xfId="0" applyFont="1" applyBorder="1"/>
    <xf numFmtId="0" fontId="0" fillId="0" borderId="1" xfId="4" applyFont="1" applyBorder="1"/>
    <xf numFmtId="1" fontId="5" fillId="0" borderId="1" xfId="4" applyNumberFormat="1" applyBorder="1"/>
  </cellXfs>
  <cellStyles count="5">
    <cellStyle name="Hyperlink" xfId="2" builtinId="8"/>
    <cellStyle name="Hyperlink 2" xfId="4" xr:uid="{44365BDF-CB10-DD42-BE60-F95233BDD9A5}"/>
    <cellStyle name="Normal" xfId="0" builtinId="0"/>
    <cellStyle name="Normal 2" xfId="1" xr:uid="{DB7C29B4-4247-8740-B948-91D2ADAE8B24}"/>
    <cellStyle name="Normal 3" xfId="3" xr:uid="{1C9C26EC-9A96-4C15-8BB0-888087C7416E}"/>
  </cellStyles>
  <dxfs count="9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</dxf>
    <dxf>
      <numFmt numFmtId="1" formatCode="0"/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cuments/GitHub/Project_CHARMME/Project_EBUGS/Test/templates/EBUGS_Study_20250815_Lod_soil2.xlsm" TargetMode="External"/><Relationship Id="rId1" Type="http://schemas.openxmlformats.org/officeDocument/2006/relationships/externalLinkPath" Target="EBUGS_Study_20250815_Lod_soil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udy"/>
      <sheetName val="Assay"/>
      <sheetName val="Sample"/>
      <sheetName val="unique_names"/>
      <sheetName val="welcome"/>
      <sheetName val="Init"/>
      <sheetName val="FlapjackCols"/>
      <sheetName val="column_definitions"/>
      <sheetName val="Ontology Terms"/>
      <sheetName val="molecule_types"/>
      <sheetName val="Organism Terms"/>
      <sheetName val="behavior_types"/>
      <sheetName val="protein_and_complex_Ids"/>
    </sheetNames>
    <sheetDataSet>
      <sheetData sheetId="0"/>
      <sheetData sheetId="1"/>
      <sheetData sheetId="2"/>
      <sheetData sheetId="3"/>
      <sheetData sheetId="4"/>
      <sheetData sheetId="5">
        <row r="1">
          <cell r="B1">
            <v>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33D944-51B2-8E46-90AD-B187C9A16FEC}" name="Table_1212" displayName="Table_1212" ref="A4:Q5" totalsRowShown="0" dataDxfId="89">
  <autoFilter ref="A4:Q5" xr:uid="{00000000-0009-0000-0100-000005000000}"/>
  <tableColumns count="17">
    <tableColumn id="1" xr3:uid="{453CDD2F-8786-8A49-8686-2CB83A86DFA9}" name="Study ID" dataDxfId="88">
      <calculatedColumnFormula>IF(study!B5="","",study!B5)</calculatedColumnFormula>
    </tableColumn>
    <tableColumn id="4" xr3:uid="{F1662E7E-415B-C842-9B9D-B30319D208C1}" name="Study Title" dataDxfId="87"/>
    <tableColumn id="9" xr3:uid="{EF80E94D-6209-1C41-A3D4-483A311695B8}" name="Previous Version"/>
    <tableColumn id="5" xr3:uid="{C5344F15-9ECF-5A4D-AC9C-715BADEFCB09}" name="Study Description" dataDxfId="86"/>
    <tableColumn id="11" xr3:uid="{25E78C9A-C99A-0F45-AE4B-7494F70B0568}" name="Submission Date" dataDxfId="85" dataCellStyle="Hyperlink"/>
    <tableColumn id="12" xr3:uid="{ED98138A-78E1-F847-AAD2-B316648FEA0D}" name="Public Release Date" dataDxfId="84" dataCellStyle="Hyperlink"/>
    <tableColumn id="16" xr3:uid="{AF716ABA-52B5-8943-8622-D89105147EF3}" name="Contacts" dataCellStyle="Hyperlink"/>
    <tableColumn id="6" xr3:uid="{528A453C-B2D4-FD4F-AB99-F7EF77FF64D5}" name="Design Type" dataDxfId="83"/>
    <tableColumn id="18" xr3:uid="{5BE80BA5-CD89-D649-A94D-724D7C26CE4C}" name="Factor Name" dataCellStyle="Normal 3"/>
    <tableColumn id="19" xr3:uid="{14057FAC-8E61-1B4A-A297-72C361D2ECDF}" name="Factor Type" dataCellStyle="Normal 3"/>
    <tableColumn id="2" xr3:uid="{8EEEB9B9-87AB-8940-B76A-545406373F47}" name="PubMed ID" dataDxfId="82"/>
    <tableColumn id="7" xr3:uid="{924FB5C6-7836-E949-B72B-F9894516E4DF}" name="DOI" dataDxfId="81"/>
    <tableColumn id="10" xr3:uid="{FDEFD987-0A73-CD4A-863C-B0D5E01C9AB1}" name="URI" dataDxfId="80"/>
    <tableColumn id="13" xr3:uid="{99978877-F770-1443-924F-73204F58FE1C}" name="Update" dataDxfId="79">
      <calculatedColumnFormula>IF($B5="","FALSE","TRUE")</calculatedColumnFormula>
    </tableColumn>
    <tableColumn id="14" xr3:uid="{D29DC6A7-1C8C-534D-AE0D-01C84176D920}" name="URL Checker - DOI" dataDxfId="78">
      <calculatedColumnFormula array="1">IsURL(Table_1212[[#This Row],[DOI]])</calculatedColumnFormula>
    </tableColumn>
    <tableColumn id="8" xr3:uid="{49EB53CF-BE72-5E4E-941D-86A2628E2B03}" name="URL Checker - Previous Version" dataDxfId="77">
      <calculatedColumnFormula array="1">IsURL(_xlfn.SINGLE(Table_1212[Previous Version]))</calculatedColumnFormula>
    </tableColumn>
    <tableColumn id="17" xr3:uid="{7E2FFF72-0FA7-A041-9FD4-314902A1E6C6}" name="URL Checker - URI" dataDxfId="76">
      <calculatedColumnFormula array="1">IsURL(_xlfn.SINGLE(Table_1212[URI]))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D35FC-BBA1-5745-BF21-C6AA754AE2E4}" name="Table_12126" displayName="Table_12126" ref="A4:R5" totalsRowShown="0" dataDxfId="75">
  <autoFilter ref="A4:R5" xr:uid="{00000000-0009-0000-0100-000005000000}"/>
  <tableColumns count="18">
    <tableColumn id="1" xr3:uid="{72F4ADCC-654B-A044-AEA9-2CAFE9E39D41}" name="Assay ID" dataDxfId="74">
      <calculatedColumnFormula>IF(assay!B5="","",assay!B5)</calculatedColumnFormula>
    </tableColumn>
    <tableColumn id="4" xr3:uid="{DEC50395-2B2C-7B43-9AA2-65D1333C53E6}" name="Assay Name" dataDxfId="73"/>
    <tableColumn id="9" xr3:uid="{99C85917-E137-9D45-B432-8836FD3E6564}" name="Previous Version (URI)"/>
    <tableColumn id="5" xr3:uid="{C5E7F0CC-395E-624D-80C0-CFF617758E5C}" name="Assay Description" dataDxfId="72"/>
    <tableColumn id="12" xr3:uid="{E199A178-22E7-C042-9305-E9F0077DB513}" name="Measurement Type" dataCellStyle="Hyperlink"/>
    <tableColumn id="16" xr3:uid="{2029052E-56A0-314A-B0E8-FE73DF2333F6}" name="Technology Type" dataCellStyle="Hyperlink"/>
    <tableColumn id="6" xr3:uid="{472B8121-2B08-174D-8F6D-136E17253263}" name="Technology Platform" dataDxfId="71"/>
    <tableColumn id="11" xr3:uid="{F3269FFC-5AA6-274D-94B5-990516D2EE5D}" name="Protocols" dataCellStyle="Normal 3"/>
    <tableColumn id="15" xr3:uid="{7D044230-60E2-C744-9D45-3E3ECE266835}" name="Temperature" dataCellStyle="Normal 3"/>
    <tableColumn id="20" xr3:uid="{325E847F-2366-134E-AE3B-22F5A757AEC2}" name="Study ID" dataCellStyle="Normal 3"/>
    <tableColumn id="2" xr3:uid="{57B2E40F-E41D-C949-A1B9-AF967A94EE11}" name="PubMed ID" dataDxfId="70"/>
    <tableColumn id="7" xr3:uid="{615E5F43-EECA-3E40-86BB-283AD49AF8BF}" name="DOI" dataDxfId="69"/>
    <tableColumn id="10" xr3:uid="{1CB01A86-FB7D-5A42-BC5C-0B270CF97384}" name="URI" dataDxfId="68"/>
    <tableColumn id="13" xr3:uid="{C2473AEC-4A54-CF40-B7B0-9CFDE1032A24}" name="Update" dataDxfId="67">
      <calculatedColumnFormula>IF($B5="","FALSE","TRUE")</calculatedColumnFormula>
    </tableColumn>
    <tableColumn id="3" xr3:uid="{7CA45FB6-9E5D-B041-A10D-52D7AC2B33CD}" name="URL Checker - Data Source" dataDxfId="66">
      <calculatedColumnFormula array="1">IsURL(Table_12126[[#This Row],[Technology Platform]])</calculatedColumnFormula>
    </tableColumn>
    <tableColumn id="14" xr3:uid="{FA727B69-2227-AB45-A569-0764A9DC37C2}" name="URL Checker - DOI" dataDxfId="65">
      <calculatedColumnFormula array="1">IsURL(Table_12126[[#This Row],[DOI]])</calculatedColumnFormula>
    </tableColumn>
    <tableColumn id="8" xr3:uid="{2AA8FC4B-F84E-2E45-902F-E4933710B5DC}" name="URL Checker - Previous Version" dataDxfId="64">
      <calculatedColumnFormula array="1">IsURL(_xlfn.SINGLE(Table_12126[Previous Version (URI)]))</calculatedColumnFormula>
    </tableColumn>
    <tableColumn id="17" xr3:uid="{0369923A-F2AD-454A-8446-B7AEF22725BB}" name="URL Checker - URI" dataDxfId="63">
      <calculatedColumnFormula array="1">IsURL(_xlfn.SINGLE(Table_12126[Previous Version (URI)]))</calculatedColumnFormula>
    </tableColumn>
  </tableColumns>
  <tableStyleInfo name="TableStyleLight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0FE1EC-8941-924C-A943-C80F4B1B0370}" name="Table_121262" displayName="Table_121262" ref="A4:F5" totalsRowShown="0" dataDxfId="62">
  <autoFilter ref="A4:F5" xr:uid="{00000000-0009-0000-0100-000005000000}"/>
  <tableColumns count="6">
    <tableColumn id="1" xr3:uid="{05D0C695-C42D-C846-A3CD-32ED2FCD19B5}" name="Sample ID" dataDxfId="61">
      <calculatedColumnFormula>IF(sample!B5="","",sample!B5)</calculatedColumnFormula>
    </tableColumn>
    <tableColumn id="4" xr3:uid="{E9B21247-B10D-0D49-992E-CBDCF44A19E6}" name="Sample Name" dataDxfId="60"/>
    <tableColumn id="9" xr3:uid="{62C4B6D3-6B7E-974C-8D7D-CC3926AA8896}" name="Row"/>
    <tableColumn id="5" xr3:uid="{C10A58BC-C0A0-C048-A4A2-F939B5FD811C}" name="Column" dataDxfId="59"/>
    <tableColumn id="12" xr3:uid="{9A585109-3A5F-E542-B836-F3A8D8939647}" name="Assay ID" dataCellStyle="Hyperlink"/>
    <tableColumn id="16" xr3:uid="{A048E84C-3BF7-A047-9D00-7C1F5942C3B5}" name="Sample Design" dataCellStyle="Hyperlink"/>
  </tableColumns>
  <tableStyleInfo name="TableStyleLight2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D0FCAB-B347-6B4D-984C-62EF5C4C2B98}" name="Table_1212627" displayName="Table_1212627" ref="A4:F5" totalsRowShown="0" dataDxfId="58">
  <autoFilter ref="A4:F5" xr:uid="{00000000-0009-0000-0100-000005000000}"/>
  <tableColumns count="6">
    <tableColumn id="1" xr3:uid="{CCE7ABA5-38D9-594D-A637-BE2776F4BCC0}" name="Measurement ID" dataDxfId="57">
      <calculatedColumnFormula>IF(measurement!B5="","",measurement!B5)</calculatedColumnFormula>
    </tableColumn>
    <tableColumn id="4" xr3:uid="{C755431F-FBA5-F94C-B029-D3864F67CBB7}" name="Measurement Name" dataDxfId="56"/>
    <tableColumn id="9" xr3:uid="{C8111885-5DF8-6048-8493-819D413AA19F}" name="Sample ID"/>
    <tableColumn id="5" xr3:uid="{8328ABEA-BB3B-EB44-9CBF-A517A0A7D6F4}" name="Signal ID" dataDxfId="55"/>
    <tableColumn id="12" xr3:uid="{C2ABCB1E-7686-F344-A86C-33FF557E88BC}" name="Time" dataCellStyle="Hyperlink"/>
    <tableColumn id="16" xr3:uid="{FD916CDF-8266-E442-A931-A23610BDFC17}" name="Value" dataCellStyle="Hyperlink"/>
  </tableColumns>
  <tableStyleInfo name="TableStyleLight2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8" totalsRowShown="0">
  <autoFilter ref="A10:L18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38" totalsRowShown="0" dataDxfId="95">
  <autoFilter ref="A1:Q38" xr:uid="{00000000-0009-0000-0100-000002000000}"/>
  <sortState xmlns:xlrd2="http://schemas.microsoft.com/office/spreadsheetml/2017/richdata2" ref="A2:Q47">
    <sortCondition ref="A1:A4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94"/>
    <tableColumn id="9" xr3:uid="{00000000-0010-0000-0200-000009000000}" name="Sheet Lookup" dataDxfId="93"/>
    <tableColumn id="10" xr3:uid="{00000000-0010-0000-0200-00000A000000}" name="Replacement Lookup" dataDxfId="92"/>
    <tableColumn id="11" xr3:uid="{00000000-0010-0000-0200-00000B000000}" name="Object_ID Lookup" dataDxfId="91"/>
    <tableColumn id="12" xr3:uid="{00000000-0010-0000-0200-00000C000000}" name="Parent Lookup" dataDxfId="9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sbols.org/v2" TargetMode="External"/><Relationship Id="rId13" Type="http://schemas.openxmlformats.org/officeDocument/2006/relationships/hyperlink" Target="http://sbols.org/v2" TargetMode="External"/><Relationship Id="rId18" Type="http://schemas.openxmlformats.org/officeDocument/2006/relationships/hyperlink" Target="https://flapjack.rudge-lab.org/fj" TargetMode="External"/><Relationship Id="rId3" Type="http://schemas.openxmlformats.org/officeDocument/2006/relationships/hyperlink" Target="https://flapjack.rudge-lab.org/" TargetMode="External"/><Relationship Id="rId21" Type="http://schemas.openxmlformats.org/officeDocument/2006/relationships/table" Target="../tables/table6.xml"/><Relationship Id="rId7" Type="http://schemas.openxmlformats.org/officeDocument/2006/relationships/hyperlink" Target="http://sbols.org/v2" TargetMode="External"/><Relationship Id="rId12" Type="http://schemas.openxmlformats.org/officeDocument/2006/relationships/hyperlink" Target="https://wiki.synbiohub.org/wiki/Terms/ISA" TargetMode="External"/><Relationship Id="rId17" Type="http://schemas.openxmlformats.org/officeDocument/2006/relationships/hyperlink" Target="https://wiki.synbiohub.org/wiki/Terms/Flapjack" TargetMode="External"/><Relationship Id="rId2" Type="http://schemas.openxmlformats.org/officeDocument/2006/relationships/hyperlink" Target="http://sbols.org/v2" TargetMode="External"/><Relationship Id="rId16" Type="http://schemas.openxmlformats.org/officeDocument/2006/relationships/hyperlink" Target="https://wiki.synbiohub.org/wiki/Terms/ISA" TargetMode="External"/><Relationship Id="rId20" Type="http://schemas.openxmlformats.org/officeDocument/2006/relationships/printerSettings" Target="../printerSettings/printerSettings7.bin"/><Relationship Id="rId1" Type="http://schemas.openxmlformats.org/officeDocument/2006/relationships/hyperlink" Target="https://wiki.synbiohub.org/wiki/Terms/ISA" TargetMode="External"/><Relationship Id="rId6" Type="http://schemas.openxmlformats.org/officeDocument/2006/relationships/hyperlink" Target="http://sbols.org/v2" TargetMode="External"/><Relationship Id="rId11" Type="http://schemas.openxmlformats.org/officeDocument/2006/relationships/hyperlink" Target="https://wiki.synbiohub.org/wiki/Terms/ISA" TargetMode="External"/><Relationship Id="rId5" Type="http://schemas.openxmlformats.org/officeDocument/2006/relationships/hyperlink" Target="https://flapjack.rudge-lab.org/" TargetMode="External"/><Relationship Id="rId15" Type="http://schemas.openxmlformats.org/officeDocument/2006/relationships/hyperlink" Target="https://wiki.synbiohub.org/wiki/Terms/ISA" TargetMode="External"/><Relationship Id="rId10" Type="http://schemas.openxmlformats.org/officeDocument/2006/relationships/hyperlink" Target="http://sbols.org/v2" TargetMode="External"/><Relationship Id="rId19" Type="http://schemas.openxmlformats.org/officeDocument/2006/relationships/hyperlink" Target="http://sbols.org/v2" TargetMode="External"/><Relationship Id="rId4" Type="http://schemas.openxmlformats.org/officeDocument/2006/relationships/hyperlink" Target="http://sbols.org/v2" TargetMode="External"/><Relationship Id="rId9" Type="http://schemas.openxmlformats.org/officeDocument/2006/relationships/hyperlink" Target="http://sbols.org/v2" TargetMode="External"/><Relationship Id="rId14" Type="http://schemas.openxmlformats.org/officeDocument/2006/relationships/hyperlink" Target="https://wiki.synbiohub.org/wiki/Terms/IS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abSelected="1" workbookViewId="0">
      <selection activeCell="H25" sqref="H25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156</v>
      </c>
    </row>
    <row r="6" spans="1:4" x14ac:dyDescent="0.2">
      <c r="B6" s="8"/>
      <c r="C6" s="8"/>
    </row>
    <row r="7" spans="1:4" x14ac:dyDescent="0.2">
      <c r="A7" s="6"/>
      <c r="B7" s="28" t="s">
        <v>0</v>
      </c>
      <c r="C7" s="29"/>
      <c r="D7" s="7"/>
    </row>
    <row r="8" spans="1:4" x14ac:dyDescent="0.2">
      <c r="A8" s="6"/>
      <c r="B8" s="28" t="s">
        <v>1</v>
      </c>
      <c r="C8" s="29"/>
      <c r="D8" s="7"/>
    </row>
    <row r="9" spans="1:4" x14ac:dyDescent="0.2">
      <c r="A9" s="6"/>
      <c r="B9" s="28" t="s">
        <v>2</v>
      </c>
      <c r="C9" s="29"/>
      <c r="D9" s="7"/>
    </row>
    <row r="10" spans="1:4" x14ac:dyDescent="0.2">
      <c r="A10" s="6"/>
      <c r="B10" s="28" t="s">
        <v>3</v>
      </c>
      <c r="C10" s="29"/>
      <c r="D10" s="7"/>
    </row>
    <row r="11" spans="1:4" x14ac:dyDescent="0.2">
      <c r="A11" s="6"/>
      <c r="B11" s="28" t="s">
        <v>4</v>
      </c>
      <c r="C11" s="29"/>
      <c r="D11" s="7"/>
    </row>
    <row r="12" spans="1:4" x14ac:dyDescent="0.2">
      <c r="A12" s="6"/>
      <c r="B12" s="28" t="s">
        <v>5</v>
      </c>
      <c r="C12" s="29"/>
      <c r="D12" s="7"/>
    </row>
    <row r="13" spans="1:4" x14ac:dyDescent="0.2">
      <c r="A13" s="6"/>
      <c r="B13" s="28" t="s">
        <v>6</v>
      </c>
      <c r="C13" s="30"/>
      <c r="D13" s="7"/>
    </row>
    <row r="14" spans="1:4" x14ac:dyDescent="0.2">
      <c r="A14" s="6"/>
      <c r="B14" s="28" t="s">
        <v>7</v>
      </c>
      <c r="C14" s="31"/>
      <c r="D14" s="7"/>
    </row>
    <row r="15" spans="1:4" x14ac:dyDescent="0.2">
      <c r="A15" s="6"/>
      <c r="B15" s="28" t="s">
        <v>8</v>
      </c>
      <c r="C15" s="28" t="b">
        <v>0</v>
      </c>
      <c r="D15" s="7"/>
    </row>
    <row r="16" spans="1:4" x14ac:dyDescent="0.2">
      <c r="A16" s="6"/>
      <c r="B16" s="32" t="s">
        <v>63</v>
      </c>
      <c r="C16" s="33"/>
      <c r="D16" s="7"/>
    </row>
    <row r="17" spans="1:4" x14ac:dyDescent="0.2">
      <c r="A17" s="6"/>
      <c r="B17" s="32" t="s">
        <v>64</v>
      </c>
      <c r="C17" s="33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AC8-3FFB-8949-838C-37EED3F400C8}">
  <sheetPr codeName="Sheet9">
    <outlinePr summaryBelow="0"/>
  </sheetPr>
  <dimension ref="A1:Q621"/>
  <sheetViews>
    <sheetView zoomScale="91" workbookViewId="0">
      <selection activeCell="O1" sqref="O1:Q1048576"/>
    </sheetView>
  </sheetViews>
  <sheetFormatPr baseColWidth="10" defaultColWidth="8.83203125" defaultRowHeight="15" x14ac:dyDescent="0.2"/>
  <cols>
    <col min="1" max="3" width="26.5" style="20" customWidth="1"/>
    <col min="4" max="4" width="36.5" style="20" customWidth="1"/>
    <col min="5" max="5" width="19.83203125" style="20" customWidth="1"/>
    <col min="6" max="6" width="22.5" style="20" customWidth="1"/>
    <col min="7" max="7" width="16.5" style="20" customWidth="1"/>
    <col min="8" max="8" width="15.5" style="20" customWidth="1"/>
    <col min="9" max="9" width="15" style="20" customWidth="1"/>
    <col min="10" max="10" width="15.5" style="20" customWidth="1"/>
    <col min="11" max="11" width="13.33203125" style="20" customWidth="1"/>
    <col min="12" max="12" width="17.83203125" style="20" customWidth="1"/>
    <col min="13" max="14" width="8.5" style="20" bestFit="1" customWidth="1"/>
    <col min="15" max="17" width="8.5" style="20" hidden="1" customWidth="1"/>
    <col min="18" max="24" width="8.5" style="20" bestFit="1" customWidth="1"/>
    <col min="25" max="25" width="12.5" style="20" bestFit="1" customWidth="1"/>
    <col min="26" max="16384" width="8.83203125" style="20"/>
  </cols>
  <sheetData>
    <row r="1" spans="1:17" ht="15.75" customHeight="1" x14ac:dyDescent="0.2"/>
    <row r="2" spans="1:17" ht="15.75" customHeight="1" x14ac:dyDescent="0.2"/>
    <row r="3" spans="1:17" ht="15.75" customHeight="1" x14ac:dyDescent="0.2">
      <c r="A3" s="20" t="s">
        <v>78</v>
      </c>
      <c r="B3" s="20" t="s">
        <v>79</v>
      </c>
      <c r="D3" s="20" t="s">
        <v>80</v>
      </c>
      <c r="E3" s="20" t="s">
        <v>81</v>
      </c>
      <c r="H3" s="20" t="s">
        <v>82</v>
      </c>
      <c r="L3" s="21" t="s">
        <v>83</v>
      </c>
      <c r="M3" s="21" t="s">
        <v>83</v>
      </c>
      <c r="N3" s="21"/>
    </row>
    <row r="4" spans="1:17" ht="43" customHeight="1" x14ac:dyDescent="0.2">
      <c r="A4" s="20" t="s">
        <v>97</v>
      </c>
      <c r="B4" s="20" t="s">
        <v>99</v>
      </c>
      <c r="C4" s="20" t="s">
        <v>155</v>
      </c>
      <c r="D4" s="20" t="s">
        <v>98</v>
      </c>
      <c r="E4" s="20" t="s">
        <v>100</v>
      </c>
      <c r="F4" s="20" t="s">
        <v>101</v>
      </c>
      <c r="G4" s="20" t="s">
        <v>102</v>
      </c>
      <c r="H4" s="20" t="s">
        <v>103</v>
      </c>
      <c r="I4" s="20" t="s">
        <v>104</v>
      </c>
      <c r="J4" s="20" t="s">
        <v>105</v>
      </c>
      <c r="K4" s="20" t="s">
        <v>89</v>
      </c>
      <c r="L4" s="20" t="s">
        <v>9</v>
      </c>
      <c r="M4" s="22" t="s">
        <v>51</v>
      </c>
      <c r="N4" s="22" t="s">
        <v>77</v>
      </c>
      <c r="O4" s="23" t="s">
        <v>85</v>
      </c>
      <c r="P4" s="23" t="s">
        <v>87</v>
      </c>
      <c r="Q4" s="23" t="s">
        <v>88</v>
      </c>
    </row>
    <row r="5" spans="1:17" ht="15" customHeight="1" x14ac:dyDescent="0.2">
      <c r="A5" s="20" t="str">
        <f>IF(study!B5="","",study!B5)</f>
        <v/>
      </c>
      <c r="B5" s="24"/>
      <c r="D5" s="24"/>
      <c r="E5" s="38"/>
      <c r="F5" s="38"/>
      <c r="G5" s="25"/>
      <c r="K5" s="26"/>
      <c r="M5" s="27"/>
      <c r="N5" s="27" t="str">
        <f t="shared" ref="N5" si="0">IF($B5="","FALSE","TRUE")</f>
        <v>FALSE</v>
      </c>
      <c r="O5" s="20" t="e" cm="1">
        <f t="array" aca="1" ref="O5" ca="1">IsURL(Table_1212[[#This Row],[DOI]])</f>
        <v>#NAME?</v>
      </c>
      <c r="P5" s="20" t="e" cm="1">
        <f t="array" aca="1" ref="P5" ca="1">IsURL(_xlfn.SINGLE(Table_1212[Previous Version]))</f>
        <v>#NAME?</v>
      </c>
      <c r="Q5" s="20" t="e" cm="1">
        <f t="array" aca="1" ref="Q5" ca="1">IsURL(_xlfn.SINGLE(Table_1212[URI]))</f>
        <v>#NAME?</v>
      </c>
    </row>
    <row r="6" spans="1:17" ht="15.75" customHeight="1" x14ac:dyDescent="0.2"/>
    <row r="7" spans="1:17" ht="15.75" customHeight="1" x14ac:dyDescent="0.2"/>
    <row r="8" spans="1:17" ht="15.75" customHeight="1" x14ac:dyDescent="0.2"/>
    <row r="9" spans="1:17" ht="15.75" customHeight="1" x14ac:dyDescent="0.2"/>
    <row r="10" spans="1:17" ht="15.75" customHeight="1" x14ac:dyDescent="0.2"/>
    <row r="11" spans="1:17" ht="15.75" customHeight="1" x14ac:dyDescent="0.2"/>
    <row r="12" spans="1:17" ht="15.75" customHeight="1" x14ac:dyDescent="0.2"/>
    <row r="13" spans="1:17" ht="15.75" customHeight="1" x14ac:dyDescent="0.2"/>
    <row r="14" spans="1:17" ht="15.75" customHeight="1" x14ac:dyDescent="0.2"/>
    <row r="15" spans="1:17" ht="15.75" customHeight="1" x14ac:dyDescent="0.2"/>
    <row r="16" spans="1:17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</sheetData>
  <phoneticPr fontId="3" type="noConversion"/>
  <conditionalFormatting sqref="B5">
    <cfRule type="expression" dxfId="54" priority="1" stopIfTrue="1">
      <formula>ISBLANK(B5)</formula>
    </cfRule>
  </conditionalFormatting>
  <dataValidations count="4">
    <dataValidation type="custom" allowBlank="1" showErrorMessage="1" errorTitle="This is not a valid name" error="Please enter a unique name to avoid future errors when referencing a component. Also, ensure that the name does not start with a number." sqref="C5" xr:uid="{374FA92B-D819-A745-8F4F-B3962B039391}">
      <formula1>AND(COUNTIF(#REF!,C5)=1,CODE(MID(C5,1,1))&gt;=65)</formula1>
    </dataValidation>
    <dataValidation allowBlank="1" showInputMessage="1" showErrorMessage="1" errorTitle="Invalid URL" error="The URL entered seems to be invalid, please check again." sqref="H5:J5" xr:uid="{423AEA69-970B-8046-881F-5C0CE5589B59}"/>
    <dataValidation type="list" allowBlank="1" showInputMessage="1" showErrorMessage="1" sqref="N5" xr:uid="{01EA1308-A7DB-4747-A15F-F8F6BF5176A2}">
      <formula1>"TRUE, FALSE"</formula1>
    </dataValidation>
    <dataValidation type="whole" operator="greaterThanOrEqual" allowBlank="1" showInputMessage="1" showErrorMessage="1" sqref="E5:F5" xr:uid="{33991C90-4785-5641-A857-6FC80E3F5035}">
      <formula1>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ErrorMessage="1" errorTitle="This is not a valid name" error="Please enter a unique name to avoid future errors when referencing a component. Also, ensure that the name does not start with a number." xr:uid="{5E994370-4400-414A-80B6-FA566EA04510}">
          <x14:formula1>
            <xm:f>AND(COUNTIF(unique_values!$A$2:$D$301,B5)=1,CODE(MID(B5,1,1))&gt;=65)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9539-CF92-9B42-BAA2-5BB153B585CB}">
  <sheetPr codeName="Sheet14">
    <outlinePr summaryBelow="0"/>
  </sheetPr>
  <dimension ref="A1:R441"/>
  <sheetViews>
    <sheetView zoomScale="91" workbookViewId="0">
      <selection activeCell="O1" sqref="O1:R1048576"/>
    </sheetView>
  </sheetViews>
  <sheetFormatPr baseColWidth="10" defaultColWidth="8.83203125" defaultRowHeight="15" x14ac:dyDescent="0.2"/>
  <cols>
    <col min="1" max="3" width="26.5" style="20" customWidth="1"/>
    <col min="4" max="4" width="36.5" style="20" customWidth="1"/>
    <col min="5" max="5" width="21" style="20" customWidth="1"/>
    <col min="6" max="6" width="19.5" style="20" customWidth="1"/>
    <col min="7" max="7" width="23.1640625" style="20" customWidth="1"/>
    <col min="8" max="8" width="13.6640625" style="20" customWidth="1"/>
    <col min="9" max="10" width="15.5" style="20" customWidth="1"/>
    <col min="11" max="11" width="17.83203125" style="20" customWidth="1"/>
    <col min="12" max="14" width="8.5" style="20" bestFit="1" customWidth="1"/>
    <col min="15" max="18" width="8.5" style="20" hidden="1" customWidth="1"/>
    <col min="19" max="24" width="8.5" style="20" bestFit="1" customWidth="1"/>
    <col min="25" max="25" width="12.5" style="20" bestFit="1" customWidth="1"/>
    <col min="26" max="16384" width="8.83203125" style="20"/>
  </cols>
  <sheetData>
    <row r="1" spans="1:18" ht="15.75" customHeight="1" x14ac:dyDescent="0.2"/>
    <row r="2" spans="1:18" ht="15.75" customHeight="1" x14ac:dyDescent="0.2"/>
    <row r="3" spans="1:18" ht="15.75" customHeight="1" x14ac:dyDescent="0.2">
      <c r="A3" s="20" t="s">
        <v>78</v>
      </c>
      <c r="B3" s="20" t="s">
        <v>79</v>
      </c>
      <c r="D3" s="20" t="s">
        <v>80</v>
      </c>
      <c r="G3" s="20" t="s">
        <v>82</v>
      </c>
      <c r="O3" s="21" t="s">
        <v>83</v>
      </c>
      <c r="P3" s="21" t="s">
        <v>83</v>
      </c>
      <c r="Q3" s="21"/>
      <c r="R3" s="21"/>
    </row>
    <row r="4" spans="1:18" ht="43" customHeight="1" x14ac:dyDescent="0.2">
      <c r="A4" s="20" t="s">
        <v>106</v>
      </c>
      <c r="B4" s="20" t="s">
        <v>107</v>
      </c>
      <c r="C4" s="20" t="s">
        <v>62</v>
      </c>
      <c r="D4" s="20" t="s">
        <v>108</v>
      </c>
      <c r="E4" s="20" t="s">
        <v>109</v>
      </c>
      <c r="F4" s="20" t="s">
        <v>110</v>
      </c>
      <c r="G4" s="20" t="s">
        <v>111</v>
      </c>
      <c r="H4" s="20" t="s">
        <v>112</v>
      </c>
      <c r="I4" s="20" t="s">
        <v>113</v>
      </c>
      <c r="J4" s="20" t="s">
        <v>97</v>
      </c>
      <c r="K4" s="20" t="s">
        <v>89</v>
      </c>
      <c r="L4" s="20" t="s">
        <v>9</v>
      </c>
      <c r="M4" s="22" t="s">
        <v>51</v>
      </c>
      <c r="N4" s="22" t="s">
        <v>77</v>
      </c>
      <c r="O4" s="23" t="s">
        <v>84</v>
      </c>
      <c r="P4" s="23" t="s">
        <v>85</v>
      </c>
      <c r="Q4" s="23" t="s">
        <v>87</v>
      </c>
      <c r="R4" s="23" t="s">
        <v>88</v>
      </c>
    </row>
    <row r="5" spans="1:18" ht="15" customHeight="1" x14ac:dyDescent="0.2">
      <c r="A5" s="20" t="str">
        <f>IF(assay!B5="","",assay!B5)</f>
        <v/>
      </c>
      <c r="B5" s="24"/>
      <c r="D5" s="24"/>
      <c r="E5" s="25"/>
      <c r="F5" s="25"/>
      <c r="K5" s="26"/>
      <c r="M5" s="27"/>
      <c r="N5" s="27" t="str">
        <f t="shared" ref="N5" si="0">IF($B5="","FALSE","TRUE")</f>
        <v>FALSE</v>
      </c>
      <c r="O5" s="20" t="e" cm="1">
        <f t="array" aca="1" ref="O5" ca="1">IsURL(Table_12126[[#This Row],[Technology Platform]])</f>
        <v>#NAME?</v>
      </c>
      <c r="P5" s="20" t="e" cm="1">
        <f t="array" aca="1" ref="P5" ca="1">IsURL(Table_12126[[#This Row],[DOI]])</f>
        <v>#NAME?</v>
      </c>
      <c r="Q5" s="20" t="e" cm="1">
        <f t="array" aca="1" ref="Q5" ca="1">IsURL(_xlfn.SINGLE(Table_12126[Previous Version (URI)]))</f>
        <v>#NAME?</v>
      </c>
      <c r="R5" s="20" t="e" cm="1">
        <f t="array" aca="1" ref="R5" ca="1">IsURL(_xlfn.SINGLE(Table_12126[Previous Version (URI)]))</f>
        <v>#NAME?</v>
      </c>
    </row>
    <row r="6" spans="1:18" ht="15.75" customHeight="1" x14ac:dyDescent="0.2"/>
    <row r="7" spans="1:18" ht="15.75" customHeight="1" x14ac:dyDescent="0.2"/>
    <row r="8" spans="1:18" ht="15.75" customHeight="1" x14ac:dyDescent="0.2"/>
    <row r="9" spans="1:18" ht="15.75" customHeight="1" x14ac:dyDescent="0.2"/>
    <row r="10" spans="1:18" ht="15.75" customHeight="1" x14ac:dyDescent="0.2"/>
    <row r="11" spans="1:18" ht="15.75" customHeight="1" x14ac:dyDescent="0.2"/>
    <row r="12" spans="1:18" ht="15.75" customHeight="1" x14ac:dyDescent="0.2"/>
    <row r="13" spans="1:18" ht="15.75" customHeight="1" x14ac:dyDescent="0.2"/>
    <row r="14" spans="1:18" ht="15.75" customHeight="1" x14ac:dyDescent="0.2"/>
    <row r="15" spans="1:18" ht="15.75" customHeight="1" x14ac:dyDescent="0.2"/>
    <row r="16" spans="1:18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</sheetData>
  <phoneticPr fontId="3" type="noConversion"/>
  <conditionalFormatting sqref="B5">
    <cfRule type="expression" dxfId="53" priority="1" stopIfTrue="1">
      <formula>ISBLANK(B5)</formula>
    </cfRule>
  </conditionalFormatting>
  <dataValidations count="4">
    <dataValidation type="list" allowBlank="1" showInputMessage="1" showErrorMessage="1" sqref="N5" xr:uid="{AC034BDB-9BCA-DE47-8FB7-A5A7663152B7}">
      <formula1>"TRUE, FALSE"</formula1>
    </dataValidation>
    <dataValidation type="custom" allowBlank="1" showInputMessage="1" showErrorMessage="1" errorTitle="Invalid URL" error="The URL entered seems to be invalid, please check again." sqref="G5:H5" xr:uid="{B0B845DF-7D3D-1240-8487-A98FF433161E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" xr:uid="{820814AB-E5A5-1149-A672-9CB8965415AE}">
      <formula1>AND(COUNTIF(#REF!,C5)=1,CODE(MID(C5,1,1))&gt;=65)</formula1>
    </dataValidation>
    <dataValidation type="decimal" operator="greaterThan" allowBlank="1" showInputMessage="1" showErrorMessage="1" errorTitle="Invalid URL" error="The URL entered seems to be invalid, please check again." sqref="I5" xr:uid="{1A9EA96B-1E28-4941-9365-0B16F1197C1A}">
      <formula1>-273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1C5CC052-7919-D540-A31B-CF11B5BCAD5A}">
          <x14:formula1>
            <xm:f>AND(COUNTIF(unique_values!$A$2:$D$301,B5)=1,CODE(MID(B5,1,1))&gt;=65)</xm:f>
          </x14:formula1>
          <xm:sqref>B5</xm:sqref>
        </x14:dataValidation>
        <x14:dataValidation type="list" allowBlank="1" showInputMessage="1" showErrorMessage="1" xr:uid="{BF8495CC-0EFF-0543-B24A-C4E500C10035}">
          <x14:formula1>
            <xm:f>study!$A$5:$A$5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3DDBA-DAEA-AB48-8C8C-8FB34B916FD3}">
  <sheetPr codeName="Sheet17">
    <outlinePr summaryBelow="0"/>
  </sheetPr>
  <dimension ref="A1:F474"/>
  <sheetViews>
    <sheetView zoomScale="91" workbookViewId="0">
      <selection activeCell="B14" sqref="B14"/>
    </sheetView>
  </sheetViews>
  <sheetFormatPr baseColWidth="10" defaultColWidth="8.83203125" defaultRowHeight="15" x14ac:dyDescent="0.2"/>
  <cols>
    <col min="1" max="3" width="26.5" style="20" customWidth="1"/>
    <col min="4" max="4" width="36.5" style="20" customWidth="1"/>
    <col min="5" max="5" width="21" style="20" customWidth="1"/>
    <col min="6" max="6" width="19.5" style="20" customWidth="1"/>
    <col min="7" max="13" width="8.5" style="20" bestFit="1" customWidth="1"/>
    <col min="14" max="14" width="12.5" style="20" bestFit="1" customWidth="1"/>
    <col min="15" max="16384" width="8.83203125" style="20"/>
  </cols>
  <sheetData>
    <row r="1" spans="1:6" ht="15.75" customHeight="1" x14ac:dyDescent="0.2"/>
    <row r="2" spans="1:6" ht="15.75" customHeight="1" x14ac:dyDescent="0.2"/>
    <row r="3" spans="1:6" ht="15.75" customHeight="1" x14ac:dyDescent="0.2">
      <c r="A3" s="20" t="s">
        <v>78</v>
      </c>
      <c r="B3" s="20" t="s">
        <v>79</v>
      </c>
      <c r="D3" s="20" t="s">
        <v>80</v>
      </c>
    </row>
    <row r="4" spans="1:6" ht="43" customHeight="1" x14ac:dyDescent="0.2">
      <c r="A4" s="20" t="s">
        <v>114</v>
      </c>
      <c r="B4" s="20" t="s">
        <v>115</v>
      </c>
      <c r="C4" s="20" t="s">
        <v>116</v>
      </c>
      <c r="D4" s="20" t="s">
        <v>117</v>
      </c>
      <c r="E4" s="20" t="s">
        <v>106</v>
      </c>
      <c r="F4" s="20" t="s">
        <v>67</v>
      </c>
    </row>
    <row r="5" spans="1:6" ht="15" customHeight="1" x14ac:dyDescent="0.2">
      <c r="A5" s="20" t="str">
        <f>IF(sample!B5="","",sample!B5)</f>
        <v/>
      </c>
      <c r="B5" s="24"/>
      <c r="D5" s="24"/>
      <c r="E5" s="25"/>
      <c r="F5" s="25"/>
    </row>
    <row r="6" spans="1:6" ht="15.75" customHeight="1" x14ac:dyDescent="0.2"/>
    <row r="7" spans="1:6" ht="15.75" customHeight="1" x14ac:dyDescent="0.2"/>
    <row r="8" spans="1:6" ht="15.75" customHeight="1" x14ac:dyDescent="0.2"/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</sheetData>
  <conditionalFormatting sqref="B5">
    <cfRule type="expression" dxfId="52" priority="1" stopIfTrue="1">
      <formula>ISBLANK(B5)</formula>
    </cfRule>
  </conditionalFormatting>
  <dataValidations count="2">
    <dataValidation type="whole" operator="greaterThanOrEqual" allowBlank="1" showErrorMessage="1" errorTitle="This is not a valid name" error="Please enter a unique name to avoid future errors when referencing a component. Also, ensure that the name does not start with a number." sqref="C5" xr:uid="{0C7D7D7B-217F-CE49-9BE8-AAB8F083CAE8}">
      <formula1>1</formula1>
    </dataValidation>
    <dataValidation type="whole" operator="greaterThanOrEqual" allowBlank="1" showInputMessage="1" showErrorMessage="1" sqref="D5" xr:uid="{3C2C71D5-B1D4-F24B-93A5-E5A04722B3C1}">
      <formula1>1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allowBlank="1" showErrorMessage="1" errorTitle="This is not a valid name" error="Please enter a unique name to avoid future errors when referencing a component. Also, ensure that the name does not start with a number." xr:uid="{70C6BEEC-6090-5542-8BB5-825F88A1DDCB}">
          <x14:formula1>
            <xm:f>AND(COUNTIF(unique_values!$A$2:$D$301,B5)=1,CODE(MID(B5,1,1))&gt;=65)</xm:f>
          </x14:formula1>
          <xm:sqref>B5</xm:sqref>
        </x14:dataValidation>
        <x14:dataValidation type="list" allowBlank="1" showInputMessage="1" showErrorMessage="1" xr:uid="{C18D76BA-74CF-0446-AE84-56A0BCD31131}">
          <x14:formula1>
            <xm:f>SBH_sampledesigns_collection!$A$2:$A$301</xm:f>
          </x14:formula1>
          <xm:sqref>F5</xm:sqref>
        </x14:dataValidation>
        <x14:dataValidation type="list" allowBlank="1" showInputMessage="1" showErrorMessage="1" xr:uid="{515D0401-DD2B-7742-BE1D-BBE389AC5807}">
          <x14:formula1>
            <xm:f>assay!$B$5:$B$5</xm:f>
          </x14:formula1>
          <xm:sqref>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5695-5AE1-1C40-9236-C00933644F92}">
  <sheetPr codeName="Sheet18">
    <outlinePr summaryBelow="0"/>
  </sheetPr>
  <dimension ref="A1:F604"/>
  <sheetViews>
    <sheetView topLeftCell="B1" zoomScale="91" workbookViewId="0">
      <selection activeCell="K13" sqref="K13"/>
    </sheetView>
  </sheetViews>
  <sheetFormatPr baseColWidth="10" defaultColWidth="8.83203125" defaultRowHeight="15" x14ac:dyDescent="0.2"/>
  <cols>
    <col min="1" max="1" width="26.5" style="20" hidden="1" customWidth="1"/>
    <col min="2" max="3" width="26.5" style="20" customWidth="1"/>
    <col min="4" max="4" width="36.5" style="20" customWidth="1"/>
    <col min="5" max="5" width="21" style="20" customWidth="1"/>
    <col min="6" max="6" width="19.5" style="20" customWidth="1"/>
    <col min="7" max="13" width="8.5" style="20" bestFit="1" customWidth="1"/>
    <col min="14" max="14" width="12.5" style="20" bestFit="1" customWidth="1"/>
    <col min="15" max="16384" width="8.83203125" style="20"/>
  </cols>
  <sheetData>
    <row r="1" spans="1:6" ht="15.75" customHeight="1" x14ac:dyDescent="0.2"/>
    <row r="2" spans="1:6" ht="15.75" customHeight="1" x14ac:dyDescent="0.2"/>
    <row r="3" spans="1:6" ht="15.75" customHeight="1" x14ac:dyDescent="0.2">
      <c r="A3" s="20" t="s">
        <v>78</v>
      </c>
      <c r="B3" s="20" t="s">
        <v>79</v>
      </c>
      <c r="D3" s="20" t="s">
        <v>80</v>
      </c>
    </row>
    <row r="4" spans="1:6" ht="43" customHeight="1" x14ac:dyDescent="0.2">
      <c r="A4" s="20" t="s">
        <v>119</v>
      </c>
      <c r="B4" s="20" t="s">
        <v>118</v>
      </c>
      <c r="C4" s="20" t="s">
        <v>114</v>
      </c>
      <c r="D4" s="20" t="s">
        <v>120</v>
      </c>
      <c r="E4" s="20" t="s">
        <v>121</v>
      </c>
      <c r="F4" s="20" t="s">
        <v>122</v>
      </c>
    </row>
    <row r="5" spans="1:6" ht="15" customHeight="1" x14ac:dyDescent="0.2">
      <c r="A5" s="20" t="str">
        <f>IF(measurement!B5="","",measurement!B5)</f>
        <v/>
      </c>
      <c r="B5" s="24"/>
      <c r="D5" s="24"/>
      <c r="E5" s="25"/>
      <c r="F5" s="25"/>
    </row>
    <row r="6" spans="1:6" ht="15.75" customHeight="1" x14ac:dyDescent="0.2"/>
    <row r="7" spans="1:6" ht="15.75" customHeight="1" x14ac:dyDescent="0.2"/>
    <row r="8" spans="1:6" ht="15.75" customHeight="1" x14ac:dyDescent="0.2"/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</sheetData>
  <conditionalFormatting sqref="B5">
    <cfRule type="expression" dxfId="51" priority="1" stopIfTrue="1">
      <formula>ISBLANK(B5)</formula>
    </cfRule>
  </conditionalFormatting>
  <dataValidations count="2">
    <dataValidation type="decimal" operator="greaterThan" allowBlank="1" showInputMessage="1" showErrorMessage="1" sqref="F5" xr:uid="{9F5CB5DD-7CCD-ED49-ADAC-20E854384C2E}">
      <formula1>-1000000000</formula1>
    </dataValidation>
    <dataValidation type="whole" operator="greaterThanOrEqual" allowBlank="1" showInputMessage="1" showErrorMessage="1" sqref="E5" xr:uid="{8D12CF44-8366-484E-9607-DBDDC40E3995}">
      <formula1>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0EEEBB-7FD0-B44C-ACAF-9F9982FC3A24}">
          <x14:formula1>
            <xm:f>SBH_signals_collection!$A$2:$A$301</xm:f>
          </x14:formula1>
          <xm:sqref>D5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D6A079F6-BC48-624E-98E3-22DD37A34C92}">
          <x14:formula1>
            <xm:f>AND(COUNTIF(unique_values!$A$2:$D$301,B5)=1,CODE(MID(B5,1,1))&gt;=65)</xm:f>
          </x14:formula1>
          <xm:sqref>B5</xm:sqref>
        </x14:dataValidation>
        <x14:dataValidation type="list" allowBlank="1" showErrorMessage="1" errorTitle="This is not a valid name" error="Please enter a unique name to avoid future errors when referencing a component. Also, ensure that the name does not start with a number." xr:uid="{58C4297F-AE1D-7540-ACD6-A71D0F835655}">
          <x14:formula1>
            <xm:f>sample!$B$5:$B$5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8"/>
  <sheetViews>
    <sheetView workbookViewId="0">
      <selection activeCell="B27" sqref="B27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11</v>
      </c>
      <c r="B1" s="3">
        <v>2</v>
      </c>
    </row>
    <row r="2" spans="1:12" ht="17.25" customHeight="1" x14ac:dyDescent="0.2">
      <c r="A2" s="3" t="s">
        <v>12</v>
      </c>
      <c r="B2" s="3" t="s">
        <v>13</v>
      </c>
    </row>
    <row r="3" spans="1:12" ht="17.25" customHeight="1" x14ac:dyDescent="0.2">
      <c r="A3" s="3" t="s">
        <v>14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15</v>
      </c>
      <c r="B10" t="s">
        <v>16</v>
      </c>
      <c r="C10" t="s">
        <v>17</v>
      </c>
      <c r="D10" t="s">
        <v>18</v>
      </c>
      <c r="E10" t="s">
        <v>19</v>
      </c>
      <c r="F10" t="s">
        <v>20</v>
      </c>
      <c r="G10" t="s">
        <v>21</v>
      </c>
      <c r="H10" t="s">
        <v>22</v>
      </c>
      <c r="I10" t="s">
        <v>23</v>
      </c>
      <c r="J10" t="s">
        <v>24</v>
      </c>
      <c r="K10" t="s">
        <v>25</v>
      </c>
      <c r="L10" t="s">
        <v>10</v>
      </c>
    </row>
    <row r="11" spans="1:12" x14ac:dyDescent="0.2">
      <c r="A11" t="s">
        <v>95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123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132</v>
      </c>
    </row>
    <row r="13" spans="1:12" ht="17.25" customHeight="1" x14ac:dyDescent="0.2">
      <c r="A13" t="s">
        <v>125</v>
      </c>
      <c r="B13" t="b">
        <v>1</v>
      </c>
      <c r="C13">
        <v>4</v>
      </c>
      <c r="D13" t="b">
        <v>0</v>
      </c>
      <c r="E13">
        <v>0</v>
      </c>
      <c r="F13">
        <v>0</v>
      </c>
      <c r="G13" t="b">
        <v>0</v>
      </c>
      <c r="H13">
        <v>0</v>
      </c>
      <c r="I13">
        <v>0</v>
      </c>
      <c r="J13" t="s">
        <v>133</v>
      </c>
    </row>
    <row r="14" spans="1:12" ht="17.25" customHeight="1" x14ac:dyDescent="0.2">
      <c r="A14" t="s">
        <v>90</v>
      </c>
      <c r="B14" t="b">
        <v>1</v>
      </c>
      <c r="C14">
        <v>4</v>
      </c>
      <c r="D14" t="b">
        <v>0</v>
      </c>
      <c r="E14">
        <v>0</v>
      </c>
      <c r="F14">
        <v>0</v>
      </c>
      <c r="G14" t="b">
        <v>0</v>
      </c>
      <c r="H14">
        <v>0</v>
      </c>
      <c r="I14">
        <v>0</v>
      </c>
      <c r="J14" t="s">
        <v>134</v>
      </c>
    </row>
    <row r="15" spans="1:12" x14ac:dyDescent="0.2">
      <c r="A15" t="s">
        <v>26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153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154</v>
      </c>
      <c r="B17" t="b">
        <v>0</v>
      </c>
      <c r="C17">
        <v>0</v>
      </c>
      <c r="D17" t="b">
        <v>0</v>
      </c>
      <c r="G17" t="b">
        <v>0</v>
      </c>
    </row>
    <row r="18" spans="1:7" x14ac:dyDescent="0.2">
      <c r="A18" t="s">
        <v>96</v>
      </c>
      <c r="B18" t="b">
        <v>0</v>
      </c>
      <c r="C18">
        <v>0</v>
      </c>
      <c r="D18" t="b">
        <v>0</v>
      </c>
      <c r="G18" t="b">
        <v>0</v>
      </c>
    </row>
  </sheetData>
  <dataValidations count="1">
    <dataValidation type="list" allowBlank="1" showInputMessage="1" showErrorMessage="1" sqref="G11:G18 B11:B18 D11:D18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F7" sqref="F7"/>
    </sheetView>
  </sheetViews>
  <sheetFormatPr baseColWidth="10" defaultColWidth="8.83203125" defaultRowHeight="15" x14ac:dyDescent="0.2"/>
  <sheetData>
    <row r="1" spans="1:4" x14ac:dyDescent="0.2">
      <c r="A1" s="11" t="s">
        <v>15</v>
      </c>
      <c r="B1" s="11" t="s">
        <v>71</v>
      </c>
      <c r="C1" s="11" t="s">
        <v>72</v>
      </c>
      <c r="D1" s="11" t="s">
        <v>73</v>
      </c>
    </row>
    <row r="2" spans="1:4" ht="16" x14ac:dyDescent="0.2">
      <c r="A2" s="15" t="s">
        <v>86</v>
      </c>
      <c r="B2" s="15" t="s">
        <v>76</v>
      </c>
      <c r="C2" s="13" t="s">
        <v>65</v>
      </c>
      <c r="D2" s="15" t="s">
        <v>74</v>
      </c>
    </row>
    <row r="3" spans="1:4" ht="16" x14ac:dyDescent="0.2">
      <c r="A3" s="14" t="s">
        <v>86</v>
      </c>
      <c r="B3" s="14" t="s">
        <v>76</v>
      </c>
      <c r="C3" s="14" t="s">
        <v>66</v>
      </c>
      <c r="D3" s="16" t="s">
        <v>75</v>
      </c>
    </row>
  </sheetData>
  <conditionalFormatting sqref="A2:B2 B3">
    <cfRule type="expression" dxfId="50" priority="1" stopIfTrue="1">
      <formula>ISBLANK(A2)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38"/>
  <sheetViews>
    <sheetView zoomScaleNormal="100" workbookViewId="0">
      <selection activeCell="B39" sqref="B39"/>
    </sheetView>
  </sheetViews>
  <sheetFormatPr baseColWidth="10" defaultColWidth="8.83203125" defaultRowHeight="15" x14ac:dyDescent="0.2"/>
  <cols>
    <col min="1" max="1" width="14.6640625" customWidth="1"/>
    <col min="2" max="2" width="38.1640625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15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</row>
    <row r="2" spans="1:17" x14ac:dyDescent="0.2">
      <c r="A2" t="s">
        <v>123</v>
      </c>
      <c r="B2" t="s">
        <v>97</v>
      </c>
      <c r="C2" t="s">
        <v>44</v>
      </c>
      <c r="E2" t="str">
        <f>_xlfn.CONCAT("http://sbols.org/v",[1]Init!$B$1,"#")</f>
        <v>http://sbols.org/v2#</v>
      </c>
      <c r="F2" t="s">
        <v>45</v>
      </c>
      <c r="G2" t="s">
        <v>46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123</v>
      </c>
      <c r="B3" t="s">
        <v>99</v>
      </c>
      <c r="C3" t="s">
        <v>47</v>
      </c>
      <c r="E3" t="str">
        <f>_xlfn.CONCAT("http://sbols.org/v",[1]Init!$B$1,"#")</f>
        <v>http://sbols.org/v2#</v>
      </c>
      <c r="F3" t="s">
        <v>45</v>
      </c>
      <c r="G3" t="s">
        <v>46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123</v>
      </c>
      <c r="B4" t="s">
        <v>62</v>
      </c>
      <c r="C4" t="s">
        <v>44</v>
      </c>
      <c r="E4" t="str">
        <f>_xlfn.CONCAT("http://sbols.org/v",[1]Init!$B$1,"#")</f>
        <v>http://sbols.org/v2#</v>
      </c>
      <c r="F4" t="s">
        <v>45</v>
      </c>
      <c r="G4" t="s">
        <v>46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123</v>
      </c>
      <c r="B5" t="s">
        <v>98</v>
      </c>
      <c r="C5" t="s">
        <v>48</v>
      </c>
      <c r="E5" t="s">
        <v>49</v>
      </c>
      <c r="F5" t="s">
        <v>45</v>
      </c>
      <c r="G5" t="s">
        <v>46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123</v>
      </c>
      <c r="B6" t="s">
        <v>100</v>
      </c>
      <c r="C6" t="s">
        <v>135</v>
      </c>
      <c r="E6" s="34" t="s">
        <v>136</v>
      </c>
      <c r="F6" t="s">
        <v>45</v>
      </c>
      <c r="G6" t="s">
        <v>46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123</v>
      </c>
      <c r="B7" t="s">
        <v>102</v>
      </c>
      <c r="C7" t="s">
        <v>137</v>
      </c>
      <c r="E7" s="34" t="s">
        <v>136</v>
      </c>
      <c r="F7" t="s">
        <v>45</v>
      </c>
      <c r="G7" t="s">
        <v>46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123</v>
      </c>
      <c r="B8" t="s">
        <v>104</v>
      </c>
      <c r="C8" t="s">
        <v>138</v>
      </c>
      <c r="E8" s="34" t="s">
        <v>136</v>
      </c>
      <c r="F8" t="s">
        <v>45</v>
      </c>
      <c r="G8" t="s">
        <v>46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123</v>
      </c>
      <c r="B9" t="s">
        <v>85</v>
      </c>
      <c r="C9" s="17" t="s">
        <v>52</v>
      </c>
      <c r="D9" s="17"/>
      <c r="E9" s="18"/>
      <c r="F9" s="18" t="s">
        <v>45</v>
      </c>
      <c r="G9" s="18" t="s">
        <v>46</v>
      </c>
      <c r="H9" s="18"/>
      <c r="I9" s="19" t="b">
        <v>0</v>
      </c>
      <c r="J9" s="19" t="b">
        <v>0</v>
      </c>
      <c r="K9" s="19" t="b">
        <v>0</v>
      </c>
      <c r="L9" s="19" t="b">
        <v>0</v>
      </c>
      <c r="M9" s="19" t="b">
        <v>0</v>
      </c>
      <c r="N9" s="18"/>
      <c r="O9" s="18"/>
      <c r="P9" s="18"/>
      <c r="Q9" s="18"/>
    </row>
    <row r="10" spans="1:17" x14ac:dyDescent="0.2">
      <c r="A10" t="s">
        <v>123</v>
      </c>
      <c r="B10" t="s">
        <v>87</v>
      </c>
      <c r="C10" s="17" t="s">
        <v>52</v>
      </c>
      <c r="D10" s="17"/>
      <c r="E10" s="18"/>
      <c r="F10" s="18" t="s">
        <v>45</v>
      </c>
      <c r="G10" s="18" t="s">
        <v>46</v>
      </c>
      <c r="H10" s="18"/>
      <c r="I10" s="19" t="b">
        <v>0</v>
      </c>
      <c r="J10" s="19" t="b">
        <v>0</v>
      </c>
      <c r="K10" s="19" t="b">
        <v>0</v>
      </c>
      <c r="L10" s="19" t="b">
        <v>0</v>
      </c>
      <c r="M10" s="19" t="b">
        <v>0</v>
      </c>
      <c r="N10" s="18"/>
      <c r="O10" s="18"/>
      <c r="P10" s="18"/>
      <c r="Q10" s="18"/>
    </row>
    <row r="11" spans="1:17" x14ac:dyDescent="0.2">
      <c r="A11" t="s">
        <v>123</v>
      </c>
      <c r="B11" t="s">
        <v>88</v>
      </c>
      <c r="C11" s="17" t="s">
        <v>52</v>
      </c>
      <c r="D11" s="17"/>
      <c r="E11" s="18"/>
      <c r="F11" s="18" t="s">
        <v>45</v>
      </c>
      <c r="G11" s="18" t="s">
        <v>46</v>
      </c>
      <c r="H11" s="18"/>
      <c r="I11" s="19" t="b">
        <v>0</v>
      </c>
      <c r="J11" s="19" t="b">
        <v>0</v>
      </c>
      <c r="K11" s="19" t="b">
        <v>0</v>
      </c>
      <c r="L11" s="19" t="b">
        <v>0</v>
      </c>
      <c r="M11" s="19" t="b">
        <v>0</v>
      </c>
      <c r="N11" s="18"/>
      <c r="O11" s="18"/>
      <c r="P11" s="18"/>
      <c r="Q11" s="18"/>
    </row>
    <row r="12" spans="1:17" x14ac:dyDescent="0.2">
      <c r="A12" t="s">
        <v>123</v>
      </c>
      <c r="B12" t="s">
        <v>101</v>
      </c>
      <c r="C12" t="s">
        <v>139</v>
      </c>
      <c r="E12" s="34" t="s">
        <v>136</v>
      </c>
      <c r="F12" s="1" t="s">
        <v>151</v>
      </c>
      <c r="G12" t="s">
        <v>46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123</v>
      </c>
      <c r="B13" t="s">
        <v>51</v>
      </c>
      <c r="C13" t="s">
        <v>52</v>
      </c>
      <c r="F13" t="s">
        <v>45</v>
      </c>
      <c r="G13" t="s">
        <v>46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123</v>
      </c>
      <c r="B14" t="s">
        <v>77</v>
      </c>
      <c r="C14" t="s">
        <v>52</v>
      </c>
      <c r="F14" t="s">
        <v>45</v>
      </c>
      <c r="G14" t="s">
        <v>46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ht="16" x14ac:dyDescent="0.2">
      <c r="A15" s="35" t="s">
        <v>125</v>
      </c>
      <c r="B15" t="s">
        <v>106</v>
      </c>
      <c r="C15" t="s">
        <v>44</v>
      </c>
      <c r="E15" s="34" t="s">
        <v>140</v>
      </c>
      <c r="F15" s="36" t="s">
        <v>45</v>
      </c>
      <c r="G15" s="1" t="s">
        <v>46</v>
      </c>
      <c r="H15" s="1"/>
      <c r="I15" t="b">
        <v>0</v>
      </c>
      <c r="J15" t="b">
        <v>0</v>
      </c>
      <c r="K15" t="b">
        <v>0</v>
      </c>
      <c r="L15" t="b">
        <v>0</v>
      </c>
      <c r="M15" t="b">
        <v>0</v>
      </c>
      <c r="Q15" s="35"/>
    </row>
    <row r="16" spans="1:17" ht="16" x14ac:dyDescent="0.2">
      <c r="A16" s="35" t="s">
        <v>125</v>
      </c>
      <c r="B16" t="s">
        <v>107</v>
      </c>
      <c r="C16" s="35" t="s">
        <v>47</v>
      </c>
      <c r="E16" s="34" t="s">
        <v>140</v>
      </c>
      <c r="F16" s="36" t="s">
        <v>45</v>
      </c>
      <c r="G16" s="1" t="s">
        <v>46</v>
      </c>
      <c r="H16" s="36"/>
      <c r="I16" s="35" t="b">
        <v>0</v>
      </c>
      <c r="J16" t="b">
        <v>0</v>
      </c>
      <c r="K16" t="b">
        <v>0</v>
      </c>
      <c r="L16" t="b">
        <v>0</v>
      </c>
      <c r="M16" t="b">
        <v>0</v>
      </c>
      <c r="Q16" s="35"/>
    </row>
    <row r="17" spans="1:17" ht="16" x14ac:dyDescent="0.2">
      <c r="A17" s="35" t="s">
        <v>125</v>
      </c>
      <c r="B17" t="s">
        <v>109</v>
      </c>
      <c r="C17" s="35" t="s">
        <v>141</v>
      </c>
      <c r="E17" s="34" t="s">
        <v>136</v>
      </c>
      <c r="F17" s="36" t="s">
        <v>45</v>
      </c>
      <c r="G17" s="1" t="s">
        <v>46</v>
      </c>
      <c r="H17" s="36"/>
      <c r="I17" t="b">
        <v>0</v>
      </c>
      <c r="J17" t="b">
        <v>0</v>
      </c>
      <c r="K17" t="b">
        <v>0</v>
      </c>
      <c r="L17" t="b">
        <v>0</v>
      </c>
      <c r="M17" t="b">
        <v>0</v>
      </c>
      <c r="N17" s="35"/>
      <c r="O17" s="35"/>
      <c r="P17" s="35"/>
      <c r="Q17" s="35"/>
    </row>
    <row r="18" spans="1:17" ht="16" x14ac:dyDescent="0.2">
      <c r="A18" s="35" t="s">
        <v>125</v>
      </c>
      <c r="B18" t="s">
        <v>110</v>
      </c>
      <c r="C18" s="35" t="s">
        <v>142</v>
      </c>
      <c r="E18" s="34" t="s">
        <v>136</v>
      </c>
      <c r="F18" s="36" t="s">
        <v>45</v>
      </c>
      <c r="G18" s="1" t="s">
        <v>46</v>
      </c>
      <c r="H18" s="36"/>
      <c r="I18" s="35" t="b">
        <v>0</v>
      </c>
      <c r="J18" t="b">
        <v>0</v>
      </c>
      <c r="K18" t="b">
        <v>0</v>
      </c>
      <c r="L18" t="b">
        <v>0</v>
      </c>
      <c r="M18" t="b">
        <v>0</v>
      </c>
      <c r="N18" s="35"/>
      <c r="O18" s="35"/>
      <c r="P18" s="35"/>
      <c r="Q18" s="35"/>
    </row>
    <row r="19" spans="1:17" ht="16" x14ac:dyDescent="0.2">
      <c r="A19" s="35" t="s">
        <v>125</v>
      </c>
      <c r="B19" t="s">
        <v>143</v>
      </c>
      <c r="C19" t="s">
        <v>144</v>
      </c>
      <c r="E19" s="34" t="s">
        <v>145</v>
      </c>
      <c r="F19" s="1" t="s">
        <v>45</v>
      </c>
      <c r="G19" s="1" t="s">
        <v>46</v>
      </c>
      <c r="H19" s="1"/>
      <c r="I19" s="35" t="b">
        <v>0</v>
      </c>
      <c r="J19" s="35" t="b">
        <v>0</v>
      </c>
      <c r="K19" t="b">
        <v>0</v>
      </c>
      <c r="L19" t="b">
        <v>0</v>
      </c>
      <c r="M19" t="b">
        <v>0</v>
      </c>
      <c r="Q19" s="35"/>
    </row>
    <row r="20" spans="1:17" ht="16" x14ac:dyDescent="0.2">
      <c r="A20" s="35" t="s">
        <v>125</v>
      </c>
      <c r="B20" t="s">
        <v>112</v>
      </c>
      <c r="C20" t="s">
        <v>50</v>
      </c>
      <c r="E20" s="34" t="s">
        <v>140</v>
      </c>
      <c r="F20" s="37" t="s">
        <v>51</v>
      </c>
      <c r="G20" s="1" t="s">
        <v>46</v>
      </c>
      <c r="H20" s="1"/>
      <c r="I20" s="35" t="b">
        <v>0</v>
      </c>
      <c r="J20" t="b">
        <v>0</v>
      </c>
      <c r="K20" t="b">
        <v>0</v>
      </c>
      <c r="L20" t="b">
        <v>0</v>
      </c>
      <c r="M20" t="b">
        <v>0</v>
      </c>
    </row>
    <row r="21" spans="1:17" ht="16" x14ac:dyDescent="0.2">
      <c r="A21" s="35" t="s">
        <v>125</v>
      </c>
      <c r="B21" t="s">
        <v>108</v>
      </c>
      <c r="C21" t="s">
        <v>48</v>
      </c>
      <c r="E21" s="34" t="s">
        <v>140</v>
      </c>
      <c r="F21" s="1" t="s">
        <v>45</v>
      </c>
      <c r="G21" s="1" t="s">
        <v>46</v>
      </c>
      <c r="H21" s="1"/>
      <c r="I21" s="35" t="b">
        <v>0</v>
      </c>
      <c r="J21" t="b">
        <v>0</v>
      </c>
      <c r="K21" t="b">
        <v>0</v>
      </c>
      <c r="L21" t="b">
        <v>0</v>
      </c>
      <c r="M21" t="b">
        <v>0</v>
      </c>
      <c r="Q21" s="35"/>
    </row>
    <row r="22" spans="1:17" ht="16" x14ac:dyDescent="0.2">
      <c r="A22" s="35" t="s">
        <v>125</v>
      </c>
      <c r="B22" t="s">
        <v>51</v>
      </c>
      <c r="C22" t="s">
        <v>52</v>
      </c>
      <c r="F22" t="s">
        <v>45</v>
      </c>
      <c r="G22" t="s">
        <v>46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</row>
    <row r="23" spans="1:17" ht="16" x14ac:dyDescent="0.2">
      <c r="A23" s="35" t="s">
        <v>125</v>
      </c>
      <c r="B23" t="s">
        <v>77</v>
      </c>
      <c r="C23" t="s">
        <v>52</v>
      </c>
      <c r="F23" t="s">
        <v>45</v>
      </c>
      <c r="G23" t="s">
        <v>46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ht="16" x14ac:dyDescent="0.2">
      <c r="A24" s="35" t="s">
        <v>125</v>
      </c>
      <c r="B24" t="s">
        <v>113</v>
      </c>
      <c r="C24" t="s">
        <v>146</v>
      </c>
      <c r="E24" s="34" t="s">
        <v>145</v>
      </c>
      <c r="F24" s="36" t="s">
        <v>45</v>
      </c>
      <c r="G24" s="1" t="s">
        <v>46</v>
      </c>
      <c r="H24" s="1"/>
      <c r="I24" s="35" t="b">
        <v>0</v>
      </c>
      <c r="J24" t="b">
        <v>0</v>
      </c>
      <c r="K24" t="b">
        <v>0</v>
      </c>
      <c r="L24" t="b">
        <v>0</v>
      </c>
      <c r="M24" t="b">
        <v>0</v>
      </c>
      <c r="Q24" s="35"/>
    </row>
    <row r="25" spans="1:17" ht="16" x14ac:dyDescent="0.2">
      <c r="A25" s="35" t="s">
        <v>125</v>
      </c>
      <c r="B25" t="s">
        <v>84</v>
      </c>
      <c r="C25" s="17" t="s">
        <v>52</v>
      </c>
      <c r="D25" s="17"/>
      <c r="E25" s="18"/>
      <c r="F25" s="18" t="s">
        <v>45</v>
      </c>
      <c r="G25" s="18" t="s">
        <v>46</v>
      </c>
      <c r="H25" s="18"/>
      <c r="I25" s="19" t="b">
        <v>0</v>
      </c>
      <c r="J25" s="19" t="b">
        <v>0</v>
      </c>
      <c r="K25" s="19" t="b">
        <v>0</v>
      </c>
      <c r="L25" s="19" t="b">
        <v>0</v>
      </c>
      <c r="M25" s="19" t="b">
        <v>0</v>
      </c>
      <c r="N25" s="18"/>
      <c r="O25" s="18"/>
      <c r="P25" s="18"/>
      <c r="Q25" s="18"/>
    </row>
    <row r="26" spans="1:17" ht="16" x14ac:dyDescent="0.2">
      <c r="A26" s="35" t="s">
        <v>125</v>
      </c>
      <c r="B26" t="s">
        <v>85</v>
      </c>
      <c r="C26" s="17" t="s">
        <v>52</v>
      </c>
      <c r="D26" s="17"/>
      <c r="E26" s="18"/>
      <c r="F26" s="18" t="s">
        <v>45</v>
      </c>
      <c r="G26" s="18" t="s">
        <v>46</v>
      </c>
      <c r="H26" s="18"/>
      <c r="I26" s="19" t="b">
        <v>0</v>
      </c>
      <c r="J26" s="19" t="b">
        <v>0</v>
      </c>
      <c r="K26" s="19" t="b">
        <v>0</v>
      </c>
      <c r="L26" s="19" t="b">
        <v>0</v>
      </c>
      <c r="M26" s="19" t="b">
        <v>0</v>
      </c>
      <c r="N26" s="18"/>
      <c r="O26" s="18"/>
      <c r="P26" s="18"/>
      <c r="Q26" s="18"/>
    </row>
    <row r="27" spans="1:17" ht="16" x14ac:dyDescent="0.2">
      <c r="A27" s="35" t="s">
        <v>125</v>
      </c>
      <c r="B27" t="s">
        <v>87</v>
      </c>
      <c r="C27" s="17" t="s">
        <v>52</v>
      </c>
      <c r="D27" s="17"/>
      <c r="E27" s="18"/>
      <c r="F27" s="18" t="s">
        <v>45</v>
      </c>
      <c r="G27" s="18" t="s">
        <v>46</v>
      </c>
      <c r="H27" s="18"/>
      <c r="I27" s="19" t="b">
        <v>0</v>
      </c>
      <c r="J27" s="19" t="b">
        <v>0</v>
      </c>
      <c r="K27" s="19" t="b">
        <v>0</v>
      </c>
      <c r="L27" s="19" t="b">
        <v>0</v>
      </c>
      <c r="M27" s="19" t="b">
        <v>0</v>
      </c>
      <c r="N27" s="18"/>
      <c r="O27" s="18"/>
      <c r="P27" s="18"/>
      <c r="Q27" s="18"/>
    </row>
    <row r="28" spans="1:17" ht="16" x14ac:dyDescent="0.2">
      <c r="A28" s="35" t="s">
        <v>125</v>
      </c>
      <c r="B28" t="s">
        <v>88</v>
      </c>
      <c r="C28" s="17" t="s">
        <v>52</v>
      </c>
      <c r="D28" s="17"/>
      <c r="E28" s="18"/>
      <c r="F28" s="18" t="s">
        <v>45</v>
      </c>
      <c r="G28" s="18" t="s">
        <v>46</v>
      </c>
      <c r="H28" s="18"/>
      <c r="I28" s="19" t="b">
        <v>0</v>
      </c>
      <c r="J28" s="19" t="b">
        <v>0</v>
      </c>
      <c r="K28" s="19" t="b">
        <v>0</v>
      </c>
      <c r="L28" s="19" t="b">
        <v>0</v>
      </c>
      <c r="M28" s="19" t="b">
        <v>0</v>
      </c>
      <c r="N28" s="18"/>
      <c r="O28" s="18"/>
      <c r="P28" s="18"/>
      <c r="Q28" s="18"/>
    </row>
    <row r="29" spans="1:17" ht="16" x14ac:dyDescent="0.2">
      <c r="A29" s="35" t="s">
        <v>125</v>
      </c>
      <c r="B29" t="s">
        <v>97</v>
      </c>
      <c r="C29" s="35" t="s">
        <v>147</v>
      </c>
      <c r="E29" s="34" t="s">
        <v>140</v>
      </c>
      <c r="F29" s="36" t="s">
        <v>45</v>
      </c>
      <c r="G29" s="1" t="s">
        <v>46</v>
      </c>
      <c r="H29" s="1"/>
      <c r="I29" s="35" t="b">
        <v>0</v>
      </c>
      <c r="J29" t="b">
        <v>0</v>
      </c>
      <c r="K29" t="b">
        <v>0</v>
      </c>
      <c r="L29" t="b">
        <v>1</v>
      </c>
      <c r="M29" t="b">
        <v>1</v>
      </c>
    </row>
    <row r="30" spans="1:17" ht="16" x14ac:dyDescent="0.2">
      <c r="A30" s="35" t="s">
        <v>90</v>
      </c>
      <c r="B30" t="s">
        <v>114</v>
      </c>
      <c r="C30" t="s">
        <v>44</v>
      </c>
      <c r="E30" s="34" t="s">
        <v>140</v>
      </c>
      <c r="F30" s="1" t="s">
        <v>45</v>
      </c>
      <c r="G30" s="1" t="s">
        <v>46</v>
      </c>
      <c r="H30" s="1"/>
      <c r="I30" s="35" t="b">
        <v>0</v>
      </c>
      <c r="J30" t="b">
        <v>0</v>
      </c>
      <c r="K30" t="b">
        <v>0</v>
      </c>
      <c r="L30" t="b">
        <v>0</v>
      </c>
      <c r="M30" t="b">
        <v>0</v>
      </c>
      <c r="Q30" s="35"/>
    </row>
    <row r="31" spans="1:17" ht="16" x14ac:dyDescent="0.2">
      <c r="A31" s="35" t="s">
        <v>90</v>
      </c>
      <c r="B31" t="s">
        <v>115</v>
      </c>
      <c r="C31" s="35" t="s">
        <v>47</v>
      </c>
      <c r="E31" s="34" t="s">
        <v>140</v>
      </c>
      <c r="F31" s="36" t="s">
        <v>45</v>
      </c>
      <c r="G31" s="1" t="s">
        <v>46</v>
      </c>
      <c r="H31" s="36"/>
      <c r="I31" s="35" t="b">
        <v>0</v>
      </c>
      <c r="J31" t="b">
        <v>0</v>
      </c>
      <c r="K31" t="b">
        <v>0</v>
      </c>
      <c r="L31" t="b">
        <v>0</v>
      </c>
      <c r="M31" t="b">
        <v>0</v>
      </c>
      <c r="Q31" s="35"/>
    </row>
    <row r="32" spans="1:17" ht="16" x14ac:dyDescent="0.2">
      <c r="A32" s="35" t="s">
        <v>90</v>
      </c>
      <c r="B32" t="s">
        <v>106</v>
      </c>
      <c r="C32" t="s">
        <v>148</v>
      </c>
      <c r="E32" s="34" t="s">
        <v>140</v>
      </c>
      <c r="F32" s="1" t="s">
        <v>45</v>
      </c>
      <c r="G32" s="1" t="s">
        <v>46</v>
      </c>
      <c r="H32" s="1"/>
      <c r="I32" s="35" t="b">
        <v>0</v>
      </c>
      <c r="J32" t="b">
        <v>0</v>
      </c>
      <c r="K32" t="b">
        <v>0</v>
      </c>
      <c r="L32" t="b">
        <v>1</v>
      </c>
      <c r="M32" t="b">
        <v>1</v>
      </c>
      <c r="Q32" s="35"/>
    </row>
    <row r="33" spans="1:17" ht="16" x14ac:dyDescent="0.2">
      <c r="A33" s="35" t="s">
        <v>90</v>
      </c>
      <c r="B33" t="s">
        <v>116</v>
      </c>
      <c r="C33" t="s">
        <v>149</v>
      </c>
      <c r="E33" s="34" t="s">
        <v>150</v>
      </c>
      <c r="F33" s="1" t="s">
        <v>151</v>
      </c>
      <c r="G33" s="1" t="s">
        <v>46</v>
      </c>
      <c r="H33" s="1"/>
      <c r="I33" s="35" t="b">
        <v>0</v>
      </c>
      <c r="J33" t="b">
        <v>0</v>
      </c>
      <c r="K33" t="b">
        <v>0</v>
      </c>
      <c r="L33" t="b">
        <v>0</v>
      </c>
      <c r="M33" t="b">
        <v>0</v>
      </c>
      <c r="Q33" s="35"/>
    </row>
    <row r="34" spans="1:17" ht="16" x14ac:dyDescent="0.2">
      <c r="A34" s="35" t="s">
        <v>90</v>
      </c>
      <c r="B34" t="s">
        <v>117</v>
      </c>
      <c r="C34" t="s">
        <v>152</v>
      </c>
      <c r="E34" s="34" t="s">
        <v>150</v>
      </c>
      <c r="F34" s="1" t="s">
        <v>151</v>
      </c>
      <c r="G34" s="1" t="s">
        <v>46</v>
      </c>
      <c r="H34" s="1"/>
      <c r="I34" s="35" t="b">
        <v>0</v>
      </c>
      <c r="J34" t="b">
        <v>0</v>
      </c>
      <c r="K34" t="b">
        <v>0</v>
      </c>
      <c r="L34" t="b">
        <v>0</v>
      </c>
      <c r="M34" t="b">
        <v>0</v>
      </c>
      <c r="Q34" s="35"/>
    </row>
    <row r="35" spans="1:17" ht="16" x14ac:dyDescent="0.2">
      <c r="A35" s="35" t="s">
        <v>90</v>
      </c>
      <c r="B35" t="s">
        <v>67</v>
      </c>
      <c r="C35" t="s">
        <v>50</v>
      </c>
      <c r="E35" s="34" t="s">
        <v>140</v>
      </c>
      <c r="F35" s="37" t="s">
        <v>51</v>
      </c>
      <c r="G35" s="1" t="s">
        <v>46</v>
      </c>
      <c r="H35" s="1"/>
      <c r="I35" s="35" t="b">
        <v>0</v>
      </c>
      <c r="J35" t="b">
        <v>1</v>
      </c>
      <c r="K35" t="b">
        <v>0</v>
      </c>
      <c r="L35" t="b">
        <v>0</v>
      </c>
      <c r="M35" t="b">
        <v>0</v>
      </c>
      <c r="N35" t="s">
        <v>153</v>
      </c>
      <c r="O35" t="s">
        <v>53</v>
      </c>
      <c r="P35" t="s">
        <v>54</v>
      </c>
    </row>
    <row r="36" spans="1:17" ht="16" x14ac:dyDescent="0.2">
      <c r="A36" t="s">
        <v>57</v>
      </c>
      <c r="B36" t="s">
        <v>24</v>
      </c>
      <c r="C36" s="35" t="s">
        <v>58</v>
      </c>
      <c r="E36" t="str">
        <f>_xlfn.CONCAT("http://sbols.org/v",[1]Init!$B$1,"#")</f>
        <v>http://sbols.org/v2#</v>
      </c>
      <c r="F36" t="s">
        <v>45</v>
      </c>
      <c r="G36" t="s">
        <v>46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</row>
    <row r="37" spans="1:17" x14ac:dyDescent="0.2">
      <c r="A37" t="s">
        <v>57</v>
      </c>
      <c r="B37" t="s">
        <v>25</v>
      </c>
      <c r="C37" t="s">
        <v>59</v>
      </c>
      <c r="E37" t="str">
        <f>_xlfn.CONCAT("http://sbols.org/v",[1]Init!$B$1,"#")</f>
        <v>http://sbols.org/v2#</v>
      </c>
      <c r="F37" t="s">
        <v>51</v>
      </c>
      <c r="G37" t="s">
        <v>46</v>
      </c>
      <c r="I37" s="1" t="b">
        <v>0</v>
      </c>
      <c r="J37" s="1" t="b">
        <v>1</v>
      </c>
      <c r="K37" s="1" t="b">
        <v>0</v>
      </c>
      <c r="L37" s="1" t="b">
        <v>0</v>
      </c>
      <c r="M37" s="1" t="b">
        <v>0</v>
      </c>
      <c r="N37" t="s">
        <v>27</v>
      </c>
      <c r="O37" t="s">
        <v>53</v>
      </c>
      <c r="P37" t="s">
        <v>54</v>
      </c>
    </row>
    <row r="38" spans="1:17" x14ac:dyDescent="0.2">
      <c r="A38" t="s">
        <v>57</v>
      </c>
      <c r="B38" t="s">
        <v>10</v>
      </c>
      <c r="C38" t="s">
        <v>55</v>
      </c>
      <c r="E38" t="str">
        <f>_xlfn.CONCAT("http://sbols.org/v",[1]Init!$B$1,"#")</f>
        <v>http://sbols.org/v2#</v>
      </c>
      <c r="F38" t="s">
        <v>51</v>
      </c>
      <c r="G38" t="s">
        <v>56</v>
      </c>
      <c r="I38" s="1" t="b">
        <v>0</v>
      </c>
      <c r="J38" s="1" t="b">
        <v>1</v>
      </c>
      <c r="K38" s="1" t="b">
        <v>0</v>
      </c>
      <c r="L38" s="1" t="b">
        <v>0</v>
      </c>
      <c r="M38" s="1" t="b">
        <v>0</v>
      </c>
      <c r="N38" t="s">
        <v>26</v>
      </c>
      <c r="O38" t="s">
        <v>53</v>
      </c>
      <c r="P38" t="s">
        <v>54</v>
      </c>
    </row>
  </sheetData>
  <conditionalFormatting sqref="I29:M29 I21:M21 I24:M24 I9:M11">
    <cfRule type="cellIs" dxfId="49" priority="115" operator="equal">
      <formula>TRUE</formula>
    </cfRule>
    <cfRule type="cellIs" dxfId="48" priority="116" operator="equal">
      <formula>FALSE</formula>
    </cfRule>
  </conditionalFormatting>
  <conditionalFormatting sqref="I2:M3 I36:M38 I5:M8 I15:M19">
    <cfRule type="cellIs" dxfId="47" priority="49" operator="equal">
      <formula>TRUE</formula>
    </cfRule>
    <cfRule type="cellIs" dxfId="46" priority="50" operator="equal">
      <formula>FALSE</formula>
    </cfRule>
  </conditionalFormatting>
  <conditionalFormatting sqref="I4:M4 I12:M12">
    <cfRule type="cellIs" dxfId="45" priority="47" operator="equal">
      <formula>TRUE</formula>
    </cfRule>
    <cfRule type="cellIs" dxfId="44" priority="48" operator="equal">
      <formula>FALSE</formula>
    </cfRule>
  </conditionalFormatting>
  <conditionalFormatting sqref="I32">
    <cfRule type="cellIs" dxfId="43" priority="43" operator="equal">
      <formula>TRUE</formula>
    </cfRule>
    <cfRule type="cellIs" dxfId="42" priority="44" operator="equal">
      <formula>FALSE</formula>
    </cfRule>
  </conditionalFormatting>
  <conditionalFormatting sqref="I35">
    <cfRule type="cellIs" dxfId="41" priority="33" operator="equal">
      <formula>TRUE</formula>
    </cfRule>
    <cfRule type="cellIs" dxfId="40" priority="34" operator="equal">
      <formula>FALSE</formula>
    </cfRule>
  </conditionalFormatting>
  <conditionalFormatting sqref="I30:M30">
    <cfRule type="cellIs" dxfId="39" priority="25" operator="equal">
      <formula>TRUE</formula>
    </cfRule>
    <cfRule type="cellIs" dxfId="38" priority="26" operator="equal">
      <formula>FALSE</formula>
    </cfRule>
  </conditionalFormatting>
  <conditionalFormatting sqref="I33:M34">
    <cfRule type="cellIs" dxfId="37" priority="37" operator="equal">
      <formula>TRUE</formula>
    </cfRule>
    <cfRule type="cellIs" dxfId="36" priority="38" operator="equal">
      <formula>FALSE</formula>
    </cfRule>
  </conditionalFormatting>
  <conditionalFormatting sqref="J32">
    <cfRule type="cellIs" dxfId="35" priority="41" operator="equal">
      <formula>TRUE</formula>
    </cfRule>
    <cfRule type="cellIs" dxfId="34" priority="42" operator="equal">
      <formula>FALSE</formula>
    </cfRule>
  </conditionalFormatting>
  <conditionalFormatting sqref="J35">
    <cfRule type="cellIs" dxfId="33" priority="31" operator="equal">
      <formula>TRUE</formula>
    </cfRule>
    <cfRule type="cellIs" dxfId="32" priority="32" operator="equal">
      <formula>FALSE</formula>
    </cfRule>
  </conditionalFormatting>
  <conditionalFormatting sqref="K32">
    <cfRule type="cellIs" dxfId="31" priority="39" operator="equal">
      <formula>TRUE</formula>
    </cfRule>
    <cfRule type="cellIs" dxfId="30" priority="40" operator="equal">
      <formula>FALSE</formula>
    </cfRule>
  </conditionalFormatting>
  <conditionalFormatting sqref="K35">
    <cfRule type="cellIs" dxfId="29" priority="29" operator="equal">
      <formula>TRUE</formula>
    </cfRule>
    <cfRule type="cellIs" dxfId="28" priority="30" operator="equal">
      <formula>FALSE</formula>
    </cfRule>
  </conditionalFormatting>
  <conditionalFormatting sqref="L35">
    <cfRule type="cellIs" dxfId="27" priority="35" operator="equal">
      <formula>TRUE</formula>
    </cfRule>
    <cfRule type="cellIs" dxfId="26" priority="36" operator="equal">
      <formula>FALSE</formula>
    </cfRule>
  </conditionalFormatting>
  <conditionalFormatting sqref="L32:M32">
    <cfRule type="cellIs" dxfId="25" priority="45" operator="equal">
      <formula>TRUE</formula>
    </cfRule>
    <cfRule type="cellIs" dxfId="24" priority="46" operator="equal">
      <formula>FALSE</formula>
    </cfRule>
  </conditionalFormatting>
  <conditionalFormatting sqref="M35">
    <cfRule type="cellIs" dxfId="23" priority="27" operator="equal">
      <formula>TRUE</formula>
    </cfRule>
    <cfRule type="cellIs" dxfId="22" priority="28" operator="equal">
      <formula>FALSE</formula>
    </cfRule>
  </conditionalFormatting>
  <conditionalFormatting sqref="I20">
    <cfRule type="cellIs" dxfId="21" priority="21" operator="equal">
      <formula>TRUE</formula>
    </cfRule>
    <cfRule type="cellIs" dxfId="20" priority="22" operator="equal">
      <formula>FALSE</formula>
    </cfRule>
  </conditionalFormatting>
  <conditionalFormatting sqref="J20">
    <cfRule type="cellIs" dxfId="19" priority="19" operator="equal">
      <formula>TRUE</formula>
    </cfRule>
    <cfRule type="cellIs" dxfId="18" priority="20" operator="equal">
      <formula>FALSE</formula>
    </cfRule>
  </conditionalFormatting>
  <conditionalFormatting sqref="K20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L20">
    <cfRule type="cellIs" dxfId="15" priority="23" operator="equal">
      <formula>TRUE</formula>
    </cfRule>
    <cfRule type="cellIs" dxfId="14" priority="24" operator="equal">
      <formula>FALSE</formula>
    </cfRule>
  </conditionalFormatting>
  <conditionalFormatting sqref="M20">
    <cfRule type="cellIs" dxfId="13" priority="15" operator="equal">
      <formula>TRUE</formula>
    </cfRule>
    <cfRule type="cellIs" dxfId="12" priority="16" operator="equal">
      <formula>FALSE</formula>
    </cfRule>
  </conditionalFormatting>
  <conditionalFormatting sqref="I25:M28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I13:M13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I14:M14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2:M22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23:M23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I31:M31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I2:M8 I12:M24 I29:M38" xr:uid="{5FDF500D-13D7-9449-93B8-47BBE7CDC58F}">
      <formula1>"TRUE, FALSE"</formula1>
    </dataValidation>
  </dataValidations>
  <hyperlinks>
    <hyperlink ref="E6" r:id="rId1" xr:uid="{49E2D8F5-070C-4449-B3F5-4F4CFD7BFCBF}"/>
    <hyperlink ref="E29" r:id="rId2" xr:uid="{FD4FB98D-EA61-2E47-AD4A-CD9617EDA327}"/>
    <hyperlink ref="E24" r:id="rId3" xr:uid="{2F0993B8-9097-074C-8413-080DC5F34A93}"/>
    <hyperlink ref="E21" r:id="rId4" xr:uid="{388CA6DA-068A-DA4C-B42B-35CD10314D84}"/>
    <hyperlink ref="E19" r:id="rId5" xr:uid="{70D8C4AD-A0AF-E241-802B-6C4D8B0037DD}"/>
    <hyperlink ref="E16" r:id="rId6" xr:uid="{55A340FC-7895-F24F-A21A-41EAB5898567}"/>
    <hyperlink ref="E15" r:id="rId7" xr:uid="{0DC28C98-91B2-B247-88E2-9AFE48FCEBF9}"/>
    <hyperlink ref="E30" r:id="rId8" xr:uid="{D29A69B8-16D0-6A4E-8811-F2FA9396C83F}"/>
    <hyperlink ref="E32" r:id="rId9" xr:uid="{B91ABEB1-77B6-5846-80C1-9DC11DBDC560}"/>
    <hyperlink ref="E35" r:id="rId10" xr:uid="{0A20914E-63E3-3546-AD58-4E3AF4290F62}"/>
    <hyperlink ref="E7" r:id="rId11" xr:uid="{3F5BF5EE-CCFC-8941-B6A9-1E2B1692DA85}"/>
    <hyperlink ref="E8" r:id="rId12" xr:uid="{78C889B6-F3B2-2641-82F0-923AC6752B01}"/>
    <hyperlink ref="E20" r:id="rId13" xr:uid="{813E97AA-33AE-2742-9AA9-42A9456C6E8A}"/>
    <hyperlink ref="E12" r:id="rId14" xr:uid="{6CA3EC25-0CEF-4449-91D4-DB1FFB92ECEB}"/>
    <hyperlink ref="E17" r:id="rId15" xr:uid="{D16CCA0F-4B03-7247-9B59-83EC0499F567}"/>
    <hyperlink ref="E18" r:id="rId16" xr:uid="{2FC0E20E-4BE9-4343-BE2A-AC5714EFB23C}"/>
    <hyperlink ref="E33" r:id="rId17" xr:uid="{001C8B96-A0CC-5147-91B8-C8D2D8058F05}"/>
    <hyperlink ref="E34" r:id="rId18" display="https://flapjack.rudge-lab.org/fj#" xr:uid="{5922AE32-5BAA-F243-9089-D1EFFE3B52A8}"/>
    <hyperlink ref="E31" r:id="rId19" xr:uid="{90B48BCC-87E3-B04C-A27B-5CF421FF8C68}"/>
  </hyperlinks>
  <pageMargins left="0.7" right="0.7" top="0.75" bottom="0.75" header="0.3" footer="0.3"/>
  <pageSetup orientation="portrait" r:id="rId20"/>
  <tableParts count="1">
    <tablePart r:id="rId2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E18" sqref="E18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10</v>
      </c>
      <c r="B1" s="2" t="s">
        <v>51</v>
      </c>
      <c r="C1" s="2" t="s">
        <v>60</v>
      </c>
      <c r="E1" s="2" t="s">
        <v>61</v>
      </c>
    </row>
    <row r="2" spans="1:5" ht="15" customHeight="1" x14ac:dyDescent="0.2">
      <c r="A2" t="s">
        <v>69</v>
      </c>
      <c r="B2" s="12" t="s">
        <v>70</v>
      </c>
      <c r="C2" t="s">
        <v>68</v>
      </c>
    </row>
    <row r="3" spans="1:5" ht="15" customHeight="1" x14ac:dyDescent="0.2">
      <c r="A3" t="s">
        <v>92</v>
      </c>
      <c r="B3" s="12" t="s">
        <v>91</v>
      </c>
      <c r="C3" t="s">
        <v>93</v>
      </c>
    </row>
    <row r="4" spans="1:5" ht="15" customHeight="1" x14ac:dyDescent="0.2"/>
    <row r="5" spans="1:5" ht="15" customHeight="1" x14ac:dyDescent="0.2">
      <c r="B5" s="10"/>
    </row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D300"/>
  <sheetViews>
    <sheetView workbookViewId="0">
      <selection activeCell="F295" sqref="F295"/>
    </sheetView>
  </sheetViews>
  <sheetFormatPr baseColWidth="10" defaultColWidth="11" defaultRowHeight="15" x14ac:dyDescent="0.2"/>
  <sheetData>
    <row r="1" spans="1:4" x14ac:dyDescent="0.2">
      <c r="A1" t="s">
        <v>76</v>
      </c>
      <c r="B1" t="s">
        <v>124</v>
      </c>
      <c r="C1" t="s">
        <v>126</v>
      </c>
      <c r="D1" t="s">
        <v>127</v>
      </c>
    </row>
    <row r="2" spans="1:4" x14ac:dyDescent="0.2">
      <c r="A2" t="str">
        <f>IF(study!B5="","",study!B5)</f>
        <v/>
      </c>
      <c r="B2" t="str">
        <f>IF(assay!B5="","",assay!B5)</f>
        <v/>
      </c>
      <c r="C2" t="str">
        <f>IF(sample!B5="","",sample!B5)</f>
        <v/>
      </c>
      <c r="D2" t="str">
        <f>IF(measurement!B5="","",measurement!B5)</f>
        <v/>
      </c>
    </row>
    <row r="3" spans="1:4" x14ac:dyDescent="0.2">
      <c r="A3" t="str">
        <f>IF(study!B6="","",study!B6)</f>
        <v/>
      </c>
      <c r="B3" t="str">
        <f>IF(assay!B6="","",assay!B6)</f>
        <v/>
      </c>
      <c r="C3" t="str">
        <f>IF(sample!B6="","",sample!B6)</f>
        <v/>
      </c>
      <c r="D3" t="str">
        <f>IF(measurement!B6="","",measurement!B6)</f>
        <v/>
      </c>
    </row>
    <row r="4" spans="1:4" x14ac:dyDescent="0.2">
      <c r="A4" t="str">
        <f>IF(study!B7="","",study!B7)</f>
        <v/>
      </c>
      <c r="B4" t="str">
        <f>IF(assay!B7="","",assay!B7)</f>
        <v/>
      </c>
      <c r="C4" t="str">
        <f>IF(sample!B7="","",sample!B7)</f>
        <v/>
      </c>
      <c r="D4" t="str">
        <f>IF(measurement!B7="","",measurement!B7)</f>
        <v/>
      </c>
    </row>
    <row r="5" spans="1:4" x14ac:dyDescent="0.2">
      <c r="A5" t="str">
        <f>IF(study!B8="","",study!B8)</f>
        <v/>
      </c>
      <c r="B5" t="str">
        <f>IF(assay!B8="","",assay!B8)</f>
        <v/>
      </c>
      <c r="C5" t="str">
        <f>IF(sample!B8="","",sample!B8)</f>
        <v/>
      </c>
      <c r="D5" t="str">
        <f>IF(measurement!B8="","",measurement!B8)</f>
        <v/>
      </c>
    </row>
    <row r="6" spans="1:4" x14ac:dyDescent="0.2">
      <c r="A6" t="str">
        <f>IF(study!B9="","",study!B9)</f>
        <v/>
      </c>
      <c r="B6" t="str">
        <f>IF(assay!B9="","",assay!B9)</f>
        <v/>
      </c>
      <c r="C6" t="str">
        <f>IF(sample!B9="","",sample!B9)</f>
        <v/>
      </c>
      <c r="D6" t="str">
        <f>IF(measurement!B9="","",measurement!B9)</f>
        <v/>
      </c>
    </row>
    <row r="7" spans="1:4" x14ac:dyDescent="0.2">
      <c r="A7" t="str">
        <f>IF(study!B10="","",study!B10)</f>
        <v/>
      </c>
      <c r="B7" t="str">
        <f>IF(assay!B10="","",assay!B10)</f>
        <v/>
      </c>
      <c r="C7" t="str">
        <f>IF(sample!B10="","",sample!B10)</f>
        <v/>
      </c>
      <c r="D7" t="str">
        <f>IF(measurement!B10="","",measurement!B10)</f>
        <v/>
      </c>
    </row>
    <row r="8" spans="1:4" x14ac:dyDescent="0.2">
      <c r="A8" t="str">
        <f>IF(study!B11="","",study!B11)</f>
        <v/>
      </c>
      <c r="B8" t="str">
        <f>IF(assay!B11="","",assay!B11)</f>
        <v/>
      </c>
      <c r="C8" t="str">
        <f>IF(sample!B11="","",sample!B11)</f>
        <v/>
      </c>
      <c r="D8" t="str">
        <f>IF(measurement!B11="","",measurement!B11)</f>
        <v/>
      </c>
    </row>
    <row r="9" spans="1:4" x14ac:dyDescent="0.2">
      <c r="A9" t="str">
        <f>IF(study!B12="","",study!B12)</f>
        <v/>
      </c>
      <c r="B9" t="str">
        <f>IF(assay!B12="","",assay!B12)</f>
        <v/>
      </c>
      <c r="C9" t="str">
        <f>IF(sample!B12="","",sample!B12)</f>
        <v/>
      </c>
      <c r="D9" t="str">
        <f>IF(measurement!B12="","",measurement!B12)</f>
        <v/>
      </c>
    </row>
    <row r="10" spans="1:4" x14ac:dyDescent="0.2">
      <c r="A10" t="str">
        <f>IF(study!B13="","",study!B13)</f>
        <v/>
      </c>
      <c r="B10" t="str">
        <f>IF(assay!B13="","",assay!B13)</f>
        <v/>
      </c>
      <c r="C10" t="str">
        <f>IF(sample!B13="","",sample!B13)</f>
        <v/>
      </c>
      <c r="D10" t="str">
        <f>IF(measurement!B13="","",measurement!B13)</f>
        <v/>
      </c>
    </row>
    <row r="11" spans="1:4" x14ac:dyDescent="0.2">
      <c r="A11" t="str">
        <f>IF(study!B14="","",study!B14)</f>
        <v/>
      </c>
      <c r="B11" t="str">
        <f>IF(assay!B14="","",assay!B14)</f>
        <v/>
      </c>
      <c r="C11" t="str">
        <f>IF(sample!B14="","",sample!B14)</f>
        <v/>
      </c>
      <c r="D11" t="str">
        <f>IF(measurement!B14="","",measurement!B14)</f>
        <v/>
      </c>
    </row>
    <row r="12" spans="1:4" x14ac:dyDescent="0.2">
      <c r="A12" t="str">
        <f>IF(study!B15="","",study!B15)</f>
        <v/>
      </c>
      <c r="B12" t="str">
        <f>IF(assay!B15="","",assay!B15)</f>
        <v/>
      </c>
      <c r="C12" t="str">
        <f>IF(sample!B15="","",sample!B15)</f>
        <v/>
      </c>
      <c r="D12" t="str">
        <f>IF(measurement!B15="","",measurement!B15)</f>
        <v/>
      </c>
    </row>
    <row r="13" spans="1:4" x14ac:dyDescent="0.2">
      <c r="A13" t="str">
        <f>IF(study!B16="","",study!B16)</f>
        <v/>
      </c>
      <c r="B13" t="str">
        <f>IF(assay!B16="","",assay!B16)</f>
        <v/>
      </c>
      <c r="C13" t="str">
        <f>IF(sample!B16="","",sample!B16)</f>
        <v/>
      </c>
      <c r="D13" t="str">
        <f>IF(measurement!B16="","",measurement!B16)</f>
        <v/>
      </c>
    </row>
    <row r="14" spans="1:4" x14ac:dyDescent="0.2">
      <c r="A14" t="str">
        <f>IF(study!B17="","",study!B17)</f>
        <v/>
      </c>
      <c r="B14" t="str">
        <f>IF(assay!B17="","",assay!B17)</f>
        <v/>
      </c>
      <c r="C14" t="str">
        <f>IF(sample!B17="","",sample!B17)</f>
        <v/>
      </c>
      <c r="D14" t="str">
        <f>IF(measurement!B17="","",measurement!B17)</f>
        <v/>
      </c>
    </row>
    <row r="15" spans="1:4" x14ac:dyDescent="0.2">
      <c r="A15" t="str">
        <f>IF(study!B18="","",study!B18)</f>
        <v/>
      </c>
      <c r="B15" t="str">
        <f>IF(assay!B18="","",assay!B18)</f>
        <v/>
      </c>
      <c r="C15" t="str">
        <f>IF(sample!B18="","",sample!B18)</f>
        <v/>
      </c>
      <c r="D15" t="str">
        <f>IF(measurement!B18="","",measurement!B18)</f>
        <v/>
      </c>
    </row>
    <row r="16" spans="1:4" x14ac:dyDescent="0.2">
      <c r="A16" t="str">
        <f>IF(study!B19="","",study!B19)</f>
        <v/>
      </c>
      <c r="B16" t="str">
        <f>IF(assay!B19="","",assay!B19)</f>
        <v/>
      </c>
      <c r="C16" t="str">
        <f>IF(sample!B19="","",sample!B19)</f>
        <v/>
      </c>
      <c r="D16" t="str">
        <f>IF(measurement!B19="","",measurement!B19)</f>
        <v/>
      </c>
    </row>
    <row r="17" spans="1:4" x14ac:dyDescent="0.2">
      <c r="A17" t="str">
        <f>IF(study!B20="","",study!B20)</f>
        <v/>
      </c>
      <c r="B17" t="str">
        <f>IF(assay!B20="","",assay!B20)</f>
        <v/>
      </c>
      <c r="C17" t="str">
        <f>IF(sample!B20="","",sample!B20)</f>
        <v/>
      </c>
      <c r="D17" t="str">
        <f>IF(measurement!B20="","",measurement!B20)</f>
        <v/>
      </c>
    </row>
    <row r="18" spans="1:4" x14ac:dyDescent="0.2">
      <c r="A18" t="str">
        <f>IF(study!B21="","",study!B21)</f>
        <v/>
      </c>
      <c r="B18" t="str">
        <f>IF(assay!B21="","",assay!B21)</f>
        <v/>
      </c>
      <c r="C18" t="str">
        <f>IF(sample!B21="","",sample!B21)</f>
        <v/>
      </c>
      <c r="D18" t="str">
        <f>IF(measurement!B21="","",measurement!B21)</f>
        <v/>
      </c>
    </row>
    <row r="19" spans="1:4" x14ac:dyDescent="0.2">
      <c r="A19" t="str">
        <f>IF(study!B22="","",study!B22)</f>
        <v/>
      </c>
      <c r="B19" t="str">
        <f>IF(assay!B22="","",assay!B22)</f>
        <v/>
      </c>
      <c r="C19" t="str">
        <f>IF(sample!B22="","",sample!B22)</f>
        <v/>
      </c>
      <c r="D19" t="str">
        <f>IF(measurement!B22="","",measurement!B22)</f>
        <v/>
      </c>
    </row>
    <row r="20" spans="1:4" x14ac:dyDescent="0.2">
      <c r="A20" t="str">
        <f>IF(study!B23="","",study!B23)</f>
        <v/>
      </c>
      <c r="B20" t="str">
        <f>IF(assay!B23="","",assay!B23)</f>
        <v/>
      </c>
      <c r="C20" t="str">
        <f>IF(sample!B23="","",sample!B23)</f>
        <v/>
      </c>
      <c r="D20" t="str">
        <f>IF(measurement!B23="","",measurement!B23)</f>
        <v/>
      </c>
    </row>
    <row r="21" spans="1:4" x14ac:dyDescent="0.2">
      <c r="A21" t="str">
        <f>IF(study!B24="","",study!B24)</f>
        <v/>
      </c>
      <c r="B21" t="str">
        <f>IF(assay!B24="","",assay!B24)</f>
        <v/>
      </c>
      <c r="C21" t="str">
        <f>IF(sample!B24="","",sample!B24)</f>
        <v/>
      </c>
      <c r="D21" t="str">
        <f>IF(measurement!B24="","",measurement!B24)</f>
        <v/>
      </c>
    </row>
    <row r="22" spans="1:4" x14ac:dyDescent="0.2">
      <c r="A22" t="str">
        <f>IF(study!B25="","",study!B25)</f>
        <v/>
      </c>
      <c r="B22" t="str">
        <f>IF(assay!B25="","",assay!B25)</f>
        <v/>
      </c>
      <c r="C22" t="str">
        <f>IF(sample!B25="","",sample!B25)</f>
        <v/>
      </c>
      <c r="D22" t="str">
        <f>IF(measurement!B25="","",measurement!B25)</f>
        <v/>
      </c>
    </row>
    <row r="23" spans="1:4" x14ac:dyDescent="0.2">
      <c r="A23" t="str">
        <f>IF(study!B26="","",study!B26)</f>
        <v/>
      </c>
      <c r="B23" t="str">
        <f>IF(assay!B26="","",assay!B26)</f>
        <v/>
      </c>
      <c r="C23" t="str">
        <f>IF(sample!B26="","",sample!B26)</f>
        <v/>
      </c>
      <c r="D23" t="str">
        <f>IF(measurement!B26="","",measurement!B26)</f>
        <v/>
      </c>
    </row>
    <row r="24" spans="1:4" x14ac:dyDescent="0.2">
      <c r="A24" t="str">
        <f>IF(study!B27="","",study!B27)</f>
        <v/>
      </c>
      <c r="B24" t="str">
        <f>IF(assay!B27="","",assay!B27)</f>
        <v/>
      </c>
      <c r="C24" t="str">
        <f>IF(sample!B27="","",sample!B27)</f>
        <v/>
      </c>
      <c r="D24" t="str">
        <f>IF(measurement!B27="","",measurement!B27)</f>
        <v/>
      </c>
    </row>
    <row r="25" spans="1:4" x14ac:dyDescent="0.2">
      <c r="A25" t="str">
        <f>IF(study!B28="","",study!B28)</f>
        <v/>
      </c>
      <c r="B25" t="str">
        <f>IF(assay!B28="","",assay!B28)</f>
        <v/>
      </c>
      <c r="C25" t="str">
        <f>IF(sample!B28="","",sample!B28)</f>
        <v/>
      </c>
      <c r="D25" t="str">
        <f>IF(measurement!B28="","",measurement!B28)</f>
        <v/>
      </c>
    </row>
    <row r="26" spans="1:4" x14ac:dyDescent="0.2">
      <c r="A26" t="str">
        <f>IF(study!B29="","",study!B29)</f>
        <v/>
      </c>
      <c r="B26" t="str">
        <f>IF(assay!B29="","",assay!B29)</f>
        <v/>
      </c>
      <c r="C26" t="str">
        <f>IF(sample!B29="","",sample!B29)</f>
        <v/>
      </c>
      <c r="D26" t="str">
        <f>IF(measurement!B29="","",measurement!B29)</f>
        <v/>
      </c>
    </row>
    <row r="27" spans="1:4" x14ac:dyDescent="0.2">
      <c r="A27" t="str">
        <f>IF(study!B30="","",study!B30)</f>
        <v/>
      </c>
      <c r="B27" t="str">
        <f>IF(assay!B30="","",assay!B30)</f>
        <v/>
      </c>
      <c r="C27" t="str">
        <f>IF(sample!B30="","",sample!B30)</f>
        <v/>
      </c>
      <c r="D27" t="str">
        <f>IF(measurement!B30="","",measurement!B30)</f>
        <v/>
      </c>
    </row>
    <row r="28" spans="1:4" x14ac:dyDescent="0.2">
      <c r="A28" t="str">
        <f>IF(study!B31="","",study!B31)</f>
        <v/>
      </c>
      <c r="B28" t="str">
        <f>IF(assay!B31="","",assay!B31)</f>
        <v/>
      </c>
      <c r="C28" t="str">
        <f>IF(sample!B31="","",sample!B31)</f>
        <v/>
      </c>
      <c r="D28" t="str">
        <f>IF(measurement!B31="","",measurement!B31)</f>
        <v/>
      </c>
    </row>
    <row r="29" spans="1:4" x14ac:dyDescent="0.2">
      <c r="A29" t="str">
        <f>IF(study!B32="","",study!B32)</f>
        <v/>
      </c>
      <c r="B29" t="str">
        <f>IF(assay!B32="","",assay!B32)</f>
        <v/>
      </c>
      <c r="C29" t="str">
        <f>IF(sample!B32="","",sample!B32)</f>
        <v/>
      </c>
      <c r="D29" t="str">
        <f>IF(measurement!B32="","",measurement!B32)</f>
        <v/>
      </c>
    </row>
    <row r="30" spans="1:4" x14ac:dyDescent="0.2">
      <c r="A30" t="str">
        <f>IF(study!B33="","",study!B33)</f>
        <v/>
      </c>
      <c r="B30" t="str">
        <f>IF(assay!B33="","",assay!B33)</f>
        <v/>
      </c>
      <c r="C30" t="str">
        <f>IF(sample!B33="","",sample!B33)</f>
        <v/>
      </c>
      <c r="D30" t="str">
        <f>IF(measurement!B33="","",measurement!B33)</f>
        <v/>
      </c>
    </row>
    <row r="31" spans="1:4" x14ac:dyDescent="0.2">
      <c r="A31" t="str">
        <f>IF(study!B34="","",study!B34)</f>
        <v/>
      </c>
      <c r="B31" t="str">
        <f>IF(assay!B34="","",assay!B34)</f>
        <v/>
      </c>
      <c r="C31" t="str">
        <f>IF(sample!B34="","",sample!B34)</f>
        <v/>
      </c>
      <c r="D31" t="str">
        <f>IF(measurement!B34="","",measurement!B34)</f>
        <v/>
      </c>
    </row>
    <row r="32" spans="1:4" x14ac:dyDescent="0.2">
      <c r="A32" t="str">
        <f>IF(study!B35="","",study!B35)</f>
        <v/>
      </c>
      <c r="B32" t="str">
        <f>IF(assay!B35="","",assay!B35)</f>
        <v/>
      </c>
      <c r="C32" t="str">
        <f>IF(sample!B35="","",sample!B35)</f>
        <v/>
      </c>
      <c r="D32" t="str">
        <f>IF(measurement!B35="","",measurement!B35)</f>
        <v/>
      </c>
    </row>
    <row r="33" spans="1:4" x14ac:dyDescent="0.2">
      <c r="A33" t="str">
        <f>IF(study!B36="","",study!B36)</f>
        <v/>
      </c>
      <c r="B33" t="str">
        <f>IF(assay!B36="","",assay!B36)</f>
        <v/>
      </c>
      <c r="C33" t="str">
        <f>IF(sample!B36="","",sample!B36)</f>
        <v/>
      </c>
      <c r="D33" t="str">
        <f>IF(measurement!B36="","",measurement!B36)</f>
        <v/>
      </c>
    </row>
    <row r="34" spans="1:4" x14ac:dyDescent="0.2">
      <c r="A34" t="str">
        <f>IF(study!B37="","",study!B37)</f>
        <v/>
      </c>
      <c r="B34" t="str">
        <f>IF(assay!B37="","",assay!B37)</f>
        <v/>
      </c>
      <c r="C34" t="str">
        <f>IF(sample!B37="","",sample!B37)</f>
        <v/>
      </c>
      <c r="D34" t="str">
        <f>IF(measurement!B37="","",measurement!B37)</f>
        <v/>
      </c>
    </row>
    <row r="35" spans="1:4" x14ac:dyDescent="0.2">
      <c r="A35" t="str">
        <f>IF(study!B38="","",study!B38)</f>
        <v/>
      </c>
      <c r="B35" t="str">
        <f>IF(assay!B38="","",assay!B38)</f>
        <v/>
      </c>
      <c r="C35" t="str">
        <f>IF(sample!B38="","",sample!B38)</f>
        <v/>
      </c>
      <c r="D35" t="str">
        <f>IF(measurement!B38="","",measurement!B38)</f>
        <v/>
      </c>
    </row>
    <row r="36" spans="1:4" x14ac:dyDescent="0.2">
      <c r="A36" t="str">
        <f>IF(study!B39="","",study!B39)</f>
        <v/>
      </c>
      <c r="B36" t="str">
        <f>IF(assay!B39="","",assay!B39)</f>
        <v/>
      </c>
      <c r="C36" t="str">
        <f>IF(sample!B39="","",sample!B39)</f>
        <v/>
      </c>
      <c r="D36" t="str">
        <f>IF(measurement!B39="","",measurement!B39)</f>
        <v/>
      </c>
    </row>
    <row r="37" spans="1:4" x14ac:dyDescent="0.2">
      <c r="A37" t="str">
        <f>IF(study!B40="","",study!B40)</f>
        <v/>
      </c>
      <c r="B37" t="str">
        <f>IF(assay!B40="","",assay!B40)</f>
        <v/>
      </c>
      <c r="C37" t="str">
        <f>IF(sample!B40="","",sample!B40)</f>
        <v/>
      </c>
      <c r="D37" t="str">
        <f>IF(measurement!B40="","",measurement!B40)</f>
        <v/>
      </c>
    </row>
    <row r="38" spans="1:4" x14ac:dyDescent="0.2">
      <c r="A38" t="str">
        <f>IF(study!B41="","",study!B41)</f>
        <v/>
      </c>
      <c r="B38" t="str">
        <f>IF(assay!B41="","",assay!B41)</f>
        <v/>
      </c>
      <c r="C38" t="str">
        <f>IF(sample!B41="","",sample!B41)</f>
        <v/>
      </c>
      <c r="D38" t="str">
        <f>IF(measurement!B41="","",measurement!B41)</f>
        <v/>
      </c>
    </row>
    <row r="39" spans="1:4" x14ac:dyDescent="0.2">
      <c r="A39" t="str">
        <f>IF(study!B42="","",study!B42)</f>
        <v/>
      </c>
      <c r="B39" t="str">
        <f>IF(assay!B42="","",assay!B42)</f>
        <v/>
      </c>
      <c r="C39" t="str">
        <f>IF(sample!B42="","",sample!B42)</f>
        <v/>
      </c>
      <c r="D39" t="str">
        <f>IF(measurement!B42="","",measurement!B42)</f>
        <v/>
      </c>
    </row>
    <row r="40" spans="1:4" x14ac:dyDescent="0.2">
      <c r="A40" t="str">
        <f>IF(study!B43="","",study!B43)</f>
        <v/>
      </c>
      <c r="B40" t="str">
        <f>IF(assay!B43="","",assay!B43)</f>
        <v/>
      </c>
      <c r="C40" t="str">
        <f>IF(sample!B43="","",sample!B43)</f>
        <v/>
      </c>
      <c r="D40" t="str">
        <f>IF(measurement!B43="","",measurement!B43)</f>
        <v/>
      </c>
    </row>
    <row r="41" spans="1:4" x14ac:dyDescent="0.2">
      <c r="A41" t="str">
        <f>IF(study!B44="","",study!B44)</f>
        <v/>
      </c>
      <c r="B41" t="str">
        <f>IF(assay!B44="","",assay!B44)</f>
        <v/>
      </c>
      <c r="C41" t="str">
        <f>IF(sample!B44="","",sample!B44)</f>
        <v/>
      </c>
      <c r="D41" t="str">
        <f>IF(measurement!B44="","",measurement!B44)</f>
        <v/>
      </c>
    </row>
    <row r="42" spans="1:4" x14ac:dyDescent="0.2">
      <c r="A42" t="str">
        <f>IF(study!B45="","",study!B45)</f>
        <v/>
      </c>
      <c r="B42" t="str">
        <f>IF(assay!B45="","",assay!B45)</f>
        <v/>
      </c>
      <c r="C42" t="str">
        <f>IF(sample!B45="","",sample!B45)</f>
        <v/>
      </c>
      <c r="D42" t="str">
        <f>IF(measurement!B45="","",measurement!B45)</f>
        <v/>
      </c>
    </row>
    <row r="43" spans="1:4" x14ac:dyDescent="0.2">
      <c r="A43" t="str">
        <f>IF(study!B46="","",study!B46)</f>
        <v/>
      </c>
      <c r="B43" t="str">
        <f>IF(assay!B46="","",assay!B46)</f>
        <v/>
      </c>
      <c r="C43" t="str">
        <f>IF(sample!B46="","",sample!B46)</f>
        <v/>
      </c>
      <c r="D43" t="str">
        <f>IF(measurement!B46="","",measurement!B46)</f>
        <v/>
      </c>
    </row>
    <row r="44" spans="1:4" x14ac:dyDescent="0.2">
      <c r="A44" t="str">
        <f>IF(study!B47="","",study!B47)</f>
        <v/>
      </c>
      <c r="B44" t="str">
        <f>IF(assay!B47="","",assay!B47)</f>
        <v/>
      </c>
      <c r="C44" t="str">
        <f>IF(sample!B47="","",sample!B47)</f>
        <v/>
      </c>
      <c r="D44" t="str">
        <f>IF(measurement!B47="","",measurement!B47)</f>
        <v/>
      </c>
    </row>
    <row r="45" spans="1:4" x14ac:dyDescent="0.2">
      <c r="A45" t="str">
        <f>IF(study!B48="","",study!B48)</f>
        <v/>
      </c>
      <c r="B45" t="str">
        <f>IF(assay!B48="","",assay!B48)</f>
        <v/>
      </c>
      <c r="C45" t="str">
        <f>IF(sample!B48="","",sample!B48)</f>
        <v/>
      </c>
      <c r="D45" t="str">
        <f>IF(measurement!B48="","",measurement!B48)</f>
        <v/>
      </c>
    </row>
    <row r="46" spans="1:4" x14ac:dyDescent="0.2">
      <c r="A46" t="str">
        <f>IF(study!B49="","",study!B49)</f>
        <v/>
      </c>
      <c r="B46" t="str">
        <f>IF(assay!B49="","",assay!B49)</f>
        <v/>
      </c>
      <c r="C46" t="str">
        <f>IF(sample!B49="","",sample!B49)</f>
        <v/>
      </c>
      <c r="D46" t="str">
        <f>IF(measurement!B49="","",measurement!B49)</f>
        <v/>
      </c>
    </row>
    <row r="47" spans="1:4" x14ac:dyDescent="0.2">
      <c r="A47" t="str">
        <f>IF(study!B50="","",study!B50)</f>
        <v/>
      </c>
      <c r="B47" t="str">
        <f>IF(assay!B50="","",assay!B50)</f>
        <v/>
      </c>
      <c r="C47" t="str">
        <f>IF(sample!B50="","",sample!B50)</f>
        <v/>
      </c>
      <c r="D47" t="str">
        <f>IF(measurement!B50="","",measurement!B50)</f>
        <v/>
      </c>
    </row>
    <row r="48" spans="1:4" x14ac:dyDescent="0.2">
      <c r="A48" t="str">
        <f>IF(study!B51="","",study!B51)</f>
        <v/>
      </c>
      <c r="B48" t="str">
        <f>IF(assay!B51="","",assay!B51)</f>
        <v/>
      </c>
      <c r="C48" t="str">
        <f>IF(sample!B51="","",sample!B51)</f>
        <v/>
      </c>
      <c r="D48" t="str">
        <f>IF(measurement!B51="","",measurement!B51)</f>
        <v/>
      </c>
    </row>
    <row r="49" spans="1:4" x14ac:dyDescent="0.2">
      <c r="A49" t="str">
        <f>IF(study!B52="","",study!B52)</f>
        <v/>
      </c>
      <c r="B49" t="str">
        <f>IF(assay!B52="","",assay!B52)</f>
        <v/>
      </c>
      <c r="C49" t="str">
        <f>IF(sample!B52="","",sample!B52)</f>
        <v/>
      </c>
      <c r="D49" t="str">
        <f>IF(measurement!B52="","",measurement!B52)</f>
        <v/>
      </c>
    </row>
    <row r="50" spans="1:4" x14ac:dyDescent="0.2">
      <c r="A50" t="str">
        <f>IF(study!B53="","",study!B53)</f>
        <v/>
      </c>
      <c r="B50" t="str">
        <f>IF(assay!B53="","",assay!B53)</f>
        <v/>
      </c>
      <c r="C50" t="str">
        <f>IF(sample!B53="","",sample!B53)</f>
        <v/>
      </c>
      <c r="D50" t="str">
        <f>IF(measurement!B53="","",measurement!B53)</f>
        <v/>
      </c>
    </row>
    <row r="51" spans="1:4" x14ac:dyDescent="0.2">
      <c r="A51" t="str">
        <f>IF(study!B54="","",study!B54)</f>
        <v/>
      </c>
      <c r="B51" t="str">
        <f>IF(assay!B54="","",assay!B54)</f>
        <v/>
      </c>
      <c r="C51" t="str">
        <f>IF(sample!B54="","",sample!B54)</f>
        <v/>
      </c>
      <c r="D51" t="str">
        <f>IF(measurement!B54="","",measurement!B54)</f>
        <v/>
      </c>
    </row>
    <row r="52" spans="1:4" x14ac:dyDescent="0.2">
      <c r="A52" t="str">
        <f>IF(study!B55="","",study!B55)</f>
        <v/>
      </c>
      <c r="B52" t="str">
        <f>IF(assay!B55="","",assay!B55)</f>
        <v/>
      </c>
      <c r="C52" t="str">
        <f>IF(sample!B55="","",sample!B55)</f>
        <v/>
      </c>
      <c r="D52" t="str">
        <f>IF(measurement!B55="","",measurement!B55)</f>
        <v/>
      </c>
    </row>
    <row r="53" spans="1:4" x14ac:dyDescent="0.2">
      <c r="A53" t="str">
        <f>IF(study!B56="","",study!B56)</f>
        <v/>
      </c>
      <c r="B53" t="str">
        <f>IF(assay!B56="","",assay!B56)</f>
        <v/>
      </c>
      <c r="C53" t="str">
        <f>IF(sample!B56="","",sample!B56)</f>
        <v/>
      </c>
      <c r="D53" t="str">
        <f>IF(measurement!B56="","",measurement!B56)</f>
        <v/>
      </c>
    </row>
    <row r="54" spans="1:4" x14ac:dyDescent="0.2">
      <c r="A54" t="str">
        <f>IF(study!B57="","",study!B57)</f>
        <v/>
      </c>
      <c r="B54" t="str">
        <f>IF(assay!B57="","",assay!B57)</f>
        <v/>
      </c>
      <c r="C54" t="str">
        <f>IF(sample!B57="","",sample!B57)</f>
        <v/>
      </c>
      <c r="D54" t="str">
        <f>IF(measurement!B57="","",measurement!B57)</f>
        <v/>
      </c>
    </row>
    <row r="55" spans="1:4" x14ac:dyDescent="0.2">
      <c r="A55" t="str">
        <f>IF(study!B58="","",study!B58)</f>
        <v/>
      </c>
      <c r="B55" t="str">
        <f>IF(assay!B58="","",assay!B58)</f>
        <v/>
      </c>
      <c r="C55" t="str">
        <f>IF(sample!B58="","",sample!B58)</f>
        <v/>
      </c>
      <c r="D55" t="str">
        <f>IF(measurement!B58="","",measurement!B58)</f>
        <v/>
      </c>
    </row>
    <row r="56" spans="1:4" x14ac:dyDescent="0.2">
      <c r="A56" t="str">
        <f>IF(study!B59="","",study!B59)</f>
        <v/>
      </c>
      <c r="B56" t="str">
        <f>IF(assay!B59="","",assay!B59)</f>
        <v/>
      </c>
      <c r="C56" t="str">
        <f>IF(sample!B59="","",sample!B59)</f>
        <v/>
      </c>
      <c r="D56" t="str">
        <f>IF(measurement!B59="","",measurement!B59)</f>
        <v/>
      </c>
    </row>
    <row r="57" spans="1:4" x14ac:dyDescent="0.2">
      <c r="A57" t="str">
        <f>IF(study!B60="","",study!B60)</f>
        <v/>
      </c>
      <c r="B57" t="str">
        <f>IF(assay!B60="","",assay!B60)</f>
        <v/>
      </c>
      <c r="C57" t="str">
        <f>IF(sample!B60="","",sample!B60)</f>
        <v/>
      </c>
      <c r="D57" t="str">
        <f>IF(measurement!B60="","",measurement!B60)</f>
        <v/>
      </c>
    </row>
    <row r="58" spans="1:4" x14ac:dyDescent="0.2">
      <c r="A58" t="str">
        <f>IF(study!B61="","",study!B61)</f>
        <v/>
      </c>
      <c r="B58" t="str">
        <f>IF(assay!B61="","",assay!B61)</f>
        <v/>
      </c>
      <c r="C58" t="str">
        <f>IF(sample!B61="","",sample!B61)</f>
        <v/>
      </c>
      <c r="D58" t="str">
        <f>IF(measurement!B61="","",measurement!B61)</f>
        <v/>
      </c>
    </row>
    <row r="59" spans="1:4" x14ac:dyDescent="0.2">
      <c r="A59" t="str">
        <f>IF(study!B62="","",study!B62)</f>
        <v/>
      </c>
      <c r="B59" t="str">
        <f>IF(assay!B62="","",assay!B62)</f>
        <v/>
      </c>
      <c r="C59" t="str">
        <f>IF(sample!B62="","",sample!B62)</f>
        <v/>
      </c>
      <c r="D59" t="str">
        <f>IF(measurement!B62="","",measurement!B62)</f>
        <v/>
      </c>
    </row>
    <row r="60" spans="1:4" x14ac:dyDescent="0.2">
      <c r="A60" t="str">
        <f>IF(study!B63="","",study!B63)</f>
        <v/>
      </c>
      <c r="B60" t="str">
        <f>IF(assay!B63="","",assay!B63)</f>
        <v/>
      </c>
      <c r="C60" t="str">
        <f>IF(sample!B63="","",sample!B63)</f>
        <v/>
      </c>
      <c r="D60" t="str">
        <f>IF(measurement!B63="","",measurement!B63)</f>
        <v/>
      </c>
    </row>
    <row r="61" spans="1:4" x14ac:dyDescent="0.2">
      <c r="A61" t="str">
        <f>IF(study!B64="","",study!B64)</f>
        <v/>
      </c>
      <c r="B61" t="str">
        <f>IF(assay!B64="","",assay!B64)</f>
        <v/>
      </c>
      <c r="C61" t="str">
        <f>IF(sample!B64="","",sample!B64)</f>
        <v/>
      </c>
      <c r="D61" t="str">
        <f>IF(measurement!B64="","",measurement!B64)</f>
        <v/>
      </c>
    </row>
    <row r="62" spans="1:4" x14ac:dyDescent="0.2">
      <c r="A62" t="str">
        <f>IF(study!B65="","",study!B65)</f>
        <v/>
      </c>
      <c r="B62" t="str">
        <f>IF(assay!B65="","",assay!B65)</f>
        <v/>
      </c>
      <c r="C62" t="str">
        <f>IF(sample!B65="","",sample!B65)</f>
        <v/>
      </c>
      <c r="D62" t="str">
        <f>IF(measurement!B65="","",measurement!B65)</f>
        <v/>
      </c>
    </row>
    <row r="63" spans="1:4" x14ac:dyDescent="0.2">
      <c r="A63" t="str">
        <f>IF(study!B66="","",study!B66)</f>
        <v/>
      </c>
      <c r="B63" t="str">
        <f>IF(assay!B66="","",assay!B66)</f>
        <v/>
      </c>
      <c r="C63" t="str">
        <f>IF(sample!B66="","",sample!B66)</f>
        <v/>
      </c>
      <c r="D63" t="str">
        <f>IF(measurement!B66="","",measurement!B66)</f>
        <v/>
      </c>
    </row>
    <row r="64" spans="1:4" x14ac:dyDescent="0.2">
      <c r="A64" t="str">
        <f>IF(study!B67="","",study!B67)</f>
        <v/>
      </c>
      <c r="B64" t="str">
        <f>IF(assay!B67="","",assay!B67)</f>
        <v/>
      </c>
      <c r="C64" t="str">
        <f>IF(sample!B67="","",sample!B67)</f>
        <v/>
      </c>
      <c r="D64" t="str">
        <f>IF(measurement!B67="","",measurement!B67)</f>
        <v/>
      </c>
    </row>
    <row r="65" spans="1:4" x14ac:dyDescent="0.2">
      <c r="A65" t="str">
        <f>IF(study!B68="","",study!B68)</f>
        <v/>
      </c>
      <c r="B65" t="str">
        <f>IF(assay!B68="","",assay!B68)</f>
        <v/>
      </c>
      <c r="C65" t="str">
        <f>IF(sample!B68="","",sample!B68)</f>
        <v/>
      </c>
      <c r="D65" t="str">
        <f>IF(measurement!B68="","",measurement!B68)</f>
        <v/>
      </c>
    </row>
    <row r="66" spans="1:4" x14ac:dyDescent="0.2">
      <c r="A66" t="str">
        <f>IF(study!B69="","",study!B69)</f>
        <v/>
      </c>
      <c r="B66" t="str">
        <f>IF(assay!B69="","",assay!B69)</f>
        <v/>
      </c>
      <c r="C66" t="str">
        <f>IF(sample!B69="","",sample!B69)</f>
        <v/>
      </c>
      <c r="D66" t="str">
        <f>IF(measurement!B69="","",measurement!B69)</f>
        <v/>
      </c>
    </row>
    <row r="67" spans="1:4" x14ac:dyDescent="0.2">
      <c r="A67" t="str">
        <f>IF(study!B70="","",study!B70)</f>
        <v/>
      </c>
      <c r="B67" t="str">
        <f>IF(assay!B70="","",assay!B70)</f>
        <v/>
      </c>
      <c r="C67" t="str">
        <f>IF(sample!B70="","",sample!B70)</f>
        <v/>
      </c>
      <c r="D67" t="str">
        <f>IF(measurement!B70="","",measurement!B70)</f>
        <v/>
      </c>
    </row>
    <row r="68" spans="1:4" x14ac:dyDescent="0.2">
      <c r="A68" t="str">
        <f>IF(study!B71="","",study!B71)</f>
        <v/>
      </c>
      <c r="B68" t="str">
        <f>IF(assay!B71="","",assay!B71)</f>
        <v/>
      </c>
      <c r="C68" t="str">
        <f>IF(sample!B71="","",sample!B71)</f>
        <v/>
      </c>
      <c r="D68" t="str">
        <f>IF(measurement!B71="","",measurement!B71)</f>
        <v/>
      </c>
    </row>
    <row r="69" spans="1:4" x14ac:dyDescent="0.2">
      <c r="A69" t="str">
        <f>IF(study!B72="","",study!B72)</f>
        <v/>
      </c>
      <c r="B69" t="str">
        <f>IF(assay!B72="","",assay!B72)</f>
        <v/>
      </c>
      <c r="C69" t="str">
        <f>IF(sample!B72="","",sample!B72)</f>
        <v/>
      </c>
      <c r="D69" t="str">
        <f>IF(measurement!B72="","",measurement!B72)</f>
        <v/>
      </c>
    </row>
    <row r="70" spans="1:4" x14ac:dyDescent="0.2">
      <c r="A70" t="str">
        <f>IF(study!B73="","",study!B73)</f>
        <v/>
      </c>
      <c r="B70" t="str">
        <f>IF(assay!B73="","",assay!B73)</f>
        <v/>
      </c>
      <c r="C70" t="str">
        <f>IF(sample!B73="","",sample!B73)</f>
        <v/>
      </c>
      <c r="D70" t="str">
        <f>IF(measurement!B73="","",measurement!B73)</f>
        <v/>
      </c>
    </row>
    <row r="71" spans="1:4" x14ac:dyDescent="0.2">
      <c r="A71" t="str">
        <f>IF(study!B74="","",study!B74)</f>
        <v/>
      </c>
      <c r="B71" t="str">
        <f>IF(assay!B74="","",assay!B74)</f>
        <v/>
      </c>
      <c r="C71" t="str">
        <f>IF(sample!B74="","",sample!B74)</f>
        <v/>
      </c>
      <c r="D71" t="str">
        <f>IF(measurement!B74="","",measurement!B74)</f>
        <v/>
      </c>
    </row>
    <row r="72" spans="1:4" x14ac:dyDescent="0.2">
      <c r="A72" t="str">
        <f>IF(study!B75="","",study!B75)</f>
        <v/>
      </c>
      <c r="B72" t="str">
        <f>IF(assay!B75="","",assay!B75)</f>
        <v/>
      </c>
      <c r="C72" t="str">
        <f>IF(sample!B75="","",sample!B75)</f>
        <v/>
      </c>
      <c r="D72" t="str">
        <f>IF(measurement!B75="","",measurement!B75)</f>
        <v/>
      </c>
    </row>
    <row r="73" spans="1:4" x14ac:dyDescent="0.2">
      <c r="A73" t="str">
        <f>IF(study!B76="","",study!B76)</f>
        <v/>
      </c>
      <c r="B73" t="str">
        <f>IF(assay!B76="","",assay!B76)</f>
        <v/>
      </c>
      <c r="C73" t="str">
        <f>IF(sample!B76="","",sample!B76)</f>
        <v/>
      </c>
      <c r="D73" t="str">
        <f>IF(measurement!B76="","",measurement!B76)</f>
        <v/>
      </c>
    </row>
    <row r="74" spans="1:4" x14ac:dyDescent="0.2">
      <c r="A74" t="str">
        <f>IF(study!B77="","",study!B77)</f>
        <v/>
      </c>
      <c r="B74" t="str">
        <f>IF(assay!B77="","",assay!B77)</f>
        <v/>
      </c>
      <c r="C74" t="str">
        <f>IF(sample!B77="","",sample!B77)</f>
        <v/>
      </c>
      <c r="D74" t="str">
        <f>IF(measurement!B77="","",measurement!B77)</f>
        <v/>
      </c>
    </row>
    <row r="75" spans="1:4" x14ac:dyDescent="0.2">
      <c r="A75" t="str">
        <f>IF(study!B78="","",study!B78)</f>
        <v/>
      </c>
      <c r="B75" t="str">
        <f>IF(assay!B78="","",assay!B78)</f>
        <v/>
      </c>
      <c r="C75" t="str">
        <f>IF(sample!B78="","",sample!B78)</f>
        <v/>
      </c>
      <c r="D75" t="str">
        <f>IF(measurement!B78="","",measurement!B78)</f>
        <v/>
      </c>
    </row>
    <row r="76" spans="1:4" x14ac:dyDescent="0.2">
      <c r="A76" t="str">
        <f>IF(study!B79="","",study!B79)</f>
        <v/>
      </c>
      <c r="B76" t="str">
        <f>IF(assay!B79="","",assay!B79)</f>
        <v/>
      </c>
      <c r="C76" t="str">
        <f>IF(sample!B79="","",sample!B79)</f>
        <v/>
      </c>
      <c r="D76" t="str">
        <f>IF(measurement!B79="","",measurement!B79)</f>
        <v/>
      </c>
    </row>
    <row r="77" spans="1:4" x14ac:dyDescent="0.2">
      <c r="A77" t="str">
        <f>IF(study!B80="","",study!B80)</f>
        <v/>
      </c>
      <c r="B77" t="str">
        <f>IF(assay!B80="","",assay!B80)</f>
        <v/>
      </c>
      <c r="C77" t="str">
        <f>IF(sample!B80="","",sample!B80)</f>
        <v/>
      </c>
      <c r="D77" t="str">
        <f>IF(measurement!B80="","",measurement!B80)</f>
        <v/>
      </c>
    </row>
    <row r="78" spans="1:4" x14ac:dyDescent="0.2">
      <c r="A78" t="str">
        <f>IF(study!B81="","",study!B81)</f>
        <v/>
      </c>
      <c r="B78" t="str">
        <f>IF(assay!B81="","",assay!B81)</f>
        <v/>
      </c>
      <c r="C78" t="str">
        <f>IF(sample!B81="","",sample!B81)</f>
        <v/>
      </c>
      <c r="D78" t="str">
        <f>IF(measurement!B81="","",measurement!B81)</f>
        <v/>
      </c>
    </row>
    <row r="79" spans="1:4" x14ac:dyDescent="0.2">
      <c r="A79" t="str">
        <f>IF(study!B82="","",study!B82)</f>
        <v/>
      </c>
      <c r="B79" t="str">
        <f>IF(assay!B82="","",assay!B82)</f>
        <v/>
      </c>
      <c r="C79" t="str">
        <f>IF(sample!B82="","",sample!B82)</f>
        <v/>
      </c>
      <c r="D79" t="str">
        <f>IF(measurement!B82="","",measurement!B82)</f>
        <v/>
      </c>
    </row>
    <row r="80" spans="1:4" x14ac:dyDescent="0.2">
      <c r="A80" t="str">
        <f>IF(study!B83="","",study!B83)</f>
        <v/>
      </c>
      <c r="B80" t="str">
        <f>IF(assay!B83="","",assay!B83)</f>
        <v/>
      </c>
      <c r="C80" t="str">
        <f>IF(sample!B83="","",sample!B83)</f>
        <v/>
      </c>
      <c r="D80" t="str">
        <f>IF(measurement!B83="","",measurement!B83)</f>
        <v/>
      </c>
    </row>
    <row r="81" spans="1:4" x14ac:dyDescent="0.2">
      <c r="A81" t="str">
        <f>IF(study!B84="","",study!B84)</f>
        <v/>
      </c>
      <c r="B81" t="str">
        <f>IF(assay!B84="","",assay!B84)</f>
        <v/>
      </c>
      <c r="C81" t="str">
        <f>IF(sample!B84="","",sample!B84)</f>
        <v/>
      </c>
      <c r="D81" t="str">
        <f>IF(measurement!B84="","",measurement!B84)</f>
        <v/>
      </c>
    </row>
    <row r="82" spans="1:4" x14ac:dyDescent="0.2">
      <c r="A82" t="str">
        <f>IF(study!B85="","",study!B85)</f>
        <v/>
      </c>
      <c r="B82" t="str">
        <f>IF(assay!B85="","",assay!B85)</f>
        <v/>
      </c>
      <c r="C82" t="str">
        <f>IF(sample!B85="","",sample!B85)</f>
        <v/>
      </c>
      <c r="D82" t="str">
        <f>IF(measurement!B85="","",measurement!B85)</f>
        <v/>
      </c>
    </row>
    <row r="83" spans="1:4" x14ac:dyDescent="0.2">
      <c r="A83" t="str">
        <f>IF(study!B86="","",study!B86)</f>
        <v/>
      </c>
      <c r="B83" t="str">
        <f>IF(assay!B86="","",assay!B86)</f>
        <v/>
      </c>
      <c r="C83" t="str">
        <f>IF(sample!B86="","",sample!B86)</f>
        <v/>
      </c>
      <c r="D83" t="str">
        <f>IF(measurement!B86="","",measurement!B86)</f>
        <v/>
      </c>
    </row>
    <row r="84" spans="1:4" x14ac:dyDescent="0.2">
      <c r="A84" t="str">
        <f>IF(study!B87="","",study!B87)</f>
        <v/>
      </c>
      <c r="B84" t="str">
        <f>IF(assay!B87="","",assay!B87)</f>
        <v/>
      </c>
      <c r="C84" t="str">
        <f>IF(sample!B87="","",sample!B87)</f>
        <v/>
      </c>
      <c r="D84" t="str">
        <f>IF(measurement!B87="","",measurement!B87)</f>
        <v/>
      </c>
    </row>
    <row r="85" spans="1:4" x14ac:dyDescent="0.2">
      <c r="A85" t="str">
        <f>IF(study!B88="","",study!B88)</f>
        <v/>
      </c>
      <c r="B85" t="str">
        <f>IF(assay!B88="","",assay!B88)</f>
        <v/>
      </c>
      <c r="C85" t="str">
        <f>IF(sample!B88="","",sample!B88)</f>
        <v/>
      </c>
      <c r="D85" t="str">
        <f>IF(measurement!B88="","",measurement!B88)</f>
        <v/>
      </c>
    </row>
    <row r="86" spans="1:4" x14ac:dyDescent="0.2">
      <c r="A86" t="str">
        <f>IF(study!B89="","",study!B89)</f>
        <v/>
      </c>
      <c r="B86" t="str">
        <f>IF(assay!B89="","",assay!B89)</f>
        <v/>
      </c>
      <c r="C86" t="str">
        <f>IF(sample!B89="","",sample!B89)</f>
        <v/>
      </c>
      <c r="D86" t="str">
        <f>IF(measurement!B89="","",measurement!B89)</f>
        <v/>
      </c>
    </row>
    <row r="87" spans="1:4" x14ac:dyDescent="0.2">
      <c r="A87" t="str">
        <f>IF(study!B90="","",study!B90)</f>
        <v/>
      </c>
      <c r="B87" t="str">
        <f>IF(assay!B90="","",assay!B90)</f>
        <v/>
      </c>
      <c r="C87" t="str">
        <f>IF(sample!B90="","",sample!B90)</f>
        <v/>
      </c>
      <c r="D87" t="str">
        <f>IF(measurement!B90="","",measurement!B90)</f>
        <v/>
      </c>
    </row>
    <row r="88" spans="1:4" x14ac:dyDescent="0.2">
      <c r="A88" t="str">
        <f>IF(study!B91="","",study!B91)</f>
        <v/>
      </c>
      <c r="B88" t="str">
        <f>IF(assay!B91="","",assay!B91)</f>
        <v/>
      </c>
      <c r="C88" t="str">
        <f>IF(sample!B91="","",sample!B91)</f>
        <v/>
      </c>
      <c r="D88" t="str">
        <f>IF(measurement!B91="","",measurement!B91)</f>
        <v/>
      </c>
    </row>
    <row r="89" spans="1:4" x14ac:dyDescent="0.2">
      <c r="A89" t="str">
        <f>IF(study!B92="","",study!B92)</f>
        <v/>
      </c>
      <c r="B89" t="str">
        <f>IF(assay!B92="","",assay!B92)</f>
        <v/>
      </c>
      <c r="C89" t="str">
        <f>IF(sample!B92="","",sample!B92)</f>
        <v/>
      </c>
      <c r="D89" t="str">
        <f>IF(measurement!B92="","",measurement!B92)</f>
        <v/>
      </c>
    </row>
    <row r="90" spans="1:4" x14ac:dyDescent="0.2">
      <c r="A90" t="str">
        <f>IF(study!B93="","",study!B93)</f>
        <v/>
      </c>
      <c r="B90" t="str">
        <f>IF(assay!B93="","",assay!B93)</f>
        <v/>
      </c>
      <c r="C90" t="str">
        <f>IF(sample!B93="","",sample!B93)</f>
        <v/>
      </c>
      <c r="D90" t="str">
        <f>IF(measurement!B93="","",measurement!B93)</f>
        <v/>
      </c>
    </row>
    <row r="91" spans="1:4" x14ac:dyDescent="0.2">
      <c r="A91" t="str">
        <f>IF(study!B94="","",study!B94)</f>
        <v/>
      </c>
      <c r="B91" t="str">
        <f>IF(assay!B94="","",assay!B94)</f>
        <v/>
      </c>
      <c r="C91" t="str">
        <f>IF(sample!B94="","",sample!B94)</f>
        <v/>
      </c>
      <c r="D91" t="str">
        <f>IF(measurement!B94="","",measurement!B94)</f>
        <v/>
      </c>
    </row>
    <row r="92" spans="1:4" x14ac:dyDescent="0.2">
      <c r="A92" t="str">
        <f>IF(study!B95="","",study!B95)</f>
        <v/>
      </c>
      <c r="B92" t="str">
        <f>IF(assay!B95="","",assay!B95)</f>
        <v/>
      </c>
      <c r="C92" t="str">
        <f>IF(sample!B95="","",sample!B95)</f>
        <v/>
      </c>
      <c r="D92" t="str">
        <f>IF(measurement!B95="","",measurement!B95)</f>
        <v/>
      </c>
    </row>
    <row r="93" spans="1:4" x14ac:dyDescent="0.2">
      <c r="A93" t="str">
        <f>IF(study!B96="","",study!B96)</f>
        <v/>
      </c>
      <c r="B93" t="str">
        <f>IF(assay!B96="","",assay!B96)</f>
        <v/>
      </c>
      <c r="C93" t="str">
        <f>IF(sample!B96="","",sample!B96)</f>
        <v/>
      </c>
      <c r="D93" t="str">
        <f>IF(measurement!B96="","",measurement!B96)</f>
        <v/>
      </c>
    </row>
    <row r="94" spans="1:4" x14ac:dyDescent="0.2">
      <c r="A94" t="str">
        <f>IF(study!B97="","",study!B97)</f>
        <v/>
      </c>
      <c r="B94" t="str">
        <f>IF(assay!B97="","",assay!B97)</f>
        <v/>
      </c>
      <c r="C94" t="str">
        <f>IF(sample!B97="","",sample!B97)</f>
        <v/>
      </c>
      <c r="D94" t="str">
        <f>IF(measurement!B97="","",measurement!B97)</f>
        <v/>
      </c>
    </row>
    <row r="95" spans="1:4" x14ac:dyDescent="0.2">
      <c r="A95" t="str">
        <f>IF(study!B98="","",study!B98)</f>
        <v/>
      </c>
      <c r="B95" t="str">
        <f>IF(assay!B98="","",assay!B98)</f>
        <v/>
      </c>
      <c r="C95" t="str">
        <f>IF(sample!B98="","",sample!B98)</f>
        <v/>
      </c>
      <c r="D95" t="str">
        <f>IF(measurement!B98="","",measurement!B98)</f>
        <v/>
      </c>
    </row>
    <row r="96" spans="1:4" x14ac:dyDescent="0.2">
      <c r="A96" t="str">
        <f>IF(study!B99="","",study!B99)</f>
        <v/>
      </c>
      <c r="B96" t="str">
        <f>IF(assay!B99="","",assay!B99)</f>
        <v/>
      </c>
      <c r="C96" t="str">
        <f>IF(sample!B99="","",sample!B99)</f>
        <v/>
      </c>
      <c r="D96" t="str">
        <f>IF(measurement!B99="","",measurement!B99)</f>
        <v/>
      </c>
    </row>
    <row r="97" spans="1:4" x14ac:dyDescent="0.2">
      <c r="A97" t="str">
        <f>IF(study!B100="","",study!B100)</f>
        <v/>
      </c>
      <c r="B97" t="str">
        <f>IF(assay!B100="","",assay!B100)</f>
        <v/>
      </c>
      <c r="C97" t="str">
        <f>IF(sample!B100="","",sample!B100)</f>
        <v/>
      </c>
      <c r="D97" t="str">
        <f>IF(measurement!B100="","",measurement!B100)</f>
        <v/>
      </c>
    </row>
    <row r="98" spans="1:4" x14ac:dyDescent="0.2">
      <c r="A98" t="str">
        <f>IF(study!B101="","",study!B101)</f>
        <v/>
      </c>
      <c r="B98" t="str">
        <f>IF(assay!B101="","",assay!B101)</f>
        <v/>
      </c>
      <c r="C98" t="str">
        <f>IF(sample!B101="","",sample!B101)</f>
        <v/>
      </c>
      <c r="D98" t="str">
        <f>IF(measurement!B101="","",measurement!B101)</f>
        <v/>
      </c>
    </row>
    <row r="99" spans="1:4" x14ac:dyDescent="0.2">
      <c r="A99" t="str">
        <f>IF(study!B102="","",study!B102)</f>
        <v/>
      </c>
      <c r="B99" t="str">
        <f>IF(assay!B102="","",assay!B102)</f>
        <v/>
      </c>
      <c r="C99" t="str">
        <f>IF(sample!B102="","",sample!B102)</f>
        <v/>
      </c>
      <c r="D99" t="str">
        <f>IF(measurement!B102="","",measurement!B102)</f>
        <v/>
      </c>
    </row>
    <row r="100" spans="1:4" x14ac:dyDescent="0.2">
      <c r="A100" t="str">
        <f>IF(study!B103="","",study!B103)</f>
        <v/>
      </c>
      <c r="B100" t="str">
        <f>IF(assay!B103="","",assay!B103)</f>
        <v/>
      </c>
      <c r="C100" t="str">
        <f>IF(sample!B103="","",sample!B103)</f>
        <v/>
      </c>
      <c r="D100" t="str">
        <f>IF(measurement!B103="","",measurement!B103)</f>
        <v/>
      </c>
    </row>
    <row r="101" spans="1:4" x14ac:dyDescent="0.2">
      <c r="A101" t="str">
        <f>IF(study!B104="","",study!B104)</f>
        <v/>
      </c>
      <c r="B101" t="str">
        <f>IF(assay!B104="","",assay!B104)</f>
        <v/>
      </c>
      <c r="C101" t="str">
        <f>IF(sample!B104="","",sample!B104)</f>
        <v/>
      </c>
      <c r="D101" t="str">
        <f>IF(measurement!B104="","",measurement!B104)</f>
        <v/>
      </c>
    </row>
    <row r="102" spans="1:4" x14ac:dyDescent="0.2">
      <c r="A102" t="str">
        <f>IF(study!B105="","",study!B105)</f>
        <v/>
      </c>
      <c r="B102" t="str">
        <f>IF(assay!B105="","",assay!B105)</f>
        <v/>
      </c>
      <c r="C102" t="str">
        <f>IF(sample!B105="","",sample!B105)</f>
        <v/>
      </c>
      <c r="D102" t="str">
        <f>IF(measurement!B105="","",measurement!B105)</f>
        <v/>
      </c>
    </row>
    <row r="103" spans="1:4" x14ac:dyDescent="0.2">
      <c r="A103" t="str">
        <f>IF(study!B106="","",study!B106)</f>
        <v/>
      </c>
      <c r="B103" t="str">
        <f>IF(assay!B106="","",assay!B106)</f>
        <v/>
      </c>
      <c r="C103" t="str">
        <f>IF(sample!B106="","",sample!B106)</f>
        <v/>
      </c>
      <c r="D103" t="str">
        <f>IF(measurement!B106="","",measurement!B106)</f>
        <v/>
      </c>
    </row>
    <row r="104" spans="1:4" x14ac:dyDescent="0.2">
      <c r="A104" t="str">
        <f>IF(study!B107="","",study!B107)</f>
        <v/>
      </c>
      <c r="B104" t="str">
        <f>IF(assay!B107="","",assay!B107)</f>
        <v/>
      </c>
      <c r="C104" t="str">
        <f>IF(sample!B107="","",sample!B107)</f>
        <v/>
      </c>
      <c r="D104" t="str">
        <f>IF(measurement!B107="","",measurement!B107)</f>
        <v/>
      </c>
    </row>
    <row r="105" spans="1:4" x14ac:dyDescent="0.2">
      <c r="A105" t="str">
        <f>IF(study!B108="","",study!B108)</f>
        <v/>
      </c>
      <c r="B105" t="str">
        <f>IF(assay!B108="","",assay!B108)</f>
        <v/>
      </c>
      <c r="C105" t="str">
        <f>IF(sample!B108="","",sample!B108)</f>
        <v/>
      </c>
      <c r="D105" t="str">
        <f>IF(measurement!B108="","",measurement!B108)</f>
        <v/>
      </c>
    </row>
    <row r="106" spans="1:4" x14ac:dyDescent="0.2">
      <c r="A106" t="str">
        <f>IF(study!B109="","",study!B109)</f>
        <v/>
      </c>
      <c r="B106" t="str">
        <f>IF(assay!B109="","",assay!B109)</f>
        <v/>
      </c>
      <c r="C106" t="str">
        <f>IF(sample!B109="","",sample!B109)</f>
        <v/>
      </c>
      <c r="D106" t="str">
        <f>IF(measurement!B109="","",measurement!B109)</f>
        <v/>
      </c>
    </row>
    <row r="107" spans="1:4" x14ac:dyDescent="0.2">
      <c r="A107" t="str">
        <f>IF(study!B110="","",study!B110)</f>
        <v/>
      </c>
      <c r="B107" t="str">
        <f>IF(assay!B110="","",assay!B110)</f>
        <v/>
      </c>
      <c r="C107" t="str">
        <f>IF(sample!B110="","",sample!B110)</f>
        <v/>
      </c>
      <c r="D107" t="str">
        <f>IF(measurement!B110="","",measurement!B110)</f>
        <v/>
      </c>
    </row>
    <row r="108" spans="1:4" x14ac:dyDescent="0.2">
      <c r="A108" t="str">
        <f>IF(study!B111="","",study!B111)</f>
        <v/>
      </c>
      <c r="B108" t="str">
        <f>IF(assay!B111="","",assay!B111)</f>
        <v/>
      </c>
      <c r="C108" t="str">
        <f>IF(sample!B111="","",sample!B111)</f>
        <v/>
      </c>
      <c r="D108" t="str">
        <f>IF(measurement!B111="","",measurement!B111)</f>
        <v/>
      </c>
    </row>
    <row r="109" spans="1:4" x14ac:dyDescent="0.2">
      <c r="A109" t="str">
        <f>IF(study!B112="","",study!B112)</f>
        <v/>
      </c>
      <c r="B109" t="str">
        <f>IF(assay!B112="","",assay!B112)</f>
        <v/>
      </c>
      <c r="C109" t="str">
        <f>IF(sample!B112="","",sample!B112)</f>
        <v/>
      </c>
      <c r="D109" t="str">
        <f>IF(measurement!B112="","",measurement!B112)</f>
        <v/>
      </c>
    </row>
    <row r="110" spans="1:4" x14ac:dyDescent="0.2">
      <c r="A110" t="str">
        <f>IF(study!B113="","",study!B113)</f>
        <v/>
      </c>
      <c r="B110" t="str">
        <f>IF(assay!B113="","",assay!B113)</f>
        <v/>
      </c>
      <c r="C110" t="str">
        <f>IF(sample!B113="","",sample!B113)</f>
        <v/>
      </c>
      <c r="D110" t="str">
        <f>IF(measurement!B113="","",measurement!B113)</f>
        <v/>
      </c>
    </row>
    <row r="111" spans="1:4" x14ac:dyDescent="0.2">
      <c r="A111" t="str">
        <f>IF(study!B114="","",study!B114)</f>
        <v/>
      </c>
      <c r="B111" t="str">
        <f>IF(assay!B114="","",assay!B114)</f>
        <v/>
      </c>
      <c r="C111" t="str">
        <f>IF(sample!B114="","",sample!B114)</f>
        <v/>
      </c>
      <c r="D111" t="str">
        <f>IF(measurement!B114="","",measurement!B114)</f>
        <v/>
      </c>
    </row>
    <row r="112" spans="1:4" x14ac:dyDescent="0.2">
      <c r="A112" t="str">
        <f>IF(study!B115="","",study!B115)</f>
        <v/>
      </c>
      <c r="B112" t="str">
        <f>IF(assay!B115="","",assay!B115)</f>
        <v/>
      </c>
      <c r="C112" t="str">
        <f>IF(sample!B115="","",sample!B115)</f>
        <v/>
      </c>
      <c r="D112" t="str">
        <f>IF(measurement!B115="","",measurement!B115)</f>
        <v/>
      </c>
    </row>
    <row r="113" spans="1:4" x14ac:dyDescent="0.2">
      <c r="A113" t="str">
        <f>IF(study!B116="","",study!B116)</f>
        <v/>
      </c>
      <c r="B113" t="str">
        <f>IF(assay!B116="","",assay!B116)</f>
        <v/>
      </c>
      <c r="C113" t="str">
        <f>IF(sample!B116="","",sample!B116)</f>
        <v/>
      </c>
      <c r="D113" t="str">
        <f>IF(measurement!B116="","",measurement!B116)</f>
        <v/>
      </c>
    </row>
    <row r="114" spans="1:4" x14ac:dyDescent="0.2">
      <c r="A114" t="str">
        <f>IF(study!B117="","",study!B117)</f>
        <v/>
      </c>
      <c r="B114" t="str">
        <f>IF(assay!B117="","",assay!B117)</f>
        <v/>
      </c>
      <c r="C114" t="str">
        <f>IF(sample!B117="","",sample!B117)</f>
        <v/>
      </c>
      <c r="D114" t="str">
        <f>IF(measurement!B117="","",measurement!B117)</f>
        <v/>
      </c>
    </row>
    <row r="115" spans="1:4" x14ac:dyDescent="0.2">
      <c r="A115" t="str">
        <f>IF(study!B118="","",study!B118)</f>
        <v/>
      </c>
      <c r="B115" t="str">
        <f>IF(assay!B118="","",assay!B118)</f>
        <v/>
      </c>
      <c r="C115" t="str">
        <f>IF(sample!B118="","",sample!B118)</f>
        <v/>
      </c>
      <c r="D115" t="str">
        <f>IF(measurement!B118="","",measurement!B118)</f>
        <v/>
      </c>
    </row>
    <row r="116" spans="1:4" x14ac:dyDescent="0.2">
      <c r="A116" t="str">
        <f>IF(study!B119="","",study!B119)</f>
        <v/>
      </c>
      <c r="B116" t="str">
        <f>IF(assay!B119="","",assay!B119)</f>
        <v/>
      </c>
      <c r="C116" t="str">
        <f>IF(sample!B119="","",sample!B119)</f>
        <v/>
      </c>
      <c r="D116" t="str">
        <f>IF(measurement!B119="","",measurement!B119)</f>
        <v/>
      </c>
    </row>
    <row r="117" spans="1:4" x14ac:dyDescent="0.2">
      <c r="A117" t="str">
        <f>IF(study!B120="","",study!B120)</f>
        <v/>
      </c>
      <c r="B117" t="str">
        <f>IF(assay!B120="","",assay!B120)</f>
        <v/>
      </c>
      <c r="C117" t="str">
        <f>IF(sample!B120="","",sample!B120)</f>
        <v/>
      </c>
      <c r="D117" t="str">
        <f>IF(measurement!B120="","",measurement!B120)</f>
        <v/>
      </c>
    </row>
    <row r="118" spans="1:4" x14ac:dyDescent="0.2">
      <c r="A118" t="str">
        <f>IF(study!B121="","",study!B121)</f>
        <v/>
      </c>
      <c r="B118" t="str">
        <f>IF(assay!B121="","",assay!B121)</f>
        <v/>
      </c>
      <c r="C118" t="str">
        <f>IF(sample!B121="","",sample!B121)</f>
        <v/>
      </c>
      <c r="D118" t="str">
        <f>IF(measurement!B121="","",measurement!B121)</f>
        <v/>
      </c>
    </row>
    <row r="119" spans="1:4" x14ac:dyDescent="0.2">
      <c r="A119" t="str">
        <f>IF(study!B122="","",study!B122)</f>
        <v/>
      </c>
      <c r="B119" t="str">
        <f>IF(assay!B122="","",assay!B122)</f>
        <v/>
      </c>
      <c r="C119" t="str">
        <f>IF(sample!B122="","",sample!B122)</f>
        <v/>
      </c>
      <c r="D119" t="str">
        <f>IF(measurement!B122="","",measurement!B122)</f>
        <v/>
      </c>
    </row>
    <row r="120" spans="1:4" x14ac:dyDescent="0.2">
      <c r="A120" t="str">
        <f>IF(study!B123="","",study!B123)</f>
        <v/>
      </c>
      <c r="B120" t="str">
        <f>IF(assay!B123="","",assay!B123)</f>
        <v/>
      </c>
      <c r="C120" t="str">
        <f>IF(sample!B123="","",sample!B123)</f>
        <v/>
      </c>
      <c r="D120" t="str">
        <f>IF(measurement!B123="","",measurement!B123)</f>
        <v/>
      </c>
    </row>
    <row r="121" spans="1:4" x14ac:dyDescent="0.2">
      <c r="A121" t="str">
        <f>IF(study!B124="","",study!B124)</f>
        <v/>
      </c>
      <c r="B121" t="str">
        <f>IF(assay!B124="","",assay!B124)</f>
        <v/>
      </c>
      <c r="C121" t="str">
        <f>IF(sample!B124="","",sample!B124)</f>
        <v/>
      </c>
      <c r="D121" t="str">
        <f>IF(measurement!B124="","",measurement!B124)</f>
        <v/>
      </c>
    </row>
    <row r="122" spans="1:4" x14ac:dyDescent="0.2">
      <c r="A122" t="str">
        <f>IF(study!B125="","",study!B125)</f>
        <v/>
      </c>
      <c r="B122" t="str">
        <f>IF(assay!B125="","",assay!B125)</f>
        <v/>
      </c>
      <c r="C122" t="str">
        <f>IF(sample!B125="","",sample!B125)</f>
        <v/>
      </c>
      <c r="D122" t="str">
        <f>IF(measurement!B125="","",measurement!B125)</f>
        <v/>
      </c>
    </row>
    <row r="123" spans="1:4" x14ac:dyDescent="0.2">
      <c r="A123" t="str">
        <f>IF(study!B126="","",study!B126)</f>
        <v/>
      </c>
      <c r="B123" t="str">
        <f>IF(assay!B126="","",assay!B126)</f>
        <v/>
      </c>
      <c r="C123" t="str">
        <f>IF(sample!B126="","",sample!B126)</f>
        <v/>
      </c>
      <c r="D123" t="str">
        <f>IF(measurement!B126="","",measurement!B126)</f>
        <v/>
      </c>
    </row>
    <row r="124" spans="1:4" x14ac:dyDescent="0.2">
      <c r="A124" t="str">
        <f>IF(study!B127="","",study!B127)</f>
        <v/>
      </c>
      <c r="B124" t="str">
        <f>IF(assay!B127="","",assay!B127)</f>
        <v/>
      </c>
      <c r="C124" t="str">
        <f>IF(sample!B127="","",sample!B127)</f>
        <v/>
      </c>
      <c r="D124" t="str">
        <f>IF(measurement!B127="","",measurement!B127)</f>
        <v/>
      </c>
    </row>
    <row r="125" spans="1:4" x14ac:dyDescent="0.2">
      <c r="A125" t="str">
        <f>IF(study!B128="","",study!B128)</f>
        <v/>
      </c>
      <c r="B125" t="str">
        <f>IF(assay!B128="","",assay!B128)</f>
        <v/>
      </c>
      <c r="C125" t="str">
        <f>IF(sample!B128="","",sample!B128)</f>
        <v/>
      </c>
      <c r="D125" t="str">
        <f>IF(measurement!B128="","",measurement!B128)</f>
        <v/>
      </c>
    </row>
    <row r="126" spans="1:4" x14ac:dyDescent="0.2">
      <c r="A126" t="str">
        <f>IF(study!B129="","",study!B129)</f>
        <v/>
      </c>
      <c r="B126" t="str">
        <f>IF(assay!B129="","",assay!B129)</f>
        <v/>
      </c>
      <c r="C126" t="str">
        <f>IF(sample!B129="","",sample!B129)</f>
        <v/>
      </c>
      <c r="D126" t="str">
        <f>IF(measurement!B129="","",measurement!B129)</f>
        <v/>
      </c>
    </row>
    <row r="127" spans="1:4" x14ac:dyDescent="0.2">
      <c r="A127" t="str">
        <f>IF(study!B130="","",study!B130)</f>
        <v/>
      </c>
      <c r="B127" t="str">
        <f>IF(assay!B130="","",assay!B130)</f>
        <v/>
      </c>
      <c r="C127" t="str">
        <f>IF(sample!B130="","",sample!B130)</f>
        <v/>
      </c>
      <c r="D127" t="str">
        <f>IF(measurement!B130="","",measurement!B130)</f>
        <v/>
      </c>
    </row>
    <row r="128" spans="1:4" x14ac:dyDescent="0.2">
      <c r="A128" t="str">
        <f>IF(study!B131="","",study!B131)</f>
        <v/>
      </c>
      <c r="B128" t="str">
        <f>IF(assay!B131="","",assay!B131)</f>
        <v/>
      </c>
      <c r="C128" t="str">
        <f>IF(sample!B131="","",sample!B131)</f>
        <v/>
      </c>
      <c r="D128" t="str">
        <f>IF(measurement!B131="","",measurement!B131)</f>
        <v/>
      </c>
    </row>
    <row r="129" spans="1:4" x14ac:dyDescent="0.2">
      <c r="A129" t="str">
        <f>IF(study!B132="","",study!B132)</f>
        <v/>
      </c>
      <c r="B129" t="str">
        <f>IF(assay!B132="","",assay!B132)</f>
        <v/>
      </c>
      <c r="C129" t="str">
        <f>IF(sample!B132="","",sample!B132)</f>
        <v/>
      </c>
      <c r="D129" t="str">
        <f>IF(measurement!B132="","",measurement!B132)</f>
        <v/>
      </c>
    </row>
    <row r="130" spans="1:4" x14ac:dyDescent="0.2">
      <c r="A130" t="str">
        <f>IF(study!B133="","",study!B133)</f>
        <v/>
      </c>
      <c r="B130" t="str">
        <f>IF(assay!B133="","",assay!B133)</f>
        <v/>
      </c>
      <c r="C130" t="str">
        <f>IF(sample!B133="","",sample!B133)</f>
        <v/>
      </c>
      <c r="D130" t="str">
        <f>IF(measurement!B133="","",measurement!B133)</f>
        <v/>
      </c>
    </row>
    <row r="131" spans="1:4" x14ac:dyDescent="0.2">
      <c r="A131" t="str">
        <f>IF(study!B134="","",study!B134)</f>
        <v/>
      </c>
      <c r="B131" t="str">
        <f>IF(assay!B134="","",assay!B134)</f>
        <v/>
      </c>
      <c r="C131" t="str">
        <f>IF(sample!B134="","",sample!B134)</f>
        <v/>
      </c>
      <c r="D131" t="str">
        <f>IF(measurement!B134="","",measurement!B134)</f>
        <v/>
      </c>
    </row>
    <row r="132" spans="1:4" x14ac:dyDescent="0.2">
      <c r="A132" t="str">
        <f>IF(study!B135="","",study!B135)</f>
        <v/>
      </c>
      <c r="B132" t="str">
        <f>IF(assay!B135="","",assay!B135)</f>
        <v/>
      </c>
      <c r="C132" t="str">
        <f>IF(sample!B135="","",sample!B135)</f>
        <v/>
      </c>
      <c r="D132" t="str">
        <f>IF(measurement!B135="","",measurement!B135)</f>
        <v/>
      </c>
    </row>
    <row r="133" spans="1:4" x14ac:dyDescent="0.2">
      <c r="A133" t="str">
        <f>IF(study!B136="","",study!B136)</f>
        <v/>
      </c>
      <c r="B133" t="str">
        <f>IF(assay!B136="","",assay!B136)</f>
        <v/>
      </c>
      <c r="C133" t="str">
        <f>IF(sample!B136="","",sample!B136)</f>
        <v/>
      </c>
      <c r="D133" t="str">
        <f>IF(measurement!B136="","",measurement!B136)</f>
        <v/>
      </c>
    </row>
    <row r="134" spans="1:4" x14ac:dyDescent="0.2">
      <c r="A134" t="str">
        <f>IF(study!B137="","",study!B137)</f>
        <v/>
      </c>
      <c r="B134" t="str">
        <f>IF(assay!B137="","",assay!B137)</f>
        <v/>
      </c>
      <c r="C134" t="str">
        <f>IF(sample!B137="","",sample!B137)</f>
        <v/>
      </c>
      <c r="D134" t="str">
        <f>IF(measurement!B137="","",measurement!B137)</f>
        <v/>
      </c>
    </row>
    <row r="135" spans="1:4" x14ac:dyDescent="0.2">
      <c r="A135" t="str">
        <f>IF(study!B138="","",study!B138)</f>
        <v/>
      </c>
      <c r="B135" t="str">
        <f>IF(assay!B138="","",assay!B138)</f>
        <v/>
      </c>
      <c r="C135" t="str">
        <f>IF(sample!B138="","",sample!B138)</f>
        <v/>
      </c>
      <c r="D135" t="str">
        <f>IF(measurement!B138="","",measurement!B138)</f>
        <v/>
      </c>
    </row>
    <row r="136" spans="1:4" x14ac:dyDescent="0.2">
      <c r="A136" t="str">
        <f>IF(study!B139="","",study!B139)</f>
        <v/>
      </c>
      <c r="B136" t="str">
        <f>IF(assay!B139="","",assay!B139)</f>
        <v/>
      </c>
      <c r="C136" t="str">
        <f>IF(sample!B139="","",sample!B139)</f>
        <v/>
      </c>
      <c r="D136" t="str">
        <f>IF(measurement!B139="","",measurement!B139)</f>
        <v/>
      </c>
    </row>
    <row r="137" spans="1:4" x14ac:dyDescent="0.2">
      <c r="A137" t="str">
        <f>IF(study!B140="","",study!B140)</f>
        <v/>
      </c>
      <c r="B137" t="str">
        <f>IF(assay!B140="","",assay!B140)</f>
        <v/>
      </c>
      <c r="C137" t="str">
        <f>IF(sample!B140="","",sample!B140)</f>
        <v/>
      </c>
      <c r="D137" t="str">
        <f>IF(measurement!B140="","",measurement!B140)</f>
        <v/>
      </c>
    </row>
    <row r="138" spans="1:4" x14ac:dyDescent="0.2">
      <c r="A138" t="str">
        <f>IF(study!B141="","",study!B141)</f>
        <v/>
      </c>
      <c r="B138" t="str">
        <f>IF(assay!B141="","",assay!B141)</f>
        <v/>
      </c>
      <c r="C138" t="str">
        <f>IF(sample!B141="","",sample!B141)</f>
        <v/>
      </c>
      <c r="D138" t="str">
        <f>IF(measurement!B141="","",measurement!B141)</f>
        <v/>
      </c>
    </row>
    <row r="139" spans="1:4" x14ac:dyDescent="0.2">
      <c r="A139" t="str">
        <f>IF(study!B142="","",study!B142)</f>
        <v/>
      </c>
      <c r="B139" t="str">
        <f>IF(assay!B142="","",assay!B142)</f>
        <v/>
      </c>
      <c r="C139" t="str">
        <f>IF(sample!B142="","",sample!B142)</f>
        <v/>
      </c>
      <c r="D139" t="str">
        <f>IF(measurement!B142="","",measurement!B142)</f>
        <v/>
      </c>
    </row>
    <row r="140" spans="1:4" x14ac:dyDescent="0.2">
      <c r="A140" t="str">
        <f>IF(study!B143="","",study!B143)</f>
        <v/>
      </c>
      <c r="B140" t="str">
        <f>IF(assay!B143="","",assay!B143)</f>
        <v/>
      </c>
      <c r="C140" t="str">
        <f>IF(sample!B143="","",sample!B143)</f>
        <v/>
      </c>
      <c r="D140" t="str">
        <f>IF(measurement!B143="","",measurement!B143)</f>
        <v/>
      </c>
    </row>
    <row r="141" spans="1:4" x14ac:dyDescent="0.2">
      <c r="A141" t="str">
        <f>IF(study!B144="","",study!B144)</f>
        <v/>
      </c>
      <c r="B141" t="str">
        <f>IF(assay!B144="","",assay!B144)</f>
        <v/>
      </c>
      <c r="C141" t="str">
        <f>IF(sample!B144="","",sample!B144)</f>
        <v/>
      </c>
      <c r="D141" t="str">
        <f>IF(measurement!B144="","",measurement!B144)</f>
        <v/>
      </c>
    </row>
    <row r="142" spans="1:4" x14ac:dyDescent="0.2">
      <c r="A142" t="str">
        <f>IF(study!B145="","",study!B145)</f>
        <v/>
      </c>
      <c r="B142" t="str">
        <f>IF(assay!B145="","",assay!B145)</f>
        <v/>
      </c>
      <c r="C142" t="str">
        <f>IF(sample!B145="","",sample!B145)</f>
        <v/>
      </c>
      <c r="D142" t="str">
        <f>IF(measurement!B145="","",measurement!B145)</f>
        <v/>
      </c>
    </row>
    <row r="143" spans="1:4" x14ac:dyDescent="0.2">
      <c r="A143" t="str">
        <f>IF(study!B146="","",study!B146)</f>
        <v/>
      </c>
      <c r="B143" t="str">
        <f>IF(assay!B146="","",assay!B146)</f>
        <v/>
      </c>
      <c r="C143" t="str">
        <f>IF(sample!B146="","",sample!B146)</f>
        <v/>
      </c>
      <c r="D143" t="str">
        <f>IF(measurement!B146="","",measurement!B146)</f>
        <v/>
      </c>
    </row>
    <row r="144" spans="1:4" x14ac:dyDescent="0.2">
      <c r="A144" t="str">
        <f>IF(study!B147="","",study!B147)</f>
        <v/>
      </c>
      <c r="B144" t="str">
        <f>IF(assay!B147="","",assay!B147)</f>
        <v/>
      </c>
      <c r="C144" t="str">
        <f>IF(sample!B147="","",sample!B147)</f>
        <v/>
      </c>
      <c r="D144" t="str">
        <f>IF(measurement!B147="","",measurement!B147)</f>
        <v/>
      </c>
    </row>
    <row r="145" spans="1:4" x14ac:dyDescent="0.2">
      <c r="A145" t="str">
        <f>IF(study!B148="","",study!B148)</f>
        <v/>
      </c>
      <c r="B145" t="str">
        <f>IF(assay!B148="","",assay!B148)</f>
        <v/>
      </c>
      <c r="C145" t="str">
        <f>IF(sample!B148="","",sample!B148)</f>
        <v/>
      </c>
      <c r="D145" t="str">
        <f>IF(measurement!B148="","",measurement!B148)</f>
        <v/>
      </c>
    </row>
    <row r="146" spans="1:4" x14ac:dyDescent="0.2">
      <c r="A146" t="str">
        <f>IF(study!B149="","",study!B149)</f>
        <v/>
      </c>
      <c r="B146" t="str">
        <f>IF(assay!B149="","",assay!B149)</f>
        <v/>
      </c>
      <c r="C146" t="str">
        <f>IF(sample!B149="","",sample!B149)</f>
        <v/>
      </c>
      <c r="D146" t="str">
        <f>IF(measurement!B149="","",measurement!B149)</f>
        <v/>
      </c>
    </row>
    <row r="147" spans="1:4" x14ac:dyDescent="0.2">
      <c r="A147" t="str">
        <f>IF(study!B150="","",study!B150)</f>
        <v/>
      </c>
      <c r="B147" t="str">
        <f>IF(assay!B150="","",assay!B150)</f>
        <v/>
      </c>
      <c r="C147" t="str">
        <f>IF(sample!B150="","",sample!B150)</f>
        <v/>
      </c>
      <c r="D147" t="str">
        <f>IF(measurement!B150="","",measurement!B150)</f>
        <v/>
      </c>
    </row>
    <row r="148" spans="1:4" x14ac:dyDescent="0.2">
      <c r="A148" t="str">
        <f>IF(study!B151="","",study!B151)</f>
        <v/>
      </c>
      <c r="B148" t="str">
        <f>IF(assay!B151="","",assay!B151)</f>
        <v/>
      </c>
      <c r="C148" t="str">
        <f>IF(sample!B151="","",sample!B151)</f>
        <v/>
      </c>
      <c r="D148" t="str">
        <f>IF(measurement!B151="","",measurement!B151)</f>
        <v/>
      </c>
    </row>
    <row r="149" spans="1:4" x14ac:dyDescent="0.2">
      <c r="A149" t="str">
        <f>IF(study!B152="","",study!B152)</f>
        <v/>
      </c>
      <c r="B149" t="str">
        <f>IF(assay!B152="","",assay!B152)</f>
        <v/>
      </c>
      <c r="C149" t="str">
        <f>IF(sample!B152="","",sample!B152)</f>
        <v/>
      </c>
      <c r="D149" t="str">
        <f>IF(measurement!B152="","",measurement!B152)</f>
        <v/>
      </c>
    </row>
    <row r="150" spans="1:4" x14ac:dyDescent="0.2">
      <c r="A150" t="str">
        <f>IF(study!B153="","",study!B153)</f>
        <v/>
      </c>
      <c r="B150" t="str">
        <f>IF(assay!B153="","",assay!B153)</f>
        <v/>
      </c>
      <c r="C150" t="str">
        <f>IF(sample!B153="","",sample!B153)</f>
        <v/>
      </c>
      <c r="D150" t="str">
        <f>IF(measurement!B153="","",measurement!B153)</f>
        <v/>
      </c>
    </row>
    <row r="151" spans="1:4" x14ac:dyDescent="0.2">
      <c r="A151" t="str">
        <f>IF(study!B154="","",study!B154)</f>
        <v/>
      </c>
      <c r="B151" t="str">
        <f>IF(assay!B154="","",assay!B154)</f>
        <v/>
      </c>
      <c r="C151" t="str">
        <f>IF(sample!B154="","",sample!B154)</f>
        <v/>
      </c>
      <c r="D151" t="str">
        <f>IF(measurement!B154="","",measurement!B154)</f>
        <v/>
      </c>
    </row>
    <row r="152" spans="1:4" x14ac:dyDescent="0.2">
      <c r="A152" t="str">
        <f>IF(study!B155="","",study!B155)</f>
        <v/>
      </c>
      <c r="B152" t="str">
        <f>IF(assay!B155="","",assay!B155)</f>
        <v/>
      </c>
      <c r="C152" t="str">
        <f>IF(sample!B155="","",sample!B155)</f>
        <v/>
      </c>
      <c r="D152" t="str">
        <f>IF(measurement!B155="","",measurement!B155)</f>
        <v/>
      </c>
    </row>
    <row r="153" spans="1:4" x14ac:dyDescent="0.2">
      <c r="A153" t="str">
        <f>IF(study!B156="","",study!B156)</f>
        <v/>
      </c>
      <c r="B153" t="str">
        <f>IF(assay!B156="","",assay!B156)</f>
        <v/>
      </c>
      <c r="C153" t="str">
        <f>IF(sample!B156="","",sample!B156)</f>
        <v/>
      </c>
      <c r="D153" t="str">
        <f>IF(measurement!B156="","",measurement!B156)</f>
        <v/>
      </c>
    </row>
    <row r="154" spans="1:4" x14ac:dyDescent="0.2">
      <c r="A154" t="str">
        <f>IF(study!B157="","",study!B157)</f>
        <v/>
      </c>
      <c r="B154" t="str">
        <f>IF(assay!B157="","",assay!B157)</f>
        <v/>
      </c>
      <c r="C154" t="str">
        <f>IF(sample!B157="","",sample!B157)</f>
        <v/>
      </c>
      <c r="D154" t="str">
        <f>IF(measurement!B157="","",measurement!B157)</f>
        <v/>
      </c>
    </row>
    <row r="155" spans="1:4" x14ac:dyDescent="0.2">
      <c r="A155" t="str">
        <f>IF(study!B158="","",study!B158)</f>
        <v/>
      </c>
      <c r="B155" t="str">
        <f>IF(assay!B158="","",assay!B158)</f>
        <v/>
      </c>
      <c r="C155" t="str">
        <f>IF(sample!B158="","",sample!B158)</f>
        <v/>
      </c>
      <c r="D155" t="str">
        <f>IF(measurement!B158="","",measurement!B158)</f>
        <v/>
      </c>
    </row>
    <row r="156" spans="1:4" x14ac:dyDescent="0.2">
      <c r="A156" t="str">
        <f>IF(study!B159="","",study!B159)</f>
        <v/>
      </c>
      <c r="B156" t="str">
        <f>IF(assay!B159="","",assay!B159)</f>
        <v/>
      </c>
      <c r="C156" t="str">
        <f>IF(sample!B159="","",sample!B159)</f>
        <v/>
      </c>
      <c r="D156" t="str">
        <f>IF(measurement!B159="","",measurement!B159)</f>
        <v/>
      </c>
    </row>
    <row r="157" spans="1:4" x14ac:dyDescent="0.2">
      <c r="A157" t="str">
        <f>IF(study!B160="","",study!B160)</f>
        <v/>
      </c>
      <c r="B157" t="str">
        <f>IF(assay!B160="","",assay!B160)</f>
        <v/>
      </c>
      <c r="C157" t="str">
        <f>IF(sample!B160="","",sample!B160)</f>
        <v/>
      </c>
      <c r="D157" t="str">
        <f>IF(measurement!B160="","",measurement!B160)</f>
        <v/>
      </c>
    </row>
    <row r="158" spans="1:4" x14ac:dyDescent="0.2">
      <c r="A158" t="str">
        <f>IF(study!B161="","",study!B161)</f>
        <v/>
      </c>
      <c r="B158" t="str">
        <f>IF(assay!B161="","",assay!B161)</f>
        <v/>
      </c>
      <c r="C158" t="str">
        <f>IF(sample!B161="","",sample!B161)</f>
        <v/>
      </c>
      <c r="D158" t="str">
        <f>IF(measurement!B161="","",measurement!B161)</f>
        <v/>
      </c>
    </row>
    <row r="159" spans="1:4" x14ac:dyDescent="0.2">
      <c r="A159" t="str">
        <f>IF(study!B162="","",study!B162)</f>
        <v/>
      </c>
      <c r="B159" t="str">
        <f>IF(assay!B162="","",assay!B162)</f>
        <v/>
      </c>
      <c r="C159" t="str">
        <f>IF(sample!B162="","",sample!B162)</f>
        <v/>
      </c>
      <c r="D159" t="str">
        <f>IF(measurement!B162="","",measurement!B162)</f>
        <v/>
      </c>
    </row>
    <row r="160" spans="1:4" x14ac:dyDescent="0.2">
      <c r="A160" t="str">
        <f>IF(study!B163="","",study!B163)</f>
        <v/>
      </c>
      <c r="B160" t="str">
        <f>IF(assay!B163="","",assay!B163)</f>
        <v/>
      </c>
      <c r="C160" t="str">
        <f>IF(sample!B163="","",sample!B163)</f>
        <v/>
      </c>
      <c r="D160" t="str">
        <f>IF(measurement!B163="","",measurement!B163)</f>
        <v/>
      </c>
    </row>
    <row r="161" spans="1:4" x14ac:dyDescent="0.2">
      <c r="A161" t="str">
        <f>IF(study!B164="","",study!B164)</f>
        <v/>
      </c>
      <c r="B161" t="str">
        <f>IF(assay!B164="","",assay!B164)</f>
        <v/>
      </c>
      <c r="C161" t="str">
        <f>IF(sample!B164="","",sample!B164)</f>
        <v/>
      </c>
      <c r="D161" t="str">
        <f>IF(measurement!B164="","",measurement!B164)</f>
        <v/>
      </c>
    </row>
    <row r="162" spans="1:4" x14ac:dyDescent="0.2">
      <c r="A162" t="str">
        <f>IF(study!B165="","",study!B165)</f>
        <v/>
      </c>
      <c r="B162" t="str">
        <f>IF(assay!B165="","",assay!B165)</f>
        <v/>
      </c>
      <c r="C162" t="str">
        <f>IF(sample!B165="","",sample!B165)</f>
        <v/>
      </c>
      <c r="D162" t="str">
        <f>IF(measurement!B165="","",measurement!B165)</f>
        <v/>
      </c>
    </row>
    <row r="163" spans="1:4" x14ac:dyDescent="0.2">
      <c r="A163" t="str">
        <f>IF(study!B166="","",study!B166)</f>
        <v/>
      </c>
      <c r="B163" t="str">
        <f>IF(assay!B166="","",assay!B166)</f>
        <v/>
      </c>
      <c r="C163" t="str">
        <f>IF(sample!B166="","",sample!B166)</f>
        <v/>
      </c>
      <c r="D163" t="str">
        <f>IF(measurement!B166="","",measurement!B166)</f>
        <v/>
      </c>
    </row>
    <row r="164" spans="1:4" x14ac:dyDescent="0.2">
      <c r="A164" t="str">
        <f>IF(study!B167="","",study!B167)</f>
        <v/>
      </c>
      <c r="B164" t="str">
        <f>IF(assay!B167="","",assay!B167)</f>
        <v/>
      </c>
      <c r="C164" t="str">
        <f>IF(sample!B167="","",sample!B167)</f>
        <v/>
      </c>
      <c r="D164" t="str">
        <f>IF(measurement!B167="","",measurement!B167)</f>
        <v/>
      </c>
    </row>
    <row r="165" spans="1:4" x14ac:dyDescent="0.2">
      <c r="A165" t="str">
        <f>IF(study!B168="","",study!B168)</f>
        <v/>
      </c>
      <c r="B165" t="str">
        <f>IF(assay!B168="","",assay!B168)</f>
        <v/>
      </c>
      <c r="C165" t="str">
        <f>IF(sample!B168="","",sample!B168)</f>
        <v/>
      </c>
      <c r="D165" t="str">
        <f>IF(measurement!B168="","",measurement!B168)</f>
        <v/>
      </c>
    </row>
    <row r="166" spans="1:4" x14ac:dyDescent="0.2">
      <c r="A166" t="str">
        <f>IF(study!B169="","",study!B169)</f>
        <v/>
      </c>
      <c r="B166" t="str">
        <f>IF(assay!B169="","",assay!B169)</f>
        <v/>
      </c>
      <c r="C166" t="str">
        <f>IF(sample!B169="","",sample!B169)</f>
        <v/>
      </c>
      <c r="D166" t="str">
        <f>IF(measurement!B169="","",measurement!B169)</f>
        <v/>
      </c>
    </row>
    <row r="167" spans="1:4" x14ac:dyDescent="0.2">
      <c r="A167" t="str">
        <f>IF(study!B170="","",study!B170)</f>
        <v/>
      </c>
      <c r="B167" t="str">
        <f>IF(assay!B170="","",assay!B170)</f>
        <v/>
      </c>
      <c r="C167" t="str">
        <f>IF(sample!B170="","",sample!B170)</f>
        <v/>
      </c>
      <c r="D167" t="str">
        <f>IF(measurement!B170="","",measurement!B170)</f>
        <v/>
      </c>
    </row>
    <row r="168" spans="1:4" x14ac:dyDescent="0.2">
      <c r="A168" t="str">
        <f>IF(study!B171="","",study!B171)</f>
        <v/>
      </c>
      <c r="B168" t="str">
        <f>IF(assay!B171="","",assay!B171)</f>
        <v/>
      </c>
      <c r="C168" t="str">
        <f>IF(sample!B171="","",sample!B171)</f>
        <v/>
      </c>
      <c r="D168" t="str">
        <f>IF(measurement!B171="","",measurement!B171)</f>
        <v/>
      </c>
    </row>
    <row r="169" spans="1:4" x14ac:dyDescent="0.2">
      <c r="A169" t="str">
        <f>IF(study!B172="","",study!B172)</f>
        <v/>
      </c>
      <c r="B169" t="str">
        <f>IF(assay!B172="","",assay!B172)</f>
        <v/>
      </c>
      <c r="C169" t="str">
        <f>IF(sample!B172="","",sample!B172)</f>
        <v/>
      </c>
      <c r="D169" t="str">
        <f>IF(measurement!B172="","",measurement!B172)</f>
        <v/>
      </c>
    </row>
    <row r="170" spans="1:4" x14ac:dyDescent="0.2">
      <c r="A170" t="str">
        <f>IF(study!B173="","",study!B173)</f>
        <v/>
      </c>
      <c r="B170" t="str">
        <f>IF(assay!B173="","",assay!B173)</f>
        <v/>
      </c>
      <c r="C170" t="str">
        <f>IF(sample!B173="","",sample!B173)</f>
        <v/>
      </c>
      <c r="D170" t="str">
        <f>IF(measurement!B173="","",measurement!B173)</f>
        <v/>
      </c>
    </row>
    <row r="171" spans="1:4" x14ac:dyDescent="0.2">
      <c r="A171" t="str">
        <f>IF(study!B174="","",study!B174)</f>
        <v/>
      </c>
      <c r="B171" t="str">
        <f>IF(assay!B174="","",assay!B174)</f>
        <v/>
      </c>
      <c r="C171" t="str">
        <f>IF(sample!B174="","",sample!B174)</f>
        <v/>
      </c>
      <c r="D171" t="str">
        <f>IF(measurement!B174="","",measurement!B174)</f>
        <v/>
      </c>
    </row>
    <row r="172" spans="1:4" x14ac:dyDescent="0.2">
      <c r="A172" t="str">
        <f>IF(study!B175="","",study!B175)</f>
        <v/>
      </c>
      <c r="B172" t="str">
        <f>IF(assay!B175="","",assay!B175)</f>
        <v/>
      </c>
      <c r="C172" t="str">
        <f>IF(sample!B175="","",sample!B175)</f>
        <v/>
      </c>
      <c r="D172" t="str">
        <f>IF(measurement!B175="","",measurement!B175)</f>
        <v/>
      </c>
    </row>
    <row r="173" spans="1:4" x14ac:dyDescent="0.2">
      <c r="A173" t="str">
        <f>IF(study!B176="","",study!B176)</f>
        <v/>
      </c>
      <c r="B173" t="str">
        <f>IF(assay!B176="","",assay!B176)</f>
        <v/>
      </c>
      <c r="C173" t="str">
        <f>IF(sample!B176="","",sample!B176)</f>
        <v/>
      </c>
      <c r="D173" t="str">
        <f>IF(measurement!B176="","",measurement!B176)</f>
        <v/>
      </c>
    </row>
    <row r="174" spans="1:4" x14ac:dyDescent="0.2">
      <c r="A174" t="str">
        <f>IF(study!B177="","",study!B177)</f>
        <v/>
      </c>
      <c r="B174" t="str">
        <f>IF(assay!B177="","",assay!B177)</f>
        <v/>
      </c>
      <c r="C174" t="str">
        <f>IF(sample!B177="","",sample!B177)</f>
        <v/>
      </c>
      <c r="D174" t="str">
        <f>IF(measurement!B177="","",measurement!B177)</f>
        <v/>
      </c>
    </row>
    <row r="175" spans="1:4" x14ac:dyDescent="0.2">
      <c r="A175" t="str">
        <f>IF(study!B178="","",study!B178)</f>
        <v/>
      </c>
      <c r="B175" t="str">
        <f>IF(assay!B178="","",assay!B178)</f>
        <v/>
      </c>
      <c r="C175" t="str">
        <f>IF(sample!B178="","",sample!B178)</f>
        <v/>
      </c>
      <c r="D175" t="str">
        <f>IF(measurement!B178="","",measurement!B178)</f>
        <v/>
      </c>
    </row>
    <row r="176" spans="1:4" x14ac:dyDescent="0.2">
      <c r="A176" t="str">
        <f>IF(study!B179="","",study!B179)</f>
        <v/>
      </c>
      <c r="B176" t="str">
        <f>IF(assay!B179="","",assay!B179)</f>
        <v/>
      </c>
      <c r="C176" t="str">
        <f>IF(sample!B179="","",sample!B179)</f>
        <v/>
      </c>
      <c r="D176" t="str">
        <f>IF(measurement!B179="","",measurement!B179)</f>
        <v/>
      </c>
    </row>
    <row r="177" spans="1:4" x14ac:dyDescent="0.2">
      <c r="A177" t="str">
        <f>IF(study!B180="","",study!B180)</f>
        <v/>
      </c>
      <c r="B177" t="str">
        <f>IF(assay!B180="","",assay!B180)</f>
        <v/>
      </c>
      <c r="C177" t="str">
        <f>IF(sample!B180="","",sample!B180)</f>
        <v/>
      </c>
      <c r="D177" t="str">
        <f>IF(measurement!B180="","",measurement!B180)</f>
        <v/>
      </c>
    </row>
    <row r="178" spans="1:4" x14ac:dyDescent="0.2">
      <c r="A178" t="str">
        <f>IF(study!B181="","",study!B181)</f>
        <v/>
      </c>
      <c r="B178" t="str">
        <f>IF(assay!B181="","",assay!B181)</f>
        <v/>
      </c>
      <c r="C178" t="str">
        <f>IF(sample!B181="","",sample!B181)</f>
        <v/>
      </c>
      <c r="D178" t="str">
        <f>IF(measurement!B181="","",measurement!B181)</f>
        <v/>
      </c>
    </row>
    <row r="179" spans="1:4" x14ac:dyDescent="0.2">
      <c r="A179" t="str">
        <f>IF(study!B182="","",study!B182)</f>
        <v/>
      </c>
      <c r="B179" t="str">
        <f>IF(assay!B182="","",assay!B182)</f>
        <v/>
      </c>
      <c r="C179" t="str">
        <f>IF(sample!B182="","",sample!B182)</f>
        <v/>
      </c>
      <c r="D179" t="str">
        <f>IF(measurement!B182="","",measurement!B182)</f>
        <v/>
      </c>
    </row>
    <row r="180" spans="1:4" x14ac:dyDescent="0.2">
      <c r="A180" t="str">
        <f>IF(study!B183="","",study!B183)</f>
        <v/>
      </c>
      <c r="B180" t="str">
        <f>IF(assay!B183="","",assay!B183)</f>
        <v/>
      </c>
      <c r="C180" t="str">
        <f>IF(sample!B183="","",sample!B183)</f>
        <v/>
      </c>
      <c r="D180" t="str">
        <f>IF(measurement!B183="","",measurement!B183)</f>
        <v/>
      </c>
    </row>
    <row r="181" spans="1:4" x14ac:dyDescent="0.2">
      <c r="A181" t="str">
        <f>IF(study!B184="","",study!B184)</f>
        <v/>
      </c>
      <c r="B181" t="str">
        <f>IF(assay!B184="","",assay!B184)</f>
        <v/>
      </c>
      <c r="C181" t="str">
        <f>IF(sample!B184="","",sample!B184)</f>
        <v/>
      </c>
      <c r="D181" t="str">
        <f>IF(measurement!B184="","",measurement!B184)</f>
        <v/>
      </c>
    </row>
    <row r="182" spans="1:4" x14ac:dyDescent="0.2">
      <c r="A182" t="str">
        <f>IF(study!B185="","",study!B185)</f>
        <v/>
      </c>
      <c r="B182" t="str">
        <f>IF(assay!B185="","",assay!B185)</f>
        <v/>
      </c>
      <c r="C182" t="str">
        <f>IF(sample!B185="","",sample!B185)</f>
        <v/>
      </c>
      <c r="D182" t="str">
        <f>IF(measurement!B185="","",measurement!B185)</f>
        <v/>
      </c>
    </row>
    <row r="183" spans="1:4" x14ac:dyDescent="0.2">
      <c r="A183" t="str">
        <f>IF(study!B186="","",study!B186)</f>
        <v/>
      </c>
      <c r="B183" t="str">
        <f>IF(assay!B186="","",assay!B186)</f>
        <v/>
      </c>
      <c r="C183" t="str">
        <f>IF(sample!B186="","",sample!B186)</f>
        <v/>
      </c>
      <c r="D183" t="str">
        <f>IF(measurement!B186="","",measurement!B186)</f>
        <v/>
      </c>
    </row>
    <row r="184" spans="1:4" x14ac:dyDescent="0.2">
      <c r="A184" t="str">
        <f>IF(study!B187="","",study!B187)</f>
        <v/>
      </c>
      <c r="B184" t="str">
        <f>IF(assay!B187="","",assay!B187)</f>
        <v/>
      </c>
      <c r="C184" t="str">
        <f>IF(sample!B187="","",sample!B187)</f>
        <v/>
      </c>
      <c r="D184" t="str">
        <f>IF(measurement!B187="","",measurement!B187)</f>
        <v/>
      </c>
    </row>
    <row r="185" spans="1:4" x14ac:dyDescent="0.2">
      <c r="A185" t="str">
        <f>IF(study!B188="","",study!B188)</f>
        <v/>
      </c>
      <c r="B185" t="str">
        <f>IF(assay!B188="","",assay!B188)</f>
        <v/>
      </c>
      <c r="C185" t="str">
        <f>IF(sample!B188="","",sample!B188)</f>
        <v/>
      </c>
      <c r="D185" t="str">
        <f>IF(measurement!B188="","",measurement!B188)</f>
        <v/>
      </c>
    </row>
    <row r="186" spans="1:4" x14ac:dyDescent="0.2">
      <c r="A186" t="str">
        <f>IF(study!B189="","",study!B189)</f>
        <v/>
      </c>
      <c r="B186" t="str">
        <f>IF(assay!B189="","",assay!B189)</f>
        <v/>
      </c>
      <c r="C186" t="str">
        <f>IF(sample!B189="","",sample!B189)</f>
        <v/>
      </c>
      <c r="D186" t="str">
        <f>IF(measurement!B189="","",measurement!B189)</f>
        <v/>
      </c>
    </row>
    <row r="187" spans="1:4" x14ac:dyDescent="0.2">
      <c r="A187" t="str">
        <f>IF(study!B190="","",study!B190)</f>
        <v/>
      </c>
      <c r="B187" t="str">
        <f>IF(assay!B190="","",assay!B190)</f>
        <v/>
      </c>
      <c r="C187" t="str">
        <f>IF(sample!B190="","",sample!B190)</f>
        <v/>
      </c>
      <c r="D187" t="str">
        <f>IF(measurement!B190="","",measurement!B190)</f>
        <v/>
      </c>
    </row>
    <row r="188" spans="1:4" x14ac:dyDescent="0.2">
      <c r="A188" t="str">
        <f>IF(study!B191="","",study!B191)</f>
        <v/>
      </c>
      <c r="B188" t="str">
        <f>IF(assay!B191="","",assay!B191)</f>
        <v/>
      </c>
      <c r="C188" t="str">
        <f>IF(sample!B191="","",sample!B191)</f>
        <v/>
      </c>
      <c r="D188" t="str">
        <f>IF(measurement!B191="","",measurement!B191)</f>
        <v/>
      </c>
    </row>
    <row r="189" spans="1:4" x14ac:dyDescent="0.2">
      <c r="A189" t="str">
        <f>IF(study!B192="","",study!B192)</f>
        <v/>
      </c>
      <c r="B189" t="str">
        <f>IF(assay!B192="","",assay!B192)</f>
        <v/>
      </c>
      <c r="C189" t="str">
        <f>IF(sample!B192="","",sample!B192)</f>
        <v/>
      </c>
      <c r="D189" t="str">
        <f>IF(measurement!B192="","",measurement!B192)</f>
        <v/>
      </c>
    </row>
    <row r="190" spans="1:4" x14ac:dyDescent="0.2">
      <c r="A190" t="str">
        <f>IF(study!B193="","",study!B193)</f>
        <v/>
      </c>
      <c r="B190" t="str">
        <f>IF(assay!B193="","",assay!B193)</f>
        <v/>
      </c>
      <c r="C190" t="str">
        <f>IF(sample!B193="","",sample!B193)</f>
        <v/>
      </c>
      <c r="D190" t="str">
        <f>IF(measurement!B193="","",measurement!B193)</f>
        <v/>
      </c>
    </row>
    <row r="191" spans="1:4" x14ac:dyDescent="0.2">
      <c r="A191" t="str">
        <f>IF(study!B194="","",study!B194)</f>
        <v/>
      </c>
      <c r="B191" t="str">
        <f>IF(assay!B194="","",assay!B194)</f>
        <v/>
      </c>
      <c r="C191" t="str">
        <f>IF(sample!B194="","",sample!B194)</f>
        <v/>
      </c>
      <c r="D191" t="str">
        <f>IF(measurement!B194="","",measurement!B194)</f>
        <v/>
      </c>
    </row>
    <row r="192" spans="1:4" x14ac:dyDescent="0.2">
      <c r="A192" t="str">
        <f>IF(study!B195="","",study!B195)</f>
        <v/>
      </c>
      <c r="B192" t="str">
        <f>IF(assay!B195="","",assay!B195)</f>
        <v/>
      </c>
      <c r="C192" t="str">
        <f>IF(sample!B195="","",sample!B195)</f>
        <v/>
      </c>
      <c r="D192" t="str">
        <f>IF(measurement!B195="","",measurement!B195)</f>
        <v/>
      </c>
    </row>
    <row r="193" spans="1:4" x14ac:dyDescent="0.2">
      <c r="A193" t="str">
        <f>IF(study!B196="","",study!B196)</f>
        <v/>
      </c>
      <c r="B193" t="str">
        <f>IF(assay!B196="","",assay!B196)</f>
        <v/>
      </c>
      <c r="C193" t="str">
        <f>IF(sample!B196="","",sample!B196)</f>
        <v/>
      </c>
      <c r="D193" t="str">
        <f>IF(measurement!B196="","",measurement!B196)</f>
        <v/>
      </c>
    </row>
    <row r="194" spans="1:4" x14ac:dyDescent="0.2">
      <c r="A194" t="str">
        <f>IF(study!B197="","",study!B197)</f>
        <v/>
      </c>
      <c r="B194" t="str">
        <f>IF(assay!B197="","",assay!B197)</f>
        <v/>
      </c>
      <c r="C194" t="str">
        <f>IF(sample!B197="","",sample!B197)</f>
        <v/>
      </c>
      <c r="D194" t="str">
        <f>IF(measurement!B197="","",measurement!B197)</f>
        <v/>
      </c>
    </row>
    <row r="195" spans="1:4" x14ac:dyDescent="0.2">
      <c r="A195" t="str">
        <f>IF(study!B198="","",study!B198)</f>
        <v/>
      </c>
      <c r="B195" t="str">
        <f>IF(assay!B198="","",assay!B198)</f>
        <v/>
      </c>
      <c r="C195" t="str">
        <f>IF(sample!B198="","",sample!B198)</f>
        <v/>
      </c>
      <c r="D195" t="str">
        <f>IF(measurement!B198="","",measurement!B198)</f>
        <v/>
      </c>
    </row>
    <row r="196" spans="1:4" x14ac:dyDescent="0.2">
      <c r="A196" t="str">
        <f>IF(study!B199="","",study!B199)</f>
        <v/>
      </c>
      <c r="B196" t="str">
        <f>IF(assay!B199="","",assay!B199)</f>
        <v/>
      </c>
      <c r="C196" t="str">
        <f>IF(sample!B199="","",sample!B199)</f>
        <v/>
      </c>
      <c r="D196" t="str">
        <f>IF(measurement!B199="","",measurement!B199)</f>
        <v/>
      </c>
    </row>
    <row r="197" spans="1:4" x14ac:dyDescent="0.2">
      <c r="A197" t="str">
        <f>IF(study!B200="","",study!B200)</f>
        <v/>
      </c>
      <c r="B197" t="str">
        <f>IF(assay!B200="","",assay!B200)</f>
        <v/>
      </c>
      <c r="C197" t="str">
        <f>IF(sample!B200="","",sample!B200)</f>
        <v/>
      </c>
      <c r="D197" t="str">
        <f>IF(measurement!B200="","",measurement!B200)</f>
        <v/>
      </c>
    </row>
    <row r="198" spans="1:4" x14ac:dyDescent="0.2">
      <c r="A198" t="str">
        <f>IF(study!B201="","",study!B201)</f>
        <v/>
      </c>
      <c r="B198" t="str">
        <f>IF(assay!B201="","",assay!B201)</f>
        <v/>
      </c>
      <c r="C198" t="str">
        <f>IF(sample!B201="","",sample!B201)</f>
        <v/>
      </c>
      <c r="D198" t="str">
        <f>IF(measurement!B201="","",measurement!B201)</f>
        <v/>
      </c>
    </row>
    <row r="199" spans="1:4" x14ac:dyDescent="0.2">
      <c r="A199" t="str">
        <f>IF(study!B202="","",study!B202)</f>
        <v/>
      </c>
      <c r="B199" t="str">
        <f>IF(assay!B202="","",assay!B202)</f>
        <v/>
      </c>
      <c r="C199" t="str">
        <f>IF(sample!B202="","",sample!B202)</f>
        <v/>
      </c>
      <c r="D199" t="str">
        <f>IF(measurement!B202="","",measurement!B202)</f>
        <v/>
      </c>
    </row>
    <row r="200" spans="1:4" x14ac:dyDescent="0.2">
      <c r="A200" t="str">
        <f>IF(study!B203="","",study!B203)</f>
        <v/>
      </c>
      <c r="B200" t="str">
        <f>IF(assay!B203="","",assay!B203)</f>
        <v/>
      </c>
      <c r="C200" t="str">
        <f>IF(sample!B203="","",sample!B203)</f>
        <v/>
      </c>
      <c r="D200" t="str">
        <f>IF(measurement!B203="","",measurement!B203)</f>
        <v/>
      </c>
    </row>
    <row r="201" spans="1:4" x14ac:dyDescent="0.2">
      <c r="A201" t="str">
        <f>IF(study!B204="","",study!B204)</f>
        <v/>
      </c>
      <c r="B201" t="str">
        <f>IF(assay!B204="","",assay!B204)</f>
        <v/>
      </c>
      <c r="C201" t="str">
        <f>IF(sample!B204="","",sample!B204)</f>
        <v/>
      </c>
      <c r="D201" t="str">
        <f>IF(measurement!B204="","",measurement!B204)</f>
        <v/>
      </c>
    </row>
    <row r="202" spans="1:4" x14ac:dyDescent="0.2">
      <c r="A202" t="str">
        <f>IF(study!B205="","",study!B205)</f>
        <v/>
      </c>
      <c r="B202" t="str">
        <f>IF(assay!B205="","",assay!B205)</f>
        <v/>
      </c>
      <c r="C202" t="str">
        <f>IF(sample!B205="","",sample!B205)</f>
        <v/>
      </c>
      <c r="D202" t="str">
        <f>IF(measurement!B205="","",measurement!B205)</f>
        <v/>
      </c>
    </row>
    <row r="203" spans="1:4" x14ac:dyDescent="0.2">
      <c r="A203" t="str">
        <f>IF(study!B206="","",study!B206)</f>
        <v/>
      </c>
      <c r="B203" t="str">
        <f>IF(assay!B206="","",assay!B206)</f>
        <v/>
      </c>
      <c r="C203" t="str">
        <f>IF(sample!B206="","",sample!B206)</f>
        <v/>
      </c>
      <c r="D203" t="str">
        <f>IF(measurement!B206="","",measurement!B206)</f>
        <v/>
      </c>
    </row>
    <row r="204" spans="1:4" x14ac:dyDescent="0.2">
      <c r="A204" t="str">
        <f>IF(study!B207="","",study!B207)</f>
        <v/>
      </c>
      <c r="B204" t="str">
        <f>IF(assay!B207="","",assay!B207)</f>
        <v/>
      </c>
      <c r="C204" t="str">
        <f>IF(sample!B207="","",sample!B207)</f>
        <v/>
      </c>
      <c r="D204" t="str">
        <f>IF(measurement!B207="","",measurement!B207)</f>
        <v/>
      </c>
    </row>
    <row r="205" spans="1:4" x14ac:dyDescent="0.2">
      <c r="A205" t="str">
        <f>IF(study!B208="","",study!B208)</f>
        <v/>
      </c>
      <c r="B205" t="str">
        <f>IF(assay!B208="","",assay!B208)</f>
        <v/>
      </c>
      <c r="C205" t="str">
        <f>IF(sample!B208="","",sample!B208)</f>
        <v/>
      </c>
      <c r="D205" t="str">
        <f>IF(measurement!B208="","",measurement!B208)</f>
        <v/>
      </c>
    </row>
    <row r="206" spans="1:4" x14ac:dyDescent="0.2">
      <c r="A206" t="str">
        <f>IF(study!B209="","",study!B209)</f>
        <v/>
      </c>
      <c r="B206" t="str">
        <f>IF(assay!B209="","",assay!B209)</f>
        <v/>
      </c>
      <c r="C206" t="str">
        <f>IF(sample!B209="","",sample!B209)</f>
        <v/>
      </c>
      <c r="D206" t="str">
        <f>IF(measurement!B209="","",measurement!B209)</f>
        <v/>
      </c>
    </row>
    <row r="207" spans="1:4" x14ac:dyDescent="0.2">
      <c r="A207" t="str">
        <f>IF(study!B210="","",study!B210)</f>
        <v/>
      </c>
      <c r="B207" t="str">
        <f>IF(assay!B210="","",assay!B210)</f>
        <v/>
      </c>
      <c r="C207" t="str">
        <f>IF(sample!B210="","",sample!B210)</f>
        <v/>
      </c>
      <c r="D207" t="str">
        <f>IF(measurement!B210="","",measurement!B210)</f>
        <v/>
      </c>
    </row>
    <row r="208" spans="1:4" x14ac:dyDescent="0.2">
      <c r="A208" t="str">
        <f>IF(study!B211="","",study!B211)</f>
        <v/>
      </c>
      <c r="B208" t="str">
        <f>IF(assay!B211="","",assay!B211)</f>
        <v/>
      </c>
      <c r="C208" t="str">
        <f>IF(sample!B211="","",sample!B211)</f>
        <v/>
      </c>
      <c r="D208" t="str">
        <f>IF(measurement!B211="","",measurement!B211)</f>
        <v/>
      </c>
    </row>
    <row r="209" spans="1:4" x14ac:dyDescent="0.2">
      <c r="A209" t="str">
        <f>IF(study!B212="","",study!B212)</f>
        <v/>
      </c>
      <c r="B209" t="str">
        <f>IF(assay!B212="","",assay!B212)</f>
        <v/>
      </c>
      <c r="C209" t="str">
        <f>IF(sample!B212="","",sample!B212)</f>
        <v/>
      </c>
      <c r="D209" t="str">
        <f>IF(measurement!B212="","",measurement!B212)</f>
        <v/>
      </c>
    </row>
    <row r="210" spans="1:4" x14ac:dyDescent="0.2">
      <c r="A210" t="str">
        <f>IF(study!B213="","",study!B213)</f>
        <v/>
      </c>
      <c r="B210" t="str">
        <f>IF(assay!B213="","",assay!B213)</f>
        <v/>
      </c>
      <c r="C210" t="str">
        <f>IF(sample!B213="","",sample!B213)</f>
        <v/>
      </c>
      <c r="D210" t="str">
        <f>IF(measurement!B213="","",measurement!B213)</f>
        <v/>
      </c>
    </row>
    <row r="211" spans="1:4" x14ac:dyDescent="0.2">
      <c r="A211" t="str">
        <f>IF(study!B214="","",study!B214)</f>
        <v/>
      </c>
      <c r="B211" t="str">
        <f>IF(assay!B214="","",assay!B214)</f>
        <v/>
      </c>
      <c r="C211" t="str">
        <f>IF(sample!B214="","",sample!B214)</f>
        <v/>
      </c>
      <c r="D211" t="str">
        <f>IF(measurement!B214="","",measurement!B214)</f>
        <v/>
      </c>
    </row>
    <row r="212" spans="1:4" x14ac:dyDescent="0.2">
      <c r="A212" t="str">
        <f>IF(study!B215="","",study!B215)</f>
        <v/>
      </c>
      <c r="B212" t="str">
        <f>IF(assay!B215="","",assay!B215)</f>
        <v/>
      </c>
      <c r="C212" t="str">
        <f>IF(sample!B215="","",sample!B215)</f>
        <v/>
      </c>
      <c r="D212" t="str">
        <f>IF(measurement!B215="","",measurement!B215)</f>
        <v/>
      </c>
    </row>
    <row r="213" spans="1:4" x14ac:dyDescent="0.2">
      <c r="A213" t="str">
        <f>IF(study!B216="","",study!B216)</f>
        <v/>
      </c>
      <c r="B213" t="str">
        <f>IF(assay!B216="","",assay!B216)</f>
        <v/>
      </c>
      <c r="C213" t="str">
        <f>IF(sample!B216="","",sample!B216)</f>
        <v/>
      </c>
      <c r="D213" t="str">
        <f>IF(measurement!B216="","",measurement!B216)</f>
        <v/>
      </c>
    </row>
    <row r="214" spans="1:4" x14ac:dyDescent="0.2">
      <c r="A214" t="str">
        <f>IF(study!B217="","",study!B217)</f>
        <v/>
      </c>
      <c r="B214" t="str">
        <f>IF(assay!B217="","",assay!B217)</f>
        <v/>
      </c>
      <c r="C214" t="str">
        <f>IF(sample!B217="","",sample!B217)</f>
        <v/>
      </c>
      <c r="D214" t="str">
        <f>IF(measurement!B217="","",measurement!B217)</f>
        <v/>
      </c>
    </row>
    <row r="215" spans="1:4" x14ac:dyDescent="0.2">
      <c r="A215" t="str">
        <f>IF(study!B218="","",study!B218)</f>
        <v/>
      </c>
      <c r="B215" t="str">
        <f>IF(assay!B218="","",assay!B218)</f>
        <v/>
      </c>
      <c r="C215" t="str">
        <f>IF(sample!B218="","",sample!B218)</f>
        <v/>
      </c>
      <c r="D215" t="str">
        <f>IF(measurement!B218="","",measurement!B218)</f>
        <v/>
      </c>
    </row>
    <row r="216" spans="1:4" x14ac:dyDescent="0.2">
      <c r="A216" t="str">
        <f>IF(study!B219="","",study!B219)</f>
        <v/>
      </c>
      <c r="B216" t="str">
        <f>IF(assay!B219="","",assay!B219)</f>
        <v/>
      </c>
      <c r="C216" t="str">
        <f>IF(sample!B219="","",sample!B219)</f>
        <v/>
      </c>
      <c r="D216" t="str">
        <f>IF(measurement!B219="","",measurement!B219)</f>
        <v/>
      </c>
    </row>
    <row r="217" spans="1:4" x14ac:dyDescent="0.2">
      <c r="A217" t="str">
        <f>IF(study!B220="","",study!B220)</f>
        <v/>
      </c>
      <c r="B217" t="str">
        <f>IF(assay!B220="","",assay!B220)</f>
        <v/>
      </c>
      <c r="C217" t="str">
        <f>IF(sample!B220="","",sample!B220)</f>
        <v/>
      </c>
      <c r="D217" t="str">
        <f>IF(measurement!B220="","",measurement!B220)</f>
        <v/>
      </c>
    </row>
    <row r="218" spans="1:4" x14ac:dyDescent="0.2">
      <c r="A218" t="str">
        <f>IF(study!B221="","",study!B221)</f>
        <v/>
      </c>
      <c r="B218" t="str">
        <f>IF(assay!B221="","",assay!B221)</f>
        <v/>
      </c>
      <c r="C218" t="str">
        <f>IF(sample!B221="","",sample!B221)</f>
        <v/>
      </c>
      <c r="D218" t="str">
        <f>IF(measurement!B221="","",measurement!B221)</f>
        <v/>
      </c>
    </row>
    <row r="219" spans="1:4" x14ac:dyDescent="0.2">
      <c r="A219" t="str">
        <f>IF(study!B222="","",study!B222)</f>
        <v/>
      </c>
      <c r="B219" t="str">
        <f>IF(assay!B222="","",assay!B222)</f>
        <v/>
      </c>
      <c r="C219" t="str">
        <f>IF(sample!B222="","",sample!B222)</f>
        <v/>
      </c>
      <c r="D219" t="str">
        <f>IF(measurement!B222="","",measurement!B222)</f>
        <v/>
      </c>
    </row>
    <row r="220" spans="1:4" x14ac:dyDescent="0.2">
      <c r="A220" t="str">
        <f>IF(study!B223="","",study!B223)</f>
        <v/>
      </c>
      <c r="B220" t="str">
        <f>IF(assay!B223="","",assay!B223)</f>
        <v/>
      </c>
      <c r="C220" t="str">
        <f>IF(sample!B223="","",sample!B223)</f>
        <v/>
      </c>
      <c r="D220" t="str">
        <f>IF(measurement!B223="","",measurement!B223)</f>
        <v/>
      </c>
    </row>
    <row r="221" spans="1:4" x14ac:dyDescent="0.2">
      <c r="A221" t="str">
        <f>IF(study!B224="","",study!B224)</f>
        <v/>
      </c>
      <c r="B221" t="str">
        <f>IF(assay!B224="","",assay!B224)</f>
        <v/>
      </c>
      <c r="C221" t="str">
        <f>IF(sample!B224="","",sample!B224)</f>
        <v/>
      </c>
      <c r="D221" t="str">
        <f>IF(measurement!B224="","",measurement!B224)</f>
        <v/>
      </c>
    </row>
    <row r="222" spans="1:4" x14ac:dyDescent="0.2">
      <c r="A222" t="str">
        <f>IF(study!B225="","",study!B225)</f>
        <v/>
      </c>
      <c r="B222" t="str">
        <f>IF(assay!B225="","",assay!B225)</f>
        <v/>
      </c>
      <c r="C222" t="str">
        <f>IF(sample!B225="","",sample!B225)</f>
        <v/>
      </c>
      <c r="D222" t="str">
        <f>IF(measurement!B225="","",measurement!B225)</f>
        <v/>
      </c>
    </row>
    <row r="223" spans="1:4" x14ac:dyDescent="0.2">
      <c r="A223" t="str">
        <f>IF(study!B226="","",study!B226)</f>
        <v/>
      </c>
      <c r="B223" t="str">
        <f>IF(assay!B226="","",assay!B226)</f>
        <v/>
      </c>
      <c r="C223" t="str">
        <f>IF(sample!B226="","",sample!B226)</f>
        <v/>
      </c>
      <c r="D223" t="str">
        <f>IF(measurement!B226="","",measurement!B226)</f>
        <v/>
      </c>
    </row>
    <row r="224" spans="1:4" x14ac:dyDescent="0.2">
      <c r="A224" t="str">
        <f>IF(study!B227="","",study!B227)</f>
        <v/>
      </c>
      <c r="B224" t="str">
        <f>IF(assay!B227="","",assay!B227)</f>
        <v/>
      </c>
      <c r="C224" t="str">
        <f>IF(sample!B227="","",sample!B227)</f>
        <v/>
      </c>
      <c r="D224" t="str">
        <f>IF(measurement!B227="","",measurement!B227)</f>
        <v/>
      </c>
    </row>
    <row r="225" spans="1:4" x14ac:dyDescent="0.2">
      <c r="A225" t="str">
        <f>IF(study!B228="","",study!B228)</f>
        <v/>
      </c>
      <c r="B225" t="str">
        <f>IF(assay!B228="","",assay!B228)</f>
        <v/>
      </c>
      <c r="C225" t="str">
        <f>IF(sample!B228="","",sample!B228)</f>
        <v/>
      </c>
      <c r="D225" t="str">
        <f>IF(measurement!B228="","",measurement!B228)</f>
        <v/>
      </c>
    </row>
    <row r="226" spans="1:4" x14ac:dyDescent="0.2">
      <c r="A226" t="str">
        <f>IF(study!B229="","",study!B229)</f>
        <v/>
      </c>
      <c r="B226" t="str">
        <f>IF(assay!B229="","",assay!B229)</f>
        <v/>
      </c>
      <c r="C226" t="str">
        <f>IF(sample!B229="","",sample!B229)</f>
        <v/>
      </c>
      <c r="D226" t="str">
        <f>IF(measurement!B229="","",measurement!B229)</f>
        <v/>
      </c>
    </row>
    <row r="227" spans="1:4" x14ac:dyDescent="0.2">
      <c r="A227" t="str">
        <f>IF(study!B230="","",study!B230)</f>
        <v/>
      </c>
      <c r="B227" t="str">
        <f>IF(assay!B230="","",assay!B230)</f>
        <v/>
      </c>
      <c r="C227" t="str">
        <f>IF(sample!B230="","",sample!B230)</f>
        <v/>
      </c>
      <c r="D227" t="str">
        <f>IF(measurement!B230="","",measurement!B230)</f>
        <v/>
      </c>
    </row>
    <row r="228" spans="1:4" x14ac:dyDescent="0.2">
      <c r="A228" t="str">
        <f>IF(study!B231="","",study!B231)</f>
        <v/>
      </c>
      <c r="B228" t="str">
        <f>IF(assay!B231="","",assay!B231)</f>
        <v/>
      </c>
      <c r="C228" t="str">
        <f>IF(sample!B231="","",sample!B231)</f>
        <v/>
      </c>
      <c r="D228" t="str">
        <f>IF(measurement!B231="","",measurement!B231)</f>
        <v/>
      </c>
    </row>
    <row r="229" spans="1:4" x14ac:dyDescent="0.2">
      <c r="A229" t="str">
        <f>IF(study!B232="","",study!B232)</f>
        <v/>
      </c>
      <c r="B229" t="str">
        <f>IF(assay!B232="","",assay!B232)</f>
        <v/>
      </c>
      <c r="C229" t="str">
        <f>IF(sample!B232="","",sample!B232)</f>
        <v/>
      </c>
      <c r="D229" t="str">
        <f>IF(measurement!B232="","",measurement!B232)</f>
        <v/>
      </c>
    </row>
    <row r="230" spans="1:4" x14ac:dyDescent="0.2">
      <c r="A230" t="str">
        <f>IF(study!B233="","",study!B233)</f>
        <v/>
      </c>
      <c r="B230" t="str">
        <f>IF(assay!B233="","",assay!B233)</f>
        <v/>
      </c>
      <c r="C230" t="str">
        <f>IF(sample!B233="","",sample!B233)</f>
        <v/>
      </c>
      <c r="D230" t="str">
        <f>IF(measurement!B233="","",measurement!B233)</f>
        <v/>
      </c>
    </row>
    <row r="231" spans="1:4" x14ac:dyDescent="0.2">
      <c r="A231" t="str">
        <f>IF(study!B234="","",study!B234)</f>
        <v/>
      </c>
      <c r="B231" t="str">
        <f>IF(assay!B234="","",assay!B234)</f>
        <v/>
      </c>
      <c r="C231" t="str">
        <f>IF(sample!B234="","",sample!B234)</f>
        <v/>
      </c>
      <c r="D231" t="str">
        <f>IF(measurement!B234="","",measurement!B234)</f>
        <v/>
      </c>
    </row>
    <row r="232" spans="1:4" x14ac:dyDescent="0.2">
      <c r="A232" t="str">
        <f>IF(study!B235="","",study!B235)</f>
        <v/>
      </c>
      <c r="B232" t="str">
        <f>IF(assay!B235="","",assay!B235)</f>
        <v/>
      </c>
      <c r="C232" t="str">
        <f>IF(sample!B235="","",sample!B235)</f>
        <v/>
      </c>
      <c r="D232" t="str">
        <f>IF(measurement!B235="","",measurement!B235)</f>
        <v/>
      </c>
    </row>
    <row r="233" spans="1:4" x14ac:dyDescent="0.2">
      <c r="A233" t="str">
        <f>IF(study!B236="","",study!B236)</f>
        <v/>
      </c>
      <c r="B233" t="str">
        <f>IF(assay!B236="","",assay!B236)</f>
        <v/>
      </c>
      <c r="C233" t="str">
        <f>IF(sample!B236="","",sample!B236)</f>
        <v/>
      </c>
      <c r="D233" t="str">
        <f>IF(measurement!B236="","",measurement!B236)</f>
        <v/>
      </c>
    </row>
    <row r="234" spans="1:4" x14ac:dyDescent="0.2">
      <c r="A234" t="str">
        <f>IF(study!B237="","",study!B237)</f>
        <v/>
      </c>
      <c r="B234" t="str">
        <f>IF(assay!B237="","",assay!B237)</f>
        <v/>
      </c>
      <c r="C234" t="str">
        <f>IF(sample!B237="","",sample!B237)</f>
        <v/>
      </c>
      <c r="D234" t="str">
        <f>IF(measurement!B237="","",measurement!B237)</f>
        <v/>
      </c>
    </row>
    <row r="235" spans="1:4" x14ac:dyDescent="0.2">
      <c r="A235" t="str">
        <f>IF(study!B238="","",study!B238)</f>
        <v/>
      </c>
      <c r="B235" t="str">
        <f>IF(assay!B238="","",assay!B238)</f>
        <v/>
      </c>
      <c r="C235" t="str">
        <f>IF(sample!B238="","",sample!B238)</f>
        <v/>
      </c>
      <c r="D235" t="str">
        <f>IF(measurement!B238="","",measurement!B238)</f>
        <v/>
      </c>
    </row>
    <row r="236" spans="1:4" x14ac:dyDescent="0.2">
      <c r="A236" t="str">
        <f>IF(study!B239="","",study!B239)</f>
        <v/>
      </c>
      <c r="B236" t="str">
        <f>IF(assay!B239="","",assay!B239)</f>
        <v/>
      </c>
      <c r="C236" t="str">
        <f>IF(sample!B239="","",sample!B239)</f>
        <v/>
      </c>
      <c r="D236" t="str">
        <f>IF(measurement!B239="","",measurement!B239)</f>
        <v/>
      </c>
    </row>
    <row r="237" spans="1:4" x14ac:dyDescent="0.2">
      <c r="A237" t="str">
        <f>IF(study!B240="","",study!B240)</f>
        <v/>
      </c>
      <c r="B237" t="str">
        <f>IF(assay!B240="","",assay!B240)</f>
        <v/>
      </c>
      <c r="C237" t="str">
        <f>IF(sample!B240="","",sample!B240)</f>
        <v/>
      </c>
      <c r="D237" t="str">
        <f>IF(measurement!B240="","",measurement!B240)</f>
        <v/>
      </c>
    </row>
    <row r="238" spans="1:4" x14ac:dyDescent="0.2">
      <c r="A238" t="str">
        <f>IF(study!B241="","",study!B241)</f>
        <v/>
      </c>
      <c r="B238" t="str">
        <f>IF(assay!B241="","",assay!B241)</f>
        <v/>
      </c>
      <c r="C238" t="str">
        <f>IF(sample!B241="","",sample!B241)</f>
        <v/>
      </c>
      <c r="D238" t="str">
        <f>IF(measurement!B241="","",measurement!B241)</f>
        <v/>
      </c>
    </row>
    <row r="239" spans="1:4" x14ac:dyDescent="0.2">
      <c r="A239" t="str">
        <f>IF(study!B242="","",study!B242)</f>
        <v/>
      </c>
      <c r="B239" t="str">
        <f>IF(assay!B242="","",assay!B242)</f>
        <v/>
      </c>
      <c r="C239" t="str">
        <f>IF(sample!B242="","",sample!B242)</f>
        <v/>
      </c>
      <c r="D239" t="str">
        <f>IF(measurement!B242="","",measurement!B242)</f>
        <v/>
      </c>
    </row>
    <row r="240" spans="1:4" x14ac:dyDescent="0.2">
      <c r="A240" t="str">
        <f>IF(study!B243="","",study!B243)</f>
        <v/>
      </c>
      <c r="B240" t="str">
        <f>IF(assay!B243="","",assay!B243)</f>
        <v/>
      </c>
      <c r="C240" t="str">
        <f>IF(sample!B243="","",sample!B243)</f>
        <v/>
      </c>
      <c r="D240" t="str">
        <f>IF(measurement!B243="","",measurement!B243)</f>
        <v/>
      </c>
    </row>
    <row r="241" spans="1:4" x14ac:dyDescent="0.2">
      <c r="A241" t="str">
        <f>IF(study!B244="","",study!B244)</f>
        <v/>
      </c>
      <c r="B241" t="str">
        <f>IF(assay!B244="","",assay!B244)</f>
        <v/>
      </c>
      <c r="C241" t="str">
        <f>IF(sample!B244="","",sample!B244)</f>
        <v/>
      </c>
      <c r="D241" t="str">
        <f>IF(measurement!B244="","",measurement!B244)</f>
        <v/>
      </c>
    </row>
    <row r="242" spans="1:4" x14ac:dyDescent="0.2">
      <c r="A242" t="str">
        <f>IF(study!B245="","",study!B245)</f>
        <v/>
      </c>
      <c r="B242" t="str">
        <f>IF(assay!B245="","",assay!B245)</f>
        <v/>
      </c>
      <c r="C242" t="str">
        <f>IF(sample!B245="","",sample!B245)</f>
        <v/>
      </c>
      <c r="D242" t="str">
        <f>IF(measurement!B245="","",measurement!B245)</f>
        <v/>
      </c>
    </row>
    <row r="243" spans="1:4" x14ac:dyDescent="0.2">
      <c r="A243" t="str">
        <f>IF(study!B246="","",study!B246)</f>
        <v/>
      </c>
      <c r="B243" t="str">
        <f>IF(assay!B246="","",assay!B246)</f>
        <v/>
      </c>
      <c r="C243" t="str">
        <f>IF(sample!B246="","",sample!B246)</f>
        <v/>
      </c>
      <c r="D243" t="str">
        <f>IF(measurement!B246="","",measurement!B246)</f>
        <v/>
      </c>
    </row>
    <row r="244" spans="1:4" x14ac:dyDescent="0.2">
      <c r="A244" t="str">
        <f>IF(study!B247="","",study!B247)</f>
        <v/>
      </c>
      <c r="B244" t="str">
        <f>IF(assay!B247="","",assay!B247)</f>
        <v/>
      </c>
      <c r="C244" t="str">
        <f>IF(sample!B247="","",sample!B247)</f>
        <v/>
      </c>
      <c r="D244" t="str">
        <f>IF(measurement!B247="","",measurement!B247)</f>
        <v/>
      </c>
    </row>
    <row r="245" spans="1:4" x14ac:dyDescent="0.2">
      <c r="A245" t="str">
        <f>IF(study!B248="","",study!B248)</f>
        <v/>
      </c>
      <c r="B245" t="str">
        <f>IF(assay!B248="","",assay!B248)</f>
        <v/>
      </c>
      <c r="C245" t="str">
        <f>IF(sample!B248="","",sample!B248)</f>
        <v/>
      </c>
      <c r="D245" t="str">
        <f>IF(measurement!B248="","",measurement!B248)</f>
        <v/>
      </c>
    </row>
    <row r="246" spans="1:4" x14ac:dyDescent="0.2">
      <c r="A246" t="str">
        <f>IF(study!B249="","",study!B249)</f>
        <v/>
      </c>
      <c r="B246" t="str">
        <f>IF(assay!B249="","",assay!B249)</f>
        <v/>
      </c>
      <c r="C246" t="str">
        <f>IF(sample!B249="","",sample!B249)</f>
        <v/>
      </c>
      <c r="D246" t="str">
        <f>IF(measurement!B249="","",measurement!B249)</f>
        <v/>
      </c>
    </row>
    <row r="247" spans="1:4" x14ac:dyDescent="0.2">
      <c r="A247" t="str">
        <f>IF(study!B250="","",study!B250)</f>
        <v/>
      </c>
      <c r="B247" t="str">
        <f>IF(assay!B250="","",assay!B250)</f>
        <v/>
      </c>
      <c r="C247" t="str">
        <f>IF(sample!B250="","",sample!B250)</f>
        <v/>
      </c>
      <c r="D247" t="str">
        <f>IF(measurement!B250="","",measurement!B250)</f>
        <v/>
      </c>
    </row>
    <row r="248" spans="1:4" x14ac:dyDescent="0.2">
      <c r="A248" t="str">
        <f>IF(study!B251="","",study!B251)</f>
        <v/>
      </c>
      <c r="B248" t="str">
        <f>IF(assay!B251="","",assay!B251)</f>
        <v/>
      </c>
      <c r="C248" t="str">
        <f>IF(sample!B251="","",sample!B251)</f>
        <v/>
      </c>
      <c r="D248" t="str">
        <f>IF(measurement!B251="","",measurement!B251)</f>
        <v/>
      </c>
    </row>
    <row r="249" spans="1:4" x14ac:dyDescent="0.2">
      <c r="A249" t="str">
        <f>IF(study!B252="","",study!B252)</f>
        <v/>
      </c>
      <c r="B249" t="str">
        <f>IF(assay!B252="","",assay!B252)</f>
        <v/>
      </c>
      <c r="C249" t="str">
        <f>IF(sample!B252="","",sample!B252)</f>
        <v/>
      </c>
      <c r="D249" t="str">
        <f>IF(measurement!B252="","",measurement!B252)</f>
        <v/>
      </c>
    </row>
    <row r="250" spans="1:4" x14ac:dyDescent="0.2">
      <c r="A250" t="str">
        <f>IF(study!B253="","",study!B253)</f>
        <v/>
      </c>
      <c r="B250" t="str">
        <f>IF(assay!B253="","",assay!B253)</f>
        <v/>
      </c>
      <c r="C250" t="str">
        <f>IF(sample!B253="","",sample!B253)</f>
        <v/>
      </c>
      <c r="D250" t="str">
        <f>IF(measurement!B253="","",measurement!B253)</f>
        <v/>
      </c>
    </row>
    <row r="251" spans="1:4" x14ac:dyDescent="0.2">
      <c r="A251" t="str">
        <f>IF(study!B254="","",study!B254)</f>
        <v/>
      </c>
      <c r="B251" t="str">
        <f>IF(assay!B254="","",assay!B254)</f>
        <v/>
      </c>
      <c r="C251" t="str">
        <f>IF(sample!B254="","",sample!B254)</f>
        <v/>
      </c>
      <c r="D251" t="str">
        <f>IF(measurement!B254="","",measurement!B254)</f>
        <v/>
      </c>
    </row>
    <row r="252" spans="1:4" x14ac:dyDescent="0.2">
      <c r="A252" t="str">
        <f>IF(study!B255="","",study!B255)</f>
        <v/>
      </c>
      <c r="B252" t="str">
        <f>IF(assay!B255="","",assay!B255)</f>
        <v/>
      </c>
      <c r="C252" t="str">
        <f>IF(sample!B255="","",sample!B255)</f>
        <v/>
      </c>
      <c r="D252" t="str">
        <f>IF(measurement!B255="","",measurement!B255)</f>
        <v/>
      </c>
    </row>
    <row r="253" spans="1:4" x14ac:dyDescent="0.2">
      <c r="A253" t="str">
        <f>IF(study!B256="","",study!B256)</f>
        <v/>
      </c>
      <c r="B253" t="str">
        <f>IF(assay!B256="","",assay!B256)</f>
        <v/>
      </c>
      <c r="C253" t="str">
        <f>IF(sample!B256="","",sample!B256)</f>
        <v/>
      </c>
      <c r="D253" t="str">
        <f>IF(measurement!B256="","",measurement!B256)</f>
        <v/>
      </c>
    </row>
    <row r="254" spans="1:4" x14ac:dyDescent="0.2">
      <c r="A254" t="str">
        <f>IF(study!B257="","",study!B257)</f>
        <v/>
      </c>
      <c r="B254" t="str">
        <f>IF(assay!B257="","",assay!B257)</f>
        <v/>
      </c>
      <c r="C254" t="str">
        <f>IF(sample!B257="","",sample!B257)</f>
        <v/>
      </c>
      <c r="D254" t="str">
        <f>IF(measurement!B257="","",measurement!B257)</f>
        <v/>
      </c>
    </row>
    <row r="255" spans="1:4" x14ac:dyDescent="0.2">
      <c r="A255" t="str">
        <f>IF(study!B258="","",study!B258)</f>
        <v/>
      </c>
      <c r="B255" t="str">
        <f>IF(assay!B258="","",assay!B258)</f>
        <v/>
      </c>
      <c r="C255" t="str">
        <f>IF(sample!B258="","",sample!B258)</f>
        <v/>
      </c>
      <c r="D255" t="str">
        <f>IF(measurement!B258="","",measurement!B258)</f>
        <v/>
      </c>
    </row>
    <row r="256" spans="1:4" x14ac:dyDescent="0.2">
      <c r="A256" t="str">
        <f>IF(study!B259="","",study!B259)</f>
        <v/>
      </c>
      <c r="B256" t="str">
        <f>IF(assay!B259="","",assay!B259)</f>
        <v/>
      </c>
      <c r="C256" t="str">
        <f>IF(sample!B259="","",sample!B259)</f>
        <v/>
      </c>
      <c r="D256" t="str">
        <f>IF(measurement!B259="","",measurement!B259)</f>
        <v/>
      </c>
    </row>
    <row r="257" spans="1:4" x14ac:dyDescent="0.2">
      <c r="A257" t="str">
        <f>IF(study!B260="","",study!B260)</f>
        <v/>
      </c>
      <c r="B257" t="str">
        <f>IF(assay!B260="","",assay!B260)</f>
        <v/>
      </c>
      <c r="C257" t="str">
        <f>IF(sample!B260="","",sample!B260)</f>
        <v/>
      </c>
      <c r="D257" t="str">
        <f>IF(measurement!B260="","",measurement!B260)</f>
        <v/>
      </c>
    </row>
    <row r="258" spans="1:4" x14ac:dyDescent="0.2">
      <c r="A258" t="str">
        <f>IF(study!B261="","",study!B261)</f>
        <v/>
      </c>
      <c r="B258" t="str">
        <f>IF(assay!B261="","",assay!B261)</f>
        <v/>
      </c>
      <c r="C258" t="str">
        <f>IF(sample!B261="","",sample!B261)</f>
        <v/>
      </c>
      <c r="D258" t="str">
        <f>IF(measurement!B261="","",measurement!B261)</f>
        <v/>
      </c>
    </row>
    <row r="259" spans="1:4" x14ac:dyDescent="0.2">
      <c r="A259" t="str">
        <f>IF(study!B262="","",study!B262)</f>
        <v/>
      </c>
      <c r="B259" t="str">
        <f>IF(assay!B262="","",assay!B262)</f>
        <v/>
      </c>
      <c r="C259" t="str">
        <f>IF(sample!B262="","",sample!B262)</f>
        <v/>
      </c>
      <c r="D259" t="str">
        <f>IF(measurement!B262="","",measurement!B262)</f>
        <v/>
      </c>
    </row>
    <row r="260" spans="1:4" x14ac:dyDescent="0.2">
      <c r="A260" t="str">
        <f>IF(study!B263="","",study!B263)</f>
        <v/>
      </c>
      <c r="B260" t="str">
        <f>IF(assay!B263="","",assay!B263)</f>
        <v/>
      </c>
      <c r="C260" t="str">
        <f>IF(sample!B263="","",sample!B263)</f>
        <v/>
      </c>
      <c r="D260" t="str">
        <f>IF(measurement!B263="","",measurement!B263)</f>
        <v/>
      </c>
    </row>
    <row r="261" spans="1:4" x14ac:dyDescent="0.2">
      <c r="A261" t="str">
        <f>IF(study!B264="","",study!B264)</f>
        <v/>
      </c>
      <c r="B261" t="str">
        <f>IF(assay!B264="","",assay!B264)</f>
        <v/>
      </c>
      <c r="C261" t="str">
        <f>IF(sample!B264="","",sample!B264)</f>
        <v/>
      </c>
      <c r="D261" t="str">
        <f>IF(measurement!B264="","",measurement!B264)</f>
        <v/>
      </c>
    </row>
    <row r="262" spans="1:4" x14ac:dyDescent="0.2">
      <c r="A262" t="str">
        <f>IF(study!B265="","",study!B265)</f>
        <v/>
      </c>
      <c r="B262" t="str">
        <f>IF(assay!B265="","",assay!B265)</f>
        <v/>
      </c>
      <c r="C262" t="str">
        <f>IF(sample!B265="","",sample!B265)</f>
        <v/>
      </c>
      <c r="D262" t="str">
        <f>IF(measurement!B265="","",measurement!B265)</f>
        <v/>
      </c>
    </row>
    <row r="263" spans="1:4" x14ac:dyDescent="0.2">
      <c r="A263" t="str">
        <f>IF(study!B266="","",study!B266)</f>
        <v/>
      </c>
      <c r="B263" t="str">
        <f>IF(assay!B266="","",assay!B266)</f>
        <v/>
      </c>
      <c r="C263" t="str">
        <f>IF(sample!B266="","",sample!B266)</f>
        <v/>
      </c>
      <c r="D263" t="str">
        <f>IF(measurement!B266="","",measurement!B266)</f>
        <v/>
      </c>
    </row>
    <row r="264" spans="1:4" x14ac:dyDescent="0.2">
      <c r="A264" t="str">
        <f>IF(study!B267="","",study!B267)</f>
        <v/>
      </c>
      <c r="B264" t="str">
        <f>IF(assay!B267="","",assay!B267)</f>
        <v/>
      </c>
      <c r="C264" t="str">
        <f>IF(sample!B267="","",sample!B267)</f>
        <v/>
      </c>
      <c r="D264" t="str">
        <f>IF(measurement!B267="","",measurement!B267)</f>
        <v/>
      </c>
    </row>
    <row r="265" spans="1:4" x14ac:dyDescent="0.2">
      <c r="A265" t="str">
        <f>IF(study!B268="","",study!B268)</f>
        <v/>
      </c>
      <c r="B265" t="str">
        <f>IF(assay!B268="","",assay!B268)</f>
        <v/>
      </c>
      <c r="C265" t="str">
        <f>IF(sample!B268="","",sample!B268)</f>
        <v/>
      </c>
      <c r="D265" t="str">
        <f>IF(measurement!B268="","",measurement!B268)</f>
        <v/>
      </c>
    </row>
    <row r="266" spans="1:4" x14ac:dyDescent="0.2">
      <c r="A266" t="str">
        <f>IF(study!B269="","",study!B269)</f>
        <v/>
      </c>
      <c r="B266" t="str">
        <f>IF(assay!B269="","",assay!B269)</f>
        <v/>
      </c>
      <c r="C266" t="str">
        <f>IF(sample!B269="","",sample!B269)</f>
        <v/>
      </c>
      <c r="D266" t="str">
        <f>IF(measurement!B269="","",measurement!B269)</f>
        <v/>
      </c>
    </row>
    <row r="267" spans="1:4" x14ac:dyDescent="0.2">
      <c r="A267" t="str">
        <f>IF(study!B270="","",study!B270)</f>
        <v/>
      </c>
      <c r="B267" t="str">
        <f>IF(assay!B270="","",assay!B270)</f>
        <v/>
      </c>
      <c r="C267" t="str">
        <f>IF(sample!B270="","",sample!B270)</f>
        <v/>
      </c>
      <c r="D267" t="str">
        <f>IF(measurement!B270="","",measurement!B270)</f>
        <v/>
      </c>
    </row>
    <row r="268" spans="1:4" x14ac:dyDescent="0.2">
      <c r="A268" t="str">
        <f>IF(study!B271="","",study!B271)</f>
        <v/>
      </c>
      <c r="B268" t="str">
        <f>IF(assay!B271="","",assay!B271)</f>
        <v/>
      </c>
      <c r="C268" t="str">
        <f>IF(sample!B271="","",sample!B271)</f>
        <v/>
      </c>
      <c r="D268" t="str">
        <f>IF(measurement!B271="","",measurement!B271)</f>
        <v/>
      </c>
    </row>
    <row r="269" spans="1:4" x14ac:dyDescent="0.2">
      <c r="A269" t="str">
        <f>IF(study!B272="","",study!B272)</f>
        <v/>
      </c>
      <c r="B269" t="str">
        <f>IF(assay!B272="","",assay!B272)</f>
        <v/>
      </c>
      <c r="C269" t="str">
        <f>IF(sample!B272="","",sample!B272)</f>
        <v/>
      </c>
      <c r="D269" t="str">
        <f>IF(measurement!B272="","",measurement!B272)</f>
        <v/>
      </c>
    </row>
    <row r="270" spans="1:4" x14ac:dyDescent="0.2">
      <c r="A270" t="str">
        <f>IF(study!B273="","",study!B273)</f>
        <v/>
      </c>
      <c r="B270" t="str">
        <f>IF(assay!B273="","",assay!B273)</f>
        <v/>
      </c>
      <c r="C270" t="str">
        <f>IF(sample!B273="","",sample!B273)</f>
        <v/>
      </c>
      <c r="D270" t="str">
        <f>IF(measurement!B273="","",measurement!B273)</f>
        <v/>
      </c>
    </row>
    <row r="271" spans="1:4" x14ac:dyDescent="0.2">
      <c r="A271" t="str">
        <f>IF(study!B274="","",study!B274)</f>
        <v/>
      </c>
      <c r="B271" t="str">
        <f>IF(assay!B274="","",assay!B274)</f>
        <v/>
      </c>
      <c r="C271" t="str">
        <f>IF(sample!B274="","",sample!B274)</f>
        <v/>
      </c>
      <c r="D271" t="str">
        <f>IF(measurement!B274="","",measurement!B274)</f>
        <v/>
      </c>
    </row>
    <row r="272" spans="1:4" x14ac:dyDescent="0.2">
      <c r="A272" t="str">
        <f>IF(study!B275="","",study!B275)</f>
        <v/>
      </c>
      <c r="B272" t="str">
        <f>IF(assay!B275="","",assay!B275)</f>
        <v/>
      </c>
      <c r="C272" t="str">
        <f>IF(sample!B275="","",sample!B275)</f>
        <v/>
      </c>
      <c r="D272" t="str">
        <f>IF(measurement!B275="","",measurement!B275)</f>
        <v/>
      </c>
    </row>
    <row r="273" spans="1:4" x14ac:dyDescent="0.2">
      <c r="A273" t="str">
        <f>IF(study!B276="","",study!B276)</f>
        <v/>
      </c>
      <c r="B273" t="str">
        <f>IF(assay!B276="","",assay!B276)</f>
        <v/>
      </c>
      <c r="C273" t="str">
        <f>IF(sample!B276="","",sample!B276)</f>
        <v/>
      </c>
      <c r="D273" t="str">
        <f>IF(measurement!B276="","",measurement!B276)</f>
        <v/>
      </c>
    </row>
    <row r="274" spans="1:4" x14ac:dyDescent="0.2">
      <c r="A274" t="str">
        <f>IF(study!B277="","",study!B277)</f>
        <v/>
      </c>
      <c r="B274" t="str">
        <f>IF(assay!B277="","",assay!B277)</f>
        <v/>
      </c>
      <c r="C274" t="str">
        <f>IF(sample!B277="","",sample!B277)</f>
        <v/>
      </c>
      <c r="D274" t="str">
        <f>IF(measurement!B277="","",measurement!B277)</f>
        <v/>
      </c>
    </row>
    <row r="275" spans="1:4" x14ac:dyDescent="0.2">
      <c r="A275" t="str">
        <f>IF(study!B278="","",study!B278)</f>
        <v/>
      </c>
      <c r="B275" t="str">
        <f>IF(assay!B278="","",assay!B278)</f>
        <v/>
      </c>
      <c r="C275" t="str">
        <f>IF(sample!B278="","",sample!B278)</f>
        <v/>
      </c>
      <c r="D275" t="str">
        <f>IF(measurement!B278="","",measurement!B278)</f>
        <v/>
      </c>
    </row>
    <row r="276" spans="1:4" x14ac:dyDescent="0.2">
      <c r="A276" t="str">
        <f>IF(study!B279="","",study!B279)</f>
        <v/>
      </c>
      <c r="B276" t="str">
        <f>IF(assay!B279="","",assay!B279)</f>
        <v/>
      </c>
      <c r="C276" t="str">
        <f>IF(sample!B279="","",sample!B279)</f>
        <v/>
      </c>
      <c r="D276" t="str">
        <f>IF(measurement!B279="","",measurement!B279)</f>
        <v/>
      </c>
    </row>
    <row r="277" spans="1:4" x14ac:dyDescent="0.2">
      <c r="A277" t="str">
        <f>IF(study!B280="","",study!B280)</f>
        <v/>
      </c>
      <c r="B277" t="str">
        <f>IF(assay!B280="","",assay!B280)</f>
        <v/>
      </c>
      <c r="C277" t="str">
        <f>IF(sample!B280="","",sample!B280)</f>
        <v/>
      </c>
      <c r="D277" t="str">
        <f>IF(measurement!B280="","",measurement!B280)</f>
        <v/>
      </c>
    </row>
    <row r="278" spans="1:4" x14ac:dyDescent="0.2">
      <c r="A278" t="str">
        <f>IF(study!B281="","",study!B281)</f>
        <v/>
      </c>
      <c r="B278" t="str">
        <f>IF(assay!B281="","",assay!B281)</f>
        <v/>
      </c>
      <c r="C278" t="str">
        <f>IF(sample!B281="","",sample!B281)</f>
        <v/>
      </c>
      <c r="D278" t="str">
        <f>IF(measurement!B281="","",measurement!B281)</f>
        <v/>
      </c>
    </row>
    <row r="279" spans="1:4" x14ac:dyDescent="0.2">
      <c r="A279" t="str">
        <f>IF(study!B282="","",study!B282)</f>
        <v/>
      </c>
      <c r="B279" t="str">
        <f>IF(assay!B282="","",assay!B282)</f>
        <v/>
      </c>
      <c r="C279" t="str">
        <f>IF(sample!B282="","",sample!B282)</f>
        <v/>
      </c>
      <c r="D279" t="str">
        <f>IF(measurement!B282="","",measurement!B282)</f>
        <v/>
      </c>
    </row>
    <row r="280" spans="1:4" x14ac:dyDescent="0.2">
      <c r="A280" t="str">
        <f>IF(study!B283="","",study!B283)</f>
        <v/>
      </c>
      <c r="B280" t="str">
        <f>IF(assay!B283="","",assay!B283)</f>
        <v/>
      </c>
      <c r="C280" t="str">
        <f>IF(sample!B283="","",sample!B283)</f>
        <v/>
      </c>
      <c r="D280" t="str">
        <f>IF(measurement!B283="","",measurement!B283)</f>
        <v/>
      </c>
    </row>
    <row r="281" spans="1:4" x14ac:dyDescent="0.2">
      <c r="A281" t="str">
        <f>IF(study!B284="","",study!B284)</f>
        <v/>
      </c>
      <c r="B281" t="str">
        <f>IF(assay!B284="","",assay!B284)</f>
        <v/>
      </c>
      <c r="C281" t="str">
        <f>IF(sample!B284="","",sample!B284)</f>
        <v/>
      </c>
      <c r="D281" t="str">
        <f>IF(measurement!B284="","",measurement!B284)</f>
        <v/>
      </c>
    </row>
    <row r="282" spans="1:4" x14ac:dyDescent="0.2">
      <c r="A282" t="str">
        <f>IF(study!B285="","",study!B285)</f>
        <v/>
      </c>
      <c r="B282" t="str">
        <f>IF(assay!B285="","",assay!B285)</f>
        <v/>
      </c>
      <c r="C282" t="str">
        <f>IF(sample!B285="","",sample!B285)</f>
        <v/>
      </c>
      <c r="D282" t="str">
        <f>IF(measurement!B285="","",measurement!B285)</f>
        <v/>
      </c>
    </row>
    <row r="283" spans="1:4" x14ac:dyDescent="0.2">
      <c r="A283" t="str">
        <f>IF(study!B286="","",study!B286)</f>
        <v/>
      </c>
      <c r="B283" t="str">
        <f>IF(assay!B286="","",assay!B286)</f>
        <v/>
      </c>
      <c r="C283" t="str">
        <f>IF(sample!B286="","",sample!B286)</f>
        <v/>
      </c>
      <c r="D283" t="str">
        <f>IF(measurement!B286="","",measurement!B286)</f>
        <v/>
      </c>
    </row>
    <row r="284" spans="1:4" x14ac:dyDescent="0.2">
      <c r="A284" t="str">
        <f>IF(study!B287="","",study!B287)</f>
        <v/>
      </c>
      <c r="B284" t="str">
        <f>IF(assay!B287="","",assay!B287)</f>
        <v/>
      </c>
      <c r="C284" t="str">
        <f>IF(sample!B287="","",sample!B287)</f>
        <v/>
      </c>
      <c r="D284" t="str">
        <f>IF(measurement!B287="","",measurement!B287)</f>
        <v/>
      </c>
    </row>
    <row r="285" spans="1:4" x14ac:dyDescent="0.2">
      <c r="A285" t="str">
        <f>IF(study!B288="","",study!B288)</f>
        <v/>
      </c>
      <c r="B285" t="str">
        <f>IF(assay!B288="","",assay!B288)</f>
        <v/>
      </c>
      <c r="C285" t="str">
        <f>IF(sample!B288="","",sample!B288)</f>
        <v/>
      </c>
      <c r="D285" t="str">
        <f>IF(measurement!B288="","",measurement!B288)</f>
        <v/>
      </c>
    </row>
    <row r="286" spans="1:4" x14ac:dyDescent="0.2">
      <c r="A286" t="str">
        <f>IF(study!B289="","",study!B289)</f>
        <v/>
      </c>
      <c r="B286" t="str">
        <f>IF(assay!B289="","",assay!B289)</f>
        <v/>
      </c>
      <c r="C286" t="str">
        <f>IF(sample!B289="","",sample!B289)</f>
        <v/>
      </c>
      <c r="D286" t="str">
        <f>IF(measurement!B289="","",measurement!B289)</f>
        <v/>
      </c>
    </row>
    <row r="287" spans="1:4" x14ac:dyDescent="0.2">
      <c r="A287" t="str">
        <f>IF(study!B290="","",study!B290)</f>
        <v/>
      </c>
      <c r="B287" t="str">
        <f>IF(assay!B290="","",assay!B290)</f>
        <v/>
      </c>
      <c r="C287" t="str">
        <f>IF(sample!B290="","",sample!B290)</f>
        <v/>
      </c>
      <c r="D287" t="str">
        <f>IF(measurement!B290="","",measurement!B290)</f>
        <v/>
      </c>
    </row>
    <row r="288" spans="1:4" x14ac:dyDescent="0.2">
      <c r="A288" t="str">
        <f>IF(study!B291="","",study!B291)</f>
        <v/>
      </c>
      <c r="B288" t="str">
        <f>IF(assay!B291="","",assay!B291)</f>
        <v/>
      </c>
      <c r="C288" t="str">
        <f>IF(sample!B291="","",sample!B291)</f>
        <v/>
      </c>
      <c r="D288" t="str">
        <f>IF(measurement!B291="","",measurement!B291)</f>
        <v/>
      </c>
    </row>
    <row r="289" spans="1:4" x14ac:dyDescent="0.2">
      <c r="A289" t="str">
        <f>IF(study!B292="","",study!B292)</f>
        <v/>
      </c>
      <c r="B289" t="str">
        <f>IF(assay!B292="","",assay!B292)</f>
        <v/>
      </c>
      <c r="C289" t="str">
        <f>IF(sample!B292="","",sample!B292)</f>
        <v/>
      </c>
      <c r="D289" t="str">
        <f>IF(measurement!B292="","",measurement!B292)</f>
        <v/>
      </c>
    </row>
    <row r="290" spans="1:4" x14ac:dyDescent="0.2">
      <c r="A290" t="str">
        <f>IF(study!B293="","",study!B293)</f>
        <v/>
      </c>
      <c r="B290" t="str">
        <f>IF(assay!B293="","",assay!B293)</f>
        <v/>
      </c>
      <c r="C290" t="str">
        <f>IF(sample!B293="","",sample!B293)</f>
        <v/>
      </c>
      <c r="D290" t="str">
        <f>IF(measurement!B293="","",measurement!B293)</f>
        <v/>
      </c>
    </row>
    <row r="291" spans="1:4" x14ac:dyDescent="0.2">
      <c r="A291" t="str">
        <f>IF(study!B294="","",study!B294)</f>
        <v/>
      </c>
      <c r="B291" t="str">
        <f>IF(assay!B294="","",assay!B294)</f>
        <v/>
      </c>
      <c r="C291" t="str">
        <f>IF(sample!B294="","",sample!B294)</f>
        <v/>
      </c>
      <c r="D291" t="str">
        <f>IF(measurement!B294="","",measurement!B294)</f>
        <v/>
      </c>
    </row>
    <row r="292" spans="1:4" x14ac:dyDescent="0.2">
      <c r="A292" t="str">
        <f>IF(study!B295="","",study!B295)</f>
        <v/>
      </c>
      <c r="B292" t="str">
        <f>IF(assay!B295="","",assay!B295)</f>
        <v/>
      </c>
      <c r="C292" t="str">
        <f>IF(sample!B295="","",sample!B295)</f>
        <v/>
      </c>
      <c r="D292" t="str">
        <f>IF(measurement!B295="","",measurement!B295)</f>
        <v/>
      </c>
    </row>
    <row r="293" spans="1:4" x14ac:dyDescent="0.2">
      <c r="A293" t="str">
        <f>IF(study!B296="","",study!B296)</f>
        <v/>
      </c>
      <c r="B293" t="str">
        <f>IF(assay!B296="","",assay!B296)</f>
        <v/>
      </c>
      <c r="C293" t="str">
        <f>IF(sample!B296="","",sample!B296)</f>
        <v/>
      </c>
      <c r="D293" t="str">
        <f>IF(measurement!B296="","",measurement!B296)</f>
        <v/>
      </c>
    </row>
    <row r="294" spans="1:4" x14ac:dyDescent="0.2">
      <c r="A294" t="str">
        <f>IF(study!B297="","",study!B297)</f>
        <v/>
      </c>
      <c r="B294" t="str">
        <f>IF(assay!B297="","",assay!B297)</f>
        <v/>
      </c>
      <c r="C294" t="str">
        <f>IF(sample!B297="","",sample!B297)</f>
        <v/>
      </c>
      <c r="D294" t="str">
        <f>IF(measurement!B297="","",measurement!B297)</f>
        <v/>
      </c>
    </row>
    <row r="295" spans="1:4" x14ac:dyDescent="0.2">
      <c r="A295" t="str">
        <f>IF(study!B298="","",study!B298)</f>
        <v/>
      </c>
      <c r="B295" t="str">
        <f>IF(assay!B298="","",assay!B298)</f>
        <v/>
      </c>
      <c r="C295" t="str">
        <f>IF(sample!B298="","",sample!B298)</f>
        <v/>
      </c>
      <c r="D295" t="str">
        <f>IF(measurement!B298="","",measurement!B298)</f>
        <v/>
      </c>
    </row>
    <row r="296" spans="1:4" x14ac:dyDescent="0.2">
      <c r="A296" t="str">
        <f>IF(study!B299="","",study!B299)</f>
        <v/>
      </c>
      <c r="B296" t="str">
        <f>IF(assay!B299="","",assay!B299)</f>
        <v/>
      </c>
      <c r="C296" t="str">
        <f>IF(sample!B299="","",sample!B299)</f>
        <v/>
      </c>
      <c r="D296" t="str">
        <f>IF(measurement!B299="","",measurement!B299)</f>
        <v/>
      </c>
    </row>
    <row r="297" spans="1:4" x14ac:dyDescent="0.2">
      <c r="A297" t="str">
        <f>IF(study!B300="","",study!B300)</f>
        <v/>
      </c>
      <c r="B297" t="str">
        <f>IF(assay!B300="","",assay!B300)</f>
        <v/>
      </c>
      <c r="C297" t="str">
        <f>IF(sample!B300="","",sample!B300)</f>
        <v/>
      </c>
      <c r="D297" t="str">
        <f>IF(measurement!B300="","",measurement!B300)</f>
        <v/>
      </c>
    </row>
    <row r="298" spans="1:4" x14ac:dyDescent="0.2">
      <c r="A298" t="str">
        <f>IF(study!B301="","",study!B301)</f>
        <v/>
      </c>
      <c r="B298" t="str">
        <f>IF(assay!B301="","",assay!B301)</f>
        <v/>
      </c>
      <c r="C298" t="str">
        <f>IF(sample!B301="","",sample!B301)</f>
        <v/>
      </c>
      <c r="D298" t="str">
        <f>IF(measurement!B301="","",measurement!B301)</f>
        <v/>
      </c>
    </row>
    <row r="299" spans="1:4" x14ac:dyDescent="0.2">
      <c r="A299" t="str">
        <f>IF(study!B302="","",study!B302)</f>
        <v/>
      </c>
      <c r="B299" t="str">
        <f>IF(assay!B302="","",assay!B302)</f>
        <v/>
      </c>
      <c r="C299" t="str">
        <f>IF(sample!B302="","",sample!B302)</f>
        <v/>
      </c>
      <c r="D299" t="str">
        <f>IF(measurement!B302="","",measurement!B302)</f>
        <v/>
      </c>
    </row>
    <row r="300" spans="1:4" x14ac:dyDescent="0.2">
      <c r="A300" t="str">
        <f>IF(study!B303="","",study!B303)</f>
        <v/>
      </c>
      <c r="B300" t="str">
        <f>IF(assay!B303="","",assay!B303)</f>
        <v/>
      </c>
      <c r="C300" t="str">
        <f>IF(sample!B303="","",sample!B303)</f>
        <v/>
      </c>
      <c r="D300" t="str">
        <f>IF(measurement!B303="","",measurement!B303)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436C-C7EB-1E4B-A456-A454047CE0C9}">
  <dimension ref="A1:B2"/>
  <sheetViews>
    <sheetView workbookViewId="0">
      <selection activeCell="B7" sqref="B7"/>
    </sheetView>
  </sheetViews>
  <sheetFormatPr baseColWidth="10" defaultRowHeight="15" x14ac:dyDescent="0.2"/>
  <cols>
    <col min="1" max="1" width="12.1640625" customWidth="1"/>
    <col min="2" max="2" width="32.6640625" customWidth="1"/>
  </cols>
  <sheetData>
    <row r="1" spans="1:2" x14ac:dyDescent="0.2">
      <c r="A1" t="s">
        <v>128</v>
      </c>
      <c r="B1" t="s">
        <v>129</v>
      </c>
    </row>
    <row r="2" spans="1:2" x14ac:dyDescent="0.2">
      <c r="A2" t="s">
        <v>157</v>
      </c>
      <c r="B2" t="s">
        <v>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1121-07EC-3A4F-866A-0CCAE180FB12}">
  <dimension ref="A1:B3"/>
  <sheetViews>
    <sheetView workbookViewId="0">
      <selection activeCell="B9" sqref="B9"/>
    </sheetView>
  </sheetViews>
  <sheetFormatPr baseColWidth="10" defaultRowHeight="15" x14ac:dyDescent="0.2"/>
  <cols>
    <col min="1" max="1" width="13.83203125" customWidth="1"/>
    <col min="2" max="2" width="32.5" customWidth="1"/>
  </cols>
  <sheetData>
    <row r="1" spans="1:2" x14ac:dyDescent="0.2">
      <c r="A1" t="s">
        <v>130</v>
      </c>
      <c r="B1" t="s">
        <v>131</v>
      </c>
    </row>
    <row r="2" spans="1:2" x14ac:dyDescent="0.2">
      <c r="A2" t="s">
        <v>158</v>
      </c>
      <c r="B2" t="s">
        <v>94</v>
      </c>
    </row>
    <row r="3" spans="1:2" x14ac:dyDescent="0.2">
      <c r="A3" t="s">
        <v>159</v>
      </c>
      <c r="B3" t="s">
        <v>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welcome</vt:lpstr>
      <vt:lpstr>study</vt:lpstr>
      <vt:lpstr>assay</vt:lpstr>
      <vt:lpstr>sample</vt:lpstr>
      <vt:lpstr>measurement</vt:lpstr>
      <vt:lpstr>Init</vt:lpstr>
      <vt:lpstr>FlapjackCols</vt:lpstr>
      <vt:lpstr>column_definitions</vt:lpstr>
      <vt:lpstr>Ontology Terms</vt:lpstr>
      <vt:lpstr>unique_values</vt:lpstr>
      <vt:lpstr>SBH_sampledesigns_collection</vt:lpstr>
      <vt:lpstr>SBH_signals_collection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2026-05-28T19:21:24Z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