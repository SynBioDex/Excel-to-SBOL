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Downloads/"/>
    </mc:Choice>
  </mc:AlternateContent>
  <xr:revisionPtr revIDLastSave="0" documentId="13_ncr:1_{DF48B2D2-2D01-764B-AFB3-6798E7C0FA48}" xr6:coauthVersionLast="47" xr6:coauthVersionMax="47" xr10:uidLastSave="{00000000-0000-0000-0000-000000000000}"/>
  <bookViews>
    <workbookView xWindow="0" yWindow="780" windowWidth="32760" windowHeight="20340" tabRatio="745" activeTab="4" xr2:uid="{00000000-000D-0000-FFFF-FFFF00000000}"/>
  </bookViews>
  <sheets>
    <sheet name="welcome" sheetId="1" r:id="rId1"/>
    <sheet name="flapjack_cols" sheetId="2" state="hidden" r:id="rId2"/>
    <sheet name="Init" sheetId="3" state="hidden" r:id="rId3"/>
    <sheet name="column_definitions" sheetId="4" state="hidden" r:id="rId4"/>
    <sheet name="sample design" sheetId="5" r:id="rId5"/>
    <sheet name="supplement" sheetId="6" r:id="rId6"/>
    <sheet name="SBH_strains_collection" sheetId="7" r:id="rId7"/>
    <sheet name="SBH_media_collection" sheetId="8" r:id="rId8"/>
    <sheet name="SBH_chemicals_collection" sheetId="9" r:id="rId9"/>
  </sheets>
  <functionGroups builtInGroupCount="19"/>
  <externalReferences>
    <externalReference r:id="rId10"/>
  </externalReferences>
  <definedNames>
    <definedName name="dv_SBH_chemicals_collection_Name">SBH_chemicals_collection[Name]</definedName>
    <definedName name="dv_SBH_media_collection_Name">SBH_media_collection[Name]</definedName>
    <definedName name="dv_SBH_strains_collection_Name">SBH_strains_collection[Name]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3" i="5" l="1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4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4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4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400-000007000000}">
      <text>
        <r>
          <rPr>
            <sz val="11"/>
            <color theme="1"/>
            <rFont val="Helvetica"/>
            <family val="2"/>
            <scheme val="minor"/>
          </rPr>
          <t>The supplement(s) for this sample design. Double-click the cell to open the selector and choose one or more Supplement IDs defined on the supplement sheet.</t>
        </r>
      </text>
    </comment>
    <comment ref="H1" authorId="0" shapeId="0" xr:uid="{00000000-0006-0000-0400-000008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4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4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5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5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5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5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5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5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5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5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5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<sst xmlns="http://schemas.openxmlformats.org/spreadsheetml/2006/main" count="588" uniqueCount="205">
  <si>
    <t>Library Information</t>
  </si>
  <si>
    <t>Template Type</t>
  </si>
  <si>
    <t>SampleDesign</t>
  </si>
  <si>
    <t>Name</t>
  </si>
  <si>
    <t>Align-TF-Cytom-12-plasmids</t>
  </si>
  <si>
    <t>ID</t>
  </si>
  <si>
    <t>Align_TF_Cytom_12_plasmids</t>
  </si>
  <si>
    <t>Version</t>
  </si>
  <si>
    <t>1</t>
  </si>
  <si>
    <t>Description</t>
  </si>
  <si>
    <t>Align-TF Cytom 12 plasmids</t>
  </si>
  <si>
    <t>Author</t>
  </si>
  <si>
    <t>David Ross</t>
  </si>
  <si>
    <t>Email</t>
  </si>
  <si>
    <t>david.ross@nist.gov</t>
  </si>
  <si>
    <t>Laboratory</t>
  </si>
  <si>
    <t>Living Measurement Systems</t>
  </si>
  <si>
    <t>Institution</t>
  </si>
  <si>
    <t>NIST</t>
  </si>
  <si>
    <t>PubMed IDs</t>
  </si>
  <si>
    <t>Domain</t>
  </si>
  <si>
    <t>Master Collection</t>
  </si>
  <si>
    <t>Show Common Sheets</t>
  </si>
  <si>
    <t>Show Advanced Sheets</t>
  </si>
  <si>
    <t>Sheet Name</t>
  </si>
  <si>
    <t>FlapjackObject</t>
  </si>
  <si>
    <t>ColName</t>
  </si>
  <si>
    <t>FlapjackName</t>
  </si>
  <si>
    <t>supplement</t>
  </si>
  <si>
    <t>Supplement</t>
  </si>
  <si>
    <t>Supplement Name</t>
  </si>
  <si>
    <t>name</t>
  </si>
  <si>
    <t>Chemical</t>
  </si>
  <si>
    <t>chemical</t>
  </si>
  <si>
    <t>Concentration</t>
  </si>
  <si>
    <t>concentration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</si>
  <si>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</si>
  <si>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</si>
  <si>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</si>
  <si>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</si>
  <si>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</si>
  <si>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</si>
  <si>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</si>
  <si>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</si>
  <si>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</si>
  <si>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</si>
  <si>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</si>
  <si>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</si>
  <si>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</si>
  <si>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sample design</t>
  </si>
  <si>
    <t>ModuleDefinition</t>
  </si>
  <si>
    <t>https://wiki.synbiohub.org/wiki/Terms/SynBioSuite#SampleDesign</t>
  </si>
  <si>
    <t>http://purl.obolibrary.org/obo/PATO_0000033</t>
  </si>
  <si>
    <t>SBH_strains_collection</t>
  </si>
  <si>
    <t>SBH_media_collection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</si>
  <si>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</si>
  <si>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</si>
  <si>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</si>
  <si>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</si>
  <si>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</si>
  <si>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</si>
  <si>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</si>
  <si>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</si>
  <si>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</si>
  <si>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</si>
  <si>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</si>
  <si>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</si>
  <si>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</si>
  <si>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</si>
  <si>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</si>
  <si>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</si>
  <si>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</si>
  <si>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</si>
  <si>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</si>
  <si>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</si>
  <si>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</si>
  <si>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</si>
  <si>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</si>
  <si>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</si>
  <si>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</si>
  <si>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</si>
  <si>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</si>
  <si>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Sample Design Name</t>
  </si>
  <si>
    <t>sbol_name</t>
  </si>
  <si>
    <t>Sample Design ID</t>
  </si>
  <si>
    <t>sbol_displayId</t>
  </si>
  <si>
    <t>Previous Version (URI)</t>
  </si>
  <si>
    <t>sbol_wasDerivedFrom</t>
  </si>
  <si>
    <t>Sample Design Description</t>
  </si>
  <si>
    <t>sbol_description</t>
  </si>
  <si>
    <t>http://purl.org/dc/terms/#</t>
  </si>
  <si>
    <t>Strains</t>
  </si>
  <si>
    <t>sbol_module</t>
  </si>
  <si>
    <t>A</t>
  </si>
  <si>
    <t>B</t>
  </si>
  <si>
    <t>Medias</t>
  </si>
  <si>
    <t>Supplements</t>
  </si>
  <si>
    <t>","</t>
  </si>
  <si>
    <t>Data Source</t>
  </si>
  <si>
    <t>PubMed ID</t>
  </si>
  <si>
    <t>obo_OBI_0001617</t>
  </si>
  <si>
    <t>http://purl.obolibrary.org/obo/</t>
  </si>
  <si>
    <t>DOI</t>
  </si>
  <si>
    <t>Supplement ID</t>
  </si>
  <si>
    <t>Supplement Description</t>
  </si>
  <si>
    <t>sbol_funcComp</t>
  </si>
  <si>
    <t>fj_concentration</t>
  </si>
  <si>
    <t>https://wiki.synbiohub.org/wiki/Terms/Flapjack#</t>
  </si>
  <si>
    <t>mg1655_dlac_align_vanr_301</t>
  </si>
  <si>
    <t>https://synbiohub.org/user/myers/Align_TF_Cytom_12_plasmids/mg1655_dlac_align_vanr_301/1</t>
  </si>
  <si>
    <t>mg1655_dlac_p150_r1_5_vanr_wt_pvanr</t>
  </si>
  <si>
    <t>https://synbiohub.org/user/myers/Align_TF_Cytom_12_plasmids/mg1655_dlac_p150_r1_5_vanr_wt_pvanr/1</t>
  </si>
  <si>
    <t>mg1655_dlac_pbcd_nofp</t>
  </si>
  <si>
    <t>https://synbiohub.org/user/myers/Align_TF_Cytom_12_plasmids/mg1655_dlac_pbcd_nofp/1</t>
  </si>
  <si>
    <t>mg1655_dlac_pvanr_am_a1t_mscar</t>
  </si>
  <si>
    <t>https://synbiohub.org/user/myers/Align_TF_Cytom_12_plasmids/mg1655_dlac_pvanr_am_a1t_mscar/1</t>
  </si>
  <si>
    <t>mg1655_dlac_pvanr_am_t2a_mscar</t>
  </si>
  <si>
    <t>https://synbiohub.org/user/myers/Align_TF_Cytom_12_plasmids/mg1655_dlac_pvanr_am_t2a_mscar/1</t>
  </si>
  <si>
    <t>m9</t>
  </si>
  <si>
    <t>https://synbiohub.org/user/myers/Align_TF_Cytom_12_plasmids/m9/1</t>
  </si>
  <si>
    <t>van</t>
  </si>
  <si>
    <t>https://synbiohub.org/user/myers/Align_TF_Cytom_12_plasmids/van/1</t>
  </si>
  <si>
    <t>van_24</t>
  </si>
  <si>
    <t>van_49</t>
  </si>
  <si>
    <t>van_98</t>
  </si>
  <si>
    <t>van_195</t>
  </si>
  <si>
    <t>van_391</t>
  </si>
  <si>
    <t>van_781</t>
  </si>
  <si>
    <t>van_1563</t>
  </si>
  <si>
    <t>van_3125</t>
  </si>
  <si>
    <t>van_6150</t>
  </si>
  <si>
    <t>van_12500</t>
  </si>
  <si>
    <t>van_25000</t>
  </si>
  <si>
    <t>m9only</t>
  </si>
  <si>
    <t>mg1655_dlac_align_vanr_301_m9</t>
  </si>
  <si>
    <t>mg1655_dlac_p150_r1_5_vanr_wt_pvanr_m9</t>
  </si>
  <si>
    <t>mg1655_dlac_pbcd_nofp_m9</t>
  </si>
  <si>
    <t>mg1655_dlac_pvanr_am_a1t_mscar_m9</t>
  </si>
  <si>
    <t>mg1655_dlac_pvanr_am_t2a_mscar_m9</t>
  </si>
  <si>
    <t>m9only_van_24</t>
  </si>
  <si>
    <t>mg1655_dlac_align_vanr_301_m9_van_24</t>
  </si>
  <si>
    <t>mg1655_dlac_p150_r1_5_vanr_wt_pvanr_m9_van_24</t>
  </si>
  <si>
    <t>mg1655_dlac_pbcd_nofp_m9_van_24</t>
  </si>
  <si>
    <t>mg1655_dlac_pvanr_am_a1t_mscar_m9_van_24</t>
  </si>
  <si>
    <t>mg1655_dlac_pvanr_am_t2a_mscar_m9_van_24</t>
  </si>
  <si>
    <t>m9only_van_49</t>
  </si>
  <si>
    <t>mg1655_dlac_align_vanr_301_m9_van_49</t>
  </si>
  <si>
    <t>mg1655_dlac_p150_r1_5_vanr_wt_pvanr_m9_van_49</t>
  </si>
  <si>
    <t>mg1655_dlac_pbcd_nofp_m9_van_49</t>
  </si>
  <si>
    <t>mg1655_dlac_pvanr_am_a1t_mscar_m9_van_49</t>
  </si>
  <si>
    <t>mg1655_dlac_pvanr_am_t2a_mscar_m9_van_49</t>
  </si>
  <si>
    <t>m9only_van_98</t>
  </si>
  <si>
    <t>mg1655_dlac_align_vanr_301_m9_van_98</t>
  </si>
  <si>
    <t>mg1655_dlac_p150_r1_5_vanr_wt_pvanr_m9_van_98</t>
  </si>
  <si>
    <t>mg1655_dlac_pbcd_nofp_m9_van_98</t>
  </si>
  <si>
    <t>mg1655_dlac_pvanr_am_a1t_mscar_m9_van_98</t>
  </si>
  <si>
    <t>mg1655_dlac_pvanr_am_t2a_mscar_m9_van_98</t>
  </si>
  <si>
    <t>m9only_van_195</t>
  </si>
  <si>
    <t>mg1655_dlac_align_vanr_301_m9_van_195</t>
  </si>
  <si>
    <t>mg1655_dlac_p150_r1_5_vanr_wt_pvanr_m9_van_195</t>
  </si>
  <si>
    <t>mg1655_dlac_pbcd_nofp_m9_van_195</t>
  </si>
  <si>
    <t>mg1655_dlac_pvanr_am_a1t_mscar_m9_van_195</t>
  </si>
  <si>
    <t>mg1655_dlac_pvanr_am_t2a_mscar_m9_van_195</t>
  </si>
  <si>
    <t>m9only_van_391</t>
  </si>
  <si>
    <t>mg1655_dlac_align_vanr_301_m9_van_391</t>
  </si>
  <si>
    <t>mg1655_dlac_p150_r1_5_vanr_wt_pvanr_m9_van_391</t>
  </si>
  <si>
    <t>mg1655_dlac_pbcd_nofp_m9_van_391</t>
  </si>
  <si>
    <t>mg1655_dlac_pvanr_am_a1t_mscar_m9_van_391</t>
  </si>
  <si>
    <t>mg1655_dlac_pvanr_am_t2a_mscar_m9_van_391</t>
  </si>
  <si>
    <t>m9only_van_781</t>
  </si>
  <si>
    <t>mg1655_dlac_align_vanr_301_m9_van_781</t>
  </si>
  <si>
    <t>mg1655_dlac_p150_r1_5_vanr_wt_pvanr_m9_van_781</t>
  </si>
  <si>
    <t>mg1655_dlac_pbcd_nofp_m9_van_781</t>
  </si>
  <si>
    <t>mg1655_dlac_pvanr_am_a1t_mscar_m9_van_781</t>
  </si>
  <si>
    <t>mg1655_dlac_pvanr_am_t2a_mscar_m9_van_781</t>
  </si>
  <si>
    <t>m9only_van_1563</t>
  </si>
  <si>
    <t>mg1655_dlac_align_vanr_301_m9_van_1563</t>
  </si>
  <si>
    <t>mg1655_dlac_p150_r1_5_vanr_wt_pvanr_m9_van_1563</t>
  </si>
  <si>
    <t>mg1655_dlac_pbcd_nofp_m9_van_1563</t>
  </si>
  <si>
    <t>mg1655_dlac_pvanr_am_a1t_mscar_m9_van_1563</t>
  </si>
  <si>
    <t>mg1655_dlac_pvanr_am_t2a_mscar_m9_van_1563</t>
  </si>
  <si>
    <t>m9only_van_3125</t>
  </si>
  <si>
    <t>mg1655_dlac_align_vanr_301_m9_van_3125</t>
  </si>
  <si>
    <t>mg1655_dlac_p150_r1_5_vanr_wt_pvanr_m9_van_3125</t>
  </si>
  <si>
    <t>mg1655_dlac_pbcd_nofp_m9_van_3125</t>
  </si>
  <si>
    <t>mg1655_dlac_pvanr_am_a1t_mscar_m9_van_3125</t>
  </si>
  <si>
    <t>mg1655_dlac_pvanr_am_t2a_mscar_m9_van_3125</t>
  </si>
  <si>
    <t>m9only_van_6150</t>
  </si>
  <si>
    <t>mg1655_dlac_align_vanr_301_m9_van_6150</t>
  </si>
  <si>
    <t>mg1655_dlac_p150_r1_5_vanr_wt_pvanr_m9_van_6150</t>
  </si>
  <si>
    <t>mg1655_dlac_pbcd_nofp_m9_van_6150</t>
  </si>
  <si>
    <t>mg1655_dlac_pvanr_am_a1t_mscar_m9_van_6150</t>
  </si>
  <si>
    <t>mg1655_dlac_pvanr_am_t2a_mscar_m9_van_6150</t>
  </si>
  <si>
    <t>m9only_van_12500</t>
  </si>
  <si>
    <t>mg1655_dlac_align_vanr_301_m9_van_12500</t>
  </si>
  <si>
    <t>mg1655_dlac_p150_r1_5_vanr_wt_pvanr_m9_van_12500</t>
  </si>
  <si>
    <t>mg1655_dlac_pbcd_nofp_m9_van_12500</t>
  </si>
  <si>
    <t>mg1655_dlac_pvanr_am_a1t_mscar_m9_van_12500</t>
  </si>
  <si>
    <t>mg1655_dlac_pvanr_am_t2a_mscar_m9_van_12500</t>
  </si>
  <si>
    <t>m9only_van_25000</t>
  </si>
  <si>
    <t>mg1655_dlac_align_vanr_301_m9_van_25000</t>
  </si>
  <si>
    <t>mg1655_dlac_p150_r1_5_vanr_wt_pvanr_m9_van_25000</t>
  </si>
  <si>
    <t>mg1655_dlac_pbcd_nofp_m9_van_25000</t>
  </si>
  <si>
    <t>mg1655_dlac_pvanr_am_a1t_mscar_m9_van_25000</t>
  </si>
  <si>
    <t>mg1655_dlac_pvanr_am_t2a_mscar_m9_van_25000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</si>
</sst>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2" fillId="0" borderId="1"/>
    <xf numFmtId="0" fontId="3" fillId="0" borderId="1"/>
    <xf numFmtId="0" fontId="2" fillId="0" borderId="1"/>
  </cellStyleXfs>
  <cellXfs count="20">
    <xf numFmtId="0" fontId="0" fillId="0" borderId="0" xfId="0" applyBorder="1"/>
    <xf numFmtId="0" fontId="0" fillId="0" borderId="2" xfId="0" applyBorder="1"/>
    <xf numFmtId="0" fontId="6" fillId="2" borderId="1" xfId="0" applyFont="1" applyFill="1" applyAlignment="1">
      <alignment vertical="center"/>
    </xf>
    <xf numFmtId="0" fontId="7" fillId="0" borderId="1" xfId="0" applyFont="1"/>
    <xf numFmtId="0" fontId="4" fillId="0" borderId="3" xfId="0" applyFont="1" applyBorder="1"/>
    <xf numFmtId="0" fontId="0" fillId="0" borderId="3" xfId="0" applyBorder="1"/>
    <xf numFmtId="0" fontId="8" fillId="3" borderId="3" xfId="0" applyFont="1" applyFill="1" applyBorder="1" applyAlignment="1">
      <alignment vertical="center"/>
    </xf>
    <xf numFmtId="0" fontId="5" fillId="0" borderId="3" xfId="0" applyFont="1" applyBorder="1"/>
    <xf numFmtId="0" fontId="9" fillId="0" borderId="3" xfId="0" applyFont="1" applyBorder="1" applyAlignment="1">
      <alignment vertical="center"/>
    </xf>
    <xf numFmtId="0" fontId="10" fillId="4" borderId="4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Fill="1" applyBorder="1"/>
    <xf numFmtId="0" fontId="0" fillId="0" borderId="1" xfId="0"/>
    <xf numFmtId="0" fontId="2" fillId="0" borderId="1" xfId="2"/>
    <xf numFmtId="0" fontId="0" fillId="0" borderId="0" xfId="0" applyFill="1" applyBorder="1"/>
    <xf numFmtId="0" fontId="4" fillId="0" borderId="3" xfId="0" applyFont="1" applyFill="1" applyBorder="1"/>
    <xf numFmtId="0" fontId="0" fillId="0" borderId="3" xfId="0" applyFill="1" applyBorder="1"/>
    <xf numFmtId="0" fontId="0" fillId="0" borderId="1" xfId="0" applyFill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8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2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3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4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5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6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7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8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9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ctrlProps/ctrlProp10.xml><?xml version="1.0" encoding="utf-8"?>
<formControlPr xmlns="http://schemas.microsoft.com/office/spreadsheetml/2009/9/main" objectType="Drop" dropLines="12" dropStyle="combo" dx="15" fmlaLink="[1]_DropdownState!$A$1" fmlaRange="[1]_DropdownLists!$A$1:$A$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36" name="cvHeaderDropdow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A9094832-66C3-3349-842B-38F486593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CDC6979-78E5-444C-AC7C-C2A78977E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CEBE637-3E89-EC49-84FA-CBB9910E5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E8CA13EB-BC79-CB49-836A-F582F5064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ED7B2FC3-274C-B344-B548-3A2109D9F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F0072D3-67A9-2A4B-89CA-BE902B1D0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B7FE1FE2-771F-A44B-94DD-C34D253A1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A41873CB-80FE-C84A-B62F-B73FEDF87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FFDC868A-2EC5-3840-9885-502639A19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E98A6AD8-2883-A643-8514-128B13EC0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myers/research/NISTData/2005-07-02_Align-TF-Cytom-12-plasmids-Experiment/Spreadsheets/Align_TF_SampleDesign.xlsm" TargetMode="External"/><Relationship Id="rId1" Type="http://schemas.openxmlformats.org/officeDocument/2006/relationships/externalLinkPath" Target="/Users/myers/research/NISTData/2005-07-02_Align-TF-Cytom-12-plasmids-Experiment/Spreadsheets/Align_TF_SampleDesig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sample design"/>
      <sheetName val="supplement"/>
      <sheetName val="SBH_strains_collection"/>
      <sheetName val="SBH_media_collection"/>
      <sheetName val="flapjack_cols"/>
      <sheetName val="_DropdownState"/>
      <sheetName val="_DropdownLists"/>
      <sheetName val="Init"/>
      <sheetName val="column_definitions"/>
      <sheetName val="SBH_chemicals_collection"/>
      <sheetName val="_DropdownMap"/>
    </sheetNames>
    <definedNames>
      <definedName name="HeaderDropdownChange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2">
  <tableColumns count="10">
    <tableColumn id="1" xr3:uid="{00000000-0010-0000-0000-000001000000}" name="Sample Design Name"/>
    <tableColumn id="2" xr3:uid="{00000000-0010-0000-0000-000002000000}" name="Sample Design ID" dataDxfId="3"/>
    <tableColumn id="3" xr3:uid="{00000000-0010-0000-0000-000003000000}" name="Previous Version (URI)" dataDxfId="2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 dataDxfId="1"/>
    <tableColumn id="9" xr3:uid="{00000000-0010-0000-0000-000009000000}" name="PubMed ID"/>
    <tableColumn id="10" xr3:uid="{00000000-0010-0000-0000-00000A000000}" name="DOI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12">
  <tableColumns count="9">
    <tableColumn id="1" xr3:uid="{00000000-0010-0000-0100-000001000000}" name="Supplement Name"/>
    <tableColumn id="2" xr3:uid="{00000000-0010-0000-0100-000002000000}" name="Supplement ID" dataDxfId="4"/>
    <tableColumn id="3" xr3:uid="{00000000-0010-0000-0100-000003000000}" name="Previous Version (URI)" dataDxfId="5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 dataDxfId="7"/>
    <tableColumn id="8" xr3:uid="{00000000-0010-0000-0100-000008000000}" name="PubMed ID"/>
    <tableColumn id="9" xr3:uid="{00000000-0010-0000-0100-000009000000}" name="DOI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strains_collection" displayName="SBH_strains_collection" ref="A1:B6">
  <autoFilter ref="A1:B6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BH_media_collection" displayName="SBH_media_collection" ref="A1:B2">
  <autoFilter ref="A1:B2" xr:uid="{00000000-0009-0000-0100-000004000000}"/>
  <tableColumns count="2">
    <tableColumn id="1" xr3:uid="{00000000-0010-0000-0300-000001000000}" name="Name"/>
    <tableColumn id="2" xr3:uid="{00000000-0010-0000-0300-000002000000}" name="UR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BH_chemicals_collection" displayName="SBH_chemicals_collection" ref="A1:B2">
  <autoFilter ref="A1:B2" xr:uid="{00000000-0009-0000-0100-000005000000}"/>
  <tableColumns count="2">
    <tableColumn id="1" xr3:uid="{00000000-0010-0000-0400-000001000000}" name="Name"/>
    <tableColumn id="2" xr3:uid="{00000000-0010-0000-0400-000002000000}" name="URI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https://synbiohub.org/user/myers/Align_TF_Cytom_12_plasmids/van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>
      <selection activeCell="C17" sqref="C17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4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spans="1:14" ht="22" customHeight="1" x14ac:dyDescent="0.2">
      <c r="A3" s="4"/>
      <c r="B3" s="6" t="s">
        <v>0</v>
      </c>
      <c r="C3" s="6"/>
      <c r="D3" s="4"/>
      <c r="E3" s="4"/>
      <c r="F3" s="4"/>
      <c r="G3" s="4"/>
      <c r="H3" s="4"/>
      <c r="I3" s="4"/>
      <c r="J3" s="4"/>
      <c r="K3" s="4"/>
      <c r="L3" s="5"/>
      <c r="M3" s="5"/>
      <c r="N3" s="5"/>
    </row>
    <row r="4" spans="1:14" ht="17" customHeight="1" x14ac:dyDescent="0.2">
      <c r="A4" s="7"/>
      <c r="B4" s="8" t="s">
        <v>1</v>
      </c>
      <c r="C4" s="9" t="s">
        <v>2</v>
      </c>
      <c r="D4" s="7"/>
      <c r="E4" s="7"/>
      <c r="F4" s="7"/>
      <c r="G4" s="7"/>
      <c r="H4" s="7"/>
      <c r="I4" s="7"/>
      <c r="J4" s="7"/>
      <c r="K4" s="7"/>
      <c r="L4" s="5"/>
      <c r="M4" s="5"/>
      <c r="N4" s="5"/>
    </row>
    <row r="5" spans="1:14" ht="15" customHeight="1" x14ac:dyDescent="0.2">
      <c r="A5" s="4"/>
      <c r="B5" s="8" t="s">
        <v>3</v>
      </c>
      <c r="C5" s="9" t="s">
        <v>4</v>
      </c>
      <c r="D5" s="4"/>
      <c r="E5" s="4"/>
      <c r="F5" s="4"/>
      <c r="G5" s="4"/>
      <c r="H5" s="4"/>
      <c r="I5" s="4"/>
      <c r="J5" s="4"/>
      <c r="K5" s="4"/>
      <c r="L5" s="5"/>
      <c r="M5" s="5"/>
      <c r="N5" s="5"/>
    </row>
    <row r="6" spans="1:14" ht="15" customHeight="1" x14ac:dyDescent="0.2">
      <c r="A6" s="4"/>
      <c r="B6" s="8" t="s">
        <v>5</v>
      </c>
      <c r="C6" s="9" t="s">
        <v>6</v>
      </c>
      <c r="D6" s="4"/>
      <c r="E6" s="4"/>
      <c r="F6" s="4"/>
      <c r="G6" s="4"/>
      <c r="H6" s="4"/>
      <c r="I6" s="4"/>
      <c r="J6" s="4"/>
      <c r="K6" s="4"/>
      <c r="L6" s="5"/>
      <c r="M6" s="5"/>
      <c r="N6" s="5"/>
    </row>
    <row r="7" spans="1:14" ht="15" customHeight="1" x14ac:dyDescent="0.2">
      <c r="A7" s="4"/>
      <c r="B7" s="8" t="s">
        <v>7</v>
      </c>
      <c r="C7" s="9" t="s">
        <v>8</v>
      </c>
      <c r="D7" s="4"/>
      <c r="E7" s="4"/>
      <c r="F7" s="4"/>
      <c r="G7" s="4"/>
      <c r="H7" s="4"/>
      <c r="I7" s="4"/>
      <c r="J7" s="4"/>
      <c r="K7" s="4"/>
      <c r="L7" s="5"/>
      <c r="M7" s="5"/>
      <c r="N7" s="5"/>
    </row>
    <row r="8" spans="1:14" ht="15" customHeight="1" x14ac:dyDescent="0.2">
      <c r="A8" s="4"/>
      <c r="B8" s="8" t="s">
        <v>9</v>
      </c>
      <c r="C8" s="9" t="s">
        <v>10</v>
      </c>
      <c r="D8" s="4"/>
      <c r="E8" s="4"/>
      <c r="F8" s="4"/>
      <c r="G8" s="4"/>
      <c r="H8" s="4"/>
      <c r="I8" s="4"/>
      <c r="J8" s="4"/>
      <c r="K8" s="4"/>
      <c r="L8" s="5"/>
      <c r="M8" s="5"/>
      <c r="N8" s="5"/>
    </row>
    <row r="9" spans="1:14" ht="15" customHeight="1" x14ac:dyDescent="0.2">
      <c r="A9" s="4"/>
      <c r="B9" s="8" t="s">
        <v>11</v>
      </c>
      <c r="C9" s="9" t="s">
        <v>12</v>
      </c>
      <c r="D9" s="4"/>
      <c r="E9" s="4"/>
      <c r="F9" s="4"/>
      <c r="G9" s="4"/>
      <c r="H9" s="4"/>
      <c r="I9" s="4"/>
      <c r="J9" s="4"/>
      <c r="K9" s="4"/>
      <c r="L9" s="5"/>
      <c r="M9" s="5"/>
      <c r="N9" s="5"/>
    </row>
    <row r="10" spans="1:14" ht="15" customHeight="1" x14ac:dyDescent="0.2">
      <c r="A10" s="4"/>
      <c r="B10" s="8" t="s">
        <v>13</v>
      </c>
      <c r="C10" s="9" t="s">
        <v>14</v>
      </c>
      <c r="D10" s="4"/>
      <c r="E10" s="4"/>
      <c r="F10" s="4"/>
      <c r="G10" s="4"/>
      <c r="H10" s="4"/>
      <c r="I10" s="4"/>
      <c r="J10" s="4"/>
      <c r="K10" s="4"/>
      <c r="L10" s="5"/>
      <c r="M10" s="5"/>
      <c r="N10" s="5"/>
    </row>
    <row r="11" spans="1:14" ht="15" customHeight="1" x14ac:dyDescent="0.2">
      <c r="A11" s="4"/>
      <c r="B11" s="8" t="s">
        <v>15</v>
      </c>
      <c r="C11" s="9" t="s">
        <v>16</v>
      </c>
      <c r="D11" s="4"/>
      <c r="E11" s="4"/>
      <c r="F11" s="4"/>
      <c r="G11" s="4"/>
      <c r="H11" s="4"/>
      <c r="I11" s="4"/>
      <c r="J11" s="4"/>
      <c r="K11" s="4"/>
      <c r="L11" s="5"/>
      <c r="M11" s="5"/>
      <c r="N11" s="5"/>
    </row>
    <row r="12" spans="1:14" ht="15" customHeight="1" x14ac:dyDescent="0.2">
      <c r="A12" s="4"/>
      <c r="B12" s="8" t="s">
        <v>17</v>
      </c>
      <c r="C12" s="9" t="s">
        <v>18</v>
      </c>
      <c r="D12" s="4"/>
      <c r="E12" s="4"/>
      <c r="F12" s="4"/>
      <c r="G12" s="4"/>
      <c r="H12" s="4"/>
      <c r="I12" s="4"/>
      <c r="J12" s="4"/>
      <c r="K12" s="4"/>
      <c r="L12" s="5"/>
      <c r="M12" s="5"/>
      <c r="N12" s="5"/>
    </row>
    <row r="13" spans="1:14" ht="15" customHeight="1" x14ac:dyDescent="0.2">
      <c r="A13" s="4"/>
      <c r="B13" s="8" t="s">
        <v>19</v>
      </c>
      <c r="C13" s="9"/>
      <c r="D13" s="4"/>
      <c r="E13" s="4"/>
      <c r="F13" s="4"/>
      <c r="G13" s="4"/>
      <c r="H13" s="4"/>
      <c r="I13" s="4"/>
      <c r="J13" s="4"/>
      <c r="K13" s="4"/>
      <c r="L13" s="5"/>
      <c r="M13" s="5"/>
      <c r="N13" s="5"/>
    </row>
    <row r="14" spans="1:14" ht="15" customHeight="1" x14ac:dyDescent="0.2">
      <c r="A14" s="4"/>
      <c r="B14" s="8" t="s">
        <v>20</v>
      </c>
      <c r="C14" s="9"/>
      <c r="D14" s="4"/>
      <c r="E14" s="4"/>
      <c r="F14" s="4"/>
      <c r="G14" s="4"/>
      <c r="H14" s="4"/>
      <c r="I14" s="4"/>
      <c r="J14" s="4"/>
      <c r="K14" s="4"/>
      <c r="L14" s="5"/>
      <c r="M14" s="5"/>
      <c r="N14" s="5"/>
    </row>
    <row r="15" spans="1:14" ht="15" customHeight="1" x14ac:dyDescent="0.2">
      <c r="A15" s="4"/>
      <c r="B15" s="8" t="s">
        <v>21</v>
      </c>
      <c r="C15" s="9"/>
      <c r="D15" s="4"/>
      <c r="E15" s="4"/>
      <c r="F15" s="4"/>
      <c r="G15" s="4"/>
      <c r="H15" s="4"/>
      <c r="I15" s="4"/>
      <c r="J15" s="4"/>
      <c r="K15" s="4"/>
      <c r="L15" s="5"/>
      <c r="M15" s="5"/>
      <c r="N15" s="5"/>
    </row>
    <row r="16" spans="1:14" ht="15" customHeigh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ht="15" customHeight="1" x14ac:dyDescent="0.2">
      <c r="A17" s="5"/>
      <c r="B17" s="8" t="s">
        <v>22</v>
      </c>
      <c r="C17" s="12" t="b">
        <v>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ht="15" customHeight="1" x14ac:dyDescent="0.2">
      <c r="A18" s="4"/>
      <c r="B18" s="8" t="s">
        <v>23</v>
      </c>
      <c r="C18" s="12" t="b">
        <v>0</v>
      </c>
      <c r="D18" s="4"/>
      <c r="E18" s="4"/>
      <c r="F18" s="4"/>
      <c r="G18" s="4"/>
      <c r="H18" s="4"/>
      <c r="I18" s="4"/>
      <c r="J18" s="4"/>
      <c r="K18" s="4"/>
      <c r="L18" s="5"/>
      <c r="M18" s="5"/>
      <c r="N18" s="5"/>
    </row>
    <row r="19" spans="1:14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5"/>
      <c r="M19" s="5"/>
      <c r="N19" s="5"/>
    </row>
    <row r="20" spans="1:14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5"/>
      <c r="M20" s="5"/>
      <c r="N20" s="5"/>
    </row>
    <row r="21" spans="1:14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2" t="s">
        <v>24</v>
      </c>
      <c r="B1" s="2" t="s">
        <v>25</v>
      </c>
      <c r="C1" s="2" t="s">
        <v>26</v>
      </c>
      <c r="D1" s="2" t="s">
        <v>27</v>
      </c>
    </row>
    <row r="2" spans="1:4" x14ac:dyDescent="0.2">
      <c r="A2" s="3" t="s">
        <v>28</v>
      </c>
      <c r="B2" s="3" t="s">
        <v>29</v>
      </c>
      <c r="C2" s="3" t="s">
        <v>30</v>
      </c>
      <c r="D2" s="3" t="s">
        <v>31</v>
      </c>
    </row>
    <row r="3" spans="1:4" x14ac:dyDescent="0.2">
      <c r="A3" s="3" t="s">
        <v>28</v>
      </c>
      <c r="B3" s="3" t="s">
        <v>29</v>
      </c>
      <c r="C3" s="3" t="s">
        <v>32</v>
      </c>
      <c r="D3" s="3" t="s">
        <v>33</v>
      </c>
    </row>
    <row r="4" spans="1:4" x14ac:dyDescent="0.2">
      <c r="A4" s="3" t="s">
        <v>28</v>
      </c>
      <c r="B4" s="3" t="s">
        <v>29</v>
      </c>
      <c r="C4" s="3" t="s">
        <v>34</v>
      </c>
      <c r="D4" s="3" t="s">
        <v>35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L1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0" t="s">
        <v>36</v>
      </c>
      <c r="B1" s="10">
        <v>2</v>
      </c>
    </row>
    <row r="2" spans="1:12" x14ac:dyDescent="0.2">
      <c r="A2" s="11" t="s">
        <v>37</v>
      </c>
      <c r="B2" s="11" t="s">
        <v>4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">
      <c r="A10" s="11" t="s">
        <v>24</v>
      </c>
      <c r="B10" s="11" t="s">
        <v>38</v>
      </c>
      <c r="C10" s="11" t="s">
        <v>39</v>
      </c>
      <c r="D10" s="11" t="s">
        <v>40</v>
      </c>
      <c r="E10" s="11" t="s">
        <v>41</v>
      </c>
      <c r="F10" s="11" t="s">
        <v>42</v>
      </c>
      <c r="G10" s="11" t="s">
        <v>43</v>
      </c>
      <c r="H10" s="11" t="s">
        <v>44</v>
      </c>
      <c r="I10" s="11" t="s">
        <v>45</v>
      </c>
      <c r="J10" s="11" t="s">
        <v>46</v>
      </c>
      <c r="K10" s="11" t="s">
        <v>47</v>
      </c>
      <c r="L10" s="11" t="s">
        <v>48</v>
      </c>
    </row>
    <row r="11" spans="1:12" x14ac:dyDescent="0.2">
      <c r="A11" s="11" t="s">
        <v>49</v>
      </c>
      <c r="B11" s="12" t="b">
        <v>1</v>
      </c>
      <c r="C11" s="12" t="b">
        <v>0</v>
      </c>
      <c r="D11" s="11">
        <v>0</v>
      </c>
      <c r="E11" s="11">
        <v>0</v>
      </c>
      <c r="F11" s="12" t="b">
        <v>0</v>
      </c>
      <c r="G11" s="11">
        <v>0</v>
      </c>
      <c r="H11" s="11">
        <v>0</v>
      </c>
      <c r="I11" s="11">
        <v>1</v>
      </c>
      <c r="J11" s="11" t="s">
        <v>50</v>
      </c>
      <c r="K11" s="11"/>
      <c r="L11" s="11" t="s">
        <v>51</v>
      </c>
    </row>
    <row r="12" spans="1:12" x14ac:dyDescent="0.2">
      <c r="A12" s="11" t="s">
        <v>28</v>
      </c>
      <c r="B12" s="12" t="b">
        <v>1</v>
      </c>
      <c r="C12" s="12" t="b">
        <v>0</v>
      </c>
      <c r="D12" s="11">
        <v>0</v>
      </c>
      <c r="E12" s="11">
        <v>0</v>
      </c>
      <c r="F12" s="12" t="b">
        <v>0</v>
      </c>
      <c r="G12" s="11">
        <v>0</v>
      </c>
      <c r="H12" s="11">
        <v>0</v>
      </c>
      <c r="I12" s="11">
        <v>1</v>
      </c>
      <c r="J12" s="11" t="s">
        <v>50</v>
      </c>
      <c r="K12" s="11"/>
      <c r="L12" s="11" t="s">
        <v>52</v>
      </c>
    </row>
    <row r="13" spans="1:12" x14ac:dyDescent="0.2">
      <c r="A13" s="11" t="s">
        <v>53</v>
      </c>
      <c r="B13" s="12" t="b">
        <v>0</v>
      </c>
      <c r="C13" s="12" t="b">
        <v>0</v>
      </c>
      <c r="D13" s="11">
        <v>0</v>
      </c>
      <c r="E13" s="11">
        <v>0</v>
      </c>
      <c r="F13" s="12" t="b">
        <v>0</v>
      </c>
      <c r="G13" s="11">
        <v>0</v>
      </c>
      <c r="H13" s="11">
        <v>0</v>
      </c>
      <c r="I13" s="11">
        <v>0</v>
      </c>
      <c r="J13" s="11"/>
      <c r="K13" s="11"/>
      <c r="L13" s="11"/>
    </row>
    <row r="14" spans="1:12" x14ac:dyDescent="0.2">
      <c r="A14" s="11" t="s">
        <v>54</v>
      </c>
      <c r="B14" s="12" t="b">
        <v>0</v>
      </c>
      <c r="C14" s="12" t="b">
        <v>0</v>
      </c>
      <c r="D14" s="11">
        <v>0</v>
      </c>
      <c r="E14" s="11">
        <v>0</v>
      </c>
      <c r="F14" s="12" t="b">
        <v>0</v>
      </c>
      <c r="G14" s="11">
        <v>0</v>
      </c>
      <c r="H14" s="11">
        <v>0</v>
      </c>
      <c r="I14" s="11">
        <v>0</v>
      </c>
      <c r="J14" s="11"/>
      <c r="K14" s="11"/>
      <c r="L14" s="11"/>
    </row>
    <row r="15" spans="1:12" x14ac:dyDescent="0.2">
      <c r="A15" s="11" t="s">
        <v>55</v>
      </c>
      <c r="B15" s="12" t="b">
        <v>0</v>
      </c>
      <c r="C15" s="12" t="b">
        <v>0</v>
      </c>
      <c r="D15" s="11">
        <v>0</v>
      </c>
      <c r="E15" s="11">
        <v>0</v>
      </c>
      <c r="F15" s="12" t="b">
        <v>0</v>
      </c>
      <c r="G15" s="11">
        <v>0</v>
      </c>
      <c r="H15" s="11">
        <v>0</v>
      </c>
      <c r="I15" s="11">
        <v>0</v>
      </c>
      <c r="J15" s="11"/>
      <c r="K15" s="11"/>
      <c r="L15" s="1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8A9AE"/>
  </sheetPr>
  <dimension ref="A1:S2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0" t="s">
        <v>24</v>
      </c>
      <c r="B1" s="10" t="s">
        <v>56</v>
      </c>
      <c r="C1" s="10" t="s">
        <v>57</v>
      </c>
      <c r="D1" s="10" t="s">
        <v>58</v>
      </c>
      <c r="E1" s="10" t="s">
        <v>59</v>
      </c>
      <c r="F1" s="10" t="s">
        <v>60</v>
      </c>
      <c r="G1" s="10" t="s">
        <v>61</v>
      </c>
      <c r="H1" s="10" t="s">
        <v>62</v>
      </c>
      <c r="I1" s="10" t="s">
        <v>63</v>
      </c>
      <c r="J1" s="10" t="s">
        <v>64</v>
      </c>
      <c r="K1" s="10" t="s">
        <v>65</v>
      </c>
      <c r="L1" s="10" t="s">
        <v>66</v>
      </c>
      <c r="M1" s="10" t="s">
        <v>67</v>
      </c>
      <c r="N1" s="10" t="s">
        <v>68</v>
      </c>
      <c r="O1" s="10" t="s">
        <v>69</v>
      </c>
      <c r="P1" s="10" t="s">
        <v>70</v>
      </c>
      <c r="Q1" s="10" t="s">
        <v>71</v>
      </c>
      <c r="R1" s="10" t="s">
        <v>72</v>
      </c>
      <c r="S1" s="10" t="s">
        <v>73</v>
      </c>
    </row>
    <row r="2" spans="1:19" x14ac:dyDescent="0.2">
      <c r="A2" s="11" t="s">
        <v>74</v>
      </c>
      <c r="B2" s="11" t="s">
        <v>46</v>
      </c>
      <c r="C2" s="11" t="s">
        <v>75</v>
      </c>
      <c r="D2" s="11" t="s">
        <v>76</v>
      </c>
      <c r="E2" s="11" t="s">
        <v>77</v>
      </c>
      <c r="F2" s="11" t="s">
        <v>78</v>
      </c>
      <c r="G2" s="11" t="s">
        <v>78</v>
      </c>
      <c r="H2" s="11"/>
      <c r="I2" s="11" t="b">
        <v>0</v>
      </c>
      <c r="J2" s="11" t="b">
        <v>0</v>
      </c>
      <c r="K2" s="11" t="b">
        <v>0</v>
      </c>
      <c r="L2" s="11" t="b">
        <v>0</v>
      </c>
      <c r="M2" s="11" t="b">
        <v>0</v>
      </c>
      <c r="N2" s="11"/>
      <c r="O2" s="11"/>
      <c r="P2" s="11"/>
      <c r="Q2" s="11"/>
      <c r="R2" s="11" t="b">
        <v>0</v>
      </c>
      <c r="S2" s="11"/>
    </row>
    <row r="3" spans="1:19" x14ac:dyDescent="0.2">
      <c r="A3" s="11" t="s">
        <v>74</v>
      </c>
      <c r="B3" s="11" t="s">
        <v>47</v>
      </c>
      <c r="C3" s="11" t="s">
        <v>79</v>
      </c>
      <c r="D3" s="11" t="s">
        <v>76</v>
      </c>
      <c r="E3" s="11" t="s">
        <v>77</v>
      </c>
      <c r="F3" s="11" t="s">
        <v>78</v>
      </c>
      <c r="G3" s="11" t="s">
        <v>78</v>
      </c>
      <c r="H3" s="11"/>
      <c r="I3" s="11" t="b">
        <v>0</v>
      </c>
      <c r="J3" s="11" t="b">
        <v>0</v>
      </c>
      <c r="K3" s="11" t="b">
        <v>0</v>
      </c>
      <c r="L3" s="11" t="b">
        <v>0</v>
      </c>
      <c r="M3" s="11" t="b">
        <v>0</v>
      </c>
      <c r="N3" s="11"/>
      <c r="O3" s="11"/>
      <c r="P3" s="11"/>
      <c r="Q3" s="11"/>
      <c r="R3" s="11" t="b">
        <v>0</v>
      </c>
      <c r="S3" s="11"/>
    </row>
    <row r="4" spans="1:19" x14ac:dyDescent="0.2">
      <c r="A4" s="11" t="s">
        <v>74</v>
      </c>
      <c r="B4" s="11" t="s">
        <v>48</v>
      </c>
      <c r="C4" s="11" t="s">
        <v>80</v>
      </c>
      <c r="D4" s="11" t="s">
        <v>76</v>
      </c>
      <c r="E4" s="11" t="s">
        <v>81</v>
      </c>
      <c r="F4" s="11" t="s">
        <v>78</v>
      </c>
      <c r="G4" s="11" t="s">
        <v>78</v>
      </c>
      <c r="H4" s="11"/>
      <c r="I4" s="11" t="b">
        <v>0</v>
      </c>
      <c r="J4" s="11" t="b">
        <v>0</v>
      </c>
      <c r="K4" s="11" t="b">
        <v>0</v>
      </c>
      <c r="L4" s="11" t="b">
        <v>0</v>
      </c>
      <c r="M4" s="11" t="b">
        <v>0</v>
      </c>
      <c r="N4" s="11"/>
      <c r="O4" s="11"/>
      <c r="P4" s="11"/>
      <c r="Q4" s="11"/>
      <c r="R4" s="11" t="b">
        <v>0</v>
      </c>
      <c r="S4" s="11"/>
    </row>
    <row r="5" spans="1:19" x14ac:dyDescent="0.2">
      <c r="A5" s="11" t="s">
        <v>49</v>
      </c>
      <c r="B5" s="11" t="s">
        <v>82</v>
      </c>
      <c r="C5" s="11" t="s">
        <v>83</v>
      </c>
      <c r="D5" s="11" t="s">
        <v>76</v>
      </c>
      <c r="E5" s="11" t="s">
        <v>77</v>
      </c>
      <c r="F5" s="11" t="s">
        <v>78</v>
      </c>
      <c r="G5" s="11" t="s">
        <v>78</v>
      </c>
      <c r="H5" s="11"/>
      <c r="I5" s="11" t="b">
        <v>0</v>
      </c>
      <c r="J5" s="11" t="b">
        <v>0</v>
      </c>
      <c r="K5" s="11" t="b">
        <v>0</v>
      </c>
      <c r="L5" s="11" t="b">
        <v>0</v>
      </c>
      <c r="M5" s="11" t="b">
        <v>0</v>
      </c>
      <c r="N5" s="11"/>
      <c r="O5" s="11"/>
      <c r="P5" s="11"/>
      <c r="Q5" s="11"/>
      <c r="R5" s="11" t="b">
        <v>0</v>
      </c>
      <c r="S5" s="11"/>
    </row>
    <row r="6" spans="1:19" x14ac:dyDescent="0.2">
      <c r="A6" s="11" t="s">
        <v>49</v>
      </c>
      <c r="B6" s="11" t="s">
        <v>84</v>
      </c>
      <c r="C6" s="11" t="s">
        <v>85</v>
      </c>
      <c r="D6" s="11" t="s">
        <v>76</v>
      </c>
      <c r="E6" s="11" t="s">
        <v>77</v>
      </c>
      <c r="F6" s="11" t="s">
        <v>78</v>
      </c>
      <c r="G6" s="11" t="s">
        <v>78</v>
      </c>
      <c r="H6" s="11"/>
      <c r="I6" s="11" t="b">
        <v>0</v>
      </c>
      <c r="J6" s="11" t="b">
        <v>0</v>
      </c>
      <c r="K6" s="11" t="b">
        <v>0</v>
      </c>
      <c r="L6" s="11" t="b">
        <v>0</v>
      </c>
      <c r="M6" s="11" t="b">
        <v>0</v>
      </c>
      <c r="N6" s="11"/>
      <c r="O6" s="11"/>
      <c r="P6" s="11"/>
      <c r="Q6" s="11"/>
      <c r="R6" s="11" t="b">
        <v>0</v>
      </c>
      <c r="S6" s="11"/>
    </row>
    <row r="7" spans="1:19" x14ac:dyDescent="0.2">
      <c r="A7" s="11" t="s">
        <v>49</v>
      </c>
      <c r="B7" s="11" t="s">
        <v>86</v>
      </c>
      <c r="C7" s="11" t="s">
        <v>87</v>
      </c>
      <c r="D7" s="11" t="s">
        <v>76</v>
      </c>
      <c r="E7" s="11" t="s">
        <v>81</v>
      </c>
      <c r="F7" s="11" t="s">
        <v>78</v>
      </c>
      <c r="G7" s="11" t="s">
        <v>78</v>
      </c>
      <c r="H7" s="11"/>
      <c r="I7" s="11" t="b">
        <v>0</v>
      </c>
      <c r="J7" s="11" t="b">
        <v>0</v>
      </c>
      <c r="K7" s="11" t="b">
        <v>0</v>
      </c>
      <c r="L7" s="11" t="b">
        <v>0</v>
      </c>
      <c r="M7" s="11" t="b">
        <v>0</v>
      </c>
      <c r="N7" s="11"/>
      <c r="O7" s="11"/>
      <c r="P7" s="11"/>
      <c r="Q7" s="11"/>
      <c r="R7" s="11" t="b">
        <v>0</v>
      </c>
      <c r="S7" s="11"/>
    </row>
    <row r="8" spans="1:19" x14ac:dyDescent="0.2">
      <c r="A8" s="11" t="s">
        <v>49</v>
      </c>
      <c r="B8" s="11" t="s">
        <v>88</v>
      </c>
      <c r="C8" s="11" t="s">
        <v>89</v>
      </c>
      <c r="D8" s="11" t="s">
        <v>90</v>
      </c>
      <c r="E8" s="11" t="s">
        <v>77</v>
      </c>
      <c r="F8" s="11" t="s">
        <v>78</v>
      </c>
      <c r="G8" s="11" t="s">
        <v>78</v>
      </c>
      <c r="H8" s="11"/>
      <c r="I8" s="11" t="b">
        <v>0</v>
      </c>
      <c r="J8" s="11" t="b">
        <v>0</v>
      </c>
      <c r="K8" s="11" t="b">
        <v>0</v>
      </c>
      <c r="L8" s="11" t="b">
        <v>0</v>
      </c>
      <c r="M8" s="11" t="b">
        <v>0</v>
      </c>
      <c r="N8" s="11"/>
      <c r="O8" s="11"/>
      <c r="P8" s="11"/>
      <c r="Q8" s="11"/>
      <c r="R8" s="11" t="b">
        <v>0</v>
      </c>
      <c r="S8" s="11"/>
    </row>
    <row r="9" spans="1:19" x14ac:dyDescent="0.2">
      <c r="A9" s="11" t="s">
        <v>49</v>
      </c>
      <c r="B9" s="11" t="s">
        <v>91</v>
      </c>
      <c r="C9" s="11" t="s">
        <v>92</v>
      </c>
      <c r="D9" s="11" t="s">
        <v>76</v>
      </c>
      <c r="E9" s="11" t="s">
        <v>81</v>
      </c>
      <c r="F9" s="11" t="s">
        <v>78</v>
      </c>
      <c r="G9" s="11" t="s">
        <v>78</v>
      </c>
      <c r="H9" s="11"/>
      <c r="I9" s="11" t="b">
        <v>0</v>
      </c>
      <c r="J9" s="11" t="b">
        <v>1</v>
      </c>
      <c r="K9" s="11" t="b">
        <v>0</v>
      </c>
      <c r="L9" s="11" t="b">
        <v>0</v>
      </c>
      <c r="M9" s="11" t="b">
        <v>0</v>
      </c>
      <c r="N9" s="11"/>
      <c r="O9" s="11" t="s">
        <v>53</v>
      </c>
      <c r="P9" s="11" t="s">
        <v>93</v>
      </c>
      <c r="Q9" s="11" t="s">
        <v>94</v>
      </c>
      <c r="R9" s="11" t="b">
        <v>0</v>
      </c>
      <c r="S9" s="11"/>
    </row>
    <row r="10" spans="1:19" x14ac:dyDescent="0.2">
      <c r="A10" s="11" t="s">
        <v>49</v>
      </c>
      <c r="B10" s="11" t="s">
        <v>95</v>
      </c>
      <c r="C10" s="11" t="s">
        <v>92</v>
      </c>
      <c r="D10" s="11" t="s">
        <v>76</v>
      </c>
      <c r="E10" s="11" t="s">
        <v>81</v>
      </c>
      <c r="F10" s="11" t="s">
        <v>78</v>
      </c>
      <c r="G10" s="11" t="s">
        <v>78</v>
      </c>
      <c r="H10" s="11"/>
      <c r="I10" s="11" t="b">
        <v>0</v>
      </c>
      <c r="J10" s="11" t="b">
        <v>1</v>
      </c>
      <c r="K10" s="11" t="b">
        <v>0</v>
      </c>
      <c r="L10" s="11" t="b">
        <v>0</v>
      </c>
      <c r="M10" s="11" t="b">
        <v>0</v>
      </c>
      <c r="N10" s="11"/>
      <c r="O10" s="11" t="s">
        <v>54</v>
      </c>
      <c r="P10" s="11" t="s">
        <v>93</v>
      </c>
      <c r="Q10" s="11" t="s">
        <v>94</v>
      </c>
      <c r="R10" s="11" t="b">
        <v>0</v>
      </c>
      <c r="S10" s="11"/>
    </row>
    <row r="11" spans="1:19" x14ac:dyDescent="0.2">
      <c r="A11" s="11" t="s">
        <v>49</v>
      </c>
      <c r="B11" s="11" t="s">
        <v>96</v>
      </c>
      <c r="C11" s="11" t="s">
        <v>92</v>
      </c>
      <c r="D11" s="11" t="s">
        <v>76</v>
      </c>
      <c r="E11" s="11" t="s">
        <v>81</v>
      </c>
      <c r="F11" s="11" t="s">
        <v>97</v>
      </c>
      <c r="G11" s="11" t="s">
        <v>78</v>
      </c>
      <c r="H11" s="11"/>
      <c r="I11" s="11" t="b">
        <v>0</v>
      </c>
      <c r="J11" s="11" t="b">
        <v>0</v>
      </c>
      <c r="K11" s="11" t="b">
        <v>0</v>
      </c>
      <c r="L11" s="11" t="b">
        <v>1</v>
      </c>
      <c r="M11" s="11" t="b">
        <v>0</v>
      </c>
      <c r="N11" s="11"/>
      <c r="O11" s="11"/>
      <c r="P11" s="11"/>
      <c r="Q11" s="11"/>
      <c r="R11" s="11" t="b">
        <v>0</v>
      </c>
      <c r="S11" s="11"/>
    </row>
    <row r="12" spans="1:19" x14ac:dyDescent="0.2">
      <c r="A12" s="11" t="s">
        <v>49</v>
      </c>
      <c r="B12" s="11" t="s">
        <v>98</v>
      </c>
      <c r="C12" s="11" t="s">
        <v>87</v>
      </c>
      <c r="D12" s="11" t="s">
        <v>76</v>
      </c>
      <c r="E12" s="11" t="s">
        <v>81</v>
      </c>
      <c r="F12" s="11" t="s">
        <v>78</v>
      </c>
      <c r="G12" s="11" t="s">
        <v>78</v>
      </c>
      <c r="H12" s="11"/>
      <c r="I12" s="11" t="b">
        <v>0</v>
      </c>
      <c r="J12" s="11" t="b">
        <v>0</v>
      </c>
      <c r="K12" s="11" t="b">
        <v>0</v>
      </c>
      <c r="L12" s="11" t="b">
        <v>0</v>
      </c>
      <c r="M12" s="11" t="b">
        <v>0</v>
      </c>
      <c r="N12" s="11"/>
      <c r="O12" s="11"/>
      <c r="P12" s="11"/>
      <c r="Q12" s="11"/>
      <c r="R12" s="11" t="b">
        <v>0</v>
      </c>
      <c r="S12" s="11"/>
    </row>
    <row r="13" spans="1:19" x14ac:dyDescent="0.2">
      <c r="A13" s="11" t="s">
        <v>49</v>
      </c>
      <c r="B13" s="11" t="s">
        <v>99</v>
      </c>
      <c r="C13" s="11" t="s">
        <v>100</v>
      </c>
      <c r="D13" s="11" t="s">
        <v>101</v>
      </c>
      <c r="E13" s="11" t="s">
        <v>77</v>
      </c>
      <c r="F13" s="11" t="s">
        <v>78</v>
      </c>
      <c r="G13" s="11" t="s">
        <v>78</v>
      </c>
      <c r="H13" s="11"/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0</v>
      </c>
      <c r="N13" s="11"/>
      <c r="O13" s="11"/>
      <c r="P13" s="11"/>
      <c r="Q13" s="11"/>
      <c r="R13" s="11" t="b">
        <v>0</v>
      </c>
      <c r="S13" s="11"/>
    </row>
    <row r="14" spans="1:19" x14ac:dyDescent="0.2">
      <c r="A14" s="11" t="s">
        <v>49</v>
      </c>
      <c r="B14" s="11" t="s">
        <v>102</v>
      </c>
      <c r="C14" s="11" t="s">
        <v>87</v>
      </c>
      <c r="D14" s="11" t="s">
        <v>76</v>
      </c>
      <c r="E14" s="11" t="s">
        <v>81</v>
      </c>
      <c r="F14" s="11" t="s">
        <v>78</v>
      </c>
      <c r="G14" s="11" t="s">
        <v>78</v>
      </c>
      <c r="H14" s="11"/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0</v>
      </c>
      <c r="N14" s="11"/>
      <c r="O14" s="11"/>
      <c r="P14" s="11"/>
      <c r="Q14" s="11"/>
      <c r="R14" s="11" t="b">
        <v>0</v>
      </c>
      <c r="S14" s="11"/>
    </row>
    <row r="15" spans="1:19" x14ac:dyDescent="0.2">
      <c r="A15" s="11" t="s">
        <v>28</v>
      </c>
      <c r="B15" s="11" t="s">
        <v>30</v>
      </c>
      <c r="C15" s="11" t="s">
        <v>83</v>
      </c>
      <c r="D15" s="11" t="s">
        <v>76</v>
      </c>
      <c r="E15" s="11" t="s">
        <v>77</v>
      </c>
      <c r="F15" s="11" t="s">
        <v>78</v>
      </c>
      <c r="G15" s="11" t="s">
        <v>78</v>
      </c>
      <c r="H15" s="11"/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0</v>
      </c>
      <c r="N15" s="11"/>
      <c r="O15" s="11"/>
      <c r="P15" s="11"/>
      <c r="Q15" s="11"/>
      <c r="R15" s="11" t="b">
        <v>0</v>
      </c>
      <c r="S15" s="11"/>
    </row>
    <row r="16" spans="1:19" x14ac:dyDescent="0.2">
      <c r="A16" s="11" t="s">
        <v>28</v>
      </c>
      <c r="B16" s="11" t="s">
        <v>103</v>
      </c>
      <c r="C16" s="11" t="s">
        <v>85</v>
      </c>
      <c r="D16" s="11" t="s">
        <v>76</v>
      </c>
      <c r="E16" s="11" t="s">
        <v>77</v>
      </c>
      <c r="F16" s="11" t="s">
        <v>78</v>
      </c>
      <c r="G16" s="11" t="s">
        <v>78</v>
      </c>
      <c r="H16" s="11"/>
      <c r="I16" s="11" t="b">
        <v>0</v>
      </c>
      <c r="J16" s="11" t="b">
        <v>0</v>
      </c>
      <c r="K16" s="11" t="b">
        <v>0</v>
      </c>
      <c r="L16" s="11" t="b">
        <v>0</v>
      </c>
      <c r="M16" s="11" t="b">
        <v>0</v>
      </c>
      <c r="N16" s="11"/>
      <c r="O16" s="11"/>
      <c r="P16" s="11"/>
      <c r="Q16" s="11"/>
      <c r="R16" s="11" t="b">
        <v>0</v>
      </c>
      <c r="S16" s="11"/>
    </row>
    <row r="17" spans="1:19" x14ac:dyDescent="0.2">
      <c r="A17" s="11" t="s">
        <v>28</v>
      </c>
      <c r="B17" s="11" t="s">
        <v>86</v>
      </c>
      <c r="C17" s="11" t="s">
        <v>87</v>
      </c>
      <c r="D17" s="11" t="s">
        <v>76</v>
      </c>
      <c r="E17" s="11" t="s">
        <v>81</v>
      </c>
      <c r="F17" s="11" t="s">
        <v>78</v>
      </c>
      <c r="G17" s="11" t="s">
        <v>78</v>
      </c>
      <c r="H17" s="11"/>
      <c r="I17" s="11" t="b">
        <v>0</v>
      </c>
      <c r="J17" s="11" t="b">
        <v>0</v>
      </c>
      <c r="K17" s="11" t="b">
        <v>0</v>
      </c>
      <c r="L17" s="11" t="b">
        <v>0</v>
      </c>
      <c r="M17" s="11" t="b">
        <v>0</v>
      </c>
      <c r="N17" s="11"/>
      <c r="O17" s="11"/>
      <c r="P17" s="11"/>
      <c r="Q17" s="11"/>
      <c r="R17" s="11" t="b">
        <v>0</v>
      </c>
      <c r="S17" s="11"/>
    </row>
    <row r="18" spans="1:19" x14ac:dyDescent="0.2">
      <c r="A18" s="11" t="s">
        <v>28</v>
      </c>
      <c r="B18" s="11" t="s">
        <v>104</v>
      </c>
      <c r="C18" s="11" t="s">
        <v>89</v>
      </c>
      <c r="D18" s="11" t="s">
        <v>90</v>
      </c>
      <c r="E18" s="11" t="s">
        <v>77</v>
      </c>
      <c r="F18" s="11" t="s">
        <v>78</v>
      </c>
      <c r="G18" s="11" t="s">
        <v>78</v>
      </c>
      <c r="H18" s="11"/>
      <c r="I18" s="11" t="b">
        <v>0</v>
      </c>
      <c r="J18" s="11" t="b">
        <v>0</v>
      </c>
      <c r="K18" s="11" t="b">
        <v>0</v>
      </c>
      <c r="L18" s="11" t="b">
        <v>0</v>
      </c>
      <c r="M18" s="11" t="b">
        <v>0</v>
      </c>
      <c r="N18" s="11"/>
      <c r="O18" s="11"/>
      <c r="P18" s="11"/>
      <c r="Q18" s="11"/>
      <c r="R18" s="11" t="b">
        <v>0</v>
      </c>
      <c r="S18" s="11"/>
    </row>
    <row r="19" spans="1:19" x14ac:dyDescent="0.2">
      <c r="A19" s="11" t="s">
        <v>28</v>
      </c>
      <c r="B19" s="11" t="s">
        <v>32</v>
      </c>
      <c r="C19" s="11" t="s">
        <v>105</v>
      </c>
      <c r="D19" s="11" t="s">
        <v>76</v>
      </c>
      <c r="E19" s="11" t="s">
        <v>81</v>
      </c>
      <c r="F19" s="11" t="s">
        <v>78</v>
      </c>
      <c r="G19" s="11" t="s">
        <v>78</v>
      </c>
      <c r="H19" s="11"/>
      <c r="I19" s="11" t="b">
        <v>0</v>
      </c>
      <c r="J19" s="11" t="b">
        <v>1</v>
      </c>
      <c r="K19" s="11" t="b">
        <v>0</v>
      </c>
      <c r="L19" s="11" t="b">
        <v>0</v>
      </c>
      <c r="M19" s="11" t="b">
        <v>0</v>
      </c>
      <c r="N19" s="11"/>
      <c r="O19" s="11" t="s">
        <v>55</v>
      </c>
      <c r="P19" s="11" t="s">
        <v>93</v>
      </c>
      <c r="Q19" s="11" t="s">
        <v>94</v>
      </c>
      <c r="R19" s="11" t="b">
        <v>0</v>
      </c>
      <c r="S19" s="11"/>
    </row>
    <row r="20" spans="1:19" x14ac:dyDescent="0.2">
      <c r="A20" s="11" t="s">
        <v>28</v>
      </c>
      <c r="B20" s="11" t="s">
        <v>34</v>
      </c>
      <c r="C20" s="11" t="s">
        <v>106</v>
      </c>
      <c r="D20" s="11" t="s">
        <v>107</v>
      </c>
      <c r="E20" s="11" t="s">
        <v>77</v>
      </c>
      <c r="F20" s="11" t="s">
        <v>78</v>
      </c>
      <c r="G20" s="11" t="s">
        <v>78</v>
      </c>
      <c r="H20" s="11"/>
      <c r="I20" s="11" t="b">
        <v>0</v>
      </c>
      <c r="J20" s="11" t="b">
        <v>0</v>
      </c>
      <c r="K20" s="11" t="b">
        <v>0</v>
      </c>
      <c r="L20" s="11" t="b">
        <v>0</v>
      </c>
      <c r="M20" s="11" t="b">
        <v>0</v>
      </c>
      <c r="N20" s="11"/>
      <c r="O20" s="11"/>
      <c r="P20" s="11"/>
      <c r="Q20" s="11"/>
      <c r="R20" s="11" t="b">
        <v>0</v>
      </c>
      <c r="S20" s="11"/>
    </row>
    <row r="21" spans="1:19" x14ac:dyDescent="0.2">
      <c r="A21" s="11" t="s">
        <v>28</v>
      </c>
      <c r="B21" s="11" t="s">
        <v>98</v>
      </c>
      <c r="C21" s="11" t="s">
        <v>87</v>
      </c>
      <c r="D21" s="11" t="s">
        <v>76</v>
      </c>
      <c r="E21" s="11" t="s">
        <v>81</v>
      </c>
      <c r="F21" s="11" t="s">
        <v>78</v>
      </c>
      <c r="G21" s="11" t="s">
        <v>78</v>
      </c>
      <c r="H21" s="11"/>
      <c r="I21" s="11" t="b">
        <v>0</v>
      </c>
      <c r="J21" s="11" t="b">
        <v>0</v>
      </c>
      <c r="K21" s="11" t="b">
        <v>0</v>
      </c>
      <c r="L21" s="11" t="b">
        <v>0</v>
      </c>
      <c r="M21" s="11" t="b">
        <v>0</v>
      </c>
      <c r="N21" s="11"/>
      <c r="O21" s="11"/>
      <c r="P21" s="11"/>
      <c r="Q21" s="11"/>
      <c r="R21" s="11" t="b">
        <v>0</v>
      </c>
      <c r="S21" s="11"/>
    </row>
    <row r="22" spans="1:19" x14ac:dyDescent="0.2">
      <c r="A22" s="11" t="s">
        <v>28</v>
      </c>
      <c r="B22" s="11" t="s">
        <v>99</v>
      </c>
      <c r="C22" s="11" t="s">
        <v>100</v>
      </c>
      <c r="D22" s="11" t="s">
        <v>101</v>
      </c>
      <c r="E22" s="11" t="s">
        <v>77</v>
      </c>
      <c r="F22" s="11" t="s">
        <v>78</v>
      </c>
      <c r="G22" s="11" t="s">
        <v>78</v>
      </c>
      <c r="H22" s="11"/>
      <c r="I22" s="11" t="b">
        <v>0</v>
      </c>
      <c r="J22" s="11" t="b">
        <v>0</v>
      </c>
      <c r="K22" s="11" t="b">
        <v>0</v>
      </c>
      <c r="L22" s="11" t="b">
        <v>0</v>
      </c>
      <c r="M22" s="11" t="b">
        <v>0</v>
      </c>
      <c r="N22" s="11"/>
      <c r="O22" s="11"/>
      <c r="P22" s="11"/>
      <c r="Q22" s="11"/>
      <c r="R22" s="11" t="b">
        <v>0</v>
      </c>
      <c r="S22" s="11"/>
    </row>
    <row r="23" spans="1:19" x14ac:dyDescent="0.2">
      <c r="A23" s="11" t="s">
        <v>28</v>
      </c>
      <c r="B23" s="11" t="s">
        <v>102</v>
      </c>
      <c r="C23" s="11" t="s">
        <v>87</v>
      </c>
      <c r="D23" s="11" t="s">
        <v>76</v>
      </c>
      <c r="E23" s="11" t="s">
        <v>81</v>
      </c>
      <c r="F23" s="11" t="s">
        <v>78</v>
      </c>
      <c r="G23" s="11" t="s">
        <v>78</v>
      </c>
      <c r="H23" s="11"/>
      <c r="I23" s="11" t="b">
        <v>0</v>
      </c>
      <c r="J23" s="11" t="b">
        <v>0</v>
      </c>
      <c r="K23" s="11" t="b">
        <v>0</v>
      </c>
      <c r="L23" s="11" t="b">
        <v>0</v>
      </c>
      <c r="M23" s="11" t="b">
        <v>0</v>
      </c>
      <c r="N23" s="11"/>
      <c r="O23" s="11"/>
      <c r="P23" s="11"/>
      <c r="Q23" s="11"/>
      <c r="R23" s="11" t="b">
        <v>0</v>
      </c>
      <c r="S23" s="11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73"/>
  <sheetViews>
    <sheetView tabSelected="1" workbookViewId="0">
      <pane ySplit="1" topLeftCell="A2" activePane="bottomLeft" state="frozen"/>
      <selection pane="bottomLeft" activeCell="A2" sqref="A2:XFD73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0" t="s">
        <v>82</v>
      </c>
      <c r="B1" s="10" t="s">
        <v>84</v>
      </c>
      <c r="C1" s="10" t="s">
        <v>86</v>
      </c>
      <c r="D1" s="10" t="s">
        <v>88</v>
      </c>
      <c r="E1" s="10" t="s">
        <v>91</v>
      </c>
      <c r="F1" s="10" t="s">
        <v>95</v>
      </c>
      <c r="G1" s="10" t="s">
        <v>96</v>
      </c>
      <c r="H1" s="10" t="s">
        <v>98</v>
      </c>
      <c r="I1" s="10" t="s">
        <v>99</v>
      </c>
      <c r="J1" s="10" t="s">
        <v>102</v>
      </c>
    </row>
    <row r="2" spans="1:10" s="5" customFormat="1" x14ac:dyDescent="0.2">
      <c r="A2" s="4" t="s">
        <v>133</v>
      </c>
      <c r="B2" s="17" t="str">
        <f>IF([1]!sample_design[[#This Row],[Sample Design Name]]="","",SUBSTITUTE(SUBSTITUTE(TRIM(LOWER([1]!sample_design[[#This Row],[Sample Design Name]]))," ","_"),"-","_"))</f>
        <v>m9only</v>
      </c>
      <c r="C2" s="17"/>
      <c r="D2" s="4"/>
      <c r="E2" s="4"/>
      <c r="F2" s="4" t="s">
        <v>118</v>
      </c>
      <c r="G2" s="14"/>
      <c r="H2" s="17"/>
      <c r="I2" s="4"/>
      <c r="J2" s="17"/>
    </row>
    <row r="3" spans="1:10" s="5" customFormat="1" x14ac:dyDescent="0.2">
      <c r="A3" s="5" t="s">
        <v>134</v>
      </c>
      <c r="B3" s="5" t="str">
        <f>IF([1]!sample_design[[#This Row],[Sample Design Name]]="","",SUBSTITUTE(SUBSTITUTE(TRIM(LOWER([1]!sample_design[[#This Row],[Sample Design Name]]))," ","_"),"-","_"))</f>
        <v>mg1655_dlac_align_vanr_301_m9</v>
      </c>
      <c r="C3" s="18"/>
      <c r="E3" s="5" t="s">
        <v>108</v>
      </c>
      <c r="F3" s="5" t="s">
        <v>118</v>
      </c>
      <c r="G3" s="14"/>
      <c r="H3" s="18"/>
      <c r="J3" s="18"/>
    </row>
    <row r="4" spans="1:10" s="5" customFormat="1" x14ac:dyDescent="0.2">
      <c r="A4" s="5" t="s">
        <v>135</v>
      </c>
      <c r="B4" s="5" t="str">
        <f>IF([1]!sample_design[[#This Row],[Sample Design Name]]="","",SUBSTITUTE(SUBSTITUTE(TRIM(LOWER([1]!sample_design[[#This Row],[Sample Design Name]]))," ","_"),"-","_"))</f>
        <v>mg1655_dlac_p150_r1_5_vanr_wt_pvanr_m9</v>
      </c>
      <c r="C4" s="18"/>
      <c r="E4" s="5" t="s">
        <v>110</v>
      </c>
      <c r="F4" s="5" t="s">
        <v>118</v>
      </c>
      <c r="G4" s="14"/>
      <c r="H4" s="18"/>
      <c r="J4" s="18"/>
    </row>
    <row r="5" spans="1:10" s="5" customFormat="1" x14ac:dyDescent="0.2">
      <c r="A5" s="5" t="s">
        <v>136</v>
      </c>
      <c r="B5" s="5" t="str">
        <f>IF([1]!sample_design[[#This Row],[Sample Design Name]]="","",SUBSTITUTE(SUBSTITUTE(TRIM(LOWER([1]!sample_design[[#This Row],[Sample Design Name]]))," ","_"),"-","_"))</f>
        <v>mg1655_dlac_pbcd_nofp_m9</v>
      </c>
      <c r="C5" s="18"/>
      <c r="E5" s="5" t="s">
        <v>112</v>
      </c>
      <c r="F5" s="5" t="s">
        <v>118</v>
      </c>
      <c r="G5" s="14"/>
      <c r="H5" s="18"/>
      <c r="J5" s="18"/>
    </row>
    <row r="6" spans="1:10" s="5" customFormat="1" x14ac:dyDescent="0.2">
      <c r="A6" s="5" t="s">
        <v>137</v>
      </c>
      <c r="B6" s="5" t="str">
        <f>IF([1]!sample_design[[#This Row],[Sample Design Name]]="","",SUBSTITUTE(SUBSTITUTE(TRIM(LOWER([1]!sample_design[[#This Row],[Sample Design Name]]))," ","_"),"-","_"))</f>
        <v>mg1655_dlac_pvanr_am_a1t_mscar_m9</v>
      </c>
      <c r="C6" s="18"/>
      <c r="E6" s="5" t="s">
        <v>114</v>
      </c>
      <c r="F6" s="5" t="s">
        <v>118</v>
      </c>
      <c r="G6" s="14"/>
      <c r="H6" s="18"/>
      <c r="J6" s="18"/>
    </row>
    <row r="7" spans="1:10" s="5" customFormat="1" x14ac:dyDescent="0.2">
      <c r="A7" s="5" t="s">
        <v>138</v>
      </c>
      <c r="B7" s="5" t="str">
        <f>IF([1]!sample_design[[#This Row],[Sample Design Name]]="","",SUBSTITUTE(SUBSTITUTE(TRIM(LOWER([1]!sample_design[[#This Row],[Sample Design Name]]))," ","_"),"-","_"))</f>
        <v>mg1655_dlac_pvanr_am_t2a_mscar_m9</v>
      </c>
      <c r="C7" s="18"/>
      <c r="E7" s="5" t="s">
        <v>116</v>
      </c>
      <c r="F7" s="5" t="s">
        <v>118</v>
      </c>
      <c r="G7" s="14"/>
      <c r="H7" s="18"/>
      <c r="J7" s="18"/>
    </row>
    <row r="8" spans="1:10" s="5" customFormat="1" x14ac:dyDescent="0.2">
      <c r="A8" s="4" t="s">
        <v>139</v>
      </c>
      <c r="B8" s="5" t="str">
        <f>IF([1]!sample_design[[#This Row],[Sample Design Name]]="","",SUBSTITUTE(SUBSTITUTE(TRIM(LOWER([1]!sample_design[[#This Row],[Sample Design Name]]))," ","_"),"-","_"))</f>
        <v>m9only_van_24</v>
      </c>
      <c r="C8" s="19"/>
      <c r="D8" s="14"/>
      <c r="E8" s="14"/>
      <c r="F8" s="14" t="s">
        <v>118</v>
      </c>
      <c r="G8" s="14" t="s">
        <v>122</v>
      </c>
      <c r="H8" s="19"/>
      <c r="I8" s="14"/>
      <c r="J8" s="19"/>
    </row>
    <row r="9" spans="1:10" s="5" customFormat="1" x14ac:dyDescent="0.2">
      <c r="A9" s="5" t="s">
        <v>140</v>
      </c>
      <c r="B9" s="5" t="str">
        <f>IF([1]!sample_design[[#This Row],[Sample Design Name]]="","",SUBSTITUTE(SUBSTITUTE(TRIM(LOWER([1]!sample_design[[#This Row],[Sample Design Name]]))," ","_"),"-","_"))</f>
        <v>mg1655_dlac_align_vanr_301_m9_van_24</v>
      </c>
      <c r="C9" s="19"/>
      <c r="D9" s="14"/>
      <c r="E9" s="14" t="s">
        <v>108</v>
      </c>
      <c r="F9" s="14" t="s">
        <v>118</v>
      </c>
      <c r="G9" s="14" t="s">
        <v>122</v>
      </c>
      <c r="H9" s="19"/>
      <c r="I9" s="14"/>
      <c r="J9" s="19"/>
    </row>
    <row r="10" spans="1:10" s="5" customFormat="1" x14ac:dyDescent="0.2">
      <c r="A10" s="5" t="s">
        <v>141</v>
      </c>
      <c r="B10" s="5" t="str">
        <f>IF([1]!sample_design[[#This Row],[Sample Design Name]]="","",SUBSTITUTE(SUBSTITUTE(TRIM(LOWER([1]!sample_design[[#This Row],[Sample Design Name]]))," ","_"),"-","_"))</f>
        <v>mg1655_dlac_p150_r1_5_vanr_wt_pvanr_m9_van_24</v>
      </c>
      <c r="C10" s="19"/>
      <c r="D10" s="14"/>
      <c r="E10" s="14" t="s">
        <v>110</v>
      </c>
      <c r="F10" s="14" t="s">
        <v>118</v>
      </c>
      <c r="G10" s="14" t="s">
        <v>122</v>
      </c>
      <c r="H10" s="19"/>
      <c r="I10" s="14"/>
      <c r="J10" s="19"/>
    </row>
    <row r="11" spans="1:10" s="5" customFormat="1" x14ac:dyDescent="0.2">
      <c r="A11" s="5" t="s">
        <v>142</v>
      </c>
      <c r="B11" s="5" t="str">
        <f>IF([1]!sample_design[[#This Row],[Sample Design Name]]="","",SUBSTITUTE(SUBSTITUTE(TRIM(LOWER([1]!sample_design[[#This Row],[Sample Design Name]]))," ","_"),"-","_"))</f>
        <v>mg1655_dlac_pbcd_nofp_m9_van_24</v>
      </c>
      <c r="C11" s="19"/>
      <c r="D11" s="14"/>
      <c r="E11" s="14" t="s">
        <v>112</v>
      </c>
      <c r="F11" s="14" t="s">
        <v>118</v>
      </c>
      <c r="G11" s="14" t="s">
        <v>122</v>
      </c>
      <c r="H11" s="19"/>
      <c r="I11" s="14"/>
      <c r="J11" s="19"/>
    </row>
    <row r="12" spans="1:10" s="5" customFormat="1" x14ac:dyDescent="0.2">
      <c r="A12" s="5" t="s">
        <v>143</v>
      </c>
      <c r="B12" s="5" t="str">
        <f>IF([1]!sample_design[[#This Row],[Sample Design Name]]="","",SUBSTITUTE(SUBSTITUTE(TRIM(LOWER([1]!sample_design[[#This Row],[Sample Design Name]]))," ","_"),"-","_"))</f>
        <v>mg1655_dlac_pvanr_am_a1t_mscar_m9_van_24</v>
      </c>
      <c r="C12" s="19"/>
      <c r="D12" s="14"/>
      <c r="E12" s="14" t="s">
        <v>114</v>
      </c>
      <c r="F12" s="14" t="s">
        <v>118</v>
      </c>
      <c r="G12" s="14" t="s">
        <v>122</v>
      </c>
      <c r="H12" s="19"/>
      <c r="I12" s="14"/>
      <c r="J12" s="19"/>
    </row>
    <row r="13" spans="1:10" s="5" customFormat="1" x14ac:dyDescent="0.2">
      <c r="A13" s="5" t="s">
        <v>144</v>
      </c>
      <c r="B13" s="14" t="str">
        <f>IF([1]!sample_design[[#This Row],[Sample Design Name]]="","",SUBSTITUTE(SUBSTITUTE(TRIM(LOWER([1]!sample_design[[#This Row],[Sample Design Name]]))," ","_"),"-","_"))</f>
        <v>mg1655_dlac_pvanr_am_t2a_mscar_m9_van_24</v>
      </c>
      <c r="C13" s="19"/>
      <c r="D13" s="14"/>
      <c r="E13" s="14" t="s">
        <v>116</v>
      </c>
      <c r="F13" s="14" t="s">
        <v>118</v>
      </c>
      <c r="G13" s="14" t="s">
        <v>122</v>
      </c>
      <c r="H13" s="19"/>
      <c r="I13" s="14"/>
      <c r="J13" s="19"/>
    </row>
    <row r="14" spans="1:10" s="5" customFormat="1" x14ac:dyDescent="0.2">
      <c r="A14" s="4" t="s">
        <v>145</v>
      </c>
      <c r="B14" s="5" t="str">
        <f>IF([1]!sample_design[[#This Row],[Sample Design Name]]="","",SUBSTITUTE(SUBSTITUTE(TRIM(LOWER([1]!sample_design[[#This Row],[Sample Design Name]]))," ","_"),"-","_"))</f>
        <v>m9only_van_49</v>
      </c>
      <c r="C14" s="19"/>
      <c r="D14" s="14"/>
      <c r="E14" s="14"/>
      <c r="F14" s="14" t="s">
        <v>118</v>
      </c>
      <c r="G14" s="14" t="s">
        <v>123</v>
      </c>
      <c r="H14" s="19"/>
      <c r="I14" s="14"/>
      <c r="J14" s="19"/>
    </row>
    <row r="15" spans="1:10" s="5" customFormat="1" x14ac:dyDescent="0.2">
      <c r="A15" s="5" t="s">
        <v>146</v>
      </c>
      <c r="B15" s="5" t="str">
        <f>IF([1]!sample_design[[#This Row],[Sample Design Name]]="","",SUBSTITUTE(SUBSTITUTE(TRIM(LOWER([1]!sample_design[[#This Row],[Sample Design Name]]))," ","_"),"-","_"))</f>
        <v>mg1655_dlac_align_vanr_301_m9_van_49</v>
      </c>
      <c r="C15" s="19"/>
      <c r="D15" s="14"/>
      <c r="E15" s="14" t="s">
        <v>108</v>
      </c>
      <c r="F15" s="14" t="s">
        <v>118</v>
      </c>
      <c r="G15" s="14" t="s">
        <v>123</v>
      </c>
      <c r="H15" s="19"/>
      <c r="I15" s="14"/>
      <c r="J15" s="19"/>
    </row>
    <row r="16" spans="1:10" s="5" customFormat="1" x14ac:dyDescent="0.2">
      <c r="A16" s="5" t="s">
        <v>147</v>
      </c>
      <c r="B16" s="5" t="str">
        <f>IF([1]!sample_design[[#This Row],[Sample Design Name]]="","",SUBSTITUTE(SUBSTITUTE(TRIM(LOWER([1]!sample_design[[#This Row],[Sample Design Name]]))," ","_"),"-","_"))</f>
        <v>mg1655_dlac_p150_r1_5_vanr_wt_pvanr_m9_van_49</v>
      </c>
      <c r="C16" s="19"/>
      <c r="D16" s="14"/>
      <c r="E16" s="14" t="s">
        <v>110</v>
      </c>
      <c r="F16" s="14" t="s">
        <v>118</v>
      </c>
      <c r="G16" s="14" t="s">
        <v>123</v>
      </c>
      <c r="H16" s="19"/>
      <c r="I16" s="14"/>
      <c r="J16" s="19"/>
    </row>
    <row r="17" spans="1:10" s="5" customFormat="1" x14ac:dyDescent="0.2">
      <c r="A17" s="5" t="s">
        <v>148</v>
      </c>
      <c r="B17" s="5" t="str">
        <f>IF([1]!sample_design[[#This Row],[Sample Design Name]]="","",SUBSTITUTE(SUBSTITUTE(TRIM(LOWER([1]!sample_design[[#This Row],[Sample Design Name]]))," ","_"),"-","_"))</f>
        <v>mg1655_dlac_pbcd_nofp_m9_van_49</v>
      </c>
      <c r="C17" s="19"/>
      <c r="D17" s="14"/>
      <c r="E17" s="14" t="s">
        <v>112</v>
      </c>
      <c r="F17" s="14" t="s">
        <v>118</v>
      </c>
      <c r="G17" s="14" t="s">
        <v>123</v>
      </c>
      <c r="H17" s="19"/>
      <c r="I17" s="14"/>
      <c r="J17" s="19"/>
    </row>
    <row r="18" spans="1:10" s="5" customFormat="1" x14ac:dyDescent="0.2">
      <c r="A18" s="5" t="s">
        <v>149</v>
      </c>
      <c r="B18" s="5" t="str">
        <f>IF([1]!sample_design[[#This Row],[Sample Design Name]]="","",SUBSTITUTE(SUBSTITUTE(TRIM(LOWER([1]!sample_design[[#This Row],[Sample Design Name]]))," ","_"),"-","_"))</f>
        <v>mg1655_dlac_pvanr_am_a1t_mscar_m9_van_49</v>
      </c>
      <c r="C18" s="19"/>
      <c r="D18" s="14"/>
      <c r="E18" s="14" t="s">
        <v>114</v>
      </c>
      <c r="F18" s="14" t="s">
        <v>118</v>
      </c>
      <c r="G18" s="14" t="s">
        <v>123</v>
      </c>
      <c r="H18" s="19"/>
      <c r="I18" s="14"/>
      <c r="J18" s="19"/>
    </row>
    <row r="19" spans="1:10" s="5" customFormat="1" x14ac:dyDescent="0.2">
      <c r="A19" s="5" t="s">
        <v>150</v>
      </c>
      <c r="B19" s="14" t="str">
        <f>IF([1]!sample_design[[#This Row],[Sample Design Name]]="","",SUBSTITUTE(SUBSTITUTE(TRIM(LOWER([1]!sample_design[[#This Row],[Sample Design Name]]))," ","_"),"-","_"))</f>
        <v>mg1655_dlac_pvanr_am_t2a_mscar_m9_van_49</v>
      </c>
      <c r="C19" s="19"/>
      <c r="D19" s="14"/>
      <c r="E19" s="14" t="s">
        <v>116</v>
      </c>
      <c r="F19" s="14" t="s">
        <v>118</v>
      </c>
      <c r="G19" s="14" t="s">
        <v>123</v>
      </c>
      <c r="H19" s="19"/>
      <c r="I19" s="14"/>
      <c r="J19" s="19"/>
    </row>
    <row r="20" spans="1:10" s="5" customFormat="1" x14ac:dyDescent="0.2">
      <c r="A20" s="4" t="s">
        <v>151</v>
      </c>
      <c r="B20" s="5" t="str">
        <f>IF([1]!sample_design[[#This Row],[Sample Design Name]]="","",SUBSTITUTE(SUBSTITUTE(TRIM(LOWER([1]!sample_design[[#This Row],[Sample Design Name]]))," ","_"),"-","_"))</f>
        <v>m9only_van_98</v>
      </c>
      <c r="C20" s="19"/>
      <c r="D20" s="14"/>
      <c r="E20" s="14"/>
      <c r="F20" s="14" t="s">
        <v>118</v>
      </c>
      <c r="G20" s="14" t="s">
        <v>124</v>
      </c>
      <c r="H20" s="19"/>
      <c r="I20" s="14"/>
      <c r="J20" s="19"/>
    </row>
    <row r="21" spans="1:10" s="5" customFormat="1" x14ac:dyDescent="0.2">
      <c r="A21" s="5" t="s">
        <v>152</v>
      </c>
      <c r="B21" s="5" t="str">
        <f>IF([1]!sample_design[[#This Row],[Sample Design Name]]="","",SUBSTITUTE(SUBSTITUTE(TRIM(LOWER([1]!sample_design[[#This Row],[Sample Design Name]]))," ","_"),"-","_"))</f>
        <v>mg1655_dlac_align_vanr_301_m9_van_98</v>
      </c>
      <c r="C21" s="19"/>
      <c r="D21" s="14"/>
      <c r="E21" s="14" t="s">
        <v>108</v>
      </c>
      <c r="F21" s="14" t="s">
        <v>118</v>
      </c>
      <c r="G21" s="14" t="s">
        <v>124</v>
      </c>
      <c r="H21" s="19"/>
      <c r="I21" s="14"/>
      <c r="J21" s="19"/>
    </row>
    <row r="22" spans="1:10" s="5" customFormat="1" x14ac:dyDescent="0.2">
      <c r="A22" s="5" t="s">
        <v>153</v>
      </c>
      <c r="B22" s="5" t="str">
        <f>IF([1]!sample_design[[#This Row],[Sample Design Name]]="","",SUBSTITUTE(SUBSTITUTE(TRIM(LOWER([1]!sample_design[[#This Row],[Sample Design Name]]))," ","_"),"-","_"))</f>
        <v>mg1655_dlac_p150_r1_5_vanr_wt_pvanr_m9_van_98</v>
      </c>
      <c r="C22" s="19"/>
      <c r="D22" s="14"/>
      <c r="E22" s="14" t="s">
        <v>110</v>
      </c>
      <c r="F22" s="14" t="s">
        <v>118</v>
      </c>
      <c r="G22" s="14" t="s">
        <v>124</v>
      </c>
      <c r="H22" s="19"/>
      <c r="I22" s="14"/>
      <c r="J22" s="19"/>
    </row>
    <row r="23" spans="1:10" s="5" customFormat="1" x14ac:dyDescent="0.2">
      <c r="A23" s="5" t="s">
        <v>154</v>
      </c>
      <c r="B23" s="5" t="str">
        <f>IF([1]!sample_design[[#This Row],[Sample Design Name]]="","",SUBSTITUTE(SUBSTITUTE(TRIM(LOWER([1]!sample_design[[#This Row],[Sample Design Name]]))," ","_"),"-","_"))</f>
        <v>mg1655_dlac_pbcd_nofp_m9_van_98</v>
      </c>
      <c r="C23" s="19"/>
      <c r="D23" s="14"/>
      <c r="E23" s="14" t="s">
        <v>112</v>
      </c>
      <c r="F23" s="14" t="s">
        <v>118</v>
      </c>
      <c r="G23" s="14" t="s">
        <v>124</v>
      </c>
      <c r="H23" s="19"/>
      <c r="I23" s="14"/>
      <c r="J23" s="19"/>
    </row>
    <row r="24" spans="1:10" s="5" customFormat="1" x14ac:dyDescent="0.2">
      <c r="A24" s="5" t="s">
        <v>155</v>
      </c>
      <c r="B24" s="5" t="str">
        <f>IF([1]!sample_design[[#This Row],[Sample Design Name]]="","",SUBSTITUTE(SUBSTITUTE(TRIM(LOWER([1]!sample_design[[#This Row],[Sample Design Name]]))," ","_"),"-","_"))</f>
        <v>mg1655_dlac_pvanr_am_a1t_mscar_m9_van_98</v>
      </c>
      <c r="C24" s="19"/>
      <c r="D24" s="14"/>
      <c r="E24" s="14" t="s">
        <v>114</v>
      </c>
      <c r="F24" s="14" t="s">
        <v>118</v>
      </c>
      <c r="G24" s="14" t="s">
        <v>124</v>
      </c>
      <c r="H24" s="19"/>
      <c r="I24" s="14"/>
      <c r="J24" s="19"/>
    </row>
    <row r="25" spans="1:10" s="5" customFormat="1" x14ac:dyDescent="0.2">
      <c r="A25" s="5" t="s">
        <v>156</v>
      </c>
      <c r="B25" s="14" t="str">
        <f>IF([1]!sample_design[[#This Row],[Sample Design Name]]="","",SUBSTITUTE(SUBSTITUTE(TRIM(LOWER([1]!sample_design[[#This Row],[Sample Design Name]]))," ","_"),"-","_"))</f>
        <v>mg1655_dlac_pvanr_am_t2a_mscar_m9_van_98</v>
      </c>
      <c r="C25" s="19"/>
      <c r="D25" s="14"/>
      <c r="E25" s="14" t="s">
        <v>116</v>
      </c>
      <c r="F25" s="14" t="s">
        <v>118</v>
      </c>
      <c r="G25" s="14" t="s">
        <v>124</v>
      </c>
      <c r="H25" s="19"/>
      <c r="I25" s="14"/>
      <c r="J25" s="19"/>
    </row>
    <row r="26" spans="1:10" s="5" customFormat="1" x14ac:dyDescent="0.2">
      <c r="A26" s="4" t="s">
        <v>157</v>
      </c>
      <c r="B26" s="5" t="str">
        <f>IF([1]!sample_design[[#This Row],[Sample Design Name]]="","",SUBSTITUTE(SUBSTITUTE(TRIM(LOWER([1]!sample_design[[#This Row],[Sample Design Name]]))," ","_"),"-","_"))</f>
        <v>m9only_van_195</v>
      </c>
      <c r="C26" s="19"/>
      <c r="D26" s="14"/>
      <c r="E26" s="14"/>
      <c r="F26" s="14" t="s">
        <v>118</v>
      </c>
      <c r="G26" s="14" t="s">
        <v>125</v>
      </c>
      <c r="H26" s="19"/>
      <c r="I26" s="14"/>
      <c r="J26" s="19"/>
    </row>
    <row r="27" spans="1:10" s="5" customFormat="1" x14ac:dyDescent="0.2">
      <c r="A27" s="5" t="s">
        <v>158</v>
      </c>
      <c r="B27" s="5" t="str">
        <f>IF([1]!sample_design[[#This Row],[Sample Design Name]]="","",SUBSTITUTE(SUBSTITUTE(TRIM(LOWER([1]!sample_design[[#This Row],[Sample Design Name]]))," ","_"),"-","_"))</f>
        <v>mg1655_dlac_align_vanr_301_m9_van_195</v>
      </c>
      <c r="C27" s="19"/>
      <c r="D27" s="14"/>
      <c r="E27" s="14" t="s">
        <v>108</v>
      </c>
      <c r="F27" s="14" t="s">
        <v>118</v>
      </c>
      <c r="G27" s="14" t="s">
        <v>125</v>
      </c>
      <c r="H27" s="19"/>
      <c r="I27" s="14"/>
      <c r="J27" s="19"/>
    </row>
    <row r="28" spans="1:10" s="5" customFormat="1" x14ac:dyDescent="0.2">
      <c r="A28" s="5" t="s">
        <v>159</v>
      </c>
      <c r="B28" s="5" t="str">
        <f>IF([1]!sample_design[[#This Row],[Sample Design Name]]="","",SUBSTITUTE(SUBSTITUTE(TRIM(LOWER([1]!sample_design[[#This Row],[Sample Design Name]]))," ","_"),"-","_"))</f>
        <v>mg1655_dlac_p150_r1_5_vanr_wt_pvanr_m9_van_195</v>
      </c>
      <c r="C28" s="19"/>
      <c r="D28" s="14"/>
      <c r="E28" s="14" t="s">
        <v>110</v>
      </c>
      <c r="F28" s="14" t="s">
        <v>118</v>
      </c>
      <c r="G28" s="14" t="s">
        <v>125</v>
      </c>
      <c r="H28" s="19"/>
      <c r="I28" s="14"/>
      <c r="J28" s="19"/>
    </row>
    <row r="29" spans="1:10" s="5" customFormat="1" x14ac:dyDescent="0.2">
      <c r="A29" s="5" t="s">
        <v>160</v>
      </c>
      <c r="B29" s="5" t="str">
        <f>IF([1]!sample_design[[#This Row],[Sample Design Name]]="","",SUBSTITUTE(SUBSTITUTE(TRIM(LOWER([1]!sample_design[[#This Row],[Sample Design Name]]))," ","_"),"-","_"))</f>
        <v>mg1655_dlac_pbcd_nofp_m9_van_195</v>
      </c>
      <c r="C29" s="19"/>
      <c r="D29" s="14"/>
      <c r="E29" s="14" t="s">
        <v>112</v>
      </c>
      <c r="F29" s="14" t="s">
        <v>118</v>
      </c>
      <c r="G29" s="14" t="s">
        <v>125</v>
      </c>
      <c r="H29" s="19"/>
      <c r="I29" s="14"/>
      <c r="J29" s="19"/>
    </row>
    <row r="30" spans="1:10" s="5" customFormat="1" x14ac:dyDescent="0.2">
      <c r="A30" s="5" t="s">
        <v>161</v>
      </c>
      <c r="B30" s="5" t="str">
        <f>IF([1]!sample_design[[#This Row],[Sample Design Name]]="","",SUBSTITUTE(SUBSTITUTE(TRIM(LOWER([1]!sample_design[[#This Row],[Sample Design Name]]))," ","_"),"-","_"))</f>
        <v>mg1655_dlac_pvanr_am_a1t_mscar_m9_van_195</v>
      </c>
      <c r="C30" s="19"/>
      <c r="D30" s="14"/>
      <c r="E30" s="14" t="s">
        <v>114</v>
      </c>
      <c r="F30" s="14" t="s">
        <v>118</v>
      </c>
      <c r="G30" s="14" t="s">
        <v>125</v>
      </c>
      <c r="H30" s="19"/>
      <c r="I30" s="14"/>
      <c r="J30" s="19"/>
    </row>
    <row r="31" spans="1:10" s="5" customFormat="1" x14ac:dyDescent="0.2">
      <c r="A31" s="5" t="s">
        <v>162</v>
      </c>
      <c r="B31" s="14" t="str">
        <f>IF([1]!sample_design[[#This Row],[Sample Design Name]]="","",SUBSTITUTE(SUBSTITUTE(TRIM(LOWER([1]!sample_design[[#This Row],[Sample Design Name]]))," ","_"),"-","_"))</f>
        <v>mg1655_dlac_pvanr_am_t2a_mscar_m9_van_195</v>
      </c>
      <c r="C31" s="19"/>
      <c r="D31" s="14"/>
      <c r="E31" s="14" t="s">
        <v>116</v>
      </c>
      <c r="F31" s="14" t="s">
        <v>118</v>
      </c>
      <c r="G31" s="14" t="s">
        <v>125</v>
      </c>
      <c r="H31" s="19"/>
      <c r="I31" s="14"/>
      <c r="J31" s="19"/>
    </row>
    <row r="32" spans="1:10" s="5" customFormat="1" x14ac:dyDescent="0.2">
      <c r="A32" s="4" t="s">
        <v>163</v>
      </c>
      <c r="B32" s="5" t="str">
        <f>IF([1]!sample_design[[#This Row],[Sample Design Name]]="","",SUBSTITUTE(SUBSTITUTE(TRIM(LOWER([1]!sample_design[[#This Row],[Sample Design Name]]))," ","_"),"-","_"))</f>
        <v>m9only_van_391</v>
      </c>
      <c r="C32" s="19"/>
      <c r="D32" s="14"/>
      <c r="E32" s="14"/>
      <c r="F32" s="14" t="s">
        <v>118</v>
      </c>
      <c r="G32" s="14" t="s">
        <v>126</v>
      </c>
      <c r="H32" s="19"/>
      <c r="I32" s="14"/>
      <c r="J32" s="19"/>
    </row>
    <row r="33" spans="1:10" s="5" customFormat="1" x14ac:dyDescent="0.2">
      <c r="A33" s="5" t="s">
        <v>164</v>
      </c>
      <c r="B33" s="5" t="str">
        <f>IF([1]!sample_design[[#This Row],[Sample Design Name]]="","",SUBSTITUTE(SUBSTITUTE(TRIM(LOWER([1]!sample_design[[#This Row],[Sample Design Name]]))," ","_"),"-","_"))</f>
        <v>mg1655_dlac_align_vanr_301_m9_van_391</v>
      </c>
      <c r="C33" s="19"/>
      <c r="D33" s="14"/>
      <c r="E33" s="14" t="s">
        <v>108</v>
      </c>
      <c r="F33" s="14" t="s">
        <v>118</v>
      </c>
      <c r="G33" s="14" t="s">
        <v>126</v>
      </c>
      <c r="H33" s="19"/>
      <c r="I33" s="14"/>
      <c r="J33" s="19"/>
    </row>
    <row r="34" spans="1:10" s="5" customFormat="1" x14ac:dyDescent="0.2">
      <c r="A34" s="5" t="s">
        <v>165</v>
      </c>
      <c r="B34" s="5" t="str">
        <f>IF([1]!sample_design[[#This Row],[Sample Design Name]]="","",SUBSTITUTE(SUBSTITUTE(TRIM(LOWER([1]!sample_design[[#This Row],[Sample Design Name]]))," ","_"),"-","_"))</f>
        <v>mg1655_dlac_p150_r1_5_vanr_wt_pvanr_m9_van_391</v>
      </c>
      <c r="C34" s="19"/>
      <c r="D34" s="14"/>
      <c r="E34" s="14" t="s">
        <v>110</v>
      </c>
      <c r="F34" s="14" t="s">
        <v>118</v>
      </c>
      <c r="G34" s="14" t="s">
        <v>126</v>
      </c>
      <c r="H34" s="19"/>
      <c r="I34" s="14"/>
      <c r="J34" s="19"/>
    </row>
    <row r="35" spans="1:10" s="5" customFormat="1" x14ac:dyDescent="0.2">
      <c r="A35" s="5" t="s">
        <v>166</v>
      </c>
      <c r="B35" s="5" t="str">
        <f>IF([1]!sample_design[[#This Row],[Sample Design Name]]="","",SUBSTITUTE(SUBSTITUTE(TRIM(LOWER([1]!sample_design[[#This Row],[Sample Design Name]]))," ","_"),"-","_"))</f>
        <v>mg1655_dlac_pbcd_nofp_m9_van_391</v>
      </c>
      <c r="C35" s="19"/>
      <c r="D35" s="14"/>
      <c r="E35" s="14" t="s">
        <v>112</v>
      </c>
      <c r="F35" s="14" t="s">
        <v>118</v>
      </c>
      <c r="G35" s="14" t="s">
        <v>126</v>
      </c>
      <c r="H35" s="19"/>
      <c r="I35" s="14"/>
      <c r="J35" s="19"/>
    </row>
    <row r="36" spans="1:10" s="5" customFormat="1" x14ac:dyDescent="0.2">
      <c r="A36" s="5" t="s">
        <v>167</v>
      </c>
      <c r="B36" s="5" t="str">
        <f>IF([1]!sample_design[[#This Row],[Sample Design Name]]="","",SUBSTITUTE(SUBSTITUTE(TRIM(LOWER([1]!sample_design[[#This Row],[Sample Design Name]]))," ","_"),"-","_"))</f>
        <v>mg1655_dlac_pvanr_am_a1t_mscar_m9_van_391</v>
      </c>
      <c r="C36" s="19"/>
      <c r="D36" s="14"/>
      <c r="E36" s="14" t="s">
        <v>114</v>
      </c>
      <c r="F36" s="14" t="s">
        <v>118</v>
      </c>
      <c r="G36" s="14" t="s">
        <v>126</v>
      </c>
      <c r="H36" s="19"/>
      <c r="I36" s="14"/>
      <c r="J36" s="19"/>
    </row>
    <row r="37" spans="1:10" s="5" customFormat="1" x14ac:dyDescent="0.2">
      <c r="A37" s="5" t="s">
        <v>168</v>
      </c>
      <c r="B37" s="14" t="str">
        <f>IF([1]!sample_design[[#This Row],[Sample Design Name]]="","",SUBSTITUTE(SUBSTITUTE(TRIM(LOWER([1]!sample_design[[#This Row],[Sample Design Name]]))," ","_"),"-","_"))</f>
        <v>mg1655_dlac_pvanr_am_t2a_mscar_m9_van_391</v>
      </c>
      <c r="C37" s="19"/>
      <c r="D37" s="14"/>
      <c r="E37" s="14" t="s">
        <v>116</v>
      </c>
      <c r="F37" s="14" t="s">
        <v>118</v>
      </c>
      <c r="G37" s="14" t="s">
        <v>126</v>
      </c>
      <c r="H37" s="19"/>
      <c r="I37" s="14"/>
      <c r="J37" s="19"/>
    </row>
    <row r="38" spans="1:10" s="5" customFormat="1" x14ac:dyDescent="0.2">
      <c r="A38" s="4" t="s">
        <v>169</v>
      </c>
      <c r="B38" s="5" t="str">
        <f>IF([1]!sample_design[[#This Row],[Sample Design Name]]="","",SUBSTITUTE(SUBSTITUTE(TRIM(LOWER([1]!sample_design[[#This Row],[Sample Design Name]]))," ","_"),"-","_"))</f>
        <v>m9only_van_781</v>
      </c>
      <c r="C38" s="19"/>
      <c r="D38" s="14"/>
      <c r="E38" s="14"/>
      <c r="F38" s="14" t="s">
        <v>118</v>
      </c>
      <c r="G38" s="14" t="s">
        <v>127</v>
      </c>
      <c r="H38" s="19"/>
      <c r="I38" s="14"/>
      <c r="J38" s="19"/>
    </row>
    <row r="39" spans="1:10" s="5" customFormat="1" x14ac:dyDescent="0.2">
      <c r="A39" s="5" t="s">
        <v>170</v>
      </c>
      <c r="B39" s="5" t="str">
        <f>IF([1]!sample_design[[#This Row],[Sample Design Name]]="","",SUBSTITUTE(SUBSTITUTE(TRIM(LOWER([1]!sample_design[[#This Row],[Sample Design Name]]))," ","_"),"-","_"))</f>
        <v>mg1655_dlac_align_vanr_301_m9_van_781</v>
      </c>
      <c r="C39" s="19"/>
      <c r="D39" s="14"/>
      <c r="E39" s="14" t="s">
        <v>108</v>
      </c>
      <c r="F39" s="14" t="s">
        <v>118</v>
      </c>
      <c r="G39" s="14" t="s">
        <v>127</v>
      </c>
      <c r="H39" s="19"/>
      <c r="I39" s="14"/>
      <c r="J39" s="19"/>
    </row>
    <row r="40" spans="1:10" s="5" customFormat="1" x14ac:dyDescent="0.2">
      <c r="A40" s="5" t="s">
        <v>171</v>
      </c>
      <c r="B40" s="5" t="str">
        <f>IF([1]!sample_design[[#This Row],[Sample Design Name]]="","",SUBSTITUTE(SUBSTITUTE(TRIM(LOWER([1]!sample_design[[#This Row],[Sample Design Name]]))," ","_"),"-","_"))</f>
        <v>mg1655_dlac_p150_r1_5_vanr_wt_pvanr_m9_van_781</v>
      </c>
      <c r="C40" s="19"/>
      <c r="D40" s="14"/>
      <c r="E40" s="14" t="s">
        <v>110</v>
      </c>
      <c r="F40" s="14" t="s">
        <v>118</v>
      </c>
      <c r="G40" s="14" t="s">
        <v>127</v>
      </c>
      <c r="H40" s="19"/>
      <c r="I40" s="14"/>
      <c r="J40" s="19"/>
    </row>
    <row r="41" spans="1:10" s="5" customFormat="1" x14ac:dyDescent="0.2">
      <c r="A41" s="5" t="s">
        <v>172</v>
      </c>
      <c r="B41" s="5" t="str">
        <f>IF([1]!sample_design[[#This Row],[Sample Design Name]]="","",SUBSTITUTE(SUBSTITUTE(TRIM(LOWER([1]!sample_design[[#This Row],[Sample Design Name]]))," ","_"),"-","_"))</f>
        <v>mg1655_dlac_pbcd_nofp_m9_van_781</v>
      </c>
      <c r="C41" s="19"/>
      <c r="D41" s="14"/>
      <c r="E41" s="14" t="s">
        <v>112</v>
      </c>
      <c r="F41" s="14" t="s">
        <v>118</v>
      </c>
      <c r="G41" s="14" t="s">
        <v>127</v>
      </c>
      <c r="H41" s="19"/>
      <c r="I41" s="14"/>
      <c r="J41" s="19"/>
    </row>
    <row r="42" spans="1:10" s="5" customFormat="1" x14ac:dyDescent="0.2">
      <c r="A42" s="5" t="s">
        <v>173</v>
      </c>
      <c r="B42" s="5" t="str">
        <f>IF([1]!sample_design[[#This Row],[Sample Design Name]]="","",SUBSTITUTE(SUBSTITUTE(TRIM(LOWER([1]!sample_design[[#This Row],[Sample Design Name]]))," ","_"),"-","_"))</f>
        <v>mg1655_dlac_pvanr_am_a1t_mscar_m9_van_781</v>
      </c>
      <c r="C42" s="19"/>
      <c r="D42" s="14"/>
      <c r="E42" s="14" t="s">
        <v>114</v>
      </c>
      <c r="F42" s="14" t="s">
        <v>118</v>
      </c>
      <c r="G42" s="14" t="s">
        <v>127</v>
      </c>
      <c r="H42" s="19"/>
      <c r="I42" s="14"/>
      <c r="J42" s="19"/>
    </row>
    <row r="43" spans="1:10" s="5" customFormat="1" x14ac:dyDescent="0.2">
      <c r="A43" s="5" t="s">
        <v>174</v>
      </c>
      <c r="B43" s="14" t="str">
        <f>IF([1]!sample_design[[#This Row],[Sample Design Name]]="","",SUBSTITUTE(SUBSTITUTE(TRIM(LOWER([1]!sample_design[[#This Row],[Sample Design Name]]))," ","_"),"-","_"))</f>
        <v>mg1655_dlac_pvanr_am_t2a_mscar_m9_van_781</v>
      </c>
      <c r="C43" s="19"/>
      <c r="D43" s="14"/>
      <c r="E43" s="14" t="s">
        <v>116</v>
      </c>
      <c r="F43" s="14" t="s">
        <v>118</v>
      </c>
      <c r="G43" s="14" t="s">
        <v>127</v>
      </c>
      <c r="H43" s="19"/>
      <c r="I43" s="14"/>
      <c r="J43" s="19"/>
    </row>
    <row r="44" spans="1:10" s="5" customFormat="1" x14ac:dyDescent="0.2">
      <c r="A44" s="4" t="s">
        <v>175</v>
      </c>
      <c r="B44" s="5" t="str">
        <f>IF([1]!sample_design[[#This Row],[Sample Design Name]]="","",SUBSTITUTE(SUBSTITUTE(TRIM(LOWER([1]!sample_design[[#This Row],[Sample Design Name]]))," ","_"),"-","_"))</f>
        <v>m9only_van_1563</v>
      </c>
      <c r="C44" s="19"/>
      <c r="D44" s="14"/>
      <c r="E44" s="14"/>
      <c r="F44" s="14" t="s">
        <v>118</v>
      </c>
      <c r="G44" s="14" t="s">
        <v>128</v>
      </c>
      <c r="H44" s="19"/>
      <c r="I44" s="14"/>
      <c r="J44" s="19"/>
    </row>
    <row r="45" spans="1:10" s="5" customFormat="1" x14ac:dyDescent="0.2">
      <c r="A45" s="5" t="s">
        <v>176</v>
      </c>
      <c r="B45" s="5" t="str">
        <f>IF([1]!sample_design[[#This Row],[Sample Design Name]]="","",SUBSTITUTE(SUBSTITUTE(TRIM(LOWER([1]!sample_design[[#This Row],[Sample Design Name]]))," ","_"),"-","_"))</f>
        <v>mg1655_dlac_align_vanr_301_m9_van_1563</v>
      </c>
      <c r="C45" s="19"/>
      <c r="D45" s="14"/>
      <c r="E45" s="14" t="s">
        <v>108</v>
      </c>
      <c r="F45" s="14" t="s">
        <v>118</v>
      </c>
      <c r="G45" s="14" t="s">
        <v>128</v>
      </c>
      <c r="H45" s="19"/>
      <c r="I45" s="14"/>
      <c r="J45" s="19"/>
    </row>
    <row r="46" spans="1:10" s="5" customFormat="1" x14ac:dyDescent="0.2">
      <c r="A46" s="5" t="s">
        <v>177</v>
      </c>
      <c r="B46" s="5" t="str">
        <f>IF([1]!sample_design[[#This Row],[Sample Design Name]]="","",SUBSTITUTE(SUBSTITUTE(TRIM(LOWER([1]!sample_design[[#This Row],[Sample Design Name]]))," ","_"),"-","_"))</f>
        <v>mg1655_dlac_p150_r1_5_vanr_wt_pvanr_m9_van_1563</v>
      </c>
      <c r="C46" s="19"/>
      <c r="D46" s="14"/>
      <c r="E46" s="14" t="s">
        <v>110</v>
      </c>
      <c r="F46" s="14" t="s">
        <v>118</v>
      </c>
      <c r="G46" s="14" t="s">
        <v>128</v>
      </c>
      <c r="H46" s="19"/>
      <c r="I46" s="14"/>
      <c r="J46" s="19"/>
    </row>
    <row r="47" spans="1:10" s="5" customFormat="1" x14ac:dyDescent="0.2">
      <c r="A47" s="5" t="s">
        <v>178</v>
      </c>
      <c r="B47" s="5" t="str">
        <f>IF([1]!sample_design[[#This Row],[Sample Design Name]]="","",SUBSTITUTE(SUBSTITUTE(TRIM(LOWER([1]!sample_design[[#This Row],[Sample Design Name]]))," ","_"),"-","_"))</f>
        <v>mg1655_dlac_pbcd_nofp_m9_van_1563</v>
      </c>
      <c r="C47" s="19"/>
      <c r="D47" s="14"/>
      <c r="E47" s="14" t="s">
        <v>112</v>
      </c>
      <c r="F47" s="14" t="s">
        <v>118</v>
      </c>
      <c r="G47" s="14" t="s">
        <v>128</v>
      </c>
      <c r="H47" s="19"/>
      <c r="I47" s="14"/>
      <c r="J47" s="19"/>
    </row>
    <row r="48" spans="1:10" s="5" customFormat="1" x14ac:dyDescent="0.2">
      <c r="A48" s="5" t="s">
        <v>179</v>
      </c>
      <c r="B48" s="5" t="str">
        <f>IF([1]!sample_design[[#This Row],[Sample Design Name]]="","",SUBSTITUTE(SUBSTITUTE(TRIM(LOWER([1]!sample_design[[#This Row],[Sample Design Name]]))," ","_"),"-","_"))</f>
        <v>mg1655_dlac_pvanr_am_a1t_mscar_m9_van_1563</v>
      </c>
      <c r="C48" s="19"/>
      <c r="D48" s="14"/>
      <c r="E48" s="14" t="s">
        <v>114</v>
      </c>
      <c r="F48" s="14" t="s">
        <v>118</v>
      </c>
      <c r="G48" s="14" t="s">
        <v>128</v>
      </c>
      <c r="H48" s="19"/>
      <c r="I48" s="14"/>
      <c r="J48" s="19"/>
    </row>
    <row r="49" spans="1:10" s="5" customFormat="1" x14ac:dyDescent="0.2">
      <c r="A49" s="5" t="s">
        <v>180</v>
      </c>
      <c r="B49" s="14" t="str">
        <f>IF([1]!sample_design[[#This Row],[Sample Design Name]]="","",SUBSTITUTE(SUBSTITUTE(TRIM(LOWER([1]!sample_design[[#This Row],[Sample Design Name]]))," ","_"),"-","_"))</f>
        <v>mg1655_dlac_pvanr_am_t2a_mscar_m9_van_1563</v>
      </c>
      <c r="C49" s="19"/>
      <c r="D49" s="14"/>
      <c r="E49" s="14" t="s">
        <v>116</v>
      </c>
      <c r="F49" s="14" t="s">
        <v>118</v>
      </c>
      <c r="G49" s="14" t="s">
        <v>128</v>
      </c>
      <c r="H49" s="19"/>
      <c r="I49" s="14"/>
      <c r="J49" s="19"/>
    </row>
    <row r="50" spans="1:10" s="5" customFormat="1" x14ac:dyDescent="0.2">
      <c r="A50" s="4" t="s">
        <v>181</v>
      </c>
      <c r="B50" s="5" t="str">
        <f>IF([1]!sample_design[[#This Row],[Sample Design Name]]="","",SUBSTITUTE(SUBSTITUTE(TRIM(LOWER([1]!sample_design[[#This Row],[Sample Design Name]]))," ","_"),"-","_"))</f>
        <v>m9only_van_3125</v>
      </c>
      <c r="C50" s="19"/>
      <c r="D50" s="14"/>
      <c r="E50" s="14"/>
      <c r="F50" s="14" t="s">
        <v>118</v>
      </c>
      <c r="G50" s="14" t="s">
        <v>129</v>
      </c>
      <c r="H50" s="19"/>
      <c r="I50" s="14"/>
      <c r="J50" s="19"/>
    </row>
    <row r="51" spans="1:10" s="5" customFormat="1" x14ac:dyDescent="0.2">
      <c r="A51" s="5" t="s">
        <v>182</v>
      </c>
      <c r="B51" s="5" t="str">
        <f>IF([1]!sample_design[[#This Row],[Sample Design Name]]="","",SUBSTITUTE(SUBSTITUTE(TRIM(LOWER([1]!sample_design[[#This Row],[Sample Design Name]]))," ","_"),"-","_"))</f>
        <v>mg1655_dlac_align_vanr_301_m9_van_3125</v>
      </c>
      <c r="C51" s="19"/>
      <c r="D51" s="14"/>
      <c r="E51" s="14" t="s">
        <v>108</v>
      </c>
      <c r="F51" s="14" t="s">
        <v>118</v>
      </c>
      <c r="G51" s="14" t="s">
        <v>129</v>
      </c>
      <c r="H51" s="19"/>
      <c r="I51" s="14"/>
      <c r="J51" s="19"/>
    </row>
    <row r="52" spans="1:10" s="5" customFormat="1" x14ac:dyDescent="0.2">
      <c r="A52" s="5" t="s">
        <v>183</v>
      </c>
      <c r="B52" s="5" t="str">
        <f>IF([1]!sample_design[[#This Row],[Sample Design Name]]="","",SUBSTITUTE(SUBSTITUTE(TRIM(LOWER([1]!sample_design[[#This Row],[Sample Design Name]]))," ","_"),"-","_"))</f>
        <v>mg1655_dlac_p150_r1_5_vanr_wt_pvanr_m9_van_3125</v>
      </c>
      <c r="C52" s="19"/>
      <c r="D52" s="14"/>
      <c r="E52" s="14" t="s">
        <v>110</v>
      </c>
      <c r="F52" s="14" t="s">
        <v>118</v>
      </c>
      <c r="G52" s="14" t="s">
        <v>129</v>
      </c>
      <c r="H52" s="19"/>
      <c r="I52" s="14"/>
      <c r="J52" s="19"/>
    </row>
    <row r="53" spans="1:10" s="5" customFormat="1" x14ac:dyDescent="0.2">
      <c r="A53" s="5" t="s">
        <v>184</v>
      </c>
      <c r="B53" s="5" t="str">
        <f>IF([1]!sample_design[[#This Row],[Sample Design Name]]="","",SUBSTITUTE(SUBSTITUTE(TRIM(LOWER([1]!sample_design[[#This Row],[Sample Design Name]]))," ","_"),"-","_"))</f>
        <v>mg1655_dlac_pbcd_nofp_m9_van_3125</v>
      </c>
      <c r="C53" s="19"/>
      <c r="D53" s="14"/>
      <c r="E53" s="14" t="s">
        <v>112</v>
      </c>
      <c r="F53" s="14" t="s">
        <v>118</v>
      </c>
      <c r="G53" s="14" t="s">
        <v>129</v>
      </c>
      <c r="H53" s="19"/>
      <c r="I53" s="14"/>
      <c r="J53" s="19"/>
    </row>
    <row r="54" spans="1:10" s="5" customFormat="1" x14ac:dyDescent="0.2">
      <c r="A54" s="5" t="s">
        <v>185</v>
      </c>
      <c r="B54" s="5" t="str">
        <f>IF([1]!sample_design[[#This Row],[Sample Design Name]]="","",SUBSTITUTE(SUBSTITUTE(TRIM(LOWER([1]!sample_design[[#This Row],[Sample Design Name]]))," ","_"),"-","_"))</f>
        <v>mg1655_dlac_pvanr_am_a1t_mscar_m9_van_3125</v>
      </c>
      <c r="C54" s="19"/>
      <c r="D54" s="14"/>
      <c r="E54" s="14" t="s">
        <v>114</v>
      </c>
      <c r="F54" s="14" t="s">
        <v>118</v>
      </c>
      <c r="G54" s="14" t="s">
        <v>129</v>
      </c>
      <c r="H54" s="19"/>
      <c r="I54" s="14"/>
      <c r="J54" s="19"/>
    </row>
    <row r="55" spans="1:10" s="5" customFormat="1" x14ac:dyDescent="0.2">
      <c r="A55" s="5" t="s">
        <v>186</v>
      </c>
      <c r="B55" s="14" t="str">
        <f>IF([1]!sample_design[[#This Row],[Sample Design Name]]="","",SUBSTITUTE(SUBSTITUTE(TRIM(LOWER([1]!sample_design[[#This Row],[Sample Design Name]]))," ","_"),"-","_"))</f>
        <v>mg1655_dlac_pvanr_am_t2a_mscar_m9_van_3125</v>
      </c>
      <c r="C55" s="19"/>
      <c r="D55" s="14"/>
      <c r="E55" s="14" t="s">
        <v>116</v>
      </c>
      <c r="F55" s="14" t="s">
        <v>118</v>
      </c>
      <c r="G55" s="14" t="s">
        <v>129</v>
      </c>
      <c r="H55" s="19"/>
      <c r="I55" s="14"/>
      <c r="J55" s="19"/>
    </row>
    <row r="56" spans="1:10" s="5" customFormat="1" x14ac:dyDescent="0.2">
      <c r="A56" s="4" t="s">
        <v>187</v>
      </c>
      <c r="B56" s="5" t="str">
        <f>IF([1]!sample_design[[#This Row],[Sample Design Name]]="","",SUBSTITUTE(SUBSTITUTE(TRIM(LOWER([1]!sample_design[[#This Row],[Sample Design Name]]))," ","_"),"-","_"))</f>
        <v>m9only_van_6150</v>
      </c>
      <c r="C56" s="19"/>
      <c r="D56" s="14"/>
      <c r="E56" s="14"/>
      <c r="F56" s="14" t="s">
        <v>118</v>
      </c>
      <c r="G56" s="14" t="s">
        <v>130</v>
      </c>
      <c r="H56" s="19"/>
      <c r="I56" s="14"/>
      <c r="J56" s="19"/>
    </row>
    <row r="57" spans="1:10" s="5" customFormat="1" x14ac:dyDescent="0.2">
      <c r="A57" s="5" t="s">
        <v>188</v>
      </c>
      <c r="B57" s="5" t="str">
        <f>IF([1]!sample_design[[#This Row],[Sample Design Name]]="","",SUBSTITUTE(SUBSTITUTE(TRIM(LOWER([1]!sample_design[[#This Row],[Sample Design Name]]))," ","_"),"-","_"))</f>
        <v>mg1655_dlac_align_vanr_301_m9_van_6150</v>
      </c>
      <c r="C57" s="19"/>
      <c r="D57" s="14"/>
      <c r="E57" s="14" t="s">
        <v>108</v>
      </c>
      <c r="F57" s="14" t="s">
        <v>118</v>
      </c>
      <c r="G57" s="14" t="s">
        <v>130</v>
      </c>
      <c r="H57" s="19"/>
      <c r="I57" s="14"/>
      <c r="J57" s="19"/>
    </row>
    <row r="58" spans="1:10" s="5" customFormat="1" x14ac:dyDescent="0.2">
      <c r="A58" s="5" t="s">
        <v>189</v>
      </c>
      <c r="B58" s="5" t="str">
        <f>IF([1]!sample_design[[#This Row],[Sample Design Name]]="","",SUBSTITUTE(SUBSTITUTE(TRIM(LOWER([1]!sample_design[[#This Row],[Sample Design Name]]))," ","_"),"-","_"))</f>
        <v>mg1655_dlac_p150_r1_5_vanr_wt_pvanr_m9_van_6150</v>
      </c>
      <c r="C58" s="19"/>
      <c r="D58" s="14"/>
      <c r="E58" s="14" t="s">
        <v>110</v>
      </c>
      <c r="F58" s="14" t="s">
        <v>118</v>
      </c>
      <c r="G58" s="14" t="s">
        <v>130</v>
      </c>
      <c r="H58" s="19"/>
      <c r="I58" s="14"/>
      <c r="J58" s="19"/>
    </row>
    <row r="59" spans="1:10" s="5" customFormat="1" x14ac:dyDescent="0.2">
      <c r="A59" s="5" t="s">
        <v>190</v>
      </c>
      <c r="B59" s="5" t="str">
        <f>IF([1]!sample_design[[#This Row],[Sample Design Name]]="","",SUBSTITUTE(SUBSTITUTE(TRIM(LOWER([1]!sample_design[[#This Row],[Sample Design Name]]))," ","_"),"-","_"))</f>
        <v>mg1655_dlac_pbcd_nofp_m9_van_6150</v>
      </c>
      <c r="C59" s="19"/>
      <c r="D59" s="14"/>
      <c r="E59" s="14" t="s">
        <v>112</v>
      </c>
      <c r="F59" s="14" t="s">
        <v>118</v>
      </c>
      <c r="G59" s="14" t="s">
        <v>130</v>
      </c>
      <c r="H59" s="19"/>
      <c r="I59" s="14"/>
      <c r="J59" s="19"/>
    </row>
    <row r="60" spans="1:10" s="5" customFormat="1" x14ac:dyDescent="0.2">
      <c r="A60" s="5" t="s">
        <v>191</v>
      </c>
      <c r="B60" s="5" t="str">
        <f>IF([1]!sample_design[[#This Row],[Sample Design Name]]="","",SUBSTITUTE(SUBSTITUTE(TRIM(LOWER([1]!sample_design[[#This Row],[Sample Design Name]]))," ","_"),"-","_"))</f>
        <v>mg1655_dlac_pvanr_am_a1t_mscar_m9_van_6150</v>
      </c>
      <c r="C60" s="19"/>
      <c r="D60" s="14"/>
      <c r="E60" s="14" t="s">
        <v>114</v>
      </c>
      <c r="F60" s="14" t="s">
        <v>118</v>
      </c>
      <c r="G60" s="14" t="s">
        <v>130</v>
      </c>
      <c r="H60" s="19"/>
      <c r="I60" s="14"/>
      <c r="J60" s="19"/>
    </row>
    <row r="61" spans="1:10" s="5" customFormat="1" x14ac:dyDescent="0.2">
      <c r="A61" s="5" t="s">
        <v>192</v>
      </c>
      <c r="B61" s="14" t="str">
        <f>IF([1]!sample_design[[#This Row],[Sample Design Name]]="","",SUBSTITUTE(SUBSTITUTE(TRIM(LOWER([1]!sample_design[[#This Row],[Sample Design Name]]))," ","_"),"-","_"))</f>
        <v>mg1655_dlac_pvanr_am_t2a_mscar_m9_van_6150</v>
      </c>
      <c r="C61" s="19"/>
      <c r="D61" s="14"/>
      <c r="E61" s="14" t="s">
        <v>116</v>
      </c>
      <c r="F61" s="14" t="s">
        <v>118</v>
      </c>
      <c r="G61" s="14" t="s">
        <v>130</v>
      </c>
      <c r="H61" s="19"/>
      <c r="I61" s="14"/>
      <c r="J61" s="19"/>
    </row>
    <row r="62" spans="1:10" s="5" customFormat="1" x14ac:dyDescent="0.2">
      <c r="A62" s="4" t="s">
        <v>193</v>
      </c>
      <c r="B62" s="5" t="str">
        <f>IF([1]!sample_design[[#This Row],[Sample Design Name]]="","",SUBSTITUTE(SUBSTITUTE(TRIM(LOWER([1]!sample_design[[#This Row],[Sample Design Name]]))," ","_"),"-","_"))</f>
        <v>m9only_van_12500</v>
      </c>
      <c r="C62" s="19"/>
      <c r="D62" s="14"/>
      <c r="E62" s="14"/>
      <c r="F62" s="14" t="s">
        <v>118</v>
      </c>
      <c r="G62" s="14" t="s">
        <v>131</v>
      </c>
      <c r="H62" s="19"/>
      <c r="I62" s="14"/>
      <c r="J62" s="19"/>
    </row>
    <row r="63" spans="1:10" s="5" customFormat="1" x14ac:dyDescent="0.2">
      <c r="A63" s="5" t="s">
        <v>194</v>
      </c>
      <c r="B63" s="5" t="str">
        <f>IF([1]!sample_design[[#This Row],[Sample Design Name]]="","",SUBSTITUTE(SUBSTITUTE(TRIM(LOWER([1]!sample_design[[#This Row],[Sample Design Name]]))," ","_"),"-","_"))</f>
        <v>mg1655_dlac_align_vanr_301_m9_van_12500</v>
      </c>
      <c r="C63" s="19"/>
      <c r="D63" s="14"/>
      <c r="E63" s="14" t="s">
        <v>108</v>
      </c>
      <c r="F63" s="14" t="s">
        <v>118</v>
      </c>
      <c r="G63" s="14" t="s">
        <v>131</v>
      </c>
      <c r="H63" s="19"/>
      <c r="I63" s="14"/>
      <c r="J63" s="19"/>
    </row>
    <row r="64" spans="1:10" s="5" customFormat="1" x14ac:dyDescent="0.2">
      <c r="A64" s="5" t="s">
        <v>195</v>
      </c>
      <c r="B64" s="5" t="str">
        <f>IF([1]!sample_design[[#This Row],[Sample Design Name]]="","",SUBSTITUTE(SUBSTITUTE(TRIM(LOWER([1]!sample_design[[#This Row],[Sample Design Name]]))," ","_"),"-","_"))</f>
        <v>mg1655_dlac_p150_r1_5_vanr_wt_pvanr_m9_van_12500</v>
      </c>
      <c r="C64" s="19"/>
      <c r="D64" s="14"/>
      <c r="E64" s="14" t="s">
        <v>110</v>
      </c>
      <c r="F64" s="14" t="s">
        <v>118</v>
      </c>
      <c r="G64" s="14" t="s">
        <v>131</v>
      </c>
      <c r="H64" s="19"/>
      <c r="I64" s="14"/>
      <c r="J64" s="19"/>
    </row>
    <row r="65" spans="1:10" s="5" customFormat="1" x14ac:dyDescent="0.2">
      <c r="A65" s="5" t="s">
        <v>196</v>
      </c>
      <c r="B65" s="5" t="str">
        <f>IF([1]!sample_design[[#This Row],[Sample Design Name]]="","",SUBSTITUTE(SUBSTITUTE(TRIM(LOWER([1]!sample_design[[#This Row],[Sample Design Name]]))," ","_"),"-","_"))</f>
        <v>mg1655_dlac_pbcd_nofp_m9_van_12500</v>
      </c>
      <c r="C65" s="19"/>
      <c r="D65" s="14"/>
      <c r="E65" s="14" t="s">
        <v>112</v>
      </c>
      <c r="F65" s="14" t="s">
        <v>118</v>
      </c>
      <c r="G65" s="14" t="s">
        <v>131</v>
      </c>
      <c r="H65" s="19"/>
      <c r="I65" s="14"/>
      <c r="J65" s="19"/>
    </row>
    <row r="66" spans="1:10" s="5" customFormat="1" x14ac:dyDescent="0.2">
      <c r="A66" s="5" t="s">
        <v>197</v>
      </c>
      <c r="B66" s="5" t="str">
        <f>IF([1]!sample_design[[#This Row],[Sample Design Name]]="","",SUBSTITUTE(SUBSTITUTE(TRIM(LOWER([1]!sample_design[[#This Row],[Sample Design Name]]))," ","_"),"-","_"))</f>
        <v>mg1655_dlac_pvanr_am_a1t_mscar_m9_van_12500</v>
      </c>
      <c r="C66" s="19"/>
      <c r="D66" s="14"/>
      <c r="E66" s="14" t="s">
        <v>114</v>
      </c>
      <c r="F66" s="14" t="s">
        <v>118</v>
      </c>
      <c r="G66" s="14" t="s">
        <v>131</v>
      </c>
      <c r="H66" s="19"/>
      <c r="I66" s="14"/>
      <c r="J66" s="19"/>
    </row>
    <row r="67" spans="1:10" s="5" customFormat="1" x14ac:dyDescent="0.2">
      <c r="A67" s="5" t="s">
        <v>198</v>
      </c>
      <c r="B67" s="14" t="str">
        <f>IF([1]!sample_design[[#This Row],[Sample Design Name]]="","",SUBSTITUTE(SUBSTITUTE(TRIM(LOWER([1]!sample_design[[#This Row],[Sample Design Name]]))," ","_"),"-","_"))</f>
        <v>mg1655_dlac_pvanr_am_t2a_mscar_m9_van_12500</v>
      </c>
      <c r="C67" s="19"/>
      <c r="D67" s="14"/>
      <c r="E67" s="14" t="s">
        <v>116</v>
      </c>
      <c r="F67" s="14" t="s">
        <v>118</v>
      </c>
      <c r="G67" s="14" t="s">
        <v>131</v>
      </c>
      <c r="H67" s="19"/>
      <c r="I67" s="14"/>
      <c r="J67" s="19"/>
    </row>
    <row r="68" spans="1:10" s="5" customFormat="1" x14ac:dyDescent="0.2">
      <c r="A68" s="4" t="s">
        <v>199</v>
      </c>
      <c r="B68" s="5" t="str">
        <f>IF([1]!sample_design[[#This Row],[Sample Design Name]]="","",SUBSTITUTE(SUBSTITUTE(TRIM(LOWER([1]!sample_design[[#This Row],[Sample Design Name]]))," ","_"),"-","_"))</f>
        <v>m9only_van_25000</v>
      </c>
      <c r="C68" s="19"/>
      <c r="D68" s="14"/>
      <c r="E68" s="14"/>
      <c r="F68" s="14" t="s">
        <v>118</v>
      </c>
      <c r="G68" s="14" t="s">
        <v>132</v>
      </c>
      <c r="H68" s="19"/>
      <c r="I68" s="14"/>
      <c r="J68" s="19"/>
    </row>
    <row r="69" spans="1:10" s="5" customFormat="1" x14ac:dyDescent="0.2">
      <c r="A69" s="5" t="s">
        <v>200</v>
      </c>
      <c r="B69" s="5" t="str">
        <f>IF([1]!sample_design[[#This Row],[Sample Design Name]]="","",SUBSTITUTE(SUBSTITUTE(TRIM(LOWER([1]!sample_design[[#This Row],[Sample Design Name]]))," ","_"),"-","_"))</f>
        <v>mg1655_dlac_align_vanr_301_m9_van_25000</v>
      </c>
      <c r="C69" s="19"/>
      <c r="D69" s="14"/>
      <c r="E69" s="14" t="s">
        <v>108</v>
      </c>
      <c r="F69" s="14" t="s">
        <v>118</v>
      </c>
      <c r="G69" s="14" t="s">
        <v>132</v>
      </c>
      <c r="H69" s="19"/>
      <c r="I69" s="14"/>
      <c r="J69" s="19"/>
    </row>
    <row r="70" spans="1:10" s="5" customFormat="1" x14ac:dyDescent="0.2">
      <c r="A70" s="5" t="s">
        <v>201</v>
      </c>
      <c r="B70" s="5" t="str">
        <f>IF([1]!sample_design[[#This Row],[Sample Design Name]]="","",SUBSTITUTE(SUBSTITUTE(TRIM(LOWER([1]!sample_design[[#This Row],[Sample Design Name]]))," ","_"),"-","_"))</f>
        <v>mg1655_dlac_p150_r1_5_vanr_wt_pvanr_m9_van_25000</v>
      </c>
      <c r="C70" s="19"/>
      <c r="D70" s="14"/>
      <c r="E70" s="14" t="s">
        <v>110</v>
      </c>
      <c r="F70" s="14" t="s">
        <v>118</v>
      </c>
      <c r="G70" s="14" t="s">
        <v>132</v>
      </c>
      <c r="H70" s="19"/>
      <c r="I70" s="14"/>
      <c r="J70" s="19"/>
    </row>
    <row r="71" spans="1:10" s="5" customFormat="1" x14ac:dyDescent="0.2">
      <c r="A71" s="5" t="s">
        <v>202</v>
      </c>
      <c r="B71" s="5" t="str">
        <f>IF([1]!sample_design[[#This Row],[Sample Design Name]]="","",SUBSTITUTE(SUBSTITUTE(TRIM(LOWER([1]!sample_design[[#This Row],[Sample Design Name]]))," ","_"),"-","_"))</f>
        <v>mg1655_dlac_pbcd_nofp_m9_van_25000</v>
      </c>
      <c r="C71" s="19"/>
      <c r="D71" s="14"/>
      <c r="E71" s="14" t="s">
        <v>112</v>
      </c>
      <c r="F71" s="14" t="s">
        <v>118</v>
      </c>
      <c r="G71" s="14" t="s">
        <v>132</v>
      </c>
      <c r="H71" s="19"/>
      <c r="I71" s="14"/>
      <c r="J71" s="19"/>
    </row>
    <row r="72" spans="1:10" s="5" customFormat="1" x14ac:dyDescent="0.2">
      <c r="A72" s="5" t="s">
        <v>203</v>
      </c>
      <c r="B72" s="5" t="str">
        <f>IF([1]!sample_design[[#This Row],[Sample Design Name]]="","",SUBSTITUTE(SUBSTITUTE(TRIM(LOWER([1]!sample_design[[#This Row],[Sample Design Name]]))," ","_"),"-","_"))</f>
        <v>mg1655_dlac_pvanr_am_a1t_mscar_m9_van_25000</v>
      </c>
      <c r="C72" s="19"/>
      <c r="D72" s="14"/>
      <c r="E72" s="14" t="s">
        <v>114</v>
      </c>
      <c r="F72" s="14" t="s">
        <v>118</v>
      </c>
      <c r="G72" s="14" t="s">
        <v>132</v>
      </c>
      <c r="H72" s="19"/>
      <c r="I72" s="14"/>
      <c r="J72" s="19"/>
    </row>
    <row r="73" spans="1:10" s="5" customFormat="1" x14ac:dyDescent="0.2">
      <c r="A73" s="5" t="s">
        <v>204</v>
      </c>
      <c r="B73" s="14" t="str">
        <f>IF([1]!sample_design[[#This Row],[Sample Design Name]]="","",SUBSTITUTE(SUBSTITUTE(TRIM(LOWER([1]!sample_design[[#This Row],[Sample Design Name]]))," ","_"),"-","_"))</f>
        <v>mg1655_dlac_pvanr_am_t2a_mscar_m9_van_25000</v>
      </c>
      <c r="C73" s="19"/>
      <c r="D73" s="14"/>
      <c r="E73" s="14" t="s">
        <v>116</v>
      </c>
      <c r="F73" s="14" t="s">
        <v>118</v>
      </c>
      <c r="G73" s="14" t="s">
        <v>132</v>
      </c>
      <c r="H73" s="19"/>
      <c r="I73" s="14"/>
      <c r="J73" s="19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cvHeaderDropdown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Drop Down 13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Drop Down 19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Drop Down 20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Drop Down 21">
              <controlPr defaultSize="0" autoFill="0" autoPict="0" macro="[1]!HeaderDropdownChanged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2"/>
  <sheetViews>
    <sheetView workbookViewId="0">
      <pane ySplit="1" topLeftCell="A2" activePane="bottomLeft" state="frozen"/>
      <selection pane="bottomLeft" activeCell="A2" sqref="A2:XFD12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0" t="s">
        <v>30</v>
      </c>
      <c r="B1" s="10" t="s">
        <v>103</v>
      </c>
      <c r="C1" s="10" t="s">
        <v>86</v>
      </c>
      <c r="D1" s="10" t="s">
        <v>104</v>
      </c>
      <c r="E1" s="10" t="s">
        <v>32</v>
      </c>
      <c r="F1" s="10" t="s">
        <v>34</v>
      </c>
      <c r="G1" s="10" t="s">
        <v>98</v>
      </c>
      <c r="H1" s="10" t="s">
        <v>99</v>
      </c>
      <c r="I1" s="10" t="s">
        <v>102</v>
      </c>
    </row>
    <row r="2" spans="1:9" x14ac:dyDescent="0.2">
      <c r="A2" s="11" t="s">
        <v>122</v>
      </c>
      <c r="B2" s="13" t="s">
        <v>122</v>
      </c>
      <c r="C2" s="13"/>
      <c r="D2" s="11"/>
      <c r="E2" s="11" t="s">
        <v>120</v>
      </c>
      <c r="F2" s="11">
        <v>0.244140625</v>
      </c>
      <c r="G2" s="13"/>
      <c r="H2" s="11"/>
      <c r="I2" s="13"/>
    </row>
    <row r="3" spans="1:9" x14ac:dyDescent="0.2">
      <c r="A3" t="s">
        <v>123</v>
      </c>
      <c r="B3" s="16" t="s">
        <v>123</v>
      </c>
      <c r="C3" s="16"/>
      <c r="E3" t="s">
        <v>120</v>
      </c>
      <c r="F3">
        <v>0.48828125</v>
      </c>
      <c r="G3" s="16"/>
      <c r="I3" s="16"/>
    </row>
    <row r="4" spans="1:9" x14ac:dyDescent="0.2">
      <c r="A4" t="s">
        <v>124</v>
      </c>
      <c r="B4" s="16" t="s">
        <v>124</v>
      </c>
      <c r="C4" s="16"/>
      <c r="E4" t="s">
        <v>120</v>
      </c>
      <c r="F4">
        <v>0.9765625</v>
      </c>
      <c r="G4" s="16"/>
      <c r="I4" s="16"/>
    </row>
    <row r="5" spans="1:9" x14ac:dyDescent="0.2">
      <c r="A5" t="s">
        <v>125</v>
      </c>
      <c r="B5" s="16" t="s">
        <v>125</v>
      </c>
      <c r="C5" s="16"/>
      <c r="E5" t="s">
        <v>120</v>
      </c>
      <c r="F5">
        <v>1.953125</v>
      </c>
      <c r="G5" s="16"/>
      <c r="I5" s="16"/>
    </row>
    <row r="6" spans="1:9" x14ac:dyDescent="0.2">
      <c r="A6" t="s">
        <v>126</v>
      </c>
      <c r="B6" s="16" t="s">
        <v>126</v>
      </c>
      <c r="C6" s="16"/>
      <c r="E6" t="s">
        <v>120</v>
      </c>
      <c r="F6">
        <v>3.90625</v>
      </c>
      <c r="G6" s="16"/>
      <c r="I6" s="16"/>
    </row>
    <row r="7" spans="1:9" x14ac:dyDescent="0.2">
      <c r="A7" t="s">
        <v>127</v>
      </c>
      <c r="B7" s="16" t="s">
        <v>127</v>
      </c>
      <c r="C7" s="16"/>
      <c r="E7" t="s">
        <v>120</v>
      </c>
      <c r="F7">
        <v>7.8125</v>
      </c>
      <c r="G7" s="16"/>
      <c r="I7" s="16"/>
    </row>
    <row r="8" spans="1:9" x14ac:dyDescent="0.2">
      <c r="A8" t="s">
        <v>128</v>
      </c>
      <c r="B8" s="16" t="s">
        <v>128</v>
      </c>
      <c r="C8" s="16"/>
      <c r="E8" t="s">
        <v>120</v>
      </c>
      <c r="F8">
        <v>15.625</v>
      </c>
      <c r="G8" s="16"/>
      <c r="I8" s="16"/>
    </row>
    <row r="9" spans="1:9" x14ac:dyDescent="0.2">
      <c r="A9" t="s">
        <v>129</v>
      </c>
      <c r="B9" s="16" t="s">
        <v>129</v>
      </c>
      <c r="C9" s="16"/>
      <c r="E9" t="s">
        <v>120</v>
      </c>
      <c r="F9">
        <v>31.25</v>
      </c>
      <c r="G9" s="16"/>
      <c r="I9" s="16"/>
    </row>
    <row r="10" spans="1:9" x14ac:dyDescent="0.2">
      <c r="A10" t="s">
        <v>130</v>
      </c>
      <c r="B10" s="16" t="s">
        <v>130</v>
      </c>
      <c r="C10" s="16"/>
      <c r="E10" t="s">
        <v>120</v>
      </c>
      <c r="F10">
        <v>62.5</v>
      </c>
      <c r="G10" s="16"/>
      <c r="I10" s="16"/>
    </row>
    <row r="11" spans="1:9" x14ac:dyDescent="0.2">
      <c r="A11" t="s">
        <v>131</v>
      </c>
      <c r="B11" s="16" t="s">
        <v>131</v>
      </c>
      <c r="C11" s="16"/>
      <c r="E11" t="s">
        <v>120</v>
      </c>
      <c r="F11">
        <v>125</v>
      </c>
      <c r="G11" s="16"/>
      <c r="I11" s="16"/>
    </row>
    <row r="12" spans="1:9" x14ac:dyDescent="0.2">
      <c r="A12" t="s">
        <v>132</v>
      </c>
      <c r="B12" s="16" t="s">
        <v>132</v>
      </c>
      <c r="C12" s="16"/>
      <c r="E12" t="s">
        <v>120</v>
      </c>
      <c r="F12">
        <v>250</v>
      </c>
      <c r="G12" s="16"/>
      <c r="I12" s="16"/>
    </row>
  </sheetData>
  <dataValidations count="1">
    <dataValidation type="list" allowBlank="1" showInputMessage="1" showErrorMessage="1" sqref="E2:E12" xr:uid="{00000000-0002-0000-0500-000000000000}">
      <formula1>dv_SBH_chemicals_collection_Name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48A9AE"/>
  </sheetPr>
  <dimension ref="A1:B6"/>
  <sheetViews>
    <sheetView workbookViewId="0">
      <pane ySplit="1" topLeftCell="A2" activePane="bottomLeft" state="frozen"/>
      <selection pane="bottomLeft" activeCell="A2" sqref="A2:XFD6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81</v>
      </c>
    </row>
    <row r="2" spans="1:2" x14ac:dyDescent="0.2">
      <c r="A2" t="s">
        <v>108</v>
      </c>
      <c r="B2" t="s">
        <v>109</v>
      </c>
    </row>
    <row r="3" spans="1:2" x14ac:dyDescent="0.2">
      <c r="A3" t="s">
        <v>110</v>
      </c>
      <c r="B3" t="s">
        <v>111</v>
      </c>
    </row>
    <row r="4" spans="1:2" x14ac:dyDescent="0.2">
      <c r="A4" t="s">
        <v>112</v>
      </c>
      <c r="B4" t="s">
        <v>113</v>
      </c>
    </row>
    <row r="5" spans="1:2" x14ac:dyDescent="0.2">
      <c r="A5" t="s">
        <v>114</v>
      </c>
      <c r="B5" t="s">
        <v>115</v>
      </c>
    </row>
    <row r="6" spans="1:2" x14ac:dyDescent="0.2">
      <c r="A6" t="s">
        <v>116</v>
      </c>
      <c r="B6" t="s">
        <v>117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2" sqref="A2:XFD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81</v>
      </c>
    </row>
    <row r="2" spans="1:2" x14ac:dyDescent="0.2">
      <c r="A2" t="s">
        <v>118</v>
      </c>
      <c r="B2" t="s">
        <v>119</v>
      </c>
    </row>
  </sheetData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2" sqref="A2:XFD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81</v>
      </c>
    </row>
    <row r="2" spans="1:2" s="5" customFormat="1" x14ac:dyDescent="0.2">
      <c r="A2" s="14" t="s">
        <v>120</v>
      </c>
      <c r="B2" s="15" t="s">
        <v>121</v>
      </c>
    </row>
  </sheetData>
  <hyperlinks>
    <hyperlink ref="B2" r:id="rId1" xr:uid="{075BBB6C-3553-7148-A934-4F998CD03FFE}"/>
  </hyperlinks>
  <pageMargins left="0.75" right="0.75" top="1" bottom="1" header="0.5" footer="0.5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welcome</vt:lpstr>
      <vt:lpstr>flapjack_cols</vt:lpstr>
      <vt:lpstr>Init</vt:lpstr>
      <vt:lpstr>column_definitions</vt:lpstr>
      <vt:lpstr>sample design</vt:lpstr>
      <vt:lpstr>supplement</vt:lpstr>
      <vt:lpstr>SBH_strains_collection</vt:lpstr>
      <vt:lpstr>SBH_media_collection</vt:lpstr>
      <vt:lpstr>SBH_chemicals_collection</vt:lpstr>
      <vt:lpstr>dv_SBH_chemicals_collection_Name</vt:lpstr>
      <vt:lpstr>dv_SBH_media_collection_Name</vt:lpstr>
      <vt:lpstr>dv_SBH_strains_collection_Name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2026-07-23T18:34:37Z</dcterms:modified>
</cp:coreProperties>
</file>