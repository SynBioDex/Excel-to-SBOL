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Downloads/"/>
    </mc:Choice>
  </mc:AlternateContent>
  <xr:revisionPtr revIDLastSave="0" documentId="13_ncr:1_{0E0F744F-2A9B-4C42-9B03-63EC16A6E2C7}" xr6:coauthVersionLast="47" xr6:coauthVersionMax="47" xr10:uidLastSave="{00000000-0000-0000-0000-000000000000}"/>
  <bookViews>
    <workbookView xWindow="0" yWindow="780" windowWidth="32760" windowHeight="20340" tabRatio="745" activeTab="5" xr2:uid="{00000000-000D-0000-FFFF-FFFF00000000}"/>
  </bookViews>
  <sheets>
    <sheet name="welcome" sheetId="1" r:id="rId1"/>
    <sheet name="flapjack_cols" sheetId="2" state="hidden" r:id="rId2"/>
    <sheet name="Init" sheetId="3" state="hidden" r:id="rId3"/>
    <sheet name="column_definitions" sheetId="4" state="hidden" r:id="rId4"/>
    <sheet name="assay" sheetId="5" r:id="rId5"/>
    <sheet name="sample" sheetId="6" r:id="rId6"/>
    <sheet name="measurement" sheetId="7" r:id="rId7"/>
    <sheet name="signal" sheetId="8" r:id="rId8"/>
    <sheet name="SBH_sampledesigns_collection" sheetId="9" r:id="rId9"/>
  </sheets>
  <functionGroups builtInGroupCount="19"/>
  <externalReferences>
    <externalReference r:id="rId10"/>
  </externalReferences>
  <definedNames>
    <definedName name="dv_assay_Assay_ID">assay[Assay ID]</definedName>
    <definedName name="dv_SBH_sampledesigns_collection_Name">SBH_sampledesigns_collection[Name]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" i="6" l="1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2" i="8"/>
  <c r="B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4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assay entry.</t>
        </r>
      </text>
    </comment>
    <comment ref="B1" authorId="0" shapeId="0" xr:uid="{00000000-0006-0000-0400-000002000000}">
      <text>
        <r>
          <rPr>
            <sz val="11"/>
            <color theme="1"/>
            <rFont val="Helvetica"/>
            <family val="2"/>
            <scheme val="minor"/>
          </rPr>
          <t>Unique identifier for this assay entry. This ID is used to reference the Assay entries in other sheets and must be unique across all sheets in this workbook.</t>
        </r>
      </text>
    </comment>
    <comment ref="C1" authorId="0" shapeId="0" xr:uid="{00000000-0006-0000-04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4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assay entry.</t>
        </r>
      </text>
    </comment>
    <comment ref="E1" authorId="0" shapeId="0" xr:uid="{00000000-0006-0000-0400-000005000000}">
      <text>
        <r>
          <rPr>
            <sz val="11"/>
            <color theme="1"/>
            <rFont val="Helvetica"/>
            <family val="2"/>
            <scheme val="minor"/>
          </rPr>
          <t>The type of measurement performed (e.g. fluorescence, absorbance, growth rate).</t>
        </r>
      </text>
    </comment>
    <comment ref="F1" authorId="0" shapeId="0" xr:uid="{00000000-0006-0000-0400-000006000000}">
      <text>
        <r>
          <rPr>
            <sz val="11"/>
            <color theme="1"/>
            <rFont val="Helvetica"/>
            <family val="2"/>
            <scheme val="minor"/>
          </rPr>
          <t>The measurement technology used (e.g. flow cytometry, plate reader).</t>
        </r>
      </text>
    </comment>
    <comment ref="G1" authorId="0" shapeId="0" xr:uid="{00000000-0006-0000-0400-000007000000}">
      <text>
        <r>
          <rPr>
            <sz val="11"/>
            <color theme="1"/>
            <rFont val="Helvetica"/>
            <family val="2"/>
            <scheme val="minor"/>
          </rPr>
          <t>The specific instrument or platform used (e.g. BD FACSCanto, BioTek Synergy).</t>
        </r>
      </text>
    </comment>
    <comment ref="H1" authorId="0" shapeId="0" xr:uid="{00000000-0006-0000-0400-000008000000}">
      <text>
        <r>
          <rPr>
            <sz val="11"/>
            <color theme="1"/>
            <rFont val="Helvetica"/>
            <family val="2"/>
            <scheme val="minor"/>
          </rPr>
          <t>URI(s) of the experimental protocols used for this assay.</t>
        </r>
      </text>
    </comment>
    <comment ref="I1" authorId="0" shapeId="0" xr:uid="{00000000-0006-0000-0400-000009000000}">
      <text>
        <r>
          <rPr>
            <sz val="11"/>
            <color theme="1"/>
            <rFont val="Helvetica"/>
            <family val="2"/>
            <scheme val="minor"/>
          </rPr>
          <t>Incubation temperature for this assay (include units, e.g. '37 °C').</t>
        </r>
      </text>
    </comment>
    <comment ref="J1" authorId="0" shapeId="0" xr:uid="{00000000-0006-0000-0400-00000A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K1" authorId="0" shapeId="0" xr:uid="{00000000-0006-0000-0400-00000B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5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entry.</t>
        </r>
      </text>
    </comment>
    <comment ref="B1" authorId="0" shapeId="0" xr:uid="{00000000-0006-0000-05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entry. This ID is used to reference the Sample entries in other sheets and must be unique across all sheets in this workbook.</t>
        </r>
      </text>
    </comment>
    <comment ref="C1" authorId="0" shapeId="0" xr:uid="{00000000-0006-0000-0500-000003000000}">
      <text>
        <r>
          <rPr>
            <sz val="11"/>
            <color theme="1"/>
            <rFont val="Helvetica"/>
            <family val="2"/>
            <scheme val="minor"/>
          </rPr>
          <t>Well row position in the plate (e.g. A, B, C).</t>
        </r>
      </text>
    </comment>
    <comment ref="D1" authorId="0" shapeId="0" xr:uid="{00000000-0006-0000-0500-000004000000}">
      <text>
        <r>
          <rPr>
            <sz val="11"/>
            <color theme="1"/>
            <rFont val="Helvetica"/>
            <family val="2"/>
            <scheme val="minor"/>
          </rPr>
          <t>Well column position in the plate (e.g. 1, 2, 3).</t>
        </r>
      </text>
    </comment>
    <comment ref="E1" authorId="0" shapeId="0" xr:uid="{00000000-0006-0000-0500-000005000000}">
      <text>
        <r>
          <rPr>
            <sz val="11"/>
            <color theme="1"/>
            <rFont val="Helvetica"/>
            <family val="2"/>
            <scheme val="minor"/>
          </rPr>
          <t>The ID of the Assay this sample belongs to.</t>
        </r>
      </text>
    </comment>
    <comment ref="F1" authorId="0" shapeId="0" xr:uid="{00000000-0006-0000-0500-000006000000}">
      <text>
        <r>
          <rPr>
            <sz val="11"/>
            <color theme="1"/>
            <rFont val="Helvetica"/>
            <family val="2"/>
            <scheme val="minor"/>
          </rPr>
          <t>The Sample Design describing the biological conditions for this sample. Select from the SBH_sampledesigns_collection dropdown.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6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measurement entry.</t>
        </r>
      </text>
    </comment>
    <comment ref="B1" authorId="0" shapeId="0" xr:uid="{00000000-0006-0000-0600-000002000000}">
      <text>
        <r>
          <rPr>
            <sz val="11"/>
            <color theme="1"/>
            <rFont val="Helvetica"/>
            <family val="2"/>
            <scheme val="minor"/>
          </rPr>
          <t>Unique identifier for this measurement entry. This ID is used to reference the Measurement entries in other sheets and must be unique across all sheets in this workbook.</t>
        </r>
      </text>
    </comment>
    <comment ref="C1" authorId="0" shapeId="0" xr:uid="{00000000-0006-0000-0600-000003000000}">
      <text>
        <r>
          <rPr>
            <sz val="11"/>
            <color theme="1"/>
            <rFont val="Helvetica"/>
            <family val="2"/>
            <scheme val="minor"/>
          </rPr>
          <t>The ID of the Sample this measurement belongs to.</t>
        </r>
      </text>
    </comment>
    <comment ref="D1" authorId="0" shapeId="0" xr:uid="{00000000-0006-0000-0600-000004000000}">
      <text>
        <r>
          <rPr>
            <sz val="11"/>
            <color theme="1"/>
            <rFont val="Helvetica"/>
            <family val="2"/>
            <scheme val="minor"/>
          </rPr>
          <t>The ID of the Signal being measured.</t>
        </r>
      </text>
    </comment>
    <comment ref="E1" authorId="0" shapeId="0" xr:uid="{00000000-0006-0000-0600-000005000000}">
      <text>
        <r>
          <rPr>
            <sz val="11"/>
            <color theme="1"/>
            <rFont val="Helvetica"/>
            <family val="2"/>
            <scheme val="minor"/>
          </rPr>
          <t>Time point of the measurement (include units, e.g. '60 min').</t>
        </r>
      </text>
    </comment>
    <comment ref="F1" authorId="0" shapeId="0" xr:uid="{00000000-0006-0000-0600-000006000000}">
      <text>
        <r>
          <rPr>
            <sz val="11"/>
            <color theme="1"/>
            <rFont val="Helvetica"/>
            <family val="2"/>
            <scheme val="minor"/>
          </rPr>
          <t>The measured value at this time point.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7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signal entry.</t>
        </r>
      </text>
    </comment>
    <comment ref="B1" authorId="0" shapeId="0" xr:uid="{00000000-0006-0000-0700-000002000000}">
      <text>
        <r>
          <rPr>
            <sz val="11"/>
            <color theme="1"/>
            <rFont val="Helvetica"/>
            <family val="2"/>
            <scheme val="minor"/>
          </rPr>
          <t>Unique identifier for this signal entry. This ID is used to reference the Signal entries in other sheets and must be unique across all sheets in this workbook.</t>
        </r>
      </text>
    </comment>
    <comment ref="C1" authorId="0" shapeId="0" xr:uid="{00000000-0006-0000-07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7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signal entry.</t>
        </r>
      </text>
    </comment>
    <comment ref="E1" authorId="0" shapeId="0" xr:uid="{00000000-0006-0000-0700-000005000000}">
      <text>
        <r>
          <rPr>
            <sz val="11"/>
            <color theme="1"/>
            <rFont val="Helvetica"/>
            <family val="2"/>
            <scheme val="minor"/>
          </rPr>
          <t>Hex color code used to represent this signal in Flapjack visualizations (e.g. #FF0000 for red). Must be a valid 6-digit hex color prefixed with #.</t>
        </r>
      </text>
    </comment>
    <comment ref="F1" authorId="0" shapeId="0" xr:uid="{00000000-0006-0000-07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7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7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<sst xmlns="http://schemas.openxmlformats.org/spreadsheetml/2006/main" count="935" uniqueCount="387">
  <si>
    <t>Library Information</t>
  </si>
  <si>
    <t>Template Type</t>
  </si>
  <si>
    <t>Assay</t>
  </si>
  <si>
    <t>Name</t>
  </si>
  <si>
    <t>Align-TF-Cytom-12-plasmids</t>
  </si>
  <si>
    <t>ID</t>
  </si>
  <si>
    <t>Align_TF_Cytom_12_plasmids</t>
  </si>
  <si>
    <t>Version</t>
  </si>
  <si>
    <t>1</t>
  </si>
  <si>
    <t>Description</t>
  </si>
  <si>
    <t>Align-TF Cytom 12 plasmids</t>
  </si>
  <si>
    <t>Author</t>
  </si>
  <si>
    <t>David Ross</t>
  </si>
  <si>
    <t>Email</t>
  </si>
  <si>
    <t>david.ross@nist.gov</t>
  </si>
  <si>
    <t>Laboratory</t>
  </si>
  <si>
    <t>Living Measurement Systems</t>
  </si>
  <si>
    <t>Institution</t>
  </si>
  <si>
    <t>NIST</t>
  </si>
  <si>
    <t>PubMed IDs</t>
  </si>
  <si>
    <t>Domain</t>
  </si>
  <si>
    <t>Master Collection</t>
  </si>
  <si>
    <t>Show Common Sheets</t>
  </si>
  <si>
    <t>Show Advanced Sheets</t>
  </si>
  <si>
    <t>Sheet Name</t>
  </si>
  <si>
    <t>FlapjackObject</t>
  </si>
  <si>
    <t>ColName</t>
  </si>
  <si>
    <t>FlapjackName</t>
  </si>
  <si>
    <t>assay</t>
  </si>
  <si>
    <t>Assay Name</t>
  </si>
  <si>
    <t>name</t>
  </si>
  <si>
    <t>Machine</t>
  </si>
  <si>
    <t>machine</t>
  </si>
  <si>
    <t>Assay Description</t>
  </si>
  <si>
    <t>description</t>
  </si>
  <si>
    <t>Temperature</t>
  </si>
  <si>
    <t>temperature</t>
  </si>
  <si>
    <t>sample</t>
  </si>
  <si>
    <t>Sample</t>
  </si>
  <si>
    <t>Row</t>
  </si>
  <si>
    <t>row</t>
  </si>
  <si>
    <t>Column</t>
  </si>
  <si>
    <t>col</t>
  </si>
  <si>
    <t>Sample Design ID</t>
  </si>
  <si>
    <t>sampledesign</t>
  </si>
  <si>
    <t>Assay ID</t>
  </si>
  <si>
    <t>measurement</t>
  </si>
  <si>
    <t>Measurement</t>
  </si>
  <si>
    <t>Signal ID</t>
  </si>
  <si>
    <t>signal</t>
  </si>
  <si>
    <t>Value</t>
  </si>
  <si>
    <t>value</t>
  </si>
  <si>
    <t>Sample ID</t>
  </si>
  <si>
    <t>Time</t>
  </si>
  <si>
    <t>time</t>
  </si>
  <si>
    <t>Signal</t>
  </si>
  <si>
    <t>Signal Name</t>
  </si>
  <si>
    <t>Signal Description</t>
  </si>
  <si>
    <t>Signal Color</t>
  </si>
  <si>
    <t>color</t>
  </si>
  <si>
    <t>SBOL Version</t>
  </si>
  <si>
    <t>Library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</si>
  <si>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</si>
  <si>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</si>
  <si>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</si>
  <si>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</si>
  <si>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</si>
  <si>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</si>
  <si>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</si>
  <si>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</si>
  <si>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</si>
  <si>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</si>
  <si>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Role</t>
  </si>
  <si>
    <t>Experiment</t>
  </si>
  <si>
    <t>ExperimentalData</t>
  </si>
  <si>
    <t>ComponentDefinition</t>
  </si>
  <si>
    <t>http://identifiers.org/ncit/NCIT:C43382</t>
  </si>
  <si>
    <t>SBH_sampledesigns_collection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</si>
  <si>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</si>
  <si>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</si>
  <si>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</si>
  <si>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</si>
  <si>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</si>
  <si>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</si>
  <si>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</si>
  <si>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</si>
  <si>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</si>
  <si>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</si>
  <si>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</si>
  <si>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</si>
  <si>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</si>
  <si>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</si>
  <si>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</si>
  <si>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</si>
  <si>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</si>
  <si>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</si>
  <si>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</si>
  <si>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</si>
  <si>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</si>
  <si>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</si>
  <si>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</si>
  <si>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</si>
  <si>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sbol_roles</t>
  </si>
  <si>
    <t>URI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</si>
  <si>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</si>
  <si>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</si>
  <si>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</si>
  <si>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</si>
  <si>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</si>
  <si>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</si>
  <si>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Measurement Type</t>
  </si>
  <si>
    <t>isa_measurementType</t>
  </si>
  <si>
    <t>http://isa-tools.org/ns/</t>
  </si>
  <si>
    <t>Technology Type</t>
  </si>
  <si>
    <t>isa_technologyType</t>
  </si>
  <si>
    <t>Technology Platform</t>
  </si>
  <si>
    <t>isa_technologyPlatform</t>
  </si>
  <si>
    <t>Protocols</t>
  </si>
  <si>
    <t>fj_temperature</t>
  </si>
  <si>
    <t>https://wiki.synbiohub.org/wiki/Terms/Flapjack#</t>
  </si>
  <si>
    <t>PubMed ID</t>
  </si>
  <si>
    <t>obo_OBI_0001617</t>
  </si>
  <si>
    <t>http://purl.obolibrary.org/obo/</t>
  </si>
  <si>
    <t>DOI</t>
  </si>
  <si>
    <t>Sample Name</t>
  </si>
  <si>
    <t>fj_row</t>
  </si>
  <si>
    <t>fj_column</t>
  </si>
  <si>
    <t>sbol_experimentalData</t>
  </si>
  <si>
    <t>Sample Design</t>
  </si>
  <si>
    <t>A</t>
  </si>
  <si>
    <t>B</t>
  </si>
  <si>
    <t>Measurement Name</t>
  </si>
  <si>
    <t>Measurement ID</t>
  </si>
  <si>
    <t>fj_sampleId</t>
  </si>
  <si>
    <t>fj_signalId</t>
  </si>
  <si>
    <t>fj_time</t>
  </si>
  <si>
    <t>fj_value</t>
  </si>
  <si>
    <t>fj_color</t>
  </si>
  <si>
    <t>Data Source</t>
  </si>
  <si>
    <t>m9only</t>
  </si>
  <si>
    <t>https://synbiohub.org/user/myers/Align_TF_Cytom_12_plasmids/m9only/1</t>
  </si>
  <si>
    <t>mg1655_dlac_align_vanr_301_m9</t>
  </si>
  <si>
    <t>https://synbiohub.org/user/myers/Align_TF_Cytom_12_plasmids/mg1655_dlac_align_vanr_301_m9/1</t>
  </si>
  <si>
    <t>mg1655_dlac_p150_r1_5_vanr_wt_pvanr_m9</t>
  </si>
  <si>
    <t>https://synbiohub.org/user/myers/Align_TF_Cytom_12_plasmids/mg1655_dlac_p150_r1_5_vanr_wt_pvanr_m9/1</t>
  </si>
  <si>
    <t>mg1655_dlac_pbcd_nofp_m9</t>
  </si>
  <si>
    <t>https://synbiohub.org/user/myers/Align_TF_Cytom_12_plasmids/mg1655_dlac_pbcd_nofp_m9/1</t>
  </si>
  <si>
    <t>mg1655_dlac_pvanr_am_a1t_mscar_m9</t>
  </si>
  <si>
    <t>https://synbiohub.org/user/myers/Align_TF_Cytom_12_plasmids/mg1655_dlac_pvanr_am_a1t_mscar_m9/1</t>
  </si>
  <si>
    <t>mg1655_dlac_pvanr_am_t2a_mscar_m9</t>
  </si>
  <si>
    <t>https://synbiohub.org/user/myers/Align_TF_Cytom_12_plasmids/mg1655_dlac_pvanr_am_t2a_mscar_m9/1</t>
  </si>
  <si>
    <t>m9only_van_24</t>
  </si>
  <si>
    <t>https://synbiohub.org/user/myers/Align_TF_Cytom_12_plasmids/m9only_van_24/1</t>
  </si>
  <si>
    <t>mg1655_dlac_align_vanr_301_m9_van_24</t>
  </si>
  <si>
    <t>https://synbiohub.org/user/myers/Align_TF_Cytom_12_plasmids/mg1655_dlac_align_vanr_301_m9_van_24/1</t>
  </si>
  <si>
    <t>mg1655_dlac_p150_r1_5_vanr_wt_pvanr_m9_van_24</t>
  </si>
  <si>
    <t>https://synbiohub.org/user/myers/Align_TF_Cytom_12_plasmids/mg1655_dlac_p150_r1_5_vanr_wt_pvanr_m9_van_24/1</t>
  </si>
  <si>
    <t>mg1655_dlac_pbcd_nofp_m9_van_24</t>
  </si>
  <si>
    <t>https://synbiohub.org/user/myers/Align_TF_Cytom_12_plasmids/mg1655_dlac_pbcd_nofp_m9_van_24/1</t>
  </si>
  <si>
    <t>mg1655_dlac_pvanr_am_a1t_mscar_m9_van_24</t>
  </si>
  <si>
    <t>https://synbiohub.org/user/myers/Align_TF_Cytom_12_plasmids/mg1655_dlac_pvanr_am_a1t_mscar_m9_van_24/1</t>
  </si>
  <si>
    <t>mg1655_dlac_pvanr_am_t2a_mscar_m9_van_24</t>
  </si>
  <si>
    <t>https://synbiohub.org/user/myers/Align_TF_Cytom_12_plasmids/mg1655_dlac_pvanr_am_t2a_mscar_m9_van_24/1</t>
  </si>
  <si>
    <t>m9only_van_49</t>
  </si>
  <si>
    <t>https://synbiohub.org/user/myers/Align_TF_Cytom_12_plasmids/m9only_van_49/1</t>
  </si>
  <si>
    <t>mg1655_dlac_align_vanr_301_m9_van_49</t>
  </si>
  <si>
    <t>https://synbiohub.org/user/myers/Align_TF_Cytom_12_plasmids/mg1655_dlac_align_vanr_301_m9_van_49/1</t>
  </si>
  <si>
    <t>mg1655_dlac_p150_r1_5_vanr_wt_pvanr_m9_van_49</t>
  </si>
  <si>
    <t>https://synbiohub.org/user/myers/Align_TF_Cytom_12_plasmids/mg1655_dlac_p150_r1_5_vanr_wt_pvanr_m9_van_49/1</t>
  </si>
  <si>
    <t>mg1655_dlac_pbcd_nofp_m9_van_49</t>
  </si>
  <si>
    <t>https://synbiohub.org/user/myers/Align_TF_Cytom_12_plasmids/mg1655_dlac_pbcd_nofp_m9_van_49/1</t>
  </si>
  <si>
    <t>mg1655_dlac_pvanr_am_a1t_mscar_m9_van_49</t>
  </si>
  <si>
    <t>https://synbiohub.org/user/myers/Align_TF_Cytom_12_plasmids/mg1655_dlac_pvanr_am_a1t_mscar_m9_van_49/1</t>
  </si>
  <si>
    <t>mg1655_dlac_pvanr_am_t2a_mscar_m9_van_49</t>
  </si>
  <si>
    <t>https://synbiohub.org/user/myers/Align_TF_Cytom_12_plasmids/mg1655_dlac_pvanr_am_t2a_mscar_m9_van_49/1</t>
  </si>
  <si>
    <t>m9only_van_98</t>
  </si>
  <si>
    <t>https://synbiohub.org/user/myers/Align_TF_Cytom_12_plasmids/m9only_van_98/1</t>
  </si>
  <si>
    <t>mg1655_dlac_align_vanr_301_m9_van_98</t>
  </si>
  <si>
    <t>https://synbiohub.org/user/myers/Align_TF_Cytom_12_plasmids/mg1655_dlac_align_vanr_301_m9_van_98/1</t>
  </si>
  <si>
    <t>mg1655_dlac_p150_r1_5_vanr_wt_pvanr_m9_van_98</t>
  </si>
  <si>
    <t>https://synbiohub.org/user/myers/Align_TF_Cytom_12_plasmids/mg1655_dlac_p150_r1_5_vanr_wt_pvanr_m9_van_98/1</t>
  </si>
  <si>
    <t>mg1655_dlac_pbcd_nofp_m9_van_98</t>
  </si>
  <si>
    <t>https://synbiohub.org/user/myers/Align_TF_Cytom_12_plasmids/mg1655_dlac_pbcd_nofp_m9_van_98/1</t>
  </si>
  <si>
    <t>mg1655_dlac_pvanr_am_a1t_mscar_m9_van_98</t>
  </si>
  <si>
    <t>https://synbiohub.org/user/myers/Align_TF_Cytom_12_plasmids/mg1655_dlac_pvanr_am_a1t_mscar_m9_van_98/1</t>
  </si>
  <si>
    <t>mg1655_dlac_pvanr_am_t2a_mscar_m9_van_98</t>
  </si>
  <si>
    <t>https://synbiohub.org/user/myers/Align_TF_Cytom_12_plasmids/mg1655_dlac_pvanr_am_t2a_mscar_m9_van_98/1</t>
  </si>
  <si>
    <t>m9only_van_195</t>
  </si>
  <si>
    <t>https://synbiohub.org/user/myers/Align_TF_Cytom_12_plasmids/m9only_van_195/1</t>
  </si>
  <si>
    <t>mg1655_dlac_align_vanr_301_m9_van_195</t>
  </si>
  <si>
    <t>https://synbiohub.org/user/myers/Align_TF_Cytom_12_plasmids/mg1655_dlac_align_vanr_301_m9_van_195/1</t>
  </si>
  <si>
    <t>mg1655_dlac_p150_r1_5_vanr_wt_pvanr_m9_van_195</t>
  </si>
  <si>
    <t>https://synbiohub.org/user/myers/Align_TF_Cytom_12_plasmids/mg1655_dlac_p150_r1_5_vanr_wt_pvanr_m9_van_195/1</t>
  </si>
  <si>
    <t>mg1655_dlac_pbcd_nofp_m9_van_195</t>
  </si>
  <si>
    <t>https://synbiohub.org/user/myers/Align_TF_Cytom_12_plasmids/mg1655_dlac_pbcd_nofp_m9_van_195/1</t>
  </si>
  <si>
    <t>mg1655_dlac_pvanr_am_a1t_mscar_m9_van_195</t>
  </si>
  <si>
    <t>https://synbiohub.org/user/myers/Align_TF_Cytom_12_plasmids/mg1655_dlac_pvanr_am_a1t_mscar_m9_van_195/1</t>
  </si>
  <si>
    <t>mg1655_dlac_pvanr_am_t2a_mscar_m9_van_195</t>
  </si>
  <si>
    <t>https://synbiohub.org/user/myers/Align_TF_Cytom_12_plasmids/mg1655_dlac_pvanr_am_t2a_mscar_m9_van_195/1</t>
  </si>
  <si>
    <t>m9only_van_391</t>
  </si>
  <si>
    <t>https://synbiohub.org/user/myers/Align_TF_Cytom_12_plasmids/m9only_van_391/1</t>
  </si>
  <si>
    <t>mg1655_dlac_align_vanr_301_m9_van_391</t>
  </si>
  <si>
    <t>https://synbiohub.org/user/myers/Align_TF_Cytom_12_plasmids/mg1655_dlac_align_vanr_301_m9_van_391/1</t>
  </si>
  <si>
    <t>mg1655_dlac_p150_r1_5_vanr_wt_pvanr_m9_van_391</t>
  </si>
  <si>
    <t>https://synbiohub.org/user/myers/Align_TF_Cytom_12_plasmids/mg1655_dlac_p150_r1_5_vanr_wt_pvanr_m9_van_391/1</t>
  </si>
  <si>
    <t>mg1655_dlac_pbcd_nofp_m9_van_391</t>
  </si>
  <si>
    <t>https://synbiohub.org/user/myers/Align_TF_Cytom_12_plasmids/mg1655_dlac_pbcd_nofp_m9_van_391/1</t>
  </si>
  <si>
    <t>mg1655_dlac_pvanr_am_a1t_mscar_m9_van_391</t>
  </si>
  <si>
    <t>https://synbiohub.org/user/myers/Align_TF_Cytom_12_plasmids/mg1655_dlac_pvanr_am_a1t_mscar_m9_van_391/1</t>
  </si>
  <si>
    <t>mg1655_dlac_pvanr_am_t2a_mscar_m9_van_391</t>
  </si>
  <si>
    <t>https://synbiohub.org/user/myers/Align_TF_Cytom_12_plasmids/mg1655_dlac_pvanr_am_t2a_mscar_m9_van_391/1</t>
  </si>
  <si>
    <t>m9only_van_781</t>
  </si>
  <si>
    <t>https://synbiohub.org/user/myers/Align_TF_Cytom_12_plasmids/m9only_van_781/1</t>
  </si>
  <si>
    <t>mg1655_dlac_align_vanr_301_m9_van_781</t>
  </si>
  <si>
    <t>https://synbiohub.org/user/myers/Align_TF_Cytom_12_plasmids/mg1655_dlac_align_vanr_301_m9_van_781/1</t>
  </si>
  <si>
    <t>mg1655_dlac_p150_r1_5_vanr_wt_pvanr_m9_van_781</t>
  </si>
  <si>
    <t>https://synbiohub.org/user/myers/Align_TF_Cytom_12_plasmids/mg1655_dlac_p150_r1_5_vanr_wt_pvanr_m9_van_781/1</t>
  </si>
  <si>
    <t>mg1655_dlac_pbcd_nofp_m9_van_781</t>
  </si>
  <si>
    <t>https://synbiohub.org/user/myers/Align_TF_Cytom_12_plasmids/mg1655_dlac_pbcd_nofp_m9_van_781/1</t>
  </si>
  <si>
    <t>mg1655_dlac_pvanr_am_a1t_mscar_m9_van_781</t>
  </si>
  <si>
    <t>https://synbiohub.org/user/myers/Align_TF_Cytom_12_plasmids/mg1655_dlac_pvanr_am_a1t_mscar_m9_van_781/1</t>
  </si>
  <si>
    <t>mg1655_dlac_pvanr_am_t2a_mscar_m9_van_781</t>
  </si>
  <si>
    <t>https://synbiohub.org/user/myers/Align_TF_Cytom_12_plasmids/mg1655_dlac_pvanr_am_t2a_mscar_m9_van_781/1</t>
  </si>
  <si>
    <t>m9only_van_1563</t>
  </si>
  <si>
    <t>https://synbiohub.org/user/myers/Align_TF_Cytom_12_plasmids/m9only_van_1563/1</t>
  </si>
  <si>
    <t>mg1655_dlac_align_vanr_301_m9_van_1563</t>
  </si>
  <si>
    <t>https://synbiohub.org/user/myers/Align_TF_Cytom_12_plasmids/mg1655_dlac_align_vanr_301_m9_van_1563/1</t>
  </si>
  <si>
    <t>mg1655_dlac_p150_r1_5_vanr_wt_pvanr_m9_van_1563</t>
  </si>
  <si>
    <t>https://synbiohub.org/user/myers/Align_TF_Cytom_12_plasmids/mg1655_dlac_p150_r1_5_vanr_wt_pvanr_m9_van_1563/1</t>
  </si>
  <si>
    <t>mg1655_dlac_pbcd_nofp_m9_van_1563</t>
  </si>
  <si>
    <t>https://synbiohub.org/user/myers/Align_TF_Cytom_12_plasmids/mg1655_dlac_pbcd_nofp_m9_van_1563/1</t>
  </si>
  <si>
    <t>mg1655_dlac_pvanr_am_a1t_mscar_m9_van_1563</t>
  </si>
  <si>
    <t>https://synbiohub.org/user/myers/Align_TF_Cytom_12_plasmids/mg1655_dlac_pvanr_am_a1t_mscar_m9_van_1563/1</t>
  </si>
  <si>
    <t>mg1655_dlac_pvanr_am_t2a_mscar_m9_van_1563</t>
  </si>
  <si>
    <t>https://synbiohub.org/user/myers/Align_TF_Cytom_12_plasmids/mg1655_dlac_pvanr_am_t2a_mscar_m9_van_1563/1</t>
  </si>
  <si>
    <t>m9only_van_3125</t>
  </si>
  <si>
    <t>https://synbiohub.org/user/myers/Align_TF_Cytom_12_plasmids/m9only_van_3125/1</t>
  </si>
  <si>
    <t>mg1655_dlac_align_vanr_301_m9_van_3125</t>
  </si>
  <si>
    <t>https://synbiohub.org/user/myers/Align_TF_Cytom_12_plasmids/mg1655_dlac_align_vanr_301_m9_van_3125/1</t>
  </si>
  <si>
    <t>mg1655_dlac_p150_r1_5_vanr_wt_pvanr_m9_van_3125</t>
  </si>
  <si>
    <t>https://synbiohub.org/user/myers/Align_TF_Cytom_12_plasmids/mg1655_dlac_p150_r1_5_vanr_wt_pvanr_m9_van_3125/1</t>
  </si>
  <si>
    <t>mg1655_dlac_pbcd_nofp_m9_van_3125</t>
  </si>
  <si>
    <t>https://synbiohub.org/user/myers/Align_TF_Cytom_12_plasmids/mg1655_dlac_pbcd_nofp_m9_van_3125/1</t>
  </si>
  <si>
    <t>mg1655_dlac_pvanr_am_a1t_mscar_m9_van_3125</t>
  </si>
  <si>
    <t>https://synbiohub.org/user/myers/Align_TF_Cytom_12_plasmids/mg1655_dlac_pvanr_am_a1t_mscar_m9_van_3125/1</t>
  </si>
  <si>
    <t>mg1655_dlac_pvanr_am_t2a_mscar_m9_van_3125</t>
  </si>
  <si>
    <t>https://synbiohub.org/user/myers/Align_TF_Cytom_12_plasmids/mg1655_dlac_pvanr_am_t2a_mscar_m9_van_3125/1</t>
  </si>
  <si>
    <t>m9only_van_6150</t>
  </si>
  <si>
    <t>https://synbiohub.org/user/myers/Align_TF_Cytom_12_plasmids/m9only_van_6150/1</t>
  </si>
  <si>
    <t>mg1655_dlac_align_vanr_301_m9_van_6150</t>
  </si>
  <si>
    <t>https://synbiohub.org/user/myers/Align_TF_Cytom_12_plasmids/mg1655_dlac_align_vanr_301_m9_van_6150/1</t>
  </si>
  <si>
    <t>mg1655_dlac_p150_r1_5_vanr_wt_pvanr_m9_van_6150</t>
  </si>
  <si>
    <t>https://synbiohub.org/user/myers/Align_TF_Cytom_12_plasmids/mg1655_dlac_p150_r1_5_vanr_wt_pvanr_m9_van_6150/1</t>
  </si>
  <si>
    <t>mg1655_dlac_pbcd_nofp_m9_van_6150</t>
  </si>
  <si>
    <t>https://synbiohub.org/user/myers/Align_TF_Cytom_12_plasmids/mg1655_dlac_pbcd_nofp_m9_van_6150/1</t>
  </si>
  <si>
    <t>mg1655_dlac_pvanr_am_a1t_mscar_m9_van_6150</t>
  </si>
  <si>
    <t>https://synbiohub.org/user/myers/Align_TF_Cytom_12_plasmids/mg1655_dlac_pvanr_am_a1t_mscar_m9_van_6150/1</t>
  </si>
  <si>
    <t>mg1655_dlac_pvanr_am_t2a_mscar_m9_van_6150</t>
  </si>
  <si>
    <t>https://synbiohub.org/user/myers/Align_TF_Cytom_12_plasmids/mg1655_dlac_pvanr_am_t2a_mscar_m9_van_6150/1</t>
  </si>
  <si>
    <t>m9only_van_12500</t>
  </si>
  <si>
    <t>https://synbiohub.org/user/myers/Align_TF_Cytom_12_plasmids/m9only_van_12500/1</t>
  </si>
  <si>
    <t>mg1655_dlac_align_vanr_301_m9_van_12500</t>
  </si>
  <si>
    <t>https://synbiohub.org/user/myers/Align_TF_Cytom_12_plasmids/mg1655_dlac_align_vanr_301_m9_van_12500/1</t>
  </si>
  <si>
    <t>mg1655_dlac_p150_r1_5_vanr_wt_pvanr_m9_van_12500</t>
  </si>
  <si>
    <t>https://synbiohub.org/user/myers/Align_TF_Cytom_12_plasmids/mg1655_dlac_p150_r1_5_vanr_wt_pvanr_m9_van_12500/1</t>
  </si>
  <si>
    <t>mg1655_dlac_pbcd_nofp_m9_van_12500</t>
  </si>
  <si>
    <t>https://synbiohub.org/user/myers/Align_TF_Cytom_12_plasmids/mg1655_dlac_pbcd_nofp_m9_van_12500/1</t>
  </si>
  <si>
    <t>mg1655_dlac_pvanr_am_a1t_mscar_m9_van_12500</t>
  </si>
  <si>
    <t>https://synbiohub.org/user/myers/Align_TF_Cytom_12_plasmids/mg1655_dlac_pvanr_am_a1t_mscar_m9_van_12500/1</t>
  </si>
  <si>
    <t>mg1655_dlac_pvanr_am_t2a_mscar_m9_van_12500</t>
  </si>
  <si>
    <t>https://synbiohub.org/user/myers/Align_TF_Cytom_12_plasmids/mg1655_dlac_pvanr_am_t2a_mscar_m9_van_12500/1</t>
  </si>
  <si>
    <t>m9only_van_25000</t>
  </si>
  <si>
    <t>https://synbiohub.org/user/myers/Align_TF_Cytom_12_plasmids/m9only_van_25000/1</t>
  </si>
  <si>
    <t>mg1655_dlac_align_vanr_301_m9_van_25000</t>
  </si>
  <si>
    <t>https://synbiohub.org/user/myers/Align_TF_Cytom_12_plasmids/mg1655_dlac_align_vanr_301_m9_van_25000/1</t>
  </si>
  <si>
    <t>mg1655_dlac_p150_r1_5_vanr_wt_pvanr_m9_van_25000</t>
  </si>
  <si>
    <t>https://synbiohub.org/user/myers/Align_TF_Cytom_12_plasmids/mg1655_dlac_p150_r1_5_vanr_wt_pvanr_m9_van_25000/1</t>
  </si>
  <si>
    <t>mg1655_dlac_pbcd_nofp_m9_van_25000</t>
  </si>
  <si>
    <t>https://synbiohub.org/user/myers/Align_TF_Cytom_12_plasmids/mg1655_dlac_pbcd_nofp_m9_van_25000/1</t>
  </si>
  <si>
    <t>mg1655_dlac_pvanr_am_a1t_mscar_m9_van_25000</t>
  </si>
  <si>
    <t>https://synbiohub.org/user/myers/Align_TF_Cytom_12_plasmids/mg1655_dlac_pvanr_am_a1t_mscar_m9_van_25000/1</t>
  </si>
  <si>
    <t>mg1655_dlac_pvanr_am_t2a_mscar_m9_van_25000</t>
  </si>
  <si>
    <t>https://synbiohub.org/user/myers/Align_TF_Cytom_12_plasmids/mg1655_dlac_pvanr_am_t2a_mscar_m9_van_25000/1</t>
  </si>
  <si>
    <t>Align-TF-Cytom-12-plasmids_growth-plate_1-1</t>
  </si>
  <si>
    <t>align_tf_cytom_12_plasmids_growth_plate_1_1</t>
  </si>
  <si>
    <t>sample1</t>
  </si>
  <si>
    <t>sample2</t>
  </si>
  <si>
    <t>sample3</t>
  </si>
  <si>
    <t>C</t>
  </si>
  <si>
    <t>sample4</t>
  </si>
  <si>
    <t>D</t>
  </si>
  <si>
    <t>sample5</t>
  </si>
  <si>
    <t>E</t>
  </si>
  <si>
    <t>sample6</t>
  </si>
  <si>
    <t>F</t>
  </si>
  <si>
    <t>sample7</t>
  </si>
  <si>
    <t>G</t>
  </si>
  <si>
    <t>sample8</t>
  </si>
  <si>
    <t>H</t>
  </si>
  <si>
    <t>sample9</t>
  </si>
  <si>
    <t>sample10</t>
  </si>
  <si>
    <t>sample11</t>
  </si>
  <si>
    <t>sample12</t>
  </si>
  <si>
    <t>sample13</t>
  </si>
  <si>
    <t>sample14</t>
  </si>
  <si>
    <t>sample15</t>
  </si>
  <si>
    <t>sample16</t>
  </si>
  <si>
    <t>sample17</t>
  </si>
  <si>
    <t>sample18</t>
  </si>
  <si>
    <t>sample19</t>
  </si>
  <si>
    <t>sample20</t>
  </si>
  <si>
    <t>sample21</t>
  </si>
  <si>
    <t>sample22</t>
  </si>
  <si>
    <t>sample23</t>
  </si>
  <si>
    <t>sample24</t>
  </si>
  <si>
    <t>sample25</t>
  </si>
  <si>
    <t>sample26</t>
  </si>
  <si>
    <t>sample27</t>
  </si>
  <si>
    <t>sample28</t>
  </si>
  <si>
    <t>sample29</t>
  </si>
  <si>
    <t>sample30</t>
  </si>
  <si>
    <t>sample31</t>
  </si>
  <si>
    <t>sample32</t>
  </si>
  <si>
    <t>sample33</t>
  </si>
  <si>
    <t>sample34</t>
  </si>
  <si>
    <t>sample35</t>
  </si>
  <si>
    <t>sample36</t>
  </si>
  <si>
    <t>sample37</t>
  </si>
  <si>
    <t>sample38</t>
  </si>
  <si>
    <t>sample39</t>
  </si>
  <si>
    <t>sample40</t>
  </si>
  <si>
    <t>sample41</t>
  </si>
  <si>
    <t>sample42</t>
  </si>
  <si>
    <t>sample43</t>
  </si>
  <si>
    <t>sample44</t>
  </si>
  <si>
    <t>sample45</t>
  </si>
  <si>
    <t>sample46</t>
  </si>
  <si>
    <t>sample47</t>
  </si>
  <si>
    <t>sample48</t>
  </si>
  <si>
    <t>sample49</t>
  </si>
  <si>
    <t>sample50</t>
  </si>
  <si>
    <t>sample51</t>
  </si>
  <si>
    <t>sample52</t>
  </si>
  <si>
    <t>sample53</t>
  </si>
  <si>
    <t>sample54</t>
  </si>
  <si>
    <t>sample55</t>
  </si>
  <si>
    <t>sample56</t>
  </si>
  <si>
    <t>sample57</t>
  </si>
  <si>
    <t>sample58</t>
  </si>
  <si>
    <t>sample59</t>
  </si>
  <si>
    <t>sample60</t>
  </si>
  <si>
    <t>sample61</t>
  </si>
  <si>
    <t>sample62</t>
  </si>
  <si>
    <t>sample63</t>
  </si>
  <si>
    <t>sample64</t>
  </si>
  <si>
    <t>sample65</t>
  </si>
  <si>
    <t>sample66</t>
  </si>
  <si>
    <t>sample67</t>
  </si>
  <si>
    <t>sample68</t>
  </si>
  <si>
    <t>sample69</t>
  </si>
  <si>
    <t>sample70</t>
  </si>
  <si>
    <t>sample71</t>
  </si>
  <si>
    <t>sample72</t>
  </si>
  <si>
    <t>sample73</t>
  </si>
  <si>
    <t>sample74</t>
  </si>
  <si>
    <t>sample75</t>
  </si>
  <si>
    <t>sample76</t>
  </si>
  <si>
    <t>sample77</t>
  </si>
  <si>
    <t>sample78</t>
  </si>
  <si>
    <t>sample79</t>
  </si>
  <si>
    <t>sample80</t>
  </si>
  <si>
    <t>sample81</t>
  </si>
  <si>
    <t>sample82</t>
  </si>
  <si>
    <t>sample83</t>
  </si>
  <si>
    <t>sample84</t>
  </si>
  <si>
    <t>sample85</t>
  </si>
  <si>
    <t>sample86</t>
  </si>
  <si>
    <t>sample87</t>
  </si>
  <si>
    <t>sample88</t>
  </si>
  <si>
    <t>sample89</t>
  </si>
  <si>
    <t>sample90</t>
  </si>
  <si>
    <t>sample91</t>
  </si>
  <si>
    <t>sample92</t>
  </si>
  <si>
    <t>sample93</t>
  </si>
  <si>
    <t>sample94</t>
  </si>
  <si>
    <t>sample95</t>
  </si>
  <si>
    <t>sample96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</si>
</sst>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4">
    <xf numFmtId="0" fontId="0" fillId="0" borderId="1"/>
    <xf numFmtId="0" fontId="1" fillId="0" borderId="1"/>
    <xf numFmtId="0" fontId="3" fillId="0" borderId="1"/>
    <xf numFmtId="0" fontId="2" fillId="0" borderId="1"/>
  </cellStyleXfs>
  <cellXfs count="17">
    <xf numFmtId="0" fontId="0" fillId="0" borderId="0" xfId="0" applyBorder="1"/>
    <xf numFmtId="0" fontId="0" fillId="0" borderId="2" xfId="0" applyBorder="1"/>
    <xf numFmtId="0" fontId="6" fillId="2" borderId="1" xfId="0" applyFont="1" applyFill="1" applyAlignment="1">
      <alignment vertical="center"/>
    </xf>
    <xf numFmtId="0" fontId="7" fillId="0" borderId="1" xfId="0" applyFont="1"/>
    <xf numFmtId="0" fontId="4" fillId="0" borderId="3" xfId="0" applyFont="1" applyBorder="1"/>
    <xf numFmtId="0" fontId="0" fillId="0" borderId="3" xfId="0" applyBorder="1"/>
    <xf numFmtId="0" fontId="8" fillId="3" borderId="3" xfId="0" applyFont="1" applyFill="1" applyBorder="1" applyAlignment="1">
      <alignment vertical="center"/>
    </xf>
    <xf numFmtId="0" fontId="5" fillId="0" borderId="3" xfId="0" applyFont="1" applyBorder="1"/>
    <xf numFmtId="0" fontId="9" fillId="0" borderId="3" xfId="0" applyFont="1" applyBorder="1" applyAlignment="1">
      <alignment vertical="center"/>
    </xf>
    <xf numFmtId="0" fontId="10" fillId="4" borderId="4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0" xfId="0" applyFont="1" applyFill="1" applyBorder="1"/>
    <xf numFmtId="0" fontId="0" fillId="0" borderId="1" xfId="0" applyAlignment="1">
      <alignment horizontal="center"/>
    </xf>
    <xf numFmtId="0" fontId="4" fillId="0" borderId="3" xfId="0" applyFont="1" applyFill="1" applyBorder="1"/>
    <xf numFmtId="0" fontId="0" fillId="0" borderId="3" xfId="0" applyFill="1" applyBorder="1"/>
  </cellXfs>
  <cellStyles count="4">
    <cellStyle name="Hyperlink 2" xfId="3" xr:uid="{00000000-0005-0000-0000-000004000000}"/>
    <cellStyle name="Normal" xfId="0" builtinId="0"/>
    <cellStyle name="Normal 2" xfId="1" xr:uid="{00000000-0005-0000-0000-000001000000}"/>
    <cellStyle name="Normal 3" xfId="2" xr:uid="{00000000-0005-0000-0000-000003000000}"/>
  </cellStyles>
  <dxfs count="1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1D1D1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yers/research/NISTData/2005-07-02_Align-TF-Cytom-12-plasmids-Experiment/Spreadsheets/Align_TF_Assay1.xlsm" TargetMode="External"/><Relationship Id="rId1" Type="http://schemas.openxmlformats.org/officeDocument/2006/relationships/externalLinkPath" Target="/Users/myers/research/NISTData/2005-07-02_Align-TF-Cytom-12-plasmids-Experiment/Spreadsheets/Align_TF_Assay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assay"/>
      <sheetName val="sample"/>
      <sheetName val="measurement"/>
      <sheetName val="signal"/>
      <sheetName val="SBH_sampledesigns_collection"/>
      <sheetName val="Init"/>
      <sheetName val="column_definitions"/>
      <sheetName val="flapjack_cols"/>
      <sheetName val="_DropdownState"/>
      <sheetName val="_DropdownLists"/>
      <sheetName val="_DropdownM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ay" displayName="assay" ref="A1:K2">
  <tableColumns count="11">
    <tableColumn id="1" xr3:uid="{00000000-0010-0000-0000-000001000000}" name="Assay Name"/>
    <tableColumn id="2" xr3:uid="{00000000-0010-0000-0000-000002000000}" name="Assay ID" dataDxfId="3"/>
    <tableColumn id="3" xr3:uid="{00000000-0010-0000-0000-000003000000}" name="Previous Version (URI)" dataDxfId="4"/>
    <tableColumn id="4" xr3:uid="{00000000-0010-0000-0000-000004000000}" name="Assay Description"/>
    <tableColumn id="5" xr3:uid="{00000000-0010-0000-0000-000005000000}" name="Measurement Type"/>
    <tableColumn id="6" xr3:uid="{00000000-0010-0000-0000-000006000000}" name="Technology Type"/>
    <tableColumn id="7" xr3:uid="{00000000-0010-0000-0000-000007000000}" name="Technology Platform"/>
    <tableColumn id="8" xr3:uid="{00000000-0010-0000-0000-000008000000}" name="Protocols" dataDxfId="12"/>
    <tableColumn id="9" xr3:uid="{00000000-0010-0000-0000-000009000000}" name="Temperature"/>
    <tableColumn id="10" xr3:uid="{00000000-0010-0000-0000-00000A000000}" name="PubMed ID"/>
    <tableColumn id="11" xr3:uid="{00000000-0010-0000-0000-00000B000000}" name="DOI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ample" displayName="sample" ref="A1:F97">
  <tableColumns count="6">
    <tableColumn id="1" xr3:uid="{00000000-0010-0000-0100-000001000000}" name="Sample Name" dataDxfId="10"/>
    <tableColumn id="2" xr3:uid="{00000000-0010-0000-0100-000002000000}" name="Sample ID" dataDxfId="9">
      <calculatedColumnFormula>IF([1]!sample[[#This Row],[Sample Name]]="","",SUBSTITUTE(SUBSTITUTE(TRIM(LOWER([1]!sample[[#This Row],[Sample Name]]))," ","_"),"-","_"))</calculatedColumnFormula>
    </tableColumn>
    <tableColumn id="3" xr3:uid="{00000000-0010-0000-0100-000003000000}" name="Row" dataDxfId="8"/>
    <tableColumn id="4" xr3:uid="{00000000-0010-0000-0100-000004000000}" name="Column" dataDxfId="7"/>
    <tableColumn id="5" xr3:uid="{00000000-0010-0000-0100-000005000000}" name="Assay ID" dataDxfId="6"/>
    <tableColumn id="6" xr3:uid="{00000000-0010-0000-0100-000006000000}" name="Sample Design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easurement" displayName="measurement" ref="A1:F2">
  <tableColumns count="6">
    <tableColumn id="1" xr3:uid="{00000000-0010-0000-0200-000001000000}" name="Measurement Name"/>
    <tableColumn id="2" xr3:uid="{00000000-0010-0000-0200-000002000000}" name="Measurement ID" dataDxfId="2">
      <calculatedColumnFormula>IF(measurement[[#This Row],[Measurement Name]]="","",SUBSTITUTE(SUBSTITUTE(TRIM(measurement[[#This Row],[Measurement Name]])," ","_"),"-","_"))</calculatedColumnFormula>
    </tableColumn>
    <tableColumn id="3" xr3:uid="{00000000-0010-0000-0200-000003000000}" name="Sample ID"/>
    <tableColumn id="4" xr3:uid="{00000000-0010-0000-0200-000004000000}" name="Signal ID"/>
    <tableColumn id="5" xr3:uid="{00000000-0010-0000-0200-000005000000}" name="Time"/>
    <tableColumn id="6" xr3:uid="{00000000-0010-0000-0200-000006000000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ignal" displayName="signal" ref="A1:H2">
  <tableColumns count="8">
    <tableColumn id="1" xr3:uid="{00000000-0010-0000-0300-000001000000}" name="Signal Name"/>
    <tableColumn id="2" xr3:uid="{00000000-0010-0000-0300-000002000000}" name="Signal ID" dataDxfId="0">
      <calculatedColumnFormula>IF(signal[[#This Row],[Signal Name]]="","",SUBSTITUTE(SUBSTITUTE(TRIM(signal[[#This Row],[Signal Name]])," ","_"),"-","_"))</calculatedColumnFormula>
    </tableColumn>
    <tableColumn id="3" xr3:uid="{00000000-0010-0000-0300-000003000000}" name="Previous Version (URI)" dataDxfId="1"/>
    <tableColumn id="4" xr3:uid="{00000000-0010-0000-0300-000004000000}" name="Signal Description"/>
    <tableColumn id="5" xr3:uid="{00000000-0010-0000-0300-000005000000}" name="Signal Color"/>
    <tableColumn id="6" xr3:uid="{00000000-0010-0000-0300-000006000000}" name="Data Source" dataDxfId="14"/>
    <tableColumn id="7" xr3:uid="{00000000-0010-0000-0300-000007000000}" name="PubMed ID"/>
    <tableColumn id="8" xr3:uid="{00000000-0010-0000-0300-000008000000}" name="DOI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BH_sampledesigns_collection" displayName="SBH_sampledesigns_collection" ref="A1:B73">
  <autoFilter ref="A1:B73" xr:uid="{00000000-0009-0000-0100-000005000000}"/>
  <tableColumns count="2">
    <tableColumn id="1" xr3:uid="{00000000-0010-0000-0400-000001000000}" name="Name"/>
    <tableColumn id="2" xr3:uid="{00000000-0010-0000-0400-000002000000}" name="U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workbookViewId="0">
      <selection activeCell="C17" sqref="C17"/>
    </sheetView>
  </sheetViews>
  <sheetFormatPr baseColWidth="10" defaultColWidth="10.6640625" defaultRowHeight="15" x14ac:dyDescent="0.2"/>
  <cols>
    <col min="1" max="4" width="25" style="1" customWidth="1"/>
    <col min="5" max="14" width="25" customWidth="1"/>
    <col min="15" max="15" width="25" style="1" customWidth="1"/>
    <col min="16" max="16" width="10.6640625" style="1" customWidth="1"/>
    <col min="17" max="16384" width="10.6640625" style="1"/>
  </cols>
  <sheetData>
    <row r="1" spans="1:14" x14ac:dyDescent="0.2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5"/>
      <c r="M1" s="5"/>
      <c r="N1" s="5"/>
    </row>
    <row r="2" spans="1:14" x14ac:dyDescent="0.2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5"/>
      <c r="M2" s="5"/>
      <c r="N2" s="5"/>
    </row>
    <row r="3" spans="1:14" ht="22" customHeight="1" x14ac:dyDescent="0.2">
      <c r="A3" s="4"/>
      <c r="B3" s="6" t="s">
        <v>0</v>
      </c>
      <c r="C3" s="6"/>
      <c r="D3" s="4"/>
      <c r="E3" s="4"/>
      <c r="F3" s="4"/>
      <c r="G3" s="4"/>
      <c r="H3" s="4"/>
      <c r="I3" s="4"/>
      <c r="J3" s="4"/>
      <c r="K3" s="4"/>
      <c r="L3" s="5"/>
      <c r="M3" s="5"/>
      <c r="N3" s="5"/>
    </row>
    <row r="4" spans="1:14" ht="17" customHeight="1" x14ac:dyDescent="0.2">
      <c r="A4" s="7"/>
      <c r="B4" s="8" t="s">
        <v>1</v>
      </c>
      <c r="C4" s="9" t="s">
        <v>2</v>
      </c>
      <c r="D4" s="7"/>
      <c r="E4" s="7"/>
      <c r="F4" s="7"/>
      <c r="G4" s="7"/>
      <c r="H4" s="7"/>
      <c r="I4" s="7"/>
      <c r="J4" s="7"/>
      <c r="K4" s="7"/>
      <c r="L4" s="5"/>
      <c r="M4" s="5"/>
      <c r="N4" s="5"/>
    </row>
    <row r="5" spans="1:14" ht="15" customHeight="1" x14ac:dyDescent="0.2">
      <c r="A5" s="4"/>
      <c r="B5" s="8" t="s">
        <v>3</v>
      </c>
      <c r="C5" s="9" t="s">
        <v>4</v>
      </c>
      <c r="D5" s="4"/>
      <c r="E5" s="4"/>
      <c r="F5" s="4"/>
      <c r="G5" s="4"/>
      <c r="H5" s="4"/>
      <c r="I5" s="4"/>
      <c r="J5" s="4"/>
      <c r="K5" s="4"/>
      <c r="L5" s="5"/>
      <c r="M5" s="5"/>
      <c r="N5" s="5"/>
    </row>
    <row r="6" spans="1:14" ht="15" customHeight="1" x14ac:dyDescent="0.2">
      <c r="A6" s="4"/>
      <c r="B6" s="8" t="s">
        <v>5</v>
      </c>
      <c r="C6" s="9" t="s">
        <v>6</v>
      </c>
      <c r="D6" s="4"/>
      <c r="E6" s="4"/>
      <c r="F6" s="4"/>
      <c r="G6" s="4"/>
      <c r="H6" s="4"/>
      <c r="I6" s="4"/>
      <c r="J6" s="4"/>
      <c r="K6" s="4"/>
      <c r="L6" s="5"/>
      <c r="M6" s="5"/>
      <c r="N6" s="5"/>
    </row>
    <row r="7" spans="1:14" ht="15" customHeight="1" x14ac:dyDescent="0.2">
      <c r="A7" s="4"/>
      <c r="B7" s="8" t="s">
        <v>7</v>
      </c>
      <c r="C7" s="9" t="s">
        <v>8</v>
      </c>
      <c r="D7" s="4"/>
      <c r="E7" s="4"/>
      <c r="F7" s="4"/>
      <c r="G7" s="4"/>
      <c r="H7" s="4"/>
      <c r="I7" s="4"/>
      <c r="J7" s="4"/>
      <c r="K7" s="4"/>
      <c r="L7" s="5"/>
      <c r="M7" s="5"/>
      <c r="N7" s="5"/>
    </row>
    <row r="8" spans="1:14" ht="15" customHeight="1" x14ac:dyDescent="0.2">
      <c r="A8" s="4"/>
      <c r="B8" s="8" t="s">
        <v>9</v>
      </c>
      <c r="C8" s="9" t="s">
        <v>10</v>
      </c>
      <c r="D8" s="4"/>
      <c r="E8" s="4"/>
      <c r="F8" s="4"/>
      <c r="G8" s="4"/>
      <c r="H8" s="4"/>
      <c r="I8" s="4"/>
      <c r="J8" s="4"/>
      <c r="K8" s="4"/>
      <c r="L8" s="5"/>
      <c r="M8" s="5"/>
      <c r="N8" s="5"/>
    </row>
    <row r="9" spans="1:14" ht="15" customHeight="1" x14ac:dyDescent="0.2">
      <c r="A9" s="4"/>
      <c r="B9" s="8" t="s">
        <v>11</v>
      </c>
      <c r="C9" s="9" t="s">
        <v>12</v>
      </c>
      <c r="D9" s="4"/>
      <c r="E9" s="4"/>
      <c r="F9" s="4"/>
      <c r="G9" s="4"/>
      <c r="H9" s="4"/>
      <c r="I9" s="4"/>
      <c r="J9" s="4"/>
      <c r="K9" s="4"/>
      <c r="L9" s="5"/>
      <c r="M9" s="5"/>
      <c r="N9" s="5"/>
    </row>
    <row r="10" spans="1:14" ht="15" customHeight="1" x14ac:dyDescent="0.2">
      <c r="A10" s="4"/>
      <c r="B10" s="8" t="s">
        <v>13</v>
      </c>
      <c r="C10" s="9" t="s">
        <v>14</v>
      </c>
      <c r="D10" s="4"/>
      <c r="E10" s="4"/>
      <c r="F10" s="4"/>
      <c r="G10" s="4"/>
      <c r="H10" s="4"/>
      <c r="I10" s="4"/>
      <c r="J10" s="4"/>
      <c r="K10" s="4"/>
      <c r="L10" s="5"/>
      <c r="M10" s="5"/>
      <c r="N10" s="5"/>
    </row>
    <row r="11" spans="1:14" ht="15" customHeight="1" x14ac:dyDescent="0.2">
      <c r="A11" s="4"/>
      <c r="B11" s="8" t="s">
        <v>15</v>
      </c>
      <c r="C11" s="9" t="s">
        <v>16</v>
      </c>
      <c r="D11" s="4"/>
      <c r="E11" s="4"/>
      <c r="F11" s="4"/>
      <c r="G11" s="4"/>
      <c r="H11" s="4"/>
      <c r="I11" s="4"/>
      <c r="J11" s="4"/>
      <c r="K11" s="4"/>
      <c r="L11" s="5"/>
      <c r="M11" s="5"/>
      <c r="N11" s="5"/>
    </row>
    <row r="12" spans="1:14" ht="15" customHeight="1" x14ac:dyDescent="0.2">
      <c r="A12" s="4"/>
      <c r="B12" s="8" t="s">
        <v>17</v>
      </c>
      <c r="C12" s="9" t="s">
        <v>18</v>
      </c>
      <c r="D12" s="4"/>
      <c r="E12" s="4"/>
      <c r="F12" s="4"/>
      <c r="G12" s="4"/>
      <c r="H12" s="4"/>
      <c r="I12" s="4"/>
      <c r="J12" s="4"/>
      <c r="K12" s="4"/>
      <c r="L12" s="5"/>
      <c r="M12" s="5"/>
      <c r="N12" s="5"/>
    </row>
    <row r="13" spans="1:14" ht="15" customHeight="1" x14ac:dyDescent="0.2">
      <c r="A13" s="4"/>
      <c r="B13" s="8" t="s">
        <v>19</v>
      </c>
      <c r="C13" s="9"/>
      <c r="D13" s="4"/>
      <c r="E13" s="4"/>
      <c r="F13" s="4"/>
      <c r="G13" s="4"/>
      <c r="H13" s="4"/>
      <c r="I13" s="4"/>
      <c r="J13" s="4"/>
      <c r="K13" s="4"/>
      <c r="L13" s="5"/>
      <c r="M13" s="5"/>
      <c r="N13" s="5"/>
    </row>
    <row r="14" spans="1:14" ht="15" customHeight="1" x14ac:dyDescent="0.2">
      <c r="A14" s="4"/>
      <c r="B14" s="8" t="s">
        <v>20</v>
      </c>
      <c r="C14" s="9"/>
      <c r="D14" s="4"/>
      <c r="E14" s="4"/>
      <c r="F14" s="4"/>
      <c r="G14" s="4"/>
      <c r="H14" s="4"/>
      <c r="I14" s="4"/>
      <c r="J14" s="4"/>
      <c r="K14" s="4"/>
      <c r="L14" s="5"/>
      <c r="M14" s="5"/>
      <c r="N14" s="5"/>
    </row>
    <row r="15" spans="1:14" ht="15" customHeight="1" x14ac:dyDescent="0.2">
      <c r="A15" s="4"/>
      <c r="B15" s="8" t="s">
        <v>21</v>
      </c>
      <c r="C15" s="9"/>
      <c r="D15" s="4"/>
      <c r="E15" s="4"/>
      <c r="F15" s="4"/>
      <c r="G15" s="4"/>
      <c r="H15" s="4"/>
      <c r="I15" s="4"/>
      <c r="J15" s="4"/>
      <c r="K15" s="4"/>
      <c r="L15" s="5"/>
      <c r="M15" s="5"/>
      <c r="N15" s="5"/>
    </row>
    <row r="16" spans="1:14" ht="15" customHeight="1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ht="15" customHeight="1" x14ac:dyDescent="0.2">
      <c r="A17" s="5"/>
      <c r="B17" s="8" t="s">
        <v>22</v>
      </c>
      <c r="C17" s="12" t="b">
        <v>1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ht="15" customHeight="1" x14ac:dyDescent="0.2">
      <c r="A18" s="4"/>
      <c r="B18" s="8" t="s">
        <v>23</v>
      </c>
      <c r="C18" s="12" t="b">
        <v>0</v>
      </c>
      <c r="D18" s="4"/>
      <c r="E18" s="4"/>
      <c r="F18" s="4"/>
      <c r="G18" s="4"/>
      <c r="H18" s="4"/>
      <c r="I18" s="4"/>
      <c r="J18" s="4"/>
      <c r="K18" s="4"/>
      <c r="L18" s="5"/>
      <c r="M18" s="5"/>
      <c r="N18" s="5"/>
    </row>
    <row r="19" spans="1:14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5"/>
      <c r="M19" s="5"/>
      <c r="N19" s="5"/>
    </row>
    <row r="20" spans="1:14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5"/>
      <c r="M20" s="5"/>
      <c r="N20" s="5"/>
    </row>
    <row r="21" spans="1:14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1:14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1:14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1:14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1:14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4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</row>
    <row r="31" spans="1:14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rgb="FF48A9AE"/>
  </sheetPr>
  <dimension ref="A1:D16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2" t="s">
        <v>24</v>
      </c>
      <c r="B1" s="2" t="s">
        <v>25</v>
      </c>
      <c r="C1" s="2" t="s">
        <v>26</v>
      </c>
      <c r="D1" s="2" t="s">
        <v>27</v>
      </c>
    </row>
    <row r="2" spans="1:4" x14ac:dyDescent="0.2">
      <c r="A2" s="3" t="s">
        <v>28</v>
      </c>
      <c r="B2" s="3" t="s">
        <v>2</v>
      </c>
      <c r="C2" s="3" t="s">
        <v>29</v>
      </c>
      <c r="D2" s="3" t="s">
        <v>30</v>
      </c>
    </row>
    <row r="3" spans="1:4" x14ac:dyDescent="0.2">
      <c r="A3" s="3" t="s">
        <v>28</v>
      </c>
      <c r="B3" s="3" t="s">
        <v>2</v>
      </c>
      <c r="C3" s="3" t="s">
        <v>31</v>
      </c>
      <c r="D3" s="3" t="s">
        <v>32</v>
      </c>
    </row>
    <row r="4" spans="1:4" x14ac:dyDescent="0.2">
      <c r="A4" s="3" t="s">
        <v>28</v>
      </c>
      <c r="B4" s="3" t="s">
        <v>2</v>
      </c>
      <c r="C4" s="3" t="s">
        <v>33</v>
      </c>
      <c r="D4" s="3" t="s">
        <v>34</v>
      </c>
    </row>
    <row r="5" spans="1:4" x14ac:dyDescent="0.2">
      <c r="A5" s="3" t="s">
        <v>28</v>
      </c>
      <c r="B5" s="3" t="s">
        <v>2</v>
      </c>
      <c r="C5" s="3" t="s">
        <v>35</v>
      </c>
      <c r="D5" s="3" t="s">
        <v>36</v>
      </c>
    </row>
    <row r="6" spans="1:4" x14ac:dyDescent="0.2">
      <c r="A6" s="3" t="s">
        <v>37</v>
      </c>
      <c r="B6" s="3" t="s">
        <v>38</v>
      </c>
      <c r="C6" s="3" t="s">
        <v>39</v>
      </c>
      <c r="D6" s="3" t="s">
        <v>40</v>
      </c>
    </row>
    <row r="7" spans="1:4" x14ac:dyDescent="0.2">
      <c r="A7" s="3" t="s">
        <v>37</v>
      </c>
      <c r="B7" s="3" t="s">
        <v>38</v>
      </c>
      <c r="C7" s="3" t="s">
        <v>41</v>
      </c>
      <c r="D7" s="3" t="s">
        <v>42</v>
      </c>
    </row>
    <row r="8" spans="1:4" x14ac:dyDescent="0.2">
      <c r="A8" s="3" t="s">
        <v>37</v>
      </c>
      <c r="B8" s="3" t="s">
        <v>38</v>
      </c>
      <c r="C8" s="3" t="s">
        <v>43</v>
      </c>
      <c r="D8" s="3" t="s">
        <v>44</v>
      </c>
    </row>
    <row r="9" spans="1:4" x14ac:dyDescent="0.2">
      <c r="A9" s="3" t="s">
        <v>37</v>
      </c>
      <c r="B9" s="3" t="s">
        <v>38</v>
      </c>
      <c r="C9" s="3" t="s">
        <v>45</v>
      </c>
      <c r="D9" s="3" t="s">
        <v>28</v>
      </c>
    </row>
    <row r="10" spans="1:4" x14ac:dyDescent="0.2">
      <c r="A10" s="3" t="s">
        <v>46</v>
      </c>
      <c r="B10" s="3" t="s">
        <v>47</v>
      </c>
      <c r="C10" s="3" t="s">
        <v>48</v>
      </c>
      <c r="D10" s="3" t="s">
        <v>49</v>
      </c>
    </row>
    <row r="11" spans="1:4" x14ac:dyDescent="0.2">
      <c r="A11" s="3" t="s">
        <v>46</v>
      </c>
      <c r="B11" s="3" t="s">
        <v>47</v>
      </c>
      <c r="C11" s="3" t="s">
        <v>50</v>
      </c>
      <c r="D11" s="3" t="s">
        <v>51</v>
      </c>
    </row>
    <row r="12" spans="1:4" x14ac:dyDescent="0.2">
      <c r="A12" s="3" t="s">
        <v>46</v>
      </c>
      <c r="B12" s="3" t="s">
        <v>47</v>
      </c>
      <c r="C12" s="3" t="s">
        <v>52</v>
      </c>
      <c r="D12" s="3" t="s">
        <v>37</v>
      </c>
    </row>
    <row r="13" spans="1:4" x14ac:dyDescent="0.2">
      <c r="A13" s="3" t="s">
        <v>46</v>
      </c>
      <c r="B13" s="3" t="s">
        <v>47</v>
      </c>
      <c r="C13" s="3" t="s">
        <v>53</v>
      </c>
      <c r="D13" s="3" t="s">
        <v>54</v>
      </c>
    </row>
    <row r="14" spans="1:4" x14ac:dyDescent="0.2">
      <c r="A14" s="3" t="s">
        <v>49</v>
      </c>
      <c r="B14" s="3" t="s">
        <v>55</v>
      </c>
      <c r="C14" s="3" t="s">
        <v>56</v>
      </c>
      <c r="D14" s="3" t="s">
        <v>30</v>
      </c>
    </row>
    <row r="15" spans="1:4" x14ac:dyDescent="0.2">
      <c r="A15" s="3" t="s">
        <v>49</v>
      </c>
      <c r="B15" s="3" t="s">
        <v>55</v>
      </c>
      <c r="C15" s="3" t="s">
        <v>57</v>
      </c>
      <c r="D15" s="3" t="s">
        <v>34</v>
      </c>
    </row>
    <row r="16" spans="1:4" x14ac:dyDescent="0.2">
      <c r="A16" s="3" t="s">
        <v>49</v>
      </c>
      <c r="B16" s="3" t="s">
        <v>55</v>
      </c>
      <c r="C16" s="3" t="s">
        <v>58</v>
      </c>
      <c r="D16" s="3" t="s">
        <v>59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8A9AE"/>
  </sheetPr>
  <dimension ref="A1:L1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0" t="s">
        <v>60</v>
      </c>
      <c r="B1" s="10">
        <v>2</v>
      </c>
    </row>
    <row r="2" spans="1:12" x14ac:dyDescent="0.2">
      <c r="A2" s="11" t="s">
        <v>61</v>
      </c>
      <c r="B2" s="11" t="s">
        <v>4</v>
      </c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x14ac:dyDescent="0.2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2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1:12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2" x14ac:dyDescent="0.2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1:12" x14ac:dyDescent="0.2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x14ac:dyDescent="0.2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1:12" x14ac:dyDescent="0.2">
      <c r="A10" s="11" t="s">
        <v>24</v>
      </c>
      <c r="B10" s="11" t="s">
        <v>62</v>
      </c>
      <c r="C10" s="11" t="s">
        <v>63</v>
      </c>
      <c r="D10" s="11" t="s">
        <v>64</v>
      </c>
      <c r="E10" s="11" t="s">
        <v>65</v>
      </c>
      <c r="F10" s="11" t="s">
        <v>66</v>
      </c>
      <c r="G10" s="11" t="s">
        <v>67</v>
      </c>
      <c r="H10" s="11" t="s">
        <v>68</v>
      </c>
      <c r="I10" s="11" t="s">
        <v>69</v>
      </c>
      <c r="J10" s="11" t="s">
        <v>70</v>
      </c>
      <c r="K10" s="11" t="s">
        <v>71</v>
      </c>
      <c r="L10" s="11" t="s">
        <v>72</v>
      </c>
    </row>
    <row r="11" spans="1:12" x14ac:dyDescent="0.2">
      <c r="A11" s="11" t="s">
        <v>28</v>
      </c>
      <c r="B11" s="12" t="b">
        <v>1</v>
      </c>
      <c r="C11" s="12" t="b">
        <v>0</v>
      </c>
      <c r="D11" s="11">
        <v>0</v>
      </c>
      <c r="E11" s="11">
        <v>0</v>
      </c>
      <c r="F11" s="12" t="b">
        <v>0</v>
      </c>
      <c r="G11" s="11">
        <v>0</v>
      </c>
      <c r="H11" s="11">
        <v>0</v>
      </c>
      <c r="I11" s="11">
        <v>1</v>
      </c>
      <c r="J11" s="11" t="s">
        <v>73</v>
      </c>
      <c r="K11" s="11"/>
      <c r="L11" s="11"/>
    </row>
    <row r="12" spans="1:12" x14ac:dyDescent="0.2">
      <c r="A12" s="11" t="s">
        <v>37</v>
      </c>
      <c r="B12" s="12" t="b">
        <v>1</v>
      </c>
      <c r="C12" s="12" t="b">
        <v>0</v>
      </c>
      <c r="D12" s="11">
        <v>0</v>
      </c>
      <c r="E12" s="11">
        <v>0</v>
      </c>
      <c r="F12" s="12" t="b">
        <v>0</v>
      </c>
      <c r="G12" s="11">
        <v>0</v>
      </c>
      <c r="H12" s="11">
        <v>0</v>
      </c>
      <c r="I12" s="11">
        <v>1</v>
      </c>
      <c r="J12" s="11" t="s">
        <v>74</v>
      </c>
      <c r="K12" s="11"/>
      <c r="L12" s="11"/>
    </row>
    <row r="13" spans="1:12" x14ac:dyDescent="0.2">
      <c r="A13" s="11" t="s">
        <v>46</v>
      </c>
      <c r="B13" s="12" t="b">
        <v>0</v>
      </c>
      <c r="C13" s="12" t="b">
        <v>0</v>
      </c>
      <c r="D13" s="11">
        <v>0</v>
      </c>
      <c r="E13" s="11">
        <v>0</v>
      </c>
      <c r="F13" s="12" t="b">
        <v>0</v>
      </c>
      <c r="G13" s="11">
        <v>0</v>
      </c>
      <c r="H13" s="11">
        <v>0</v>
      </c>
      <c r="I13" s="11">
        <v>1</v>
      </c>
      <c r="J13" s="11"/>
      <c r="K13" s="11"/>
      <c r="L13" s="11"/>
    </row>
    <row r="14" spans="1:12" x14ac:dyDescent="0.2">
      <c r="A14" s="11" t="s">
        <v>49</v>
      </c>
      <c r="B14" s="12" t="b">
        <v>1</v>
      </c>
      <c r="C14" s="12" t="b">
        <v>0</v>
      </c>
      <c r="D14" s="11">
        <v>0</v>
      </c>
      <c r="E14" s="11">
        <v>0</v>
      </c>
      <c r="F14" s="12" t="b">
        <v>0</v>
      </c>
      <c r="G14" s="11">
        <v>0</v>
      </c>
      <c r="H14" s="11">
        <v>0</v>
      </c>
      <c r="I14" s="11">
        <v>1</v>
      </c>
      <c r="J14" s="11" t="s">
        <v>75</v>
      </c>
      <c r="K14" s="11"/>
      <c r="L14" s="11" t="s">
        <v>76</v>
      </c>
    </row>
    <row r="15" spans="1:12" x14ac:dyDescent="0.2">
      <c r="A15" s="11" t="s">
        <v>77</v>
      </c>
      <c r="B15" s="12" t="b">
        <v>0</v>
      </c>
      <c r="C15" s="12" t="b">
        <v>0</v>
      </c>
      <c r="D15" s="11">
        <v>0</v>
      </c>
      <c r="E15" s="11">
        <v>0</v>
      </c>
      <c r="F15" s="12" t="b">
        <v>0</v>
      </c>
      <c r="G15" s="11">
        <v>0</v>
      </c>
      <c r="H15" s="11">
        <v>0</v>
      </c>
      <c r="I15" s="11">
        <v>0</v>
      </c>
      <c r="J15" s="11"/>
      <c r="K15" s="11"/>
      <c r="L15" s="11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48A9AE"/>
  </sheetPr>
  <dimension ref="A1:S3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0" t="s">
        <v>24</v>
      </c>
      <c r="B1" s="10" t="s">
        <v>78</v>
      </c>
      <c r="C1" s="10" t="s">
        <v>79</v>
      </c>
      <c r="D1" s="10" t="s">
        <v>80</v>
      </c>
      <c r="E1" s="10" t="s">
        <v>81</v>
      </c>
      <c r="F1" s="10" t="s">
        <v>82</v>
      </c>
      <c r="G1" s="10" t="s">
        <v>83</v>
      </c>
      <c r="H1" s="10" t="s">
        <v>84</v>
      </c>
      <c r="I1" s="10" t="s">
        <v>85</v>
      </c>
      <c r="J1" s="10" t="s">
        <v>86</v>
      </c>
      <c r="K1" s="10" t="s">
        <v>87</v>
      </c>
      <c r="L1" s="10" t="s">
        <v>88</v>
      </c>
      <c r="M1" s="10" t="s">
        <v>89</v>
      </c>
      <c r="N1" s="10" t="s">
        <v>90</v>
      </c>
      <c r="O1" s="10" t="s">
        <v>91</v>
      </c>
      <c r="P1" s="10" t="s">
        <v>92</v>
      </c>
      <c r="Q1" s="10" t="s">
        <v>93</v>
      </c>
      <c r="R1" s="10" t="s">
        <v>94</v>
      </c>
      <c r="S1" s="10" t="s">
        <v>95</v>
      </c>
    </row>
    <row r="2" spans="1:19" x14ac:dyDescent="0.2">
      <c r="A2" s="11" t="s">
        <v>96</v>
      </c>
      <c r="B2" s="11" t="s">
        <v>70</v>
      </c>
      <c r="C2" s="11" t="s">
        <v>97</v>
      </c>
      <c r="D2" s="11" t="s">
        <v>98</v>
      </c>
      <c r="E2" s="11" t="s">
        <v>99</v>
      </c>
      <c r="F2" s="11" t="s">
        <v>100</v>
      </c>
      <c r="G2" s="11" t="s">
        <v>100</v>
      </c>
      <c r="H2" s="11"/>
      <c r="I2" s="11" t="b">
        <v>0</v>
      </c>
      <c r="J2" s="11" t="b">
        <v>0</v>
      </c>
      <c r="K2" s="11" t="b">
        <v>0</v>
      </c>
      <c r="L2" s="11" t="b">
        <v>0</v>
      </c>
      <c r="M2" s="11" t="b">
        <v>0</v>
      </c>
      <c r="N2" s="11"/>
      <c r="O2" s="11"/>
      <c r="P2" s="11"/>
      <c r="Q2" s="11"/>
      <c r="R2" s="11" t="b">
        <v>0</v>
      </c>
      <c r="S2" s="11"/>
    </row>
    <row r="3" spans="1:19" x14ac:dyDescent="0.2">
      <c r="A3" s="11" t="s">
        <v>96</v>
      </c>
      <c r="B3" s="11" t="s">
        <v>71</v>
      </c>
      <c r="C3" s="11" t="s">
        <v>101</v>
      </c>
      <c r="D3" s="11" t="s">
        <v>98</v>
      </c>
      <c r="E3" s="11" t="s">
        <v>99</v>
      </c>
      <c r="F3" s="11" t="s">
        <v>100</v>
      </c>
      <c r="G3" s="11" t="s">
        <v>100</v>
      </c>
      <c r="H3" s="11"/>
      <c r="I3" s="11" t="b">
        <v>0</v>
      </c>
      <c r="J3" s="11" t="b">
        <v>0</v>
      </c>
      <c r="K3" s="11" t="b">
        <v>0</v>
      </c>
      <c r="L3" s="11" t="b">
        <v>0</v>
      </c>
      <c r="M3" s="11" t="b">
        <v>0</v>
      </c>
      <c r="N3" s="11"/>
      <c r="O3" s="11"/>
      <c r="P3" s="11"/>
      <c r="Q3" s="11"/>
      <c r="R3" s="11" t="b">
        <v>0</v>
      </c>
      <c r="S3" s="11"/>
    </row>
    <row r="4" spans="1:19" x14ac:dyDescent="0.2">
      <c r="A4" s="11" t="s">
        <v>96</v>
      </c>
      <c r="B4" s="11" t="s">
        <v>72</v>
      </c>
      <c r="C4" s="11" t="s">
        <v>102</v>
      </c>
      <c r="D4" s="11" t="s">
        <v>98</v>
      </c>
      <c r="E4" s="11" t="s">
        <v>103</v>
      </c>
      <c r="F4" s="11" t="s">
        <v>100</v>
      </c>
      <c r="G4" s="11" t="s">
        <v>100</v>
      </c>
      <c r="H4" s="11"/>
      <c r="I4" s="11" t="b">
        <v>0</v>
      </c>
      <c r="J4" s="11" t="b">
        <v>0</v>
      </c>
      <c r="K4" s="11" t="b">
        <v>0</v>
      </c>
      <c r="L4" s="11" t="b">
        <v>0</v>
      </c>
      <c r="M4" s="11" t="b">
        <v>0</v>
      </c>
      <c r="N4" s="11"/>
      <c r="O4" s="11"/>
      <c r="P4" s="11"/>
      <c r="Q4" s="11"/>
      <c r="R4" s="11" t="b">
        <v>0</v>
      </c>
      <c r="S4" s="11"/>
    </row>
    <row r="5" spans="1:19" x14ac:dyDescent="0.2">
      <c r="A5" s="11" t="s">
        <v>28</v>
      </c>
      <c r="B5" s="11" t="s">
        <v>29</v>
      </c>
      <c r="C5" s="11" t="s">
        <v>104</v>
      </c>
      <c r="D5" s="11" t="s">
        <v>98</v>
      </c>
      <c r="E5" s="11" t="s">
        <v>99</v>
      </c>
      <c r="F5" s="11" t="s">
        <v>100</v>
      </c>
      <c r="G5" s="11" t="s">
        <v>100</v>
      </c>
      <c r="H5" s="11"/>
      <c r="I5" s="11" t="b">
        <v>0</v>
      </c>
      <c r="J5" s="11" t="b">
        <v>0</v>
      </c>
      <c r="K5" s="11" t="b">
        <v>0</v>
      </c>
      <c r="L5" s="11" t="b">
        <v>0</v>
      </c>
      <c r="M5" s="11" t="b">
        <v>0</v>
      </c>
      <c r="N5" s="11"/>
      <c r="O5" s="11"/>
      <c r="P5" s="11"/>
      <c r="Q5" s="11"/>
      <c r="R5" s="11" t="b">
        <v>0</v>
      </c>
      <c r="S5" s="11"/>
    </row>
    <row r="6" spans="1:19" x14ac:dyDescent="0.2">
      <c r="A6" s="11" t="s">
        <v>28</v>
      </c>
      <c r="B6" s="11" t="s">
        <v>45</v>
      </c>
      <c r="C6" s="11" t="s">
        <v>105</v>
      </c>
      <c r="D6" s="11" t="s">
        <v>98</v>
      </c>
      <c r="E6" s="11" t="s">
        <v>99</v>
      </c>
      <c r="F6" s="11" t="s">
        <v>100</v>
      </c>
      <c r="G6" s="11" t="s">
        <v>100</v>
      </c>
      <c r="H6" s="11"/>
      <c r="I6" s="11" t="b">
        <v>0</v>
      </c>
      <c r="J6" s="11" t="b">
        <v>0</v>
      </c>
      <c r="K6" s="11" t="b">
        <v>0</v>
      </c>
      <c r="L6" s="11" t="b">
        <v>0</v>
      </c>
      <c r="M6" s="11" t="b">
        <v>0</v>
      </c>
      <c r="N6" s="11"/>
      <c r="O6" s="11"/>
      <c r="P6" s="11"/>
      <c r="Q6" s="11"/>
      <c r="R6" s="11" t="b">
        <v>0</v>
      </c>
      <c r="S6" s="11"/>
    </row>
    <row r="7" spans="1:19" x14ac:dyDescent="0.2">
      <c r="A7" s="11" t="s">
        <v>28</v>
      </c>
      <c r="B7" s="11" t="s">
        <v>106</v>
      </c>
      <c r="C7" s="11" t="s">
        <v>107</v>
      </c>
      <c r="D7" s="11" t="s">
        <v>98</v>
      </c>
      <c r="E7" s="11" t="s">
        <v>103</v>
      </c>
      <c r="F7" s="11" t="s">
        <v>100</v>
      </c>
      <c r="G7" s="11" t="s">
        <v>100</v>
      </c>
      <c r="H7" s="11"/>
      <c r="I7" s="11" t="b">
        <v>0</v>
      </c>
      <c r="J7" s="11" t="b">
        <v>0</v>
      </c>
      <c r="K7" s="11" t="b">
        <v>0</v>
      </c>
      <c r="L7" s="11" t="b">
        <v>0</v>
      </c>
      <c r="M7" s="11" t="b">
        <v>0</v>
      </c>
      <c r="N7" s="11"/>
      <c r="O7" s="11"/>
      <c r="P7" s="11"/>
      <c r="Q7" s="11"/>
      <c r="R7" s="11" t="b">
        <v>0</v>
      </c>
      <c r="S7" s="11"/>
    </row>
    <row r="8" spans="1:19" x14ac:dyDescent="0.2">
      <c r="A8" s="11" t="s">
        <v>28</v>
      </c>
      <c r="B8" s="11" t="s">
        <v>33</v>
      </c>
      <c r="C8" s="11" t="s">
        <v>108</v>
      </c>
      <c r="D8" s="11" t="s">
        <v>109</v>
      </c>
      <c r="E8" s="11" t="s">
        <v>99</v>
      </c>
      <c r="F8" s="11" t="s">
        <v>100</v>
      </c>
      <c r="G8" s="11" t="s">
        <v>100</v>
      </c>
      <c r="H8" s="11"/>
      <c r="I8" s="11" t="b">
        <v>0</v>
      </c>
      <c r="J8" s="11" t="b">
        <v>0</v>
      </c>
      <c r="K8" s="11" t="b">
        <v>0</v>
      </c>
      <c r="L8" s="11" t="b">
        <v>0</v>
      </c>
      <c r="M8" s="11" t="b">
        <v>0</v>
      </c>
      <c r="N8" s="11"/>
      <c r="O8" s="11"/>
      <c r="P8" s="11"/>
      <c r="Q8" s="11"/>
      <c r="R8" s="11" t="b">
        <v>0</v>
      </c>
      <c r="S8" s="11"/>
    </row>
    <row r="9" spans="1:19" x14ac:dyDescent="0.2">
      <c r="A9" s="11" t="s">
        <v>28</v>
      </c>
      <c r="B9" s="11" t="s">
        <v>110</v>
      </c>
      <c r="C9" s="11" t="s">
        <v>111</v>
      </c>
      <c r="D9" s="11" t="s">
        <v>112</v>
      </c>
      <c r="E9" s="11" t="s">
        <v>99</v>
      </c>
      <c r="F9" s="11" t="s">
        <v>100</v>
      </c>
      <c r="G9" s="11" t="s">
        <v>100</v>
      </c>
      <c r="H9" s="11"/>
      <c r="I9" s="11" t="b">
        <v>0</v>
      </c>
      <c r="J9" s="11" t="b">
        <v>0</v>
      </c>
      <c r="K9" s="11" t="b">
        <v>0</v>
      </c>
      <c r="L9" s="11" t="b">
        <v>0</v>
      </c>
      <c r="M9" s="11" t="b">
        <v>0</v>
      </c>
      <c r="N9" s="11"/>
      <c r="O9" s="11"/>
      <c r="P9" s="11"/>
      <c r="Q9" s="11"/>
      <c r="R9" s="11" t="b">
        <v>0</v>
      </c>
      <c r="S9" s="11"/>
    </row>
    <row r="10" spans="1:19" x14ac:dyDescent="0.2">
      <c r="A10" s="11" t="s">
        <v>28</v>
      </c>
      <c r="B10" s="11" t="s">
        <v>113</v>
      </c>
      <c r="C10" s="11" t="s">
        <v>114</v>
      </c>
      <c r="D10" s="11" t="s">
        <v>112</v>
      </c>
      <c r="E10" s="11" t="s">
        <v>99</v>
      </c>
      <c r="F10" s="11" t="s">
        <v>100</v>
      </c>
      <c r="G10" s="11" t="s">
        <v>100</v>
      </c>
      <c r="H10" s="11"/>
      <c r="I10" s="11" t="b">
        <v>0</v>
      </c>
      <c r="J10" s="11" t="b">
        <v>0</v>
      </c>
      <c r="K10" s="11" t="b">
        <v>0</v>
      </c>
      <c r="L10" s="11" t="b">
        <v>0</v>
      </c>
      <c r="M10" s="11" t="b">
        <v>0</v>
      </c>
      <c r="N10" s="11"/>
      <c r="O10" s="11"/>
      <c r="P10" s="11"/>
      <c r="Q10" s="11"/>
      <c r="R10" s="11" t="b">
        <v>0</v>
      </c>
      <c r="S10" s="11"/>
    </row>
    <row r="11" spans="1:19" x14ac:dyDescent="0.2">
      <c r="A11" s="11" t="s">
        <v>28</v>
      </c>
      <c r="B11" s="11" t="s">
        <v>115</v>
      </c>
      <c r="C11" s="11" t="s">
        <v>116</v>
      </c>
      <c r="D11" s="11" t="s">
        <v>112</v>
      </c>
      <c r="E11" s="11" t="s">
        <v>99</v>
      </c>
      <c r="F11" s="11" t="s">
        <v>100</v>
      </c>
      <c r="G11" s="11" t="s">
        <v>100</v>
      </c>
      <c r="H11" s="11"/>
      <c r="I11" s="11" t="b">
        <v>0</v>
      </c>
      <c r="J11" s="11" t="b">
        <v>0</v>
      </c>
      <c r="K11" s="11" t="b">
        <v>0</v>
      </c>
      <c r="L11" s="11" t="b">
        <v>0</v>
      </c>
      <c r="M11" s="11" t="b">
        <v>0</v>
      </c>
      <c r="N11" s="11"/>
      <c r="O11" s="11"/>
      <c r="P11" s="11"/>
      <c r="Q11" s="11"/>
      <c r="R11" s="11" t="b">
        <v>0</v>
      </c>
      <c r="S11" s="11"/>
    </row>
    <row r="12" spans="1:19" x14ac:dyDescent="0.2">
      <c r="A12" s="11" t="s">
        <v>28</v>
      </c>
      <c r="B12" s="11" t="s">
        <v>117</v>
      </c>
      <c r="C12" s="11" t="s">
        <v>107</v>
      </c>
      <c r="D12" s="11" t="s">
        <v>98</v>
      </c>
      <c r="E12" s="11" t="s">
        <v>103</v>
      </c>
      <c r="F12" s="11" t="s">
        <v>100</v>
      </c>
      <c r="G12" s="11" t="s">
        <v>100</v>
      </c>
      <c r="H12" s="11"/>
      <c r="I12" s="11" t="b">
        <v>0</v>
      </c>
      <c r="J12" s="11" t="b">
        <v>0</v>
      </c>
      <c r="K12" s="11" t="b">
        <v>0</v>
      </c>
      <c r="L12" s="11" t="b">
        <v>0</v>
      </c>
      <c r="M12" s="11" t="b">
        <v>0</v>
      </c>
      <c r="N12" s="11"/>
      <c r="O12" s="11"/>
      <c r="P12" s="11"/>
      <c r="Q12" s="11"/>
      <c r="R12" s="11" t="b">
        <v>0</v>
      </c>
      <c r="S12" s="11"/>
    </row>
    <row r="13" spans="1:19" x14ac:dyDescent="0.2">
      <c r="A13" s="11" t="s">
        <v>28</v>
      </c>
      <c r="B13" s="11" t="s">
        <v>35</v>
      </c>
      <c r="C13" s="11" t="s">
        <v>118</v>
      </c>
      <c r="D13" s="11" t="s">
        <v>119</v>
      </c>
      <c r="E13" s="11" t="s">
        <v>99</v>
      </c>
      <c r="F13" s="11" t="s">
        <v>100</v>
      </c>
      <c r="G13" s="11" t="s">
        <v>100</v>
      </c>
      <c r="H13" s="11"/>
      <c r="I13" s="11" t="b">
        <v>0</v>
      </c>
      <c r="J13" s="11" t="b">
        <v>0</v>
      </c>
      <c r="K13" s="11" t="b">
        <v>0</v>
      </c>
      <c r="L13" s="11" t="b">
        <v>0</v>
      </c>
      <c r="M13" s="11" t="b">
        <v>0</v>
      </c>
      <c r="N13" s="11"/>
      <c r="O13" s="11"/>
      <c r="P13" s="11"/>
      <c r="Q13" s="11"/>
      <c r="R13" s="11" t="b">
        <v>0</v>
      </c>
      <c r="S13" s="11"/>
    </row>
    <row r="14" spans="1:19" x14ac:dyDescent="0.2">
      <c r="A14" s="11" t="s">
        <v>28</v>
      </c>
      <c r="B14" s="11" t="s">
        <v>120</v>
      </c>
      <c r="C14" s="11" t="s">
        <v>121</v>
      </c>
      <c r="D14" s="11" t="s">
        <v>122</v>
      </c>
      <c r="E14" s="11" t="s">
        <v>99</v>
      </c>
      <c r="F14" s="11" t="s">
        <v>100</v>
      </c>
      <c r="G14" s="11" t="s">
        <v>100</v>
      </c>
      <c r="H14" s="11"/>
      <c r="I14" s="11" t="b">
        <v>0</v>
      </c>
      <c r="J14" s="11" t="b">
        <v>0</v>
      </c>
      <c r="K14" s="11" t="b">
        <v>0</v>
      </c>
      <c r="L14" s="11" t="b">
        <v>0</v>
      </c>
      <c r="M14" s="11" t="b">
        <v>0</v>
      </c>
      <c r="N14" s="11"/>
      <c r="O14" s="11"/>
      <c r="P14" s="11"/>
      <c r="Q14" s="11"/>
      <c r="R14" s="11" t="b">
        <v>0</v>
      </c>
      <c r="S14" s="11"/>
    </row>
    <row r="15" spans="1:19" x14ac:dyDescent="0.2">
      <c r="A15" s="11" t="s">
        <v>28</v>
      </c>
      <c r="B15" s="11" t="s">
        <v>123</v>
      </c>
      <c r="C15" s="11" t="s">
        <v>107</v>
      </c>
      <c r="D15" s="11" t="s">
        <v>98</v>
      </c>
      <c r="E15" s="11" t="s">
        <v>103</v>
      </c>
      <c r="F15" s="11" t="s">
        <v>100</v>
      </c>
      <c r="G15" s="11" t="s">
        <v>100</v>
      </c>
      <c r="H15" s="11"/>
      <c r="I15" s="11" t="b">
        <v>0</v>
      </c>
      <c r="J15" s="11" t="b">
        <v>0</v>
      </c>
      <c r="K15" s="11" t="b">
        <v>0</v>
      </c>
      <c r="L15" s="11" t="b">
        <v>0</v>
      </c>
      <c r="M15" s="11" t="b">
        <v>0</v>
      </c>
      <c r="N15" s="11"/>
      <c r="O15" s="11"/>
      <c r="P15" s="11"/>
      <c r="Q15" s="11"/>
      <c r="R15" s="11" t="b">
        <v>0</v>
      </c>
      <c r="S15" s="11"/>
    </row>
    <row r="16" spans="1:19" x14ac:dyDescent="0.2">
      <c r="A16" s="11" t="s">
        <v>37</v>
      </c>
      <c r="B16" s="11" t="s">
        <v>124</v>
      </c>
      <c r="C16" s="11" t="s">
        <v>104</v>
      </c>
      <c r="D16" s="11" t="s">
        <v>98</v>
      </c>
      <c r="E16" s="11" t="s">
        <v>99</v>
      </c>
      <c r="F16" s="11" t="s">
        <v>100</v>
      </c>
      <c r="G16" s="11" t="s">
        <v>100</v>
      </c>
      <c r="H16" s="11"/>
      <c r="I16" s="11" t="b">
        <v>0</v>
      </c>
      <c r="J16" s="11" t="b">
        <v>0</v>
      </c>
      <c r="K16" s="11" t="b">
        <v>0</v>
      </c>
      <c r="L16" s="11" t="b">
        <v>0</v>
      </c>
      <c r="M16" s="11" t="b">
        <v>0</v>
      </c>
      <c r="N16" s="11"/>
      <c r="O16" s="11"/>
      <c r="P16" s="11"/>
      <c r="Q16" s="11"/>
      <c r="R16" s="11" t="b">
        <v>0</v>
      </c>
      <c r="S16" s="11"/>
    </row>
    <row r="17" spans="1:19" x14ac:dyDescent="0.2">
      <c r="A17" s="11" t="s">
        <v>37</v>
      </c>
      <c r="B17" s="11" t="s">
        <v>52</v>
      </c>
      <c r="C17" s="11" t="s">
        <v>105</v>
      </c>
      <c r="D17" s="11" t="s">
        <v>98</v>
      </c>
      <c r="E17" s="11" t="s">
        <v>99</v>
      </c>
      <c r="F17" s="11" t="s">
        <v>100</v>
      </c>
      <c r="G17" s="11" t="s">
        <v>100</v>
      </c>
      <c r="H17" s="11"/>
      <c r="I17" s="11" t="b">
        <v>0</v>
      </c>
      <c r="J17" s="11" t="b">
        <v>0</v>
      </c>
      <c r="K17" s="11" t="b">
        <v>0</v>
      </c>
      <c r="L17" s="11" t="b">
        <v>0</v>
      </c>
      <c r="M17" s="11" t="b">
        <v>0</v>
      </c>
      <c r="N17" s="11"/>
      <c r="O17" s="11"/>
      <c r="P17" s="11"/>
      <c r="Q17" s="11"/>
      <c r="R17" s="11" t="b">
        <v>0</v>
      </c>
      <c r="S17" s="11"/>
    </row>
    <row r="18" spans="1:19" x14ac:dyDescent="0.2">
      <c r="A18" s="11" t="s">
        <v>37</v>
      </c>
      <c r="B18" s="11" t="s">
        <v>39</v>
      </c>
      <c r="C18" s="11" t="s">
        <v>125</v>
      </c>
      <c r="D18" s="11" t="s">
        <v>119</v>
      </c>
      <c r="E18" s="11" t="s">
        <v>99</v>
      </c>
      <c r="F18" s="11" t="s">
        <v>100</v>
      </c>
      <c r="G18" s="11" t="s">
        <v>100</v>
      </c>
      <c r="H18" s="11"/>
      <c r="I18" s="11" t="b">
        <v>0</v>
      </c>
      <c r="J18" s="11" t="b">
        <v>0</v>
      </c>
      <c r="K18" s="11" t="b">
        <v>0</v>
      </c>
      <c r="L18" s="11" t="b">
        <v>0</v>
      </c>
      <c r="M18" s="11" t="b">
        <v>0</v>
      </c>
      <c r="N18" s="11"/>
      <c r="O18" s="11"/>
      <c r="P18" s="11"/>
      <c r="Q18" s="11"/>
      <c r="R18" s="11" t="b">
        <v>0</v>
      </c>
      <c r="S18" s="11"/>
    </row>
    <row r="19" spans="1:19" x14ac:dyDescent="0.2">
      <c r="A19" s="11" t="s">
        <v>37</v>
      </c>
      <c r="B19" s="11" t="s">
        <v>41</v>
      </c>
      <c r="C19" s="11" t="s">
        <v>126</v>
      </c>
      <c r="D19" s="11" t="s">
        <v>119</v>
      </c>
      <c r="E19" s="11" t="s">
        <v>99</v>
      </c>
      <c r="F19" s="11" t="s">
        <v>100</v>
      </c>
      <c r="G19" s="11" t="s">
        <v>100</v>
      </c>
      <c r="H19" s="11"/>
      <c r="I19" s="11" t="b">
        <v>0</v>
      </c>
      <c r="J19" s="11" t="b">
        <v>0</v>
      </c>
      <c r="K19" s="11" t="b">
        <v>0</v>
      </c>
      <c r="L19" s="11" t="b">
        <v>0</v>
      </c>
      <c r="M19" s="11" t="b">
        <v>0</v>
      </c>
      <c r="N19" s="11"/>
      <c r="O19" s="11"/>
      <c r="P19" s="11"/>
      <c r="Q19" s="11"/>
      <c r="R19" s="11" t="b">
        <v>0</v>
      </c>
      <c r="S19" s="11"/>
    </row>
    <row r="20" spans="1:19" x14ac:dyDescent="0.2">
      <c r="A20" s="11" t="s">
        <v>37</v>
      </c>
      <c r="B20" s="11" t="s">
        <v>45</v>
      </c>
      <c r="C20" s="11" t="s">
        <v>127</v>
      </c>
      <c r="D20" s="11" t="s">
        <v>98</v>
      </c>
      <c r="E20" s="11" t="s">
        <v>99</v>
      </c>
      <c r="F20" s="11" t="s">
        <v>100</v>
      </c>
      <c r="G20" s="11" t="s">
        <v>100</v>
      </c>
      <c r="H20" s="11"/>
      <c r="I20" s="11" t="b">
        <v>0</v>
      </c>
      <c r="J20" s="11" t="b">
        <v>0</v>
      </c>
      <c r="K20" s="11" t="b">
        <v>0</v>
      </c>
      <c r="L20" s="11" t="b">
        <v>1</v>
      </c>
      <c r="M20" s="11" t="b">
        <v>1</v>
      </c>
      <c r="N20" s="11"/>
      <c r="O20" s="11"/>
      <c r="P20" s="11"/>
      <c r="Q20" s="11"/>
      <c r="R20" s="11" t="b">
        <v>0</v>
      </c>
      <c r="S20" s="11"/>
    </row>
    <row r="21" spans="1:19" x14ac:dyDescent="0.2">
      <c r="A21" s="11" t="s">
        <v>37</v>
      </c>
      <c r="B21" s="11" t="s">
        <v>128</v>
      </c>
      <c r="C21" s="11" t="s">
        <v>107</v>
      </c>
      <c r="D21" s="11" t="s">
        <v>98</v>
      </c>
      <c r="E21" s="11" t="s">
        <v>103</v>
      </c>
      <c r="F21" s="11" t="s">
        <v>100</v>
      </c>
      <c r="G21" s="11" t="s">
        <v>100</v>
      </c>
      <c r="H21" s="11"/>
      <c r="I21" s="11" t="b">
        <v>0</v>
      </c>
      <c r="J21" s="11" t="b">
        <v>1</v>
      </c>
      <c r="K21" s="11" t="b">
        <v>0</v>
      </c>
      <c r="L21" s="11" t="b">
        <v>0</v>
      </c>
      <c r="M21" s="11" t="b">
        <v>0</v>
      </c>
      <c r="N21" s="11"/>
      <c r="O21" s="11" t="s">
        <v>77</v>
      </c>
      <c r="P21" s="11" t="s">
        <v>129</v>
      </c>
      <c r="Q21" s="11" t="s">
        <v>130</v>
      </c>
      <c r="R21" s="11" t="b">
        <v>0</v>
      </c>
      <c r="S21" s="11"/>
    </row>
    <row r="22" spans="1:19" x14ac:dyDescent="0.2">
      <c r="A22" s="11" t="s">
        <v>46</v>
      </c>
      <c r="B22" s="11" t="s">
        <v>131</v>
      </c>
      <c r="C22" s="11" t="s">
        <v>104</v>
      </c>
      <c r="D22" s="11" t="s">
        <v>98</v>
      </c>
      <c r="E22" s="11" t="s">
        <v>99</v>
      </c>
      <c r="F22" s="11" t="s">
        <v>100</v>
      </c>
      <c r="G22" s="11" t="s">
        <v>100</v>
      </c>
      <c r="H22" s="11"/>
      <c r="I22" s="11" t="b">
        <v>0</v>
      </c>
      <c r="J22" s="11" t="b">
        <v>0</v>
      </c>
      <c r="K22" s="11" t="b">
        <v>0</v>
      </c>
      <c r="L22" s="11" t="b">
        <v>0</v>
      </c>
      <c r="M22" s="11" t="b">
        <v>0</v>
      </c>
      <c r="N22" s="11"/>
      <c r="O22" s="11"/>
      <c r="P22" s="11"/>
      <c r="Q22" s="11"/>
      <c r="R22" s="11" t="b">
        <v>0</v>
      </c>
      <c r="S22" s="11"/>
    </row>
    <row r="23" spans="1:19" x14ac:dyDescent="0.2">
      <c r="A23" s="11" t="s">
        <v>46</v>
      </c>
      <c r="B23" s="11" t="s">
        <v>132</v>
      </c>
      <c r="C23" s="11" t="s">
        <v>105</v>
      </c>
      <c r="D23" s="11" t="s">
        <v>98</v>
      </c>
      <c r="E23" s="11" t="s">
        <v>99</v>
      </c>
      <c r="F23" s="11" t="s">
        <v>100</v>
      </c>
      <c r="G23" s="11" t="s">
        <v>100</v>
      </c>
      <c r="H23" s="11"/>
      <c r="I23" s="11" t="b">
        <v>0</v>
      </c>
      <c r="J23" s="11" t="b">
        <v>0</v>
      </c>
      <c r="K23" s="11" t="b">
        <v>0</v>
      </c>
      <c r="L23" s="11" t="b">
        <v>0</v>
      </c>
      <c r="M23" s="11" t="b">
        <v>0</v>
      </c>
      <c r="N23" s="11"/>
      <c r="O23" s="11"/>
      <c r="P23" s="11"/>
      <c r="Q23" s="11"/>
      <c r="R23" s="11" t="b">
        <v>0</v>
      </c>
      <c r="S23" s="11"/>
    </row>
    <row r="24" spans="1:19" x14ac:dyDescent="0.2">
      <c r="A24" s="11" t="s">
        <v>46</v>
      </c>
      <c r="B24" s="11" t="s">
        <v>52</v>
      </c>
      <c r="C24" s="11" t="s">
        <v>133</v>
      </c>
      <c r="D24" s="11" t="s">
        <v>119</v>
      </c>
      <c r="E24" s="11" t="s">
        <v>99</v>
      </c>
      <c r="F24" s="11" t="s">
        <v>100</v>
      </c>
      <c r="G24" s="11" t="s">
        <v>100</v>
      </c>
      <c r="H24" s="11"/>
      <c r="I24" s="11" t="b">
        <v>0</v>
      </c>
      <c r="J24" s="11" t="b">
        <v>0</v>
      </c>
      <c r="K24" s="11" t="b">
        <v>0</v>
      </c>
      <c r="L24" s="11" t="b">
        <v>0</v>
      </c>
      <c r="M24" s="11" t="b">
        <v>0</v>
      </c>
      <c r="N24" s="11"/>
      <c r="O24" s="11"/>
      <c r="P24" s="11"/>
      <c r="Q24" s="11"/>
      <c r="R24" s="11" t="b">
        <v>0</v>
      </c>
      <c r="S24" s="11"/>
    </row>
    <row r="25" spans="1:19" x14ac:dyDescent="0.2">
      <c r="A25" s="11" t="s">
        <v>46</v>
      </c>
      <c r="B25" s="11" t="s">
        <v>48</v>
      </c>
      <c r="C25" s="11" t="s">
        <v>134</v>
      </c>
      <c r="D25" s="11" t="s">
        <v>119</v>
      </c>
      <c r="E25" s="11" t="s">
        <v>99</v>
      </c>
      <c r="F25" s="11" t="s">
        <v>100</v>
      </c>
      <c r="G25" s="11" t="s">
        <v>100</v>
      </c>
      <c r="H25" s="11"/>
      <c r="I25" s="11" t="b">
        <v>0</v>
      </c>
      <c r="J25" s="11" t="b">
        <v>0</v>
      </c>
      <c r="K25" s="11" t="b">
        <v>0</v>
      </c>
      <c r="L25" s="11" t="b">
        <v>0</v>
      </c>
      <c r="M25" s="11" t="b">
        <v>0</v>
      </c>
      <c r="N25" s="11"/>
      <c r="O25" s="11"/>
      <c r="P25" s="11"/>
      <c r="Q25" s="11"/>
      <c r="R25" s="11" t="b">
        <v>0</v>
      </c>
      <c r="S25" s="11"/>
    </row>
    <row r="26" spans="1:19" x14ac:dyDescent="0.2">
      <c r="A26" s="11" t="s">
        <v>46</v>
      </c>
      <c r="B26" s="11" t="s">
        <v>53</v>
      </c>
      <c r="C26" s="11" t="s">
        <v>135</v>
      </c>
      <c r="D26" s="11" t="s">
        <v>119</v>
      </c>
      <c r="E26" s="11" t="s">
        <v>99</v>
      </c>
      <c r="F26" s="11" t="s">
        <v>100</v>
      </c>
      <c r="G26" s="11" t="s">
        <v>100</v>
      </c>
      <c r="H26" s="11"/>
      <c r="I26" s="11" t="b">
        <v>0</v>
      </c>
      <c r="J26" s="11" t="b">
        <v>0</v>
      </c>
      <c r="K26" s="11" t="b">
        <v>0</v>
      </c>
      <c r="L26" s="11" t="b">
        <v>0</v>
      </c>
      <c r="M26" s="11" t="b">
        <v>0</v>
      </c>
      <c r="N26" s="11"/>
      <c r="O26" s="11"/>
      <c r="P26" s="11"/>
      <c r="Q26" s="11"/>
      <c r="R26" s="11" t="b">
        <v>0</v>
      </c>
      <c r="S26" s="11"/>
    </row>
    <row r="27" spans="1:19" x14ac:dyDescent="0.2">
      <c r="A27" s="11" t="s">
        <v>46</v>
      </c>
      <c r="B27" s="11" t="s">
        <v>50</v>
      </c>
      <c r="C27" s="11" t="s">
        <v>136</v>
      </c>
      <c r="D27" s="11" t="s">
        <v>119</v>
      </c>
      <c r="E27" s="11" t="s">
        <v>99</v>
      </c>
      <c r="F27" s="11" t="s">
        <v>100</v>
      </c>
      <c r="G27" s="11" t="s">
        <v>100</v>
      </c>
      <c r="H27" s="11"/>
      <c r="I27" s="11" t="b">
        <v>0</v>
      </c>
      <c r="J27" s="11" t="b">
        <v>0</v>
      </c>
      <c r="K27" s="11" t="b">
        <v>0</v>
      </c>
      <c r="L27" s="11" t="b">
        <v>0</v>
      </c>
      <c r="M27" s="11" t="b">
        <v>0</v>
      </c>
      <c r="N27" s="11"/>
      <c r="O27" s="11"/>
      <c r="P27" s="11"/>
      <c r="Q27" s="11"/>
      <c r="R27" s="11" t="b">
        <v>0</v>
      </c>
      <c r="S27" s="11"/>
    </row>
    <row r="28" spans="1:19" x14ac:dyDescent="0.2">
      <c r="A28" s="11" t="s">
        <v>49</v>
      </c>
      <c r="B28" s="11" t="s">
        <v>56</v>
      </c>
      <c r="C28" s="11" t="s">
        <v>104</v>
      </c>
      <c r="D28" s="11" t="s">
        <v>98</v>
      </c>
      <c r="E28" s="11" t="s">
        <v>99</v>
      </c>
      <c r="F28" s="11" t="s">
        <v>100</v>
      </c>
      <c r="G28" s="11" t="s">
        <v>100</v>
      </c>
      <c r="H28" s="11"/>
      <c r="I28" s="11" t="b">
        <v>0</v>
      </c>
      <c r="J28" s="11" t="b">
        <v>0</v>
      </c>
      <c r="K28" s="11" t="b">
        <v>0</v>
      </c>
      <c r="L28" s="11" t="b">
        <v>0</v>
      </c>
      <c r="M28" s="11" t="b">
        <v>0</v>
      </c>
      <c r="N28" s="11"/>
      <c r="O28" s="11"/>
      <c r="P28" s="11"/>
      <c r="Q28" s="11"/>
      <c r="R28" s="11" t="b">
        <v>0</v>
      </c>
      <c r="S28" s="11"/>
    </row>
    <row r="29" spans="1:19" x14ac:dyDescent="0.2">
      <c r="A29" s="11" t="s">
        <v>49</v>
      </c>
      <c r="B29" s="11" t="s">
        <v>48</v>
      </c>
      <c r="C29" s="11" t="s">
        <v>105</v>
      </c>
      <c r="D29" s="11" t="s">
        <v>98</v>
      </c>
      <c r="E29" s="11" t="s">
        <v>99</v>
      </c>
      <c r="F29" s="11" t="s">
        <v>100</v>
      </c>
      <c r="G29" s="11" t="s">
        <v>100</v>
      </c>
      <c r="H29" s="11"/>
      <c r="I29" s="11" t="b">
        <v>0</v>
      </c>
      <c r="J29" s="11" t="b">
        <v>0</v>
      </c>
      <c r="K29" s="11" t="b">
        <v>0</v>
      </c>
      <c r="L29" s="11" t="b">
        <v>0</v>
      </c>
      <c r="M29" s="11" t="b">
        <v>0</v>
      </c>
      <c r="N29" s="11"/>
      <c r="O29" s="11"/>
      <c r="P29" s="11"/>
      <c r="Q29" s="11"/>
      <c r="R29" s="11" t="b">
        <v>0</v>
      </c>
      <c r="S29" s="11"/>
    </row>
    <row r="30" spans="1:19" x14ac:dyDescent="0.2">
      <c r="A30" s="11" t="s">
        <v>49</v>
      </c>
      <c r="B30" s="11" t="s">
        <v>106</v>
      </c>
      <c r="C30" s="11" t="s">
        <v>107</v>
      </c>
      <c r="D30" s="11" t="s">
        <v>98</v>
      </c>
      <c r="E30" s="11" t="s">
        <v>103</v>
      </c>
      <c r="F30" s="11" t="s">
        <v>100</v>
      </c>
      <c r="G30" s="11" t="s">
        <v>100</v>
      </c>
      <c r="H30" s="11"/>
      <c r="I30" s="11" t="b">
        <v>0</v>
      </c>
      <c r="J30" s="11" t="b">
        <v>0</v>
      </c>
      <c r="K30" s="11" t="b">
        <v>0</v>
      </c>
      <c r="L30" s="11" t="b">
        <v>0</v>
      </c>
      <c r="M30" s="11" t="b">
        <v>0</v>
      </c>
      <c r="N30" s="11"/>
      <c r="O30" s="11"/>
      <c r="P30" s="11"/>
      <c r="Q30" s="11"/>
      <c r="R30" s="11" t="b">
        <v>0</v>
      </c>
      <c r="S30" s="11"/>
    </row>
    <row r="31" spans="1:19" x14ac:dyDescent="0.2">
      <c r="A31" s="11" t="s">
        <v>49</v>
      </c>
      <c r="B31" s="11" t="s">
        <v>57</v>
      </c>
      <c r="C31" s="11" t="s">
        <v>108</v>
      </c>
      <c r="D31" s="11" t="s">
        <v>109</v>
      </c>
      <c r="E31" s="11" t="s">
        <v>99</v>
      </c>
      <c r="F31" s="11" t="s">
        <v>100</v>
      </c>
      <c r="G31" s="11" t="s">
        <v>100</v>
      </c>
      <c r="H31" s="11"/>
      <c r="I31" s="11" t="b">
        <v>0</v>
      </c>
      <c r="J31" s="11" t="b">
        <v>0</v>
      </c>
      <c r="K31" s="11" t="b">
        <v>0</v>
      </c>
      <c r="L31" s="11" t="b">
        <v>0</v>
      </c>
      <c r="M31" s="11" t="b">
        <v>0</v>
      </c>
      <c r="N31" s="11"/>
      <c r="O31" s="11"/>
      <c r="P31" s="11"/>
      <c r="Q31" s="11"/>
      <c r="R31" s="11" t="b">
        <v>0</v>
      </c>
      <c r="S31" s="11"/>
    </row>
    <row r="32" spans="1:19" x14ac:dyDescent="0.2">
      <c r="A32" s="11" t="s">
        <v>49</v>
      </c>
      <c r="B32" s="11" t="s">
        <v>58</v>
      </c>
      <c r="C32" s="11" t="s">
        <v>137</v>
      </c>
      <c r="D32" s="11" t="s">
        <v>119</v>
      </c>
      <c r="E32" s="11" t="s">
        <v>99</v>
      </c>
      <c r="F32" s="11" t="s">
        <v>100</v>
      </c>
      <c r="G32" s="11" t="s">
        <v>100</v>
      </c>
      <c r="H32" s="11"/>
      <c r="I32" s="11" t="b">
        <v>0</v>
      </c>
      <c r="J32" s="11" t="b">
        <v>0</v>
      </c>
      <c r="K32" s="11" t="b">
        <v>0</v>
      </c>
      <c r="L32" s="11" t="b">
        <v>0</v>
      </c>
      <c r="M32" s="11" t="b">
        <v>0</v>
      </c>
      <c r="N32" s="11"/>
      <c r="O32" s="11"/>
      <c r="P32" s="11"/>
      <c r="Q32" s="11"/>
      <c r="R32" s="11" t="b">
        <v>0</v>
      </c>
      <c r="S32" s="11"/>
    </row>
    <row r="33" spans="1:19" x14ac:dyDescent="0.2">
      <c r="A33" s="11" t="s">
        <v>49</v>
      </c>
      <c r="B33" s="11" t="s">
        <v>138</v>
      </c>
      <c r="C33" s="11" t="s">
        <v>107</v>
      </c>
      <c r="D33" s="11" t="s">
        <v>98</v>
      </c>
      <c r="E33" s="11" t="s">
        <v>103</v>
      </c>
      <c r="F33" s="11" t="s">
        <v>100</v>
      </c>
      <c r="G33" s="11" t="s">
        <v>100</v>
      </c>
      <c r="H33" s="11"/>
      <c r="I33" s="11" t="b">
        <v>0</v>
      </c>
      <c r="J33" s="11" t="b">
        <v>0</v>
      </c>
      <c r="K33" s="11" t="b">
        <v>0</v>
      </c>
      <c r="L33" s="11" t="b">
        <v>0</v>
      </c>
      <c r="M33" s="11" t="b">
        <v>0</v>
      </c>
      <c r="N33" s="11"/>
      <c r="O33" s="11"/>
      <c r="P33" s="11"/>
      <c r="Q33" s="11"/>
      <c r="R33" s="11" t="b">
        <v>0</v>
      </c>
      <c r="S33" s="11"/>
    </row>
    <row r="34" spans="1:19" x14ac:dyDescent="0.2">
      <c r="A34" s="11" t="s">
        <v>49</v>
      </c>
      <c r="B34" s="11" t="s">
        <v>120</v>
      </c>
      <c r="C34" s="11" t="s">
        <v>121</v>
      </c>
      <c r="D34" s="11" t="s">
        <v>122</v>
      </c>
      <c r="E34" s="11" t="s">
        <v>99</v>
      </c>
      <c r="F34" s="11" t="s">
        <v>100</v>
      </c>
      <c r="G34" s="11" t="s">
        <v>100</v>
      </c>
      <c r="H34" s="11"/>
      <c r="I34" s="11" t="b">
        <v>0</v>
      </c>
      <c r="J34" s="11" t="b">
        <v>0</v>
      </c>
      <c r="K34" s="11" t="b">
        <v>0</v>
      </c>
      <c r="L34" s="11" t="b">
        <v>0</v>
      </c>
      <c r="M34" s="11" t="b">
        <v>0</v>
      </c>
      <c r="N34" s="11"/>
      <c r="O34" s="11"/>
      <c r="P34" s="11"/>
      <c r="Q34" s="11"/>
      <c r="R34" s="11" t="b">
        <v>0</v>
      </c>
      <c r="S34" s="11"/>
    </row>
    <row r="35" spans="1:19" x14ac:dyDescent="0.2">
      <c r="A35" s="11" t="s">
        <v>49</v>
      </c>
      <c r="B35" s="11" t="s">
        <v>123</v>
      </c>
      <c r="C35" s="11" t="s">
        <v>107</v>
      </c>
      <c r="D35" s="11" t="s">
        <v>98</v>
      </c>
      <c r="E35" s="11" t="s">
        <v>103</v>
      </c>
      <c r="F35" s="11" t="s">
        <v>100</v>
      </c>
      <c r="G35" s="11" t="s">
        <v>100</v>
      </c>
      <c r="H35" s="11"/>
      <c r="I35" s="11" t="b">
        <v>0</v>
      </c>
      <c r="J35" s="11" t="b">
        <v>0</v>
      </c>
      <c r="K35" s="11" t="b">
        <v>0</v>
      </c>
      <c r="L35" s="11" t="b">
        <v>0</v>
      </c>
      <c r="M35" s="11" t="b">
        <v>0</v>
      </c>
      <c r="N35" s="11"/>
      <c r="O35" s="11"/>
      <c r="P35" s="11"/>
      <c r="Q35" s="11"/>
      <c r="R35" s="11" t="b">
        <v>0</v>
      </c>
      <c r="S35" s="11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2"/>
  <sheetViews>
    <sheetView workbookViewId="0">
      <pane ySplit="1" topLeftCell="A2" activePane="bottomLeft" state="frozen"/>
      <selection pane="bottomLeft" activeCell="A2" sqref="A2:XFD2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10" t="s">
        <v>29</v>
      </c>
      <c r="B1" s="10" t="s">
        <v>45</v>
      </c>
      <c r="C1" s="10" t="s">
        <v>106</v>
      </c>
      <c r="D1" s="10" t="s">
        <v>33</v>
      </c>
      <c r="E1" s="10" t="s">
        <v>110</v>
      </c>
      <c r="F1" s="10" t="s">
        <v>113</v>
      </c>
      <c r="G1" s="10" t="s">
        <v>115</v>
      </c>
      <c r="H1" s="10" t="s">
        <v>117</v>
      </c>
      <c r="I1" s="10" t="s">
        <v>35</v>
      </c>
      <c r="J1" s="10" t="s">
        <v>120</v>
      </c>
      <c r="K1" s="10" t="s">
        <v>123</v>
      </c>
    </row>
    <row r="2" spans="1:11" x14ac:dyDescent="0.2">
      <c r="A2" s="11" t="s">
        <v>283</v>
      </c>
      <c r="B2" s="13" t="s">
        <v>284</v>
      </c>
      <c r="C2" s="13"/>
      <c r="D2" s="11"/>
      <c r="E2" s="11"/>
      <c r="F2" s="11"/>
      <c r="G2" s="11"/>
      <c r="H2" s="13"/>
      <c r="I2" s="11"/>
      <c r="J2" s="11"/>
      <c r="K2" s="13"/>
    </row>
  </sheetData>
  <pageMargins left="0.75" right="0.75" top="1" bottom="1" header="0.5" footer="0.5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97"/>
  <sheetViews>
    <sheetView tabSelected="1" workbookViewId="0">
      <pane ySplit="1" topLeftCell="A2" activePane="bottomLeft" state="frozen"/>
      <selection pane="bottomLeft" activeCell="A2" sqref="A2:XFD97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0" t="s">
        <v>124</v>
      </c>
      <c r="B1" s="10" t="s">
        <v>52</v>
      </c>
      <c r="C1" s="10" t="s">
        <v>39</v>
      </c>
      <c r="D1" s="10" t="s">
        <v>41</v>
      </c>
      <c r="E1" s="10" t="s">
        <v>45</v>
      </c>
      <c r="F1" s="10" t="s">
        <v>128</v>
      </c>
    </row>
    <row r="2" spans="1:6" s="5" customFormat="1" x14ac:dyDescent="0.2">
      <c r="A2" s="4" t="s">
        <v>285</v>
      </c>
      <c r="B2" s="15" t="str">
        <f>IF([1]!sample[[#This Row],[Sample Name]]="","",SUBSTITUTE(SUBSTITUTE(TRIM(LOWER([1]!sample[[#This Row],[Sample Name]]))," ","_"),"-","_"))</f>
        <v>sample1</v>
      </c>
      <c r="C2" s="14" t="s">
        <v>129</v>
      </c>
      <c r="D2" s="14">
        <v>1</v>
      </c>
      <c r="E2" s="4" t="s">
        <v>284</v>
      </c>
      <c r="F2" s="4" t="s">
        <v>139</v>
      </c>
    </row>
    <row r="3" spans="1:6" s="5" customFormat="1" x14ac:dyDescent="0.2">
      <c r="A3" s="4" t="s">
        <v>286</v>
      </c>
      <c r="B3" s="16" t="str">
        <f>IF([1]!sample[[#This Row],[Sample Name]]="","",SUBSTITUTE(SUBSTITUTE(TRIM(LOWER([1]!sample[[#This Row],[Sample Name]]))," ","_"),"-","_"))</f>
        <v>sample2</v>
      </c>
      <c r="C3" s="14" t="s">
        <v>130</v>
      </c>
      <c r="D3" s="14">
        <v>1</v>
      </c>
      <c r="E3" s="4" t="s">
        <v>284</v>
      </c>
      <c r="F3" s="5" t="s">
        <v>145</v>
      </c>
    </row>
    <row r="4" spans="1:6" s="5" customFormat="1" x14ac:dyDescent="0.2">
      <c r="A4" s="4" t="s">
        <v>287</v>
      </c>
      <c r="B4" s="16" t="str">
        <f>IF([1]!sample[[#This Row],[Sample Name]]="","",SUBSTITUTE(SUBSTITUTE(TRIM(LOWER([1]!sample[[#This Row],[Sample Name]]))," ","_"),"-","_"))</f>
        <v>sample3</v>
      </c>
      <c r="C4" s="14" t="s">
        <v>288</v>
      </c>
      <c r="D4" s="14">
        <v>1</v>
      </c>
      <c r="E4" s="4" t="s">
        <v>284</v>
      </c>
      <c r="F4" s="5" t="s">
        <v>145</v>
      </c>
    </row>
    <row r="5" spans="1:6" s="5" customFormat="1" x14ac:dyDescent="0.2">
      <c r="A5" s="4" t="s">
        <v>289</v>
      </c>
      <c r="B5" s="16" t="str">
        <f>IF([1]!sample[[#This Row],[Sample Name]]="","",SUBSTITUTE(SUBSTITUTE(TRIM(LOWER([1]!sample[[#This Row],[Sample Name]]))," ","_"),"-","_"))</f>
        <v>sample4</v>
      </c>
      <c r="C5" s="14" t="s">
        <v>290</v>
      </c>
      <c r="D5" s="14">
        <v>1</v>
      </c>
      <c r="E5" s="4" t="s">
        <v>284</v>
      </c>
      <c r="F5" s="5" t="s">
        <v>141</v>
      </c>
    </row>
    <row r="6" spans="1:6" s="5" customFormat="1" x14ac:dyDescent="0.2">
      <c r="A6" s="4" t="s">
        <v>291</v>
      </c>
      <c r="B6" s="16" t="str">
        <f>IF([1]!sample[[#This Row],[Sample Name]]="","",SUBSTITUTE(SUBSTITUTE(TRIM(LOWER([1]!sample[[#This Row],[Sample Name]]))," ","_"),"-","_"))</f>
        <v>sample5</v>
      </c>
      <c r="C6" s="14" t="s">
        <v>292</v>
      </c>
      <c r="D6" s="14">
        <v>1</v>
      </c>
      <c r="E6" s="4" t="s">
        <v>284</v>
      </c>
      <c r="F6" s="5" t="s">
        <v>141</v>
      </c>
    </row>
    <row r="7" spans="1:6" s="5" customFormat="1" x14ac:dyDescent="0.2">
      <c r="A7" s="4" t="s">
        <v>293</v>
      </c>
      <c r="B7" s="16" t="str">
        <f>IF([1]!sample[[#This Row],[Sample Name]]="","",SUBSTITUTE(SUBSTITUTE(TRIM(LOWER([1]!sample[[#This Row],[Sample Name]]))," ","_"),"-","_"))</f>
        <v>sample6</v>
      </c>
      <c r="C7" s="14" t="s">
        <v>294</v>
      </c>
      <c r="D7" s="14">
        <v>1</v>
      </c>
      <c r="E7" s="4" t="s">
        <v>284</v>
      </c>
      <c r="F7" s="5" t="s">
        <v>143</v>
      </c>
    </row>
    <row r="8" spans="1:6" s="5" customFormat="1" x14ac:dyDescent="0.2">
      <c r="A8" s="4" t="s">
        <v>295</v>
      </c>
      <c r="B8" s="16" t="str">
        <f>IF([1]!sample[[#This Row],[Sample Name]]="","",SUBSTITUTE(SUBSTITUTE(TRIM(LOWER([1]!sample[[#This Row],[Sample Name]]))," ","_"),"-","_"))</f>
        <v>sample7</v>
      </c>
      <c r="C8" s="14" t="s">
        <v>296</v>
      </c>
      <c r="D8" s="14">
        <v>1</v>
      </c>
      <c r="E8" s="4" t="s">
        <v>284</v>
      </c>
      <c r="F8" s="5" t="s">
        <v>143</v>
      </c>
    </row>
    <row r="9" spans="1:6" s="5" customFormat="1" x14ac:dyDescent="0.2">
      <c r="A9" s="4" t="s">
        <v>297</v>
      </c>
      <c r="B9" s="16" t="str">
        <f>IF([1]!sample[[#This Row],[Sample Name]]="","",SUBSTITUTE(SUBSTITUTE(TRIM(LOWER([1]!sample[[#This Row],[Sample Name]]))," ","_"),"-","_"))</f>
        <v>sample8</v>
      </c>
      <c r="C9" s="14" t="s">
        <v>298</v>
      </c>
      <c r="D9" s="14">
        <v>1</v>
      </c>
      <c r="E9" s="4" t="s">
        <v>284</v>
      </c>
      <c r="F9" s="5" t="s">
        <v>139</v>
      </c>
    </row>
    <row r="10" spans="1:6" s="5" customFormat="1" x14ac:dyDescent="0.2">
      <c r="A10" s="4" t="s">
        <v>299</v>
      </c>
      <c r="B10" s="16" t="str">
        <f>IF([1]!sample[[#This Row],[Sample Name]]="","",SUBSTITUTE(SUBSTITUTE(TRIM(LOWER([1]!sample[[#This Row],[Sample Name]]))," ","_"),"-","_"))</f>
        <v>sample9</v>
      </c>
      <c r="C10" s="14" t="s">
        <v>129</v>
      </c>
      <c r="D10" s="14">
        <v>2</v>
      </c>
      <c r="E10" s="4" t="s">
        <v>284</v>
      </c>
      <c r="F10" s="4" t="s">
        <v>139</v>
      </c>
    </row>
    <row r="11" spans="1:6" s="5" customFormat="1" x14ac:dyDescent="0.2">
      <c r="A11" s="4" t="s">
        <v>300</v>
      </c>
      <c r="B11" s="16" t="str">
        <f>IF([1]!sample[[#This Row],[Sample Name]]="","",SUBSTITUTE(SUBSTITUTE(TRIM(LOWER([1]!sample[[#This Row],[Sample Name]]))," ","_"),"-","_"))</f>
        <v>sample10</v>
      </c>
      <c r="C11" s="14" t="s">
        <v>130</v>
      </c>
      <c r="D11" s="14">
        <v>2</v>
      </c>
      <c r="E11" s="4" t="s">
        <v>284</v>
      </c>
      <c r="F11" s="5" t="s">
        <v>145</v>
      </c>
    </row>
    <row r="12" spans="1:6" s="5" customFormat="1" x14ac:dyDescent="0.2">
      <c r="A12" s="4" t="s">
        <v>301</v>
      </c>
      <c r="B12" s="16" t="str">
        <f>IF([1]!sample[[#This Row],[Sample Name]]="","",SUBSTITUTE(SUBSTITUTE(TRIM(LOWER([1]!sample[[#This Row],[Sample Name]]))," ","_"),"-","_"))</f>
        <v>sample11</v>
      </c>
      <c r="C12" s="14" t="s">
        <v>288</v>
      </c>
      <c r="D12" s="14">
        <v>2</v>
      </c>
      <c r="E12" s="4" t="s">
        <v>284</v>
      </c>
      <c r="F12" s="5" t="s">
        <v>145</v>
      </c>
    </row>
    <row r="13" spans="1:6" s="5" customFormat="1" x14ac:dyDescent="0.2">
      <c r="A13" s="4" t="s">
        <v>302</v>
      </c>
      <c r="B13" s="16" t="str">
        <f>IF([1]!sample[[#This Row],[Sample Name]]="","",SUBSTITUTE(SUBSTITUTE(TRIM(LOWER([1]!sample[[#This Row],[Sample Name]]))," ","_"),"-","_"))</f>
        <v>sample12</v>
      </c>
      <c r="C13" s="14" t="s">
        <v>290</v>
      </c>
      <c r="D13" s="14">
        <v>2</v>
      </c>
      <c r="E13" s="4" t="s">
        <v>284</v>
      </c>
      <c r="F13" s="5" t="s">
        <v>141</v>
      </c>
    </row>
    <row r="14" spans="1:6" s="5" customFormat="1" x14ac:dyDescent="0.2">
      <c r="A14" s="4" t="s">
        <v>303</v>
      </c>
      <c r="B14" s="16" t="str">
        <f>IF([1]!sample[[#This Row],[Sample Name]]="","",SUBSTITUTE(SUBSTITUTE(TRIM(LOWER([1]!sample[[#This Row],[Sample Name]]))," ","_"),"-","_"))</f>
        <v>sample13</v>
      </c>
      <c r="C14" s="14" t="s">
        <v>292</v>
      </c>
      <c r="D14" s="14">
        <v>2</v>
      </c>
      <c r="E14" s="4" t="s">
        <v>284</v>
      </c>
      <c r="F14" s="5" t="s">
        <v>141</v>
      </c>
    </row>
    <row r="15" spans="1:6" s="5" customFormat="1" x14ac:dyDescent="0.2">
      <c r="A15" s="4" t="s">
        <v>304</v>
      </c>
      <c r="B15" s="16" t="str">
        <f>IF([1]!sample[[#This Row],[Sample Name]]="","",SUBSTITUTE(SUBSTITUTE(TRIM(LOWER([1]!sample[[#This Row],[Sample Name]]))," ","_"),"-","_"))</f>
        <v>sample14</v>
      </c>
      <c r="C15" s="14" t="s">
        <v>294</v>
      </c>
      <c r="D15" s="14">
        <v>2</v>
      </c>
      <c r="E15" s="4" t="s">
        <v>284</v>
      </c>
      <c r="F15" s="5" t="s">
        <v>143</v>
      </c>
    </row>
    <row r="16" spans="1:6" s="5" customFormat="1" x14ac:dyDescent="0.2">
      <c r="A16" s="4" t="s">
        <v>305</v>
      </c>
      <c r="B16" s="16" t="str">
        <f>IF([1]!sample[[#This Row],[Sample Name]]="","",SUBSTITUTE(SUBSTITUTE(TRIM(LOWER([1]!sample[[#This Row],[Sample Name]]))," ","_"),"-","_"))</f>
        <v>sample15</v>
      </c>
      <c r="C16" s="14" t="s">
        <v>296</v>
      </c>
      <c r="D16" s="14">
        <v>2</v>
      </c>
      <c r="E16" s="4" t="s">
        <v>284</v>
      </c>
      <c r="F16" s="5" t="s">
        <v>143</v>
      </c>
    </row>
    <row r="17" spans="1:6" s="5" customFormat="1" x14ac:dyDescent="0.2">
      <c r="A17" s="4" t="s">
        <v>306</v>
      </c>
      <c r="B17" s="16" t="str">
        <f>IF([1]!sample[[#This Row],[Sample Name]]="","",SUBSTITUTE(SUBSTITUTE(TRIM(LOWER([1]!sample[[#This Row],[Sample Name]]))," ","_"),"-","_"))</f>
        <v>sample16</v>
      </c>
      <c r="C17" s="14" t="s">
        <v>298</v>
      </c>
      <c r="D17" s="14">
        <v>2</v>
      </c>
      <c r="E17" s="4" t="s">
        <v>284</v>
      </c>
      <c r="F17" s="5" t="s">
        <v>139</v>
      </c>
    </row>
    <row r="18" spans="1:6" s="5" customFormat="1" x14ac:dyDescent="0.2">
      <c r="A18" s="4" t="s">
        <v>307</v>
      </c>
      <c r="B18" s="16" t="str">
        <f>IF([1]!sample[[#This Row],[Sample Name]]="","",SUBSTITUTE(SUBSTITUTE(TRIM(LOWER([1]!sample[[#This Row],[Sample Name]]))," ","_"),"-","_"))</f>
        <v>sample17</v>
      </c>
      <c r="C18" s="14" t="s">
        <v>129</v>
      </c>
      <c r="D18" s="14">
        <v>3</v>
      </c>
      <c r="E18" s="4" t="s">
        <v>284</v>
      </c>
      <c r="F18" s="4" t="s">
        <v>139</v>
      </c>
    </row>
    <row r="19" spans="1:6" s="5" customFormat="1" x14ac:dyDescent="0.2">
      <c r="A19" s="4" t="s">
        <v>308</v>
      </c>
      <c r="B19" s="16" t="str">
        <f>IF([1]!sample[[#This Row],[Sample Name]]="","",SUBSTITUTE(SUBSTITUTE(TRIM(LOWER([1]!sample[[#This Row],[Sample Name]]))," ","_"),"-","_"))</f>
        <v>sample18</v>
      </c>
      <c r="C19" s="14" t="s">
        <v>130</v>
      </c>
      <c r="D19" s="14">
        <v>3</v>
      </c>
      <c r="E19" s="4" t="s">
        <v>284</v>
      </c>
      <c r="F19" s="5" t="s">
        <v>145</v>
      </c>
    </row>
    <row r="20" spans="1:6" s="5" customFormat="1" x14ac:dyDescent="0.2">
      <c r="A20" s="4" t="s">
        <v>309</v>
      </c>
      <c r="B20" s="16" t="str">
        <f>IF([1]!sample[[#This Row],[Sample Name]]="","",SUBSTITUTE(SUBSTITUTE(TRIM(LOWER([1]!sample[[#This Row],[Sample Name]]))," ","_"),"-","_"))</f>
        <v>sample19</v>
      </c>
      <c r="C20" s="14" t="s">
        <v>288</v>
      </c>
      <c r="D20" s="14">
        <v>3</v>
      </c>
      <c r="E20" s="4" t="s">
        <v>284</v>
      </c>
      <c r="F20" s="5" t="s">
        <v>145</v>
      </c>
    </row>
    <row r="21" spans="1:6" s="5" customFormat="1" x14ac:dyDescent="0.2">
      <c r="A21" s="4" t="s">
        <v>310</v>
      </c>
      <c r="B21" s="16" t="str">
        <f>IF([1]!sample[[#This Row],[Sample Name]]="","",SUBSTITUTE(SUBSTITUTE(TRIM(LOWER([1]!sample[[#This Row],[Sample Name]]))," ","_"),"-","_"))</f>
        <v>sample20</v>
      </c>
      <c r="C21" s="14" t="s">
        <v>290</v>
      </c>
      <c r="D21" s="14">
        <v>3</v>
      </c>
      <c r="E21" s="4" t="s">
        <v>284</v>
      </c>
      <c r="F21" s="5" t="s">
        <v>141</v>
      </c>
    </row>
    <row r="22" spans="1:6" s="5" customFormat="1" x14ac:dyDescent="0.2">
      <c r="A22" s="4" t="s">
        <v>311</v>
      </c>
      <c r="B22" s="16" t="str">
        <f>IF([1]!sample[[#This Row],[Sample Name]]="","",SUBSTITUTE(SUBSTITUTE(TRIM(LOWER([1]!sample[[#This Row],[Sample Name]]))," ","_"),"-","_"))</f>
        <v>sample21</v>
      </c>
      <c r="C22" s="14" t="s">
        <v>292</v>
      </c>
      <c r="D22" s="14">
        <v>3</v>
      </c>
      <c r="E22" s="4" t="s">
        <v>284</v>
      </c>
      <c r="F22" s="5" t="s">
        <v>141</v>
      </c>
    </row>
    <row r="23" spans="1:6" s="5" customFormat="1" x14ac:dyDescent="0.2">
      <c r="A23" s="4" t="s">
        <v>312</v>
      </c>
      <c r="B23" s="16" t="str">
        <f>IF([1]!sample[[#This Row],[Sample Name]]="","",SUBSTITUTE(SUBSTITUTE(TRIM(LOWER([1]!sample[[#This Row],[Sample Name]]))," ","_"),"-","_"))</f>
        <v>sample22</v>
      </c>
      <c r="C23" s="14" t="s">
        <v>294</v>
      </c>
      <c r="D23" s="14">
        <v>3</v>
      </c>
      <c r="E23" s="4" t="s">
        <v>284</v>
      </c>
      <c r="F23" s="5" t="s">
        <v>143</v>
      </c>
    </row>
    <row r="24" spans="1:6" s="5" customFormat="1" x14ac:dyDescent="0.2">
      <c r="A24" s="4" t="s">
        <v>313</v>
      </c>
      <c r="B24" s="16" t="str">
        <f>IF([1]!sample[[#This Row],[Sample Name]]="","",SUBSTITUTE(SUBSTITUTE(TRIM(LOWER([1]!sample[[#This Row],[Sample Name]]))," ","_"),"-","_"))</f>
        <v>sample23</v>
      </c>
      <c r="C24" s="14" t="s">
        <v>296</v>
      </c>
      <c r="D24" s="14">
        <v>3</v>
      </c>
      <c r="E24" s="4" t="s">
        <v>284</v>
      </c>
      <c r="F24" s="5" t="s">
        <v>143</v>
      </c>
    </row>
    <row r="25" spans="1:6" s="5" customFormat="1" x14ac:dyDescent="0.2">
      <c r="A25" s="4" t="s">
        <v>314</v>
      </c>
      <c r="B25" s="16" t="str">
        <f>IF([1]!sample[[#This Row],[Sample Name]]="","",SUBSTITUTE(SUBSTITUTE(TRIM(LOWER([1]!sample[[#This Row],[Sample Name]]))," ","_"),"-","_"))</f>
        <v>sample24</v>
      </c>
      <c r="C25" s="14" t="s">
        <v>298</v>
      </c>
      <c r="D25" s="14">
        <v>3</v>
      </c>
      <c r="E25" s="4" t="s">
        <v>284</v>
      </c>
      <c r="F25" s="5" t="s">
        <v>139</v>
      </c>
    </row>
    <row r="26" spans="1:6" s="5" customFormat="1" x14ac:dyDescent="0.2">
      <c r="A26" s="4" t="s">
        <v>315</v>
      </c>
      <c r="B26" s="16" t="str">
        <f>IF([1]!sample[[#This Row],[Sample Name]]="","",SUBSTITUTE(SUBSTITUTE(TRIM(LOWER([1]!sample[[#This Row],[Sample Name]]))," ","_"),"-","_"))</f>
        <v>sample25</v>
      </c>
      <c r="C26" s="14" t="s">
        <v>129</v>
      </c>
      <c r="D26" s="14">
        <v>4</v>
      </c>
      <c r="E26" s="4" t="s">
        <v>284</v>
      </c>
      <c r="F26" s="4" t="s">
        <v>139</v>
      </c>
    </row>
    <row r="27" spans="1:6" s="5" customFormat="1" x14ac:dyDescent="0.2">
      <c r="A27" s="4" t="s">
        <v>316</v>
      </c>
      <c r="B27" s="16" t="str">
        <f>IF([1]!sample[[#This Row],[Sample Name]]="","",SUBSTITUTE(SUBSTITUTE(TRIM(LOWER([1]!sample[[#This Row],[Sample Name]]))," ","_"),"-","_"))</f>
        <v>sample26</v>
      </c>
      <c r="C27" s="14" t="s">
        <v>130</v>
      </c>
      <c r="D27" s="14">
        <v>4</v>
      </c>
      <c r="E27" s="4" t="s">
        <v>284</v>
      </c>
      <c r="F27" s="5" t="s">
        <v>145</v>
      </c>
    </row>
    <row r="28" spans="1:6" s="5" customFormat="1" x14ac:dyDescent="0.2">
      <c r="A28" s="4" t="s">
        <v>317</v>
      </c>
      <c r="B28" s="16" t="str">
        <f>IF([1]!sample[[#This Row],[Sample Name]]="","",SUBSTITUTE(SUBSTITUTE(TRIM(LOWER([1]!sample[[#This Row],[Sample Name]]))," ","_"),"-","_"))</f>
        <v>sample27</v>
      </c>
      <c r="C28" s="14" t="s">
        <v>288</v>
      </c>
      <c r="D28" s="14">
        <v>4</v>
      </c>
      <c r="E28" s="4" t="s">
        <v>284</v>
      </c>
      <c r="F28" s="5" t="s">
        <v>145</v>
      </c>
    </row>
    <row r="29" spans="1:6" s="5" customFormat="1" x14ac:dyDescent="0.2">
      <c r="A29" s="4" t="s">
        <v>318</v>
      </c>
      <c r="B29" s="16" t="str">
        <f>IF([1]!sample[[#This Row],[Sample Name]]="","",SUBSTITUTE(SUBSTITUTE(TRIM(LOWER([1]!sample[[#This Row],[Sample Name]]))," ","_"),"-","_"))</f>
        <v>sample28</v>
      </c>
      <c r="C29" s="14" t="s">
        <v>290</v>
      </c>
      <c r="D29" s="14">
        <v>4</v>
      </c>
      <c r="E29" s="4" t="s">
        <v>284</v>
      </c>
      <c r="F29" s="5" t="s">
        <v>141</v>
      </c>
    </row>
    <row r="30" spans="1:6" s="5" customFormat="1" x14ac:dyDescent="0.2">
      <c r="A30" s="4" t="s">
        <v>319</v>
      </c>
      <c r="B30" s="16" t="str">
        <f>IF([1]!sample[[#This Row],[Sample Name]]="","",SUBSTITUTE(SUBSTITUTE(TRIM(LOWER([1]!sample[[#This Row],[Sample Name]]))," ","_"),"-","_"))</f>
        <v>sample29</v>
      </c>
      <c r="C30" s="14" t="s">
        <v>292</v>
      </c>
      <c r="D30" s="14">
        <v>4</v>
      </c>
      <c r="E30" s="4" t="s">
        <v>284</v>
      </c>
      <c r="F30" s="5" t="s">
        <v>141</v>
      </c>
    </row>
    <row r="31" spans="1:6" s="5" customFormat="1" x14ac:dyDescent="0.2">
      <c r="A31" s="4" t="s">
        <v>320</v>
      </c>
      <c r="B31" s="16" t="str">
        <f>IF([1]!sample[[#This Row],[Sample Name]]="","",SUBSTITUTE(SUBSTITUTE(TRIM(LOWER([1]!sample[[#This Row],[Sample Name]]))," ","_"),"-","_"))</f>
        <v>sample30</v>
      </c>
      <c r="C31" s="14" t="s">
        <v>294</v>
      </c>
      <c r="D31" s="14">
        <v>4</v>
      </c>
      <c r="E31" s="4" t="s">
        <v>284</v>
      </c>
      <c r="F31" s="5" t="s">
        <v>143</v>
      </c>
    </row>
    <row r="32" spans="1:6" s="5" customFormat="1" x14ac:dyDescent="0.2">
      <c r="A32" s="4" t="s">
        <v>321</v>
      </c>
      <c r="B32" s="16" t="str">
        <f>IF([1]!sample[[#This Row],[Sample Name]]="","",SUBSTITUTE(SUBSTITUTE(TRIM(LOWER([1]!sample[[#This Row],[Sample Name]]))," ","_"),"-","_"))</f>
        <v>sample31</v>
      </c>
      <c r="C32" s="14" t="s">
        <v>296</v>
      </c>
      <c r="D32" s="14">
        <v>4</v>
      </c>
      <c r="E32" s="4" t="s">
        <v>284</v>
      </c>
      <c r="F32" s="5" t="s">
        <v>143</v>
      </c>
    </row>
    <row r="33" spans="1:6" s="5" customFormat="1" x14ac:dyDescent="0.2">
      <c r="A33" s="4" t="s">
        <v>322</v>
      </c>
      <c r="B33" s="16" t="str">
        <f>IF([1]!sample[[#This Row],[Sample Name]]="","",SUBSTITUTE(SUBSTITUTE(TRIM(LOWER([1]!sample[[#This Row],[Sample Name]]))," ","_"),"-","_"))</f>
        <v>sample32</v>
      </c>
      <c r="C33" s="14" t="s">
        <v>298</v>
      </c>
      <c r="D33" s="14">
        <v>4</v>
      </c>
      <c r="E33" s="4" t="s">
        <v>284</v>
      </c>
      <c r="F33" s="5" t="s">
        <v>139</v>
      </c>
    </row>
    <row r="34" spans="1:6" s="5" customFormat="1" x14ac:dyDescent="0.2">
      <c r="A34" s="4" t="s">
        <v>323</v>
      </c>
      <c r="B34" s="16" t="str">
        <f>IF([1]!sample[[#This Row],[Sample Name]]="","",SUBSTITUTE(SUBSTITUTE(TRIM(LOWER([1]!sample[[#This Row],[Sample Name]]))," ","_"),"-","_"))</f>
        <v>sample33</v>
      </c>
      <c r="C34" s="14" t="s">
        <v>129</v>
      </c>
      <c r="D34" s="14">
        <v>5</v>
      </c>
      <c r="E34" s="4" t="s">
        <v>284</v>
      </c>
      <c r="F34" s="4" t="s">
        <v>139</v>
      </c>
    </row>
    <row r="35" spans="1:6" s="5" customFormat="1" x14ac:dyDescent="0.2">
      <c r="A35" s="4" t="s">
        <v>324</v>
      </c>
      <c r="B35" s="16" t="str">
        <f>IF([1]!sample[[#This Row],[Sample Name]]="","",SUBSTITUTE(SUBSTITUTE(TRIM(LOWER([1]!sample[[#This Row],[Sample Name]]))," ","_"),"-","_"))</f>
        <v>sample34</v>
      </c>
      <c r="C35" s="14" t="s">
        <v>130</v>
      </c>
      <c r="D35" s="14">
        <v>5</v>
      </c>
      <c r="E35" s="4" t="s">
        <v>284</v>
      </c>
      <c r="F35" s="5" t="s">
        <v>145</v>
      </c>
    </row>
    <row r="36" spans="1:6" s="5" customFormat="1" x14ac:dyDescent="0.2">
      <c r="A36" s="4" t="s">
        <v>325</v>
      </c>
      <c r="B36" s="16" t="str">
        <f>IF([1]!sample[[#This Row],[Sample Name]]="","",SUBSTITUTE(SUBSTITUTE(TRIM(LOWER([1]!sample[[#This Row],[Sample Name]]))," ","_"),"-","_"))</f>
        <v>sample35</v>
      </c>
      <c r="C36" s="14" t="s">
        <v>288</v>
      </c>
      <c r="D36" s="14">
        <v>5</v>
      </c>
      <c r="E36" s="4" t="s">
        <v>284</v>
      </c>
      <c r="F36" s="5" t="s">
        <v>145</v>
      </c>
    </row>
    <row r="37" spans="1:6" s="5" customFormat="1" x14ac:dyDescent="0.2">
      <c r="A37" s="4" t="s">
        <v>326</v>
      </c>
      <c r="B37" s="16" t="str">
        <f>IF([1]!sample[[#This Row],[Sample Name]]="","",SUBSTITUTE(SUBSTITUTE(TRIM(LOWER([1]!sample[[#This Row],[Sample Name]]))," ","_"),"-","_"))</f>
        <v>sample36</v>
      </c>
      <c r="C37" s="14" t="s">
        <v>290</v>
      </c>
      <c r="D37" s="14">
        <v>5</v>
      </c>
      <c r="E37" s="4" t="s">
        <v>284</v>
      </c>
      <c r="F37" s="5" t="s">
        <v>141</v>
      </c>
    </row>
    <row r="38" spans="1:6" s="5" customFormat="1" x14ac:dyDescent="0.2">
      <c r="A38" s="4" t="s">
        <v>327</v>
      </c>
      <c r="B38" s="16" t="str">
        <f>IF([1]!sample[[#This Row],[Sample Name]]="","",SUBSTITUTE(SUBSTITUTE(TRIM(LOWER([1]!sample[[#This Row],[Sample Name]]))," ","_"),"-","_"))</f>
        <v>sample37</v>
      </c>
      <c r="C38" s="14" t="s">
        <v>292</v>
      </c>
      <c r="D38" s="14">
        <v>5</v>
      </c>
      <c r="E38" s="4" t="s">
        <v>284</v>
      </c>
      <c r="F38" s="5" t="s">
        <v>141</v>
      </c>
    </row>
    <row r="39" spans="1:6" s="5" customFormat="1" x14ac:dyDescent="0.2">
      <c r="A39" s="4" t="s">
        <v>328</v>
      </c>
      <c r="B39" s="16" t="str">
        <f>IF([1]!sample[[#This Row],[Sample Name]]="","",SUBSTITUTE(SUBSTITUTE(TRIM(LOWER([1]!sample[[#This Row],[Sample Name]]))," ","_"),"-","_"))</f>
        <v>sample38</v>
      </c>
      <c r="C39" s="14" t="s">
        <v>294</v>
      </c>
      <c r="D39" s="14">
        <v>5</v>
      </c>
      <c r="E39" s="4" t="s">
        <v>284</v>
      </c>
      <c r="F39" s="5" t="s">
        <v>143</v>
      </c>
    </row>
    <row r="40" spans="1:6" s="5" customFormat="1" x14ac:dyDescent="0.2">
      <c r="A40" s="4" t="s">
        <v>329</v>
      </c>
      <c r="B40" s="16" t="str">
        <f>IF([1]!sample[[#This Row],[Sample Name]]="","",SUBSTITUTE(SUBSTITUTE(TRIM(LOWER([1]!sample[[#This Row],[Sample Name]]))," ","_"),"-","_"))</f>
        <v>sample39</v>
      </c>
      <c r="C40" s="14" t="s">
        <v>296</v>
      </c>
      <c r="D40" s="14">
        <v>5</v>
      </c>
      <c r="E40" s="4" t="s">
        <v>284</v>
      </c>
      <c r="F40" s="5" t="s">
        <v>143</v>
      </c>
    </row>
    <row r="41" spans="1:6" s="5" customFormat="1" x14ac:dyDescent="0.2">
      <c r="A41" s="4" t="s">
        <v>330</v>
      </c>
      <c r="B41" s="16" t="str">
        <f>IF([1]!sample[[#This Row],[Sample Name]]="","",SUBSTITUTE(SUBSTITUTE(TRIM(LOWER([1]!sample[[#This Row],[Sample Name]]))," ","_"),"-","_"))</f>
        <v>sample40</v>
      </c>
      <c r="C41" s="14" t="s">
        <v>298</v>
      </c>
      <c r="D41" s="14">
        <v>5</v>
      </c>
      <c r="E41" s="4" t="s">
        <v>284</v>
      </c>
      <c r="F41" s="5" t="s">
        <v>139</v>
      </c>
    </row>
    <row r="42" spans="1:6" s="5" customFormat="1" x14ac:dyDescent="0.2">
      <c r="A42" s="4" t="s">
        <v>331</v>
      </c>
      <c r="B42" s="16" t="str">
        <f>IF([1]!sample[[#This Row],[Sample Name]]="","",SUBSTITUTE(SUBSTITUTE(TRIM(LOWER([1]!sample[[#This Row],[Sample Name]]))," ","_"),"-","_"))</f>
        <v>sample41</v>
      </c>
      <c r="C42" s="14" t="s">
        <v>129</v>
      </c>
      <c r="D42" s="14">
        <v>6</v>
      </c>
      <c r="E42" s="4" t="s">
        <v>284</v>
      </c>
      <c r="F42" s="4" t="s">
        <v>139</v>
      </c>
    </row>
    <row r="43" spans="1:6" s="5" customFormat="1" x14ac:dyDescent="0.2">
      <c r="A43" s="4" t="s">
        <v>332</v>
      </c>
      <c r="B43" s="16" t="str">
        <f>IF([1]!sample[[#This Row],[Sample Name]]="","",SUBSTITUTE(SUBSTITUTE(TRIM(LOWER([1]!sample[[#This Row],[Sample Name]]))," ","_"),"-","_"))</f>
        <v>sample42</v>
      </c>
      <c r="C43" s="14" t="s">
        <v>130</v>
      </c>
      <c r="D43" s="14">
        <v>6</v>
      </c>
      <c r="E43" s="4" t="s">
        <v>284</v>
      </c>
      <c r="F43" s="5" t="s">
        <v>145</v>
      </c>
    </row>
    <row r="44" spans="1:6" s="5" customFormat="1" x14ac:dyDescent="0.2">
      <c r="A44" s="4" t="s">
        <v>333</v>
      </c>
      <c r="B44" s="16" t="str">
        <f>IF([1]!sample[[#This Row],[Sample Name]]="","",SUBSTITUTE(SUBSTITUTE(TRIM(LOWER([1]!sample[[#This Row],[Sample Name]]))," ","_"),"-","_"))</f>
        <v>sample43</v>
      </c>
      <c r="C44" s="14" t="s">
        <v>288</v>
      </c>
      <c r="D44" s="14">
        <v>6</v>
      </c>
      <c r="E44" s="4" t="s">
        <v>284</v>
      </c>
      <c r="F44" s="5" t="s">
        <v>145</v>
      </c>
    </row>
    <row r="45" spans="1:6" s="5" customFormat="1" x14ac:dyDescent="0.2">
      <c r="A45" s="4" t="s">
        <v>334</v>
      </c>
      <c r="B45" s="16" t="str">
        <f>IF([1]!sample[[#This Row],[Sample Name]]="","",SUBSTITUTE(SUBSTITUTE(TRIM(LOWER([1]!sample[[#This Row],[Sample Name]]))," ","_"),"-","_"))</f>
        <v>sample44</v>
      </c>
      <c r="C45" s="14" t="s">
        <v>290</v>
      </c>
      <c r="D45" s="14">
        <v>6</v>
      </c>
      <c r="E45" s="4" t="s">
        <v>284</v>
      </c>
      <c r="F45" s="5" t="s">
        <v>141</v>
      </c>
    </row>
    <row r="46" spans="1:6" s="5" customFormat="1" x14ac:dyDescent="0.2">
      <c r="A46" s="4" t="s">
        <v>335</v>
      </c>
      <c r="B46" s="16" t="str">
        <f>IF([1]!sample[[#This Row],[Sample Name]]="","",SUBSTITUTE(SUBSTITUTE(TRIM(LOWER([1]!sample[[#This Row],[Sample Name]]))," ","_"),"-","_"))</f>
        <v>sample45</v>
      </c>
      <c r="C46" s="14" t="s">
        <v>292</v>
      </c>
      <c r="D46" s="14">
        <v>6</v>
      </c>
      <c r="E46" s="4" t="s">
        <v>284</v>
      </c>
      <c r="F46" s="5" t="s">
        <v>141</v>
      </c>
    </row>
    <row r="47" spans="1:6" s="5" customFormat="1" x14ac:dyDescent="0.2">
      <c r="A47" s="4" t="s">
        <v>336</v>
      </c>
      <c r="B47" s="16" t="str">
        <f>IF([1]!sample[[#This Row],[Sample Name]]="","",SUBSTITUTE(SUBSTITUTE(TRIM(LOWER([1]!sample[[#This Row],[Sample Name]]))," ","_"),"-","_"))</f>
        <v>sample46</v>
      </c>
      <c r="C47" s="14" t="s">
        <v>294</v>
      </c>
      <c r="D47" s="14">
        <v>6</v>
      </c>
      <c r="E47" s="4" t="s">
        <v>284</v>
      </c>
      <c r="F47" s="5" t="s">
        <v>143</v>
      </c>
    </row>
    <row r="48" spans="1:6" s="5" customFormat="1" x14ac:dyDescent="0.2">
      <c r="A48" s="4" t="s">
        <v>337</v>
      </c>
      <c r="B48" s="16" t="str">
        <f>IF([1]!sample[[#This Row],[Sample Name]]="","",SUBSTITUTE(SUBSTITUTE(TRIM(LOWER([1]!sample[[#This Row],[Sample Name]]))," ","_"),"-","_"))</f>
        <v>sample47</v>
      </c>
      <c r="C48" s="14" t="s">
        <v>296</v>
      </c>
      <c r="D48" s="14">
        <v>6</v>
      </c>
      <c r="E48" s="4" t="s">
        <v>284</v>
      </c>
      <c r="F48" s="5" t="s">
        <v>143</v>
      </c>
    </row>
    <row r="49" spans="1:6" s="5" customFormat="1" x14ac:dyDescent="0.2">
      <c r="A49" s="4" t="s">
        <v>338</v>
      </c>
      <c r="B49" s="16" t="str">
        <f>IF([1]!sample[[#This Row],[Sample Name]]="","",SUBSTITUTE(SUBSTITUTE(TRIM(LOWER([1]!sample[[#This Row],[Sample Name]]))," ","_"),"-","_"))</f>
        <v>sample48</v>
      </c>
      <c r="C49" s="14" t="s">
        <v>298</v>
      </c>
      <c r="D49" s="14">
        <v>6</v>
      </c>
      <c r="E49" s="4" t="s">
        <v>284</v>
      </c>
      <c r="F49" s="5" t="s">
        <v>139</v>
      </c>
    </row>
    <row r="50" spans="1:6" s="5" customFormat="1" x14ac:dyDescent="0.2">
      <c r="A50" s="4" t="s">
        <v>339</v>
      </c>
      <c r="B50" s="16" t="str">
        <f>IF([1]!sample[[#This Row],[Sample Name]]="","",SUBSTITUTE(SUBSTITUTE(TRIM(LOWER([1]!sample[[#This Row],[Sample Name]]))," ","_"),"-","_"))</f>
        <v>sample49</v>
      </c>
      <c r="C50" s="14" t="s">
        <v>129</v>
      </c>
      <c r="D50" s="14">
        <v>7</v>
      </c>
      <c r="E50" s="4" t="s">
        <v>284</v>
      </c>
      <c r="F50" s="4" t="s">
        <v>139</v>
      </c>
    </row>
    <row r="51" spans="1:6" s="5" customFormat="1" x14ac:dyDescent="0.2">
      <c r="A51" s="4" t="s">
        <v>340</v>
      </c>
      <c r="B51" s="16" t="str">
        <f>IF([1]!sample[[#This Row],[Sample Name]]="","",SUBSTITUTE(SUBSTITUTE(TRIM(LOWER([1]!sample[[#This Row],[Sample Name]]))," ","_"),"-","_"))</f>
        <v>sample50</v>
      </c>
      <c r="C51" s="14" t="s">
        <v>130</v>
      </c>
      <c r="D51" s="14">
        <v>7</v>
      </c>
      <c r="E51" s="4" t="s">
        <v>284</v>
      </c>
      <c r="F51" s="5" t="s">
        <v>145</v>
      </c>
    </row>
    <row r="52" spans="1:6" s="5" customFormat="1" x14ac:dyDescent="0.2">
      <c r="A52" s="4" t="s">
        <v>341</v>
      </c>
      <c r="B52" s="16" t="str">
        <f>IF([1]!sample[[#This Row],[Sample Name]]="","",SUBSTITUTE(SUBSTITUTE(TRIM(LOWER([1]!sample[[#This Row],[Sample Name]]))," ","_"),"-","_"))</f>
        <v>sample51</v>
      </c>
      <c r="C52" s="14" t="s">
        <v>288</v>
      </c>
      <c r="D52" s="14">
        <v>7</v>
      </c>
      <c r="E52" s="4" t="s">
        <v>284</v>
      </c>
      <c r="F52" s="5" t="s">
        <v>145</v>
      </c>
    </row>
    <row r="53" spans="1:6" s="5" customFormat="1" x14ac:dyDescent="0.2">
      <c r="A53" s="4" t="s">
        <v>342</v>
      </c>
      <c r="B53" s="16" t="str">
        <f>IF([1]!sample[[#This Row],[Sample Name]]="","",SUBSTITUTE(SUBSTITUTE(TRIM(LOWER([1]!sample[[#This Row],[Sample Name]]))," ","_"),"-","_"))</f>
        <v>sample52</v>
      </c>
      <c r="C53" s="14" t="s">
        <v>290</v>
      </c>
      <c r="D53" s="14">
        <v>7</v>
      </c>
      <c r="E53" s="4" t="s">
        <v>284</v>
      </c>
      <c r="F53" s="5" t="s">
        <v>141</v>
      </c>
    </row>
    <row r="54" spans="1:6" s="5" customFormat="1" x14ac:dyDescent="0.2">
      <c r="A54" s="4" t="s">
        <v>343</v>
      </c>
      <c r="B54" s="16" t="str">
        <f>IF([1]!sample[[#This Row],[Sample Name]]="","",SUBSTITUTE(SUBSTITUTE(TRIM(LOWER([1]!sample[[#This Row],[Sample Name]]))," ","_"),"-","_"))</f>
        <v>sample53</v>
      </c>
      <c r="C54" s="14" t="s">
        <v>292</v>
      </c>
      <c r="D54" s="14">
        <v>7</v>
      </c>
      <c r="E54" s="4" t="s">
        <v>284</v>
      </c>
      <c r="F54" s="5" t="s">
        <v>141</v>
      </c>
    </row>
    <row r="55" spans="1:6" s="5" customFormat="1" x14ac:dyDescent="0.2">
      <c r="A55" s="4" t="s">
        <v>344</v>
      </c>
      <c r="B55" s="16" t="str">
        <f>IF([1]!sample[[#This Row],[Sample Name]]="","",SUBSTITUTE(SUBSTITUTE(TRIM(LOWER([1]!sample[[#This Row],[Sample Name]]))," ","_"),"-","_"))</f>
        <v>sample54</v>
      </c>
      <c r="C55" s="14" t="s">
        <v>294</v>
      </c>
      <c r="D55" s="14">
        <v>7</v>
      </c>
      <c r="E55" s="4" t="s">
        <v>284</v>
      </c>
      <c r="F55" s="5" t="s">
        <v>143</v>
      </c>
    </row>
    <row r="56" spans="1:6" s="5" customFormat="1" x14ac:dyDescent="0.2">
      <c r="A56" s="4" t="s">
        <v>345</v>
      </c>
      <c r="B56" s="16" t="str">
        <f>IF([1]!sample[[#This Row],[Sample Name]]="","",SUBSTITUTE(SUBSTITUTE(TRIM(LOWER([1]!sample[[#This Row],[Sample Name]]))," ","_"),"-","_"))</f>
        <v>sample55</v>
      </c>
      <c r="C56" s="14" t="s">
        <v>296</v>
      </c>
      <c r="D56" s="14">
        <v>7</v>
      </c>
      <c r="E56" s="4" t="s">
        <v>284</v>
      </c>
      <c r="F56" s="5" t="s">
        <v>143</v>
      </c>
    </row>
    <row r="57" spans="1:6" s="5" customFormat="1" x14ac:dyDescent="0.2">
      <c r="A57" s="4" t="s">
        <v>346</v>
      </c>
      <c r="B57" s="16" t="str">
        <f>IF([1]!sample[[#This Row],[Sample Name]]="","",SUBSTITUTE(SUBSTITUTE(TRIM(LOWER([1]!sample[[#This Row],[Sample Name]]))," ","_"),"-","_"))</f>
        <v>sample56</v>
      </c>
      <c r="C57" s="14" t="s">
        <v>298</v>
      </c>
      <c r="D57" s="14">
        <v>7</v>
      </c>
      <c r="E57" s="4" t="s">
        <v>284</v>
      </c>
      <c r="F57" s="5" t="s">
        <v>139</v>
      </c>
    </row>
    <row r="58" spans="1:6" s="5" customFormat="1" x14ac:dyDescent="0.2">
      <c r="A58" s="4" t="s">
        <v>347</v>
      </c>
      <c r="B58" s="16" t="str">
        <f>IF([1]!sample[[#This Row],[Sample Name]]="","",SUBSTITUTE(SUBSTITUTE(TRIM(LOWER([1]!sample[[#This Row],[Sample Name]]))," ","_"),"-","_"))</f>
        <v>sample57</v>
      </c>
      <c r="C58" s="14" t="s">
        <v>129</v>
      </c>
      <c r="D58" s="14">
        <v>8</v>
      </c>
      <c r="E58" s="4" t="s">
        <v>284</v>
      </c>
      <c r="F58" s="4" t="s">
        <v>139</v>
      </c>
    </row>
    <row r="59" spans="1:6" s="5" customFormat="1" x14ac:dyDescent="0.2">
      <c r="A59" s="4" t="s">
        <v>348</v>
      </c>
      <c r="B59" s="16" t="str">
        <f>IF([1]!sample[[#This Row],[Sample Name]]="","",SUBSTITUTE(SUBSTITUTE(TRIM(LOWER([1]!sample[[#This Row],[Sample Name]]))," ","_"),"-","_"))</f>
        <v>sample58</v>
      </c>
      <c r="C59" s="14" t="s">
        <v>130</v>
      </c>
      <c r="D59" s="14">
        <v>8</v>
      </c>
      <c r="E59" s="4" t="s">
        <v>284</v>
      </c>
      <c r="F59" s="5" t="s">
        <v>145</v>
      </c>
    </row>
    <row r="60" spans="1:6" s="5" customFormat="1" x14ac:dyDescent="0.2">
      <c r="A60" s="4" t="s">
        <v>349</v>
      </c>
      <c r="B60" s="16" t="str">
        <f>IF([1]!sample[[#This Row],[Sample Name]]="","",SUBSTITUTE(SUBSTITUTE(TRIM(LOWER([1]!sample[[#This Row],[Sample Name]]))," ","_"),"-","_"))</f>
        <v>sample59</v>
      </c>
      <c r="C60" s="14" t="s">
        <v>288</v>
      </c>
      <c r="D60" s="14">
        <v>8</v>
      </c>
      <c r="E60" s="4" t="s">
        <v>284</v>
      </c>
      <c r="F60" s="5" t="s">
        <v>145</v>
      </c>
    </row>
    <row r="61" spans="1:6" s="5" customFormat="1" x14ac:dyDescent="0.2">
      <c r="A61" s="4" t="s">
        <v>350</v>
      </c>
      <c r="B61" s="16" t="str">
        <f>IF([1]!sample[[#This Row],[Sample Name]]="","",SUBSTITUTE(SUBSTITUTE(TRIM(LOWER([1]!sample[[#This Row],[Sample Name]]))," ","_"),"-","_"))</f>
        <v>sample60</v>
      </c>
      <c r="C61" s="14" t="s">
        <v>290</v>
      </c>
      <c r="D61" s="14">
        <v>8</v>
      </c>
      <c r="E61" s="4" t="s">
        <v>284</v>
      </c>
      <c r="F61" s="5" t="s">
        <v>141</v>
      </c>
    </row>
    <row r="62" spans="1:6" s="5" customFormat="1" x14ac:dyDescent="0.2">
      <c r="A62" s="4" t="s">
        <v>351</v>
      </c>
      <c r="B62" s="16" t="str">
        <f>IF([1]!sample[[#This Row],[Sample Name]]="","",SUBSTITUTE(SUBSTITUTE(TRIM(LOWER([1]!sample[[#This Row],[Sample Name]]))," ","_"),"-","_"))</f>
        <v>sample61</v>
      </c>
      <c r="C62" s="14" t="s">
        <v>292</v>
      </c>
      <c r="D62" s="14">
        <v>8</v>
      </c>
      <c r="E62" s="4" t="s">
        <v>284</v>
      </c>
      <c r="F62" s="5" t="s">
        <v>141</v>
      </c>
    </row>
    <row r="63" spans="1:6" s="5" customFormat="1" x14ac:dyDescent="0.2">
      <c r="A63" s="4" t="s">
        <v>352</v>
      </c>
      <c r="B63" s="16" t="str">
        <f>IF([1]!sample[[#This Row],[Sample Name]]="","",SUBSTITUTE(SUBSTITUTE(TRIM(LOWER([1]!sample[[#This Row],[Sample Name]]))," ","_"),"-","_"))</f>
        <v>sample62</v>
      </c>
      <c r="C63" s="14" t="s">
        <v>294</v>
      </c>
      <c r="D63" s="14">
        <v>8</v>
      </c>
      <c r="E63" s="4" t="s">
        <v>284</v>
      </c>
      <c r="F63" s="5" t="s">
        <v>143</v>
      </c>
    </row>
    <row r="64" spans="1:6" s="5" customFormat="1" x14ac:dyDescent="0.2">
      <c r="A64" s="4" t="s">
        <v>353</v>
      </c>
      <c r="B64" s="16" t="str">
        <f>IF([1]!sample[[#This Row],[Sample Name]]="","",SUBSTITUTE(SUBSTITUTE(TRIM(LOWER([1]!sample[[#This Row],[Sample Name]]))," ","_"),"-","_"))</f>
        <v>sample63</v>
      </c>
      <c r="C64" s="14" t="s">
        <v>296</v>
      </c>
      <c r="D64" s="14">
        <v>8</v>
      </c>
      <c r="E64" s="4" t="s">
        <v>284</v>
      </c>
      <c r="F64" s="5" t="s">
        <v>143</v>
      </c>
    </row>
    <row r="65" spans="1:6" s="5" customFormat="1" x14ac:dyDescent="0.2">
      <c r="A65" s="4" t="s">
        <v>354</v>
      </c>
      <c r="B65" s="16" t="str">
        <f>IF([1]!sample[[#This Row],[Sample Name]]="","",SUBSTITUTE(SUBSTITUTE(TRIM(LOWER([1]!sample[[#This Row],[Sample Name]]))," ","_"),"-","_"))</f>
        <v>sample64</v>
      </c>
      <c r="C65" s="14" t="s">
        <v>298</v>
      </c>
      <c r="D65" s="14">
        <v>8</v>
      </c>
      <c r="E65" s="4" t="s">
        <v>284</v>
      </c>
      <c r="F65" s="5" t="s">
        <v>139</v>
      </c>
    </row>
    <row r="66" spans="1:6" s="5" customFormat="1" x14ac:dyDescent="0.2">
      <c r="A66" s="4" t="s">
        <v>355</v>
      </c>
      <c r="B66" s="16" t="str">
        <f>IF([1]!sample[[#This Row],[Sample Name]]="","",SUBSTITUTE(SUBSTITUTE(TRIM(LOWER([1]!sample[[#This Row],[Sample Name]]))," ","_"),"-","_"))</f>
        <v>sample65</v>
      </c>
      <c r="C66" s="14" t="s">
        <v>129</v>
      </c>
      <c r="D66" s="14">
        <v>9</v>
      </c>
      <c r="E66" s="4" t="s">
        <v>284</v>
      </c>
      <c r="F66" s="4" t="s">
        <v>139</v>
      </c>
    </row>
    <row r="67" spans="1:6" s="5" customFormat="1" x14ac:dyDescent="0.2">
      <c r="A67" s="4" t="s">
        <v>356</v>
      </c>
      <c r="B67" s="16" t="str">
        <f>IF([1]!sample[[#This Row],[Sample Name]]="","",SUBSTITUTE(SUBSTITUTE(TRIM(LOWER([1]!sample[[#This Row],[Sample Name]]))," ","_"),"-","_"))</f>
        <v>sample66</v>
      </c>
      <c r="C67" s="14" t="s">
        <v>130</v>
      </c>
      <c r="D67" s="14">
        <v>9</v>
      </c>
      <c r="E67" s="4" t="s">
        <v>284</v>
      </c>
      <c r="F67" s="5" t="s">
        <v>145</v>
      </c>
    </row>
    <row r="68" spans="1:6" s="5" customFormat="1" x14ac:dyDescent="0.2">
      <c r="A68" s="4" t="s">
        <v>357</v>
      </c>
      <c r="B68" s="16" t="str">
        <f>IF([1]!sample[[#This Row],[Sample Name]]="","",SUBSTITUTE(SUBSTITUTE(TRIM(LOWER([1]!sample[[#This Row],[Sample Name]]))," ","_"),"-","_"))</f>
        <v>sample67</v>
      </c>
      <c r="C68" s="14" t="s">
        <v>288</v>
      </c>
      <c r="D68" s="14">
        <v>9</v>
      </c>
      <c r="E68" s="4" t="s">
        <v>284</v>
      </c>
      <c r="F68" s="5" t="s">
        <v>145</v>
      </c>
    </row>
    <row r="69" spans="1:6" s="5" customFormat="1" x14ac:dyDescent="0.2">
      <c r="A69" s="4" t="s">
        <v>358</v>
      </c>
      <c r="B69" s="16" t="str">
        <f>IF([1]!sample[[#This Row],[Sample Name]]="","",SUBSTITUTE(SUBSTITUTE(TRIM(LOWER([1]!sample[[#This Row],[Sample Name]]))," ","_"),"-","_"))</f>
        <v>sample68</v>
      </c>
      <c r="C69" s="14" t="s">
        <v>290</v>
      </c>
      <c r="D69" s="14">
        <v>9</v>
      </c>
      <c r="E69" s="4" t="s">
        <v>284</v>
      </c>
      <c r="F69" s="5" t="s">
        <v>141</v>
      </c>
    </row>
    <row r="70" spans="1:6" s="5" customFormat="1" x14ac:dyDescent="0.2">
      <c r="A70" s="4" t="s">
        <v>359</v>
      </c>
      <c r="B70" s="16" t="str">
        <f>IF([1]!sample[[#This Row],[Sample Name]]="","",SUBSTITUTE(SUBSTITUTE(TRIM(LOWER([1]!sample[[#This Row],[Sample Name]]))," ","_"),"-","_"))</f>
        <v>sample69</v>
      </c>
      <c r="C70" s="14" t="s">
        <v>292</v>
      </c>
      <c r="D70" s="14">
        <v>9</v>
      </c>
      <c r="E70" s="4" t="s">
        <v>284</v>
      </c>
      <c r="F70" s="5" t="s">
        <v>141</v>
      </c>
    </row>
    <row r="71" spans="1:6" s="5" customFormat="1" x14ac:dyDescent="0.2">
      <c r="A71" s="4" t="s">
        <v>360</v>
      </c>
      <c r="B71" s="16" t="str">
        <f>IF([1]!sample[[#This Row],[Sample Name]]="","",SUBSTITUTE(SUBSTITUTE(TRIM(LOWER([1]!sample[[#This Row],[Sample Name]]))," ","_"),"-","_"))</f>
        <v>sample70</v>
      </c>
      <c r="C71" s="14" t="s">
        <v>294</v>
      </c>
      <c r="D71" s="14">
        <v>9</v>
      </c>
      <c r="E71" s="4" t="s">
        <v>284</v>
      </c>
      <c r="F71" s="5" t="s">
        <v>143</v>
      </c>
    </row>
    <row r="72" spans="1:6" s="5" customFormat="1" x14ac:dyDescent="0.2">
      <c r="A72" s="4" t="s">
        <v>361</v>
      </c>
      <c r="B72" s="16" t="str">
        <f>IF([1]!sample[[#This Row],[Sample Name]]="","",SUBSTITUTE(SUBSTITUTE(TRIM(LOWER([1]!sample[[#This Row],[Sample Name]]))," ","_"),"-","_"))</f>
        <v>sample71</v>
      </c>
      <c r="C72" s="14" t="s">
        <v>296</v>
      </c>
      <c r="D72" s="14">
        <v>9</v>
      </c>
      <c r="E72" s="4" t="s">
        <v>284</v>
      </c>
      <c r="F72" s="5" t="s">
        <v>143</v>
      </c>
    </row>
    <row r="73" spans="1:6" s="5" customFormat="1" x14ac:dyDescent="0.2">
      <c r="A73" s="4" t="s">
        <v>362</v>
      </c>
      <c r="B73" s="16" t="str">
        <f>IF([1]!sample[[#This Row],[Sample Name]]="","",SUBSTITUTE(SUBSTITUTE(TRIM(LOWER([1]!sample[[#This Row],[Sample Name]]))," ","_"),"-","_"))</f>
        <v>sample72</v>
      </c>
      <c r="C73" s="14" t="s">
        <v>298</v>
      </c>
      <c r="D73" s="14">
        <v>9</v>
      </c>
      <c r="E73" s="4" t="s">
        <v>284</v>
      </c>
      <c r="F73" s="5" t="s">
        <v>139</v>
      </c>
    </row>
    <row r="74" spans="1:6" s="5" customFormat="1" x14ac:dyDescent="0.2">
      <c r="A74" s="4" t="s">
        <v>363</v>
      </c>
      <c r="B74" s="16" t="str">
        <f>IF([1]!sample[[#This Row],[Sample Name]]="","",SUBSTITUTE(SUBSTITUTE(TRIM(LOWER([1]!sample[[#This Row],[Sample Name]]))," ","_"),"-","_"))</f>
        <v>sample73</v>
      </c>
      <c r="C74" s="14" t="s">
        <v>129</v>
      </c>
      <c r="D74" s="14">
        <v>10</v>
      </c>
      <c r="E74" s="4" t="s">
        <v>284</v>
      </c>
      <c r="F74" s="4" t="s">
        <v>139</v>
      </c>
    </row>
    <row r="75" spans="1:6" s="5" customFormat="1" x14ac:dyDescent="0.2">
      <c r="A75" s="4" t="s">
        <v>364</v>
      </c>
      <c r="B75" s="16" t="str">
        <f>IF([1]!sample[[#This Row],[Sample Name]]="","",SUBSTITUTE(SUBSTITUTE(TRIM(LOWER([1]!sample[[#This Row],[Sample Name]]))," ","_"),"-","_"))</f>
        <v>sample74</v>
      </c>
      <c r="C75" s="14" t="s">
        <v>130</v>
      </c>
      <c r="D75" s="14">
        <v>10</v>
      </c>
      <c r="E75" s="4" t="s">
        <v>284</v>
      </c>
      <c r="F75" s="5" t="s">
        <v>145</v>
      </c>
    </row>
    <row r="76" spans="1:6" s="5" customFormat="1" x14ac:dyDescent="0.2">
      <c r="A76" s="4" t="s">
        <v>365</v>
      </c>
      <c r="B76" s="16" t="str">
        <f>IF([1]!sample[[#This Row],[Sample Name]]="","",SUBSTITUTE(SUBSTITUTE(TRIM(LOWER([1]!sample[[#This Row],[Sample Name]]))," ","_"),"-","_"))</f>
        <v>sample75</v>
      </c>
      <c r="C76" s="14" t="s">
        <v>288</v>
      </c>
      <c r="D76" s="14">
        <v>10</v>
      </c>
      <c r="E76" s="4" t="s">
        <v>284</v>
      </c>
      <c r="F76" s="5" t="s">
        <v>145</v>
      </c>
    </row>
    <row r="77" spans="1:6" s="5" customFormat="1" x14ac:dyDescent="0.2">
      <c r="A77" s="4" t="s">
        <v>366</v>
      </c>
      <c r="B77" s="16" t="str">
        <f>IF([1]!sample[[#This Row],[Sample Name]]="","",SUBSTITUTE(SUBSTITUTE(TRIM(LOWER([1]!sample[[#This Row],[Sample Name]]))," ","_"),"-","_"))</f>
        <v>sample76</v>
      </c>
      <c r="C77" s="14" t="s">
        <v>290</v>
      </c>
      <c r="D77" s="14">
        <v>10</v>
      </c>
      <c r="E77" s="4" t="s">
        <v>284</v>
      </c>
      <c r="F77" s="5" t="s">
        <v>141</v>
      </c>
    </row>
    <row r="78" spans="1:6" s="5" customFormat="1" x14ac:dyDescent="0.2">
      <c r="A78" s="4" t="s">
        <v>367</v>
      </c>
      <c r="B78" s="16" t="str">
        <f>IF([1]!sample[[#This Row],[Sample Name]]="","",SUBSTITUTE(SUBSTITUTE(TRIM(LOWER([1]!sample[[#This Row],[Sample Name]]))," ","_"),"-","_"))</f>
        <v>sample77</v>
      </c>
      <c r="C78" s="14" t="s">
        <v>292</v>
      </c>
      <c r="D78" s="14">
        <v>10</v>
      </c>
      <c r="E78" s="4" t="s">
        <v>284</v>
      </c>
      <c r="F78" s="5" t="s">
        <v>141</v>
      </c>
    </row>
    <row r="79" spans="1:6" s="5" customFormat="1" x14ac:dyDescent="0.2">
      <c r="A79" s="4" t="s">
        <v>368</v>
      </c>
      <c r="B79" s="16" t="str">
        <f>IF([1]!sample[[#This Row],[Sample Name]]="","",SUBSTITUTE(SUBSTITUTE(TRIM(LOWER([1]!sample[[#This Row],[Sample Name]]))," ","_"),"-","_"))</f>
        <v>sample78</v>
      </c>
      <c r="C79" s="14" t="s">
        <v>294</v>
      </c>
      <c r="D79" s="14">
        <v>10</v>
      </c>
      <c r="E79" s="4" t="s">
        <v>284</v>
      </c>
      <c r="F79" s="5" t="s">
        <v>143</v>
      </c>
    </row>
    <row r="80" spans="1:6" s="5" customFormat="1" x14ac:dyDescent="0.2">
      <c r="A80" s="4" t="s">
        <v>369</v>
      </c>
      <c r="B80" s="16" t="str">
        <f>IF([1]!sample[[#This Row],[Sample Name]]="","",SUBSTITUTE(SUBSTITUTE(TRIM(LOWER([1]!sample[[#This Row],[Sample Name]]))," ","_"),"-","_"))</f>
        <v>sample79</v>
      </c>
      <c r="C80" s="14" t="s">
        <v>296</v>
      </c>
      <c r="D80" s="14">
        <v>10</v>
      </c>
      <c r="E80" s="4" t="s">
        <v>284</v>
      </c>
      <c r="F80" s="5" t="s">
        <v>143</v>
      </c>
    </row>
    <row r="81" spans="1:6" s="5" customFormat="1" x14ac:dyDescent="0.2">
      <c r="A81" s="4" t="s">
        <v>370</v>
      </c>
      <c r="B81" s="16" t="str">
        <f>IF([1]!sample[[#This Row],[Sample Name]]="","",SUBSTITUTE(SUBSTITUTE(TRIM(LOWER([1]!sample[[#This Row],[Sample Name]]))," ","_"),"-","_"))</f>
        <v>sample80</v>
      </c>
      <c r="C81" s="14" t="s">
        <v>298</v>
      </c>
      <c r="D81" s="14">
        <v>10</v>
      </c>
      <c r="E81" s="4" t="s">
        <v>284</v>
      </c>
      <c r="F81" s="5" t="s">
        <v>139</v>
      </c>
    </row>
    <row r="82" spans="1:6" s="5" customFormat="1" x14ac:dyDescent="0.2">
      <c r="A82" s="4" t="s">
        <v>371</v>
      </c>
      <c r="B82" s="16" t="str">
        <f>IF([1]!sample[[#This Row],[Sample Name]]="","",SUBSTITUTE(SUBSTITUTE(TRIM(LOWER([1]!sample[[#This Row],[Sample Name]]))," ","_"),"-","_"))</f>
        <v>sample81</v>
      </c>
      <c r="C82" s="14" t="s">
        <v>129</v>
      </c>
      <c r="D82" s="14">
        <v>11</v>
      </c>
      <c r="E82" s="4" t="s">
        <v>284</v>
      </c>
      <c r="F82" s="4" t="s">
        <v>139</v>
      </c>
    </row>
    <row r="83" spans="1:6" s="5" customFormat="1" x14ac:dyDescent="0.2">
      <c r="A83" s="4" t="s">
        <v>372</v>
      </c>
      <c r="B83" s="16" t="str">
        <f>IF([1]!sample[[#This Row],[Sample Name]]="","",SUBSTITUTE(SUBSTITUTE(TRIM(LOWER([1]!sample[[#This Row],[Sample Name]]))," ","_"),"-","_"))</f>
        <v>sample82</v>
      </c>
      <c r="C83" s="14" t="s">
        <v>130</v>
      </c>
      <c r="D83" s="14">
        <v>11</v>
      </c>
      <c r="E83" s="4" t="s">
        <v>284</v>
      </c>
      <c r="F83" s="5" t="s">
        <v>145</v>
      </c>
    </row>
    <row r="84" spans="1:6" s="5" customFormat="1" x14ac:dyDescent="0.2">
      <c r="A84" s="4" t="s">
        <v>373</v>
      </c>
      <c r="B84" s="16" t="str">
        <f>IF([1]!sample[[#This Row],[Sample Name]]="","",SUBSTITUTE(SUBSTITUTE(TRIM(LOWER([1]!sample[[#This Row],[Sample Name]]))," ","_"),"-","_"))</f>
        <v>sample83</v>
      </c>
      <c r="C84" s="14" t="s">
        <v>288</v>
      </c>
      <c r="D84" s="14">
        <v>11</v>
      </c>
      <c r="E84" s="4" t="s">
        <v>284</v>
      </c>
      <c r="F84" s="5" t="s">
        <v>145</v>
      </c>
    </row>
    <row r="85" spans="1:6" s="5" customFormat="1" x14ac:dyDescent="0.2">
      <c r="A85" s="4" t="s">
        <v>374</v>
      </c>
      <c r="B85" s="16" t="str">
        <f>IF([1]!sample[[#This Row],[Sample Name]]="","",SUBSTITUTE(SUBSTITUTE(TRIM(LOWER([1]!sample[[#This Row],[Sample Name]]))," ","_"),"-","_"))</f>
        <v>sample84</v>
      </c>
      <c r="C85" s="14" t="s">
        <v>290</v>
      </c>
      <c r="D85" s="14">
        <v>11</v>
      </c>
      <c r="E85" s="4" t="s">
        <v>284</v>
      </c>
      <c r="F85" s="5" t="s">
        <v>141</v>
      </c>
    </row>
    <row r="86" spans="1:6" s="5" customFormat="1" x14ac:dyDescent="0.2">
      <c r="A86" s="4" t="s">
        <v>375</v>
      </c>
      <c r="B86" s="16" t="str">
        <f>IF([1]!sample[[#This Row],[Sample Name]]="","",SUBSTITUTE(SUBSTITUTE(TRIM(LOWER([1]!sample[[#This Row],[Sample Name]]))," ","_"),"-","_"))</f>
        <v>sample85</v>
      </c>
      <c r="C86" s="14" t="s">
        <v>292</v>
      </c>
      <c r="D86" s="14">
        <v>11</v>
      </c>
      <c r="E86" s="4" t="s">
        <v>284</v>
      </c>
      <c r="F86" s="5" t="s">
        <v>141</v>
      </c>
    </row>
    <row r="87" spans="1:6" s="5" customFormat="1" x14ac:dyDescent="0.2">
      <c r="A87" s="4" t="s">
        <v>376</v>
      </c>
      <c r="B87" s="16" t="str">
        <f>IF([1]!sample[[#This Row],[Sample Name]]="","",SUBSTITUTE(SUBSTITUTE(TRIM(LOWER([1]!sample[[#This Row],[Sample Name]]))," ","_"),"-","_"))</f>
        <v>sample86</v>
      </c>
      <c r="C87" s="14" t="s">
        <v>294</v>
      </c>
      <c r="D87" s="14">
        <v>11</v>
      </c>
      <c r="E87" s="4" t="s">
        <v>284</v>
      </c>
      <c r="F87" s="5" t="s">
        <v>143</v>
      </c>
    </row>
    <row r="88" spans="1:6" s="5" customFormat="1" x14ac:dyDescent="0.2">
      <c r="A88" s="4" t="s">
        <v>377</v>
      </c>
      <c r="B88" s="16" t="str">
        <f>IF([1]!sample[[#This Row],[Sample Name]]="","",SUBSTITUTE(SUBSTITUTE(TRIM(LOWER([1]!sample[[#This Row],[Sample Name]]))," ","_"),"-","_"))</f>
        <v>sample87</v>
      </c>
      <c r="C88" s="14" t="s">
        <v>296</v>
      </c>
      <c r="D88" s="14">
        <v>11</v>
      </c>
      <c r="E88" s="4" t="s">
        <v>284</v>
      </c>
      <c r="F88" s="5" t="s">
        <v>143</v>
      </c>
    </row>
    <row r="89" spans="1:6" s="5" customFormat="1" x14ac:dyDescent="0.2">
      <c r="A89" s="4" t="s">
        <v>378</v>
      </c>
      <c r="B89" s="16" t="str">
        <f>IF([1]!sample[[#This Row],[Sample Name]]="","",SUBSTITUTE(SUBSTITUTE(TRIM(LOWER([1]!sample[[#This Row],[Sample Name]]))," ","_"),"-","_"))</f>
        <v>sample88</v>
      </c>
      <c r="C89" s="14" t="s">
        <v>298</v>
      </c>
      <c r="D89" s="14">
        <v>11</v>
      </c>
      <c r="E89" s="4" t="s">
        <v>284</v>
      </c>
      <c r="F89" s="5" t="s">
        <v>139</v>
      </c>
    </row>
    <row r="90" spans="1:6" s="5" customFormat="1" x14ac:dyDescent="0.2">
      <c r="A90" s="4" t="s">
        <v>379</v>
      </c>
      <c r="B90" s="16" t="str">
        <f>IF([1]!sample[[#This Row],[Sample Name]]="","",SUBSTITUTE(SUBSTITUTE(TRIM(LOWER([1]!sample[[#This Row],[Sample Name]]))," ","_"),"-","_"))</f>
        <v>sample89</v>
      </c>
      <c r="C90" s="14" t="s">
        <v>129</v>
      </c>
      <c r="D90" s="14">
        <v>12</v>
      </c>
      <c r="E90" s="4" t="s">
        <v>284</v>
      </c>
      <c r="F90" s="4" t="s">
        <v>139</v>
      </c>
    </row>
    <row r="91" spans="1:6" s="5" customFormat="1" x14ac:dyDescent="0.2">
      <c r="A91" s="4" t="s">
        <v>380</v>
      </c>
      <c r="B91" s="16" t="str">
        <f>IF([1]!sample[[#This Row],[Sample Name]]="","",SUBSTITUTE(SUBSTITUTE(TRIM(LOWER([1]!sample[[#This Row],[Sample Name]]))," ","_"),"-","_"))</f>
        <v>sample90</v>
      </c>
      <c r="C91" s="14" t="s">
        <v>130</v>
      </c>
      <c r="D91" s="14">
        <v>12</v>
      </c>
      <c r="E91" s="4" t="s">
        <v>284</v>
      </c>
      <c r="F91" s="5" t="s">
        <v>145</v>
      </c>
    </row>
    <row r="92" spans="1:6" s="5" customFormat="1" x14ac:dyDescent="0.2">
      <c r="A92" s="4" t="s">
        <v>381</v>
      </c>
      <c r="B92" s="16" t="str">
        <f>IF([1]!sample[[#This Row],[Sample Name]]="","",SUBSTITUTE(SUBSTITUTE(TRIM(LOWER([1]!sample[[#This Row],[Sample Name]]))," ","_"),"-","_"))</f>
        <v>sample91</v>
      </c>
      <c r="C92" s="14" t="s">
        <v>288</v>
      </c>
      <c r="D92" s="14">
        <v>12</v>
      </c>
      <c r="E92" s="4" t="s">
        <v>284</v>
      </c>
      <c r="F92" s="5" t="s">
        <v>145</v>
      </c>
    </row>
    <row r="93" spans="1:6" s="5" customFormat="1" x14ac:dyDescent="0.2">
      <c r="A93" s="4" t="s">
        <v>382</v>
      </c>
      <c r="B93" s="16" t="str">
        <f>IF([1]!sample[[#This Row],[Sample Name]]="","",SUBSTITUTE(SUBSTITUTE(TRIM(LOWER([1]!sample[[#This Row],[Sample Name]]))," ","_"),"-","_"))</f>
        <v>sample92</v>
      </c>
      <c r="C93" s="14" t="s">
        <v>290</v>
      </c>
      <c r="D93" s="14">
        <v>12</v>
      </c>
      <c r="E93" s="4" t="s">
        <v>284</v>
      </c>
      <c r="F93" s="5" t="s">
        <v>141</v>
      </c>
    </row>
    <row r="94" spans="1:6" s="5" customFormat="1" x14ac:dyDescent="0.2">
      <c r="A94" s="4" t="s">
        <v>383</v>
      </c>
      <c r="B94" s="16" t="str">
        <f>IF([1]!sample[[#This Row],[Sample Name]]="","",SUBSTITUTE(SUBSTITUTE(TRIM(LOWER([1]!sample[[#This Row],[Sample Name]]))," ","_"),"-","_"))</f>
        <v>sample93</v>
      </c>
      <c r="C94" s="14" t="s">
        <v>292</v>
      </c>
      <c r="D94" s="14">
        <v>12</v>
      </c>
      <c r="E94" s="4" t="s">
        <v>284</v>
      </c>
      <c r="F94" s="5" t="s">
        <v>141</v>
      </c>
    </row>
    <row r="95" spans="1:6" s="5" customFormat="1" x14ac:dyDescent="0.2">
      <c r="A95" s="4" t="s">
        <v>384</v>
      </c>
      <c r="B95" s="16" t="str">
        <f>IF([1]!sample[[#This Row],[Sample Name]]="","",SUBSTITUTE(SUBSTITUTE(TRIM(LOWER([1]!sample[[#This Row],[Sample Name]]))," ","_"),"-","_"))</f>
        <v>sample94</v>
      </c>
      <c r="C95" s="14" t="s">
        <v>294</v>
      </c>
      <c r="D95" s="14">
        <v>12</v>
      </c>
      <c r="E95" s="4" t="s">
        <v>284</v>
      </c>
      <c r="F95" s="5" t="s">
        <v>143</v>
      </c>
    </row>
    <row r="96" spans="1:6" s="5" customFormat="1" x14ac:dyDescent="0.2">
      <c r="A96" s="4" t="s">
        <v>385</v>
      </c>
      <c r="B96" s="16" t="str">
        <f>IF([1]!sample[[#This Row],[Sample Name]]="","",SUBSTITUTE(SUBSTITUTE(TRIM(LOWER([1]!sample[[#This Row],[Sample Name]]))," ","_"),"-","_"))</f>
        <v>sample95</v>
      </c>
      <c r="C96" s="14" t="s">
        <v>296</v>
      </c>
      <c r="D96" s="14">
        <v>12</v>
      </c>
      <c r="E96" s="4" t="s">
        <v>284</v>
      </c>
      <c r="F96" s="5" t="s">
        <v>143</v>
      </c>
    </row>
    <row r="97" spans="1:6" s="5" customFormat="1" x14ac:dyDescent="0.2">
      <c r="A97" s="4" t="s">
        <v>386</v>
      </c>
      <c r="B97" s="16" t="str">
        <f>IF([1]!sample[[#This Row],[Sample Name]]="","",SUBSTITUTE(SUBSTITUTE(TRIM(LOWER([1]!sample[[#This Row],[Sample Name]]))," ","_"),"-","_"))</f>
        <v>sample96</v>
      </c>
      <c r="C97" s="14" t="s">
        <v>298</v>
      </c>
      <c r="D97" s="14">
        <v>12</v>
      </c>
      <c r="E97" s="4" t="s">
        <v>284</v>
      </c>
      <c r="F97" s="5" t="s">
        <v>139</v>
      </c>
    </row>
  </sheetData>
  <pageMargins left="0.75" right="0.75" top="1" bottom="1" header="0.5" footer="0.5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0" t="s">
        <v>131</v>
      </c>
      <c r="B1" s="10" t="s">
        <v>132</v>
      </c>
      <c r="C1" s="10" t="s">
        <v>52</v>
      </c>
      <c r="D1" s="10" t="s">
        <v>48</v>
      </c>
      <c r="E1" s="10" t="s">
        <v>53</v>
      </c>
      <c r="F1" s="10" t="s">
        <v>50</v>
      </c>
    </row>
    <row r="2" spans="1:6" x14ac:dyDescent="0.2">
      <c r="A2" s="11"/>
      <c r="B2" s="13" t="str">
        <f>IF(measurement[[#This Row],[Measurement Name]]="","",SUBSTITUTE(SUBSTITUTE(TRIM(measurement[[#This Row],[Measurement Name]])," ","_"),"-","_"))</f>
        <v/>
      </c>
      <c r="C2" s="11"/>
      <c r="D2" s="11"/>
      <c r="E2" s="11"/>
      <c r="F2" s="11"/>
    </row>
  </sheetData>
  <pageMargins left="0.75" right="0.75" top="1" bottom="1" header="0.5" footer="0.5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8" width="25" customWidth="1"/>
  </cols>
  <sheetData>
    <row r="1" spans="1:8" ht="20" customHeight="1" x14ac:dyDescent="0.2">
      <c r="A1" s="10" t="s">
        <v>56</v>
      </c>
      <c r="B1" s="10" t="s">
        <v>48</v>
      </c>
      <c r="C1" s="10" t="s">
        <v>106</v>
      </c>
      <c r="D1" s="10" t="s">
        <v>57</v>
      </c>
      <c r="E1" s="10" t="s">
        <v>58</v>
      </c>
      <c r="F1" s="10" t="s">
        <v>138</v>
      </c>
      <c r="G1" s="10" t="s">
        <v>120</v>
      </c>
      <c r="H1" s="10" t="s">
        <v>123</v>
      </c>
    </row>
    <row r="2" spans="1:8" x14ac:dyDescent="0.2">
      <c r="A2" s="11"/>
      <c r="B2" s="13" t="str">
        <f>IF(signal[[#This Row],[Signal Name]]="","",SUBSTITUTE(SUBSTITUTE(TRIM(signal[[#This Row],[Signal Name]])," ","_"),"-","_"))</f>
        <v/>
      </c>
      <c r="C2" s="13"/>
      <c r="D2" s="11"/>
      <c r="E2" s="11"/>
      <c r="F2" s="13"/>
      <c r="G2" s="11"/>
      <c r="H2" s="13"/>
    </row>
  </sheetData>
  <pageMargins left="0.75" right="0.75" top="1" bottom="1" header="0.5" footer="0.5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B73"/>
  <sheetViews>
    <sheetView workbookViewId="0">
      <pane ySplit="1" topLeftCell="A2" activePane="bottomLeft" state="frozen"/>
      <selection pane="bottomLeft" activeCell="A2" sqref="A2:XFD73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0" t="s">
        <v>3</v>
      </c>
      <c r="B1" s="10" t="s">
        <v>103</v>
      </c>
    </row>
    <row r="2" spans="1:2" x14ac:dyDescent="0.2">
      <c r="A2" t="s">
        <v>139</v>
      </c>
      <c r="B2" t="s">
        <v>140</v>
      </c>
    </row>
    <row r="3" spans="1:2" x14ac:dyDescent="0.2">
      <c r="A3" t="s">
        <v>141</v>
      </c>
      <c r="B3" t="s">
        <v>142</v>
      </c>
    </row>
    <row r="4" spans="1:2" x14ac:dyDescent="0.2">
      <c r="A4" t="s">
        <v>143</v>
      </c>
      <c r="B4" t="s">
        <v>144</v>
      </c>
    </row>
    <row r="5" spans="1:2" x14ac:dyDescent="0.2">
      <c r="A5" t="s">
        <v>145</v>
      </c>
      <c r="B5" t="s">
        <v>146</v>
      </c>
    </row>
    <row r="6" spans="1:2" x14ac:dyDescent="0.2">
      <c r="A6" t="s">
        <v>147</v>
      </c>
      <c r="B6" t="s">
        <v>148</v>
      </c>
    </row>
    <row r="7" spans="1:2" x14ac:dyDescent="0.2">
      <c r="A7" t="s">
        <v>149</v>
      </c>
      <c r="B7" t="s">
        <v>150</v>
      </c>
    </row>
    <row r="8" spans="1:2" x14ac:dyDescent="0.2">
      <c r="A8" t="s">
        <v>151</v>
      </c>
      <c r="B8" t="s">
        <v>152</v>
      </c>
    </row>
    <row r="9" spans="1:2" x14ac:dyDescent="0.2">
      <c r="A9" t="s">
        <v>153</v>
      </c>
      <c r="B9" t="s">
        <v>154</v>
      </c>
    </row>
    <row r="10" spans="1:2" x14ac:dyDescent="0.2">
      <c r="A10" t="s">
        <v>155</v>
      </c>
      <c r="B10" t="s">
        <v>156</v>
      </c>
    </row>
    <row r="11" spans="1:2" x14ac:dyDescent="0.2">
      <c r="A11" t="s">
        <v>157</v>
      </c>
      <c r="B11" t="s">
        <v>158</v>
      </c>
    </row>
    <row r="12" spans="1:2" x14ac:dyDescent="0.2">
      <c r="A12" t="s">
        <v>159</v>
      </c>
      <c r="B12" t="s">
        <v>160</v>
      </c>
    </row>
    <row r="13" spans="1:2" x14ac:dyDescent="0.2">
      <c r="A13" t="s">
        <v>161</v>
      </c>
      <c r="B13" t="s">
        <v>162</v>
      </c>
    </row>
    <row r="14" spans="1:2" x14ac:dyDescent="0.2">
      <c r="A14" t="s">
        <v>163</v>
      </c>
      <c r="B14" t="s">
        <v>164</v>
      </c>
    </row>
    <row r="15" spans="1:2" x14ac:dyDescent="0.2">
      <c r="A15" t="s">
        <v>165</v>
      </c>
      <c r="B15" t="s">
        <v>166</v>
      </c>
    </row>
    <row r="16" spans="1:2" x14ac:dyDescent="0.2">
      <c r="A16" t="s">
        <v>167</v>
      </c>
      <c r="B16" t="s">
        <v>168</v>
      </c>
    </row>
    <row r="17" spans="1:2" x14ac:dyDescent="0.2">
      <c r="A17" t="s">
        <v>169</v>
      </c>
      <c r="B17" t="s">
        <v>170</v>
      </c>
    </row>
    <row r="18" spans="1:2" x14ac:dyDescent="0.2">
      <c r="A18" t="s">
        <v>171</v>
      </c>
      <c r="B18" t="s">
        <v>172</v>
      </c>
    </row>
    <row r="19" spans="1:2" x14ac:dyDescent="0.2">
      <c r="A19" t="s">
        <v>173</v>
      </c>
      <c r="B19" t="s">
        <v>174</v>
      </c>
    </row>
    <row r="20" spans="1:2" x14ac:dyDescent="0.2">
      <c r="A20" t="s">
        <v>175</v>
      </c>
      <c r="B20" t="s">
        <v>176</v>
      </c>
    </row>
    <row r="21" spans="1:2" x14ac:dyDescent="0.2">
      <c r="A21" t="s">
        <v>177</v>
      </c>
      <c r="B21" t="s">
        <v>178</v>
      </c>
    </row>
    <row r="22" spans="1:2" x14ac:dyDescent="0.2">
      <c r="A22" t="s">
        <v>179</v>
      </c>
      <c r="B22" t="s">
        <v>180</v>
      </c>
    </row>
    <row r="23" spans="1:2" x14ac:dyDescent="0.2">
      <c r="A23" t="s">
        <v>181</v>
      </c>
      <c r="B23" t="s">
        <v>182</v>
      </c>
    </row>
    <row r="24" spans="1:2" x14ac:dyDescent="0.2">
      <c r="A24" t="s">
        <v>183</v>
      </c>
      <c r="B24" t="s">
        <v>184</v>
      </c>
    </row>
    <row r="25" spans="1:2" x14ac:dyDescent="0.2">
      <c r="A25" t="s">
        <v>185</v>
      </c>
      <c r="B25" t="s">
        <v>186</v>
      </c>
    </row>
    <row r="26" spans="1:2" x14ac:dyDescent="0.2">
      <c r="A26" t="s">
        <v>187</v>
      </c>
      <c r="B26" t="s">
        <v>188</v>
      </c>
    </row>
    <row r="27" spans="1:2" x14ac:dyDescent="0.2">
      <c r="A27" t="s">
        <v>189</v>
      </c>
      <c r="B27" t="s">
        <v>190</v>
      </c>
    </row>
    <row r="28" spans="1:2" x14ac:dyDescent="0.2">
      <c r="A28" t="s">
        <v>191</v>
      </c>
      <c r="B28" t="s">
        <v>192</v>
      </c>
    </row>
    <row r="29" spans="1:2" x14ac:dyDescent="0.2">
      <c r="A29" t="s">
        <v>193</v>
      </c>
      <c r="B29" t="s">
        <v>194</v>
      </c>
    </row>
    <row r="30" spans="1:2" x14ac:dyDescent="0.2">
      <c r="A30" t="s">
        <v>195</v>
      </c>
      <c r="B30" t="s">
        <v>196</v>
      </c>
    </row>
    <row r="31" spans="1:2" x14ac:dyDescent="0.2">
      <c r="A31" t="s">
        <v>197</v>
      </c>
      <c r="B31" t="s">
        <v>198</v>
      </c>
    </row>
    <row r="32" spans="1:2" x14ac:dyDescent="0.2">
      <c r="A32" t="s">
        <v>199</v>
      </c>
      <c r="B32" t="s">
        <v>200</v>
      </c>
    </row>
    <row r="33" spans="1:2" x14ac:dyDescent="0.2">
      <c r="A33" t="s">
        <v>201</v>
      </c>
      <c r="B33" t="s">
        <v>202</v>
      </c>
    </row>
    <row r="34" spans="1:2" x14ac:dyDescent="0.2">
      <c r="A34" t="s">
        <v>203</v>
      </c>
      <c r="B34" t="s">
        <v>204</v>
      </c>
    </row>
    <row r="35" spans="1:2" x14ac:dyDescent="0.2">
      <c r="A35" t="s">
        <v>205</v>
      </c>
      <c r="B35" t="s">
        <v>206</v>
      </c>
    </row>
    <row r="36" spans="1:2" x14ac:dyDescent="0.2">
      <c r="A36" t="s">
        <v>207</v>
      </c>
      <c r="B36" t="s">
        <v>208</v>
      </c>
    </row>
    <row r="37" spans="1:2" x14ac:dyDescent="0.2">
      <c r="A37" t="s">
        <v>209</v>
      </c>
      <c r="B37" t="s">
        <v>210</v>
      </c>
    </row>
    <row r="38" spans="1:2" x14ac:dyDescent="0.2">
      <c r="A38" t="s">
        <v>211</v>
      </c>
      <c r="B38" t="s">
        <v>212</v>
      </c>
    </row>
    <row r="39" spans="1:2" x14ac:dyDescent="0.2">
      <c r="A39" t="s">
        <v>213</v>
      </c>
      <c r="B39" t="s">
        <v>214</v>
      </c>
    </row>
    <row r="40" spans="1:2" x14ac:dyDescent="0.2">
      <c r="A40" t="s">
        <v>215</v>
      </c>
      <c r="B40" t="s">
        <v>216</v>
      </c>
    </row>
    <row r="41" spans="1:2" x14ac:dyDescent="0.2">
      <c r="A41" t="s">
        <v>217</v>
      </c>
      <c r="B41" t="s">
        <v>218</v>
      </c>
    </row>
    <row r="42" spans="1:2" x14ac:dyDescent="0.2">
      <c r="A42" t="s">
        <v>219</v>
      </c>
      <c r="B42" t="s">
        <v>220</v>
      </c>
    </row>
    <row r="43" spans="1:2" x14ac:dyDescent="0.2">
      <c r="A43" t="s">
        <v>221</v>
      </c>
      <c r="B43" t="s">
        <v>222</v>
      </c>
    </row>
    <row r="44" spans="1:2" x14ac:dyDescent="0.2">
      <c r="A44" t="s">
        <v>223</v>
      </c>
      <c r="B44" t="s">
        <v>224</v>
      </c>
    </row>
    <row r="45" spans="1:2" x14ac:dyDescent="0.2">
      <c r="A45" t="s">
        <v>225</v>
      </c>
      <c r="B45" t="s">
        <v>226</v>
      </c>
    </row>
    <row r="46" spans="1:2" x14ac:dyDescent="0.2">
      <c r="A46" t="s">
        <v>227</v>
      </c>
      <c r="B46" t="s">
        <v>228</v>
      </c>
    </row>
    <row r="47" spans="1:2" x14ac:dyDescent="0.2">
      <c r="A47" t="s">
        <v>229</v>
      </c>
      <c r="B47" t="s">
        <v>230</v>
      </c>
    </row>
    <row r="48" spans="1:2" x14ac:dyDescent="0.2">
      <c r="A48" t="s">
        <v>231</v>
      </c>
      <c r="B48" t="s">
        <v>232</v>
      </c>
    </row>
    <row r="49" spans="1:2" x14ac:dyDescent="0.2">
      <c r="A49" t="s">
        <v>233</v>
      </c>
      <c r="B49" t="s">
        <v>234</v>
      </c>
    </row>
    <row r="50" spans="1:2" x14ac:dyDescent="0.2">
      <c r="A50" t="s">
        <v>235</v>
      </c>
      <c r="B50" t="s">
        <v>236</v>
      </c>
    </row>
    <row r="51" spans="1:2" x14ac:dyDescent="0.2">
      <c r="A51" t="s">
        <v>237</v>
      </c>
      <c r="B51" t="s">
        <v>238</v>
      </c>
    </row>
    <row r="52" spans="1:2" x14ac:dyDescent="0.2">
      <c r="A52" t="s">
        <v>239</v>
      </c>
      <c r="B52" t="s">
        <v>240</v>
      </c>
    </row>
    <row r="53" spans="1:2" x14ac:dyDescent="0.2">
      <c r="A53" t="s">
        <v>241</v>
      </c>
      <c r="B53" t="s">
        <v>242</v>
      </c>
    </row>
    <row r="54" spans="1:2" x14ac:dyDescent="0.2">
      <c r="A54" t="s">
        <v>243</v>
      </c>
      <c r="B54" t="s">
        <v>244</v>
      </c>
    </row>
    <row r="55" spans="1:2" x14ac:dyDescent="0.2">
      <c r="A55" t="s">
        <v>245</v>
      </c>
      <c r="B55" t="s">
        <v>246</v>
      </c>
    </row>
    <row r="56" spans="1:2" x14ac:dyDescent="0.2">
      <c r="A56" t="s">
        <v>247</v>
      </c>
      <c r="B56" t="s">
        <v>248</v>
      </c>
    </row>
    <row r="57" spans="1:2" x14ac:dyDescent="0.2">
      <c r="A57" t="s">
        <v>249</v>
      </c>
      <c r="B57" t="s">
        <v>250</v>
      </c>
    </row>
    <row r="58" spans="1:2" x14ac:dyDescent="0.2">
      <c r="A58" t="s">
        <v>251</v>
      </c>
      <c r="B58" t="s">
        <v>252</v>
      </c>
    </row>
    <row r="59" spans="1:2" x14ac:dyDescent="0.2">
      <c r="A59" t="s">
        <v>253</v>
      </c>
      <c r="B59" t="s">
        <v>254</v>
      </c>
    </row>
    <row r="60" spans="1:2" x14ac:dyDescent="0.2">
      <c r="A60" t="s">
        <v>255</v>
      </c>
      <c r="B60" t="s">
        <v>256</v>
      </c>
    </row>
    <row r="61" spans="1:2" x14ac:dyDescent="0.2">
      <c r="A61" t="s">
        <v>257</v>
      </c>
      <c r="B61" t="s">
        <v>258</v>
      </c>
    </row>
    <row r="62" spans="1:2" x14ac:dyDescent="0.2">
      <c r="A62" t="s">
        <v>259</v>
      </c>
      <c r="B62" t="s">
        <v>260</v>
      </c>
    </row>
    <row r="63" spans="1:2" x14ac:dyDescent="0.2">
      <c r="A63" t="s">
        <v>261</v>
      </c>
      <c r="B63" t="s">
        <v>262</v>
      </c>
    </row>
    <row r="64" spans="1:2" x14ac:dyDescent="0.2">
      <c r="A64" t="s">
        <v>263</v>
      </c>
      <c r="B64" t="s">
        <v>264</v>
      </c>
    </row>
    <row r="65" spans="1:2" x14ac:dyDescent="0.2">
      <c r="A65" t="s">
        <v>265</v>
      </c>
      <c r="B65" t="s">
        <v>266</v>
      </c>
    </row>
    <row r="66" spans="1:2" x14ac:dyDescent="0.2">
      <c r="A66" t="s">
        <v>267</v>
      </c>
      <c r="B66" t="s">
        <v>268</v>
      </c>
    </row>
    <row r="67" spans="1:2" x14ac:dyDescent="0.2">
      <c r="A67" t="s">
        <v>269</v>
      </c>
      <c r="B67" t="s">
        <v>270</v>
      </c>
    </row>
    <row r="68" spans="1:2" x14ac:dyDescent="0.2">
      <c r="A68" t="s">
        <v>271</v>
      </c>
      <c r="B68" t="s">
        <v>272</v>
      </c>
    </row>
    <row r="69" spans="1:2" x14ac:dyDescent="0.2">
      <c r="A69" t="s">
        <v>273</v>
      </c>
      <c r="B69" t="s">
        <v>274</v>
      </c>
    </row>
    <row r="70" spans="1:2" x14ac:dyDescent="0.2">
      <c r="A70" t="s">
        <v>275</v>
      </c>
      <c r="B70" t="s">
        <v>276</v>
      </c>
    </row>
    <row r="71" spans="1:2" x14ac:dyDescent="0.2">
      <c r="A71" t="s">
        <v>277</v>
      </c>
      <c r="B71" t="s">
        <v>278</v>
      </c>
    </row>
    <row r="72" spans="1:2" x14ac:dyDescent="0.2">
      <c r="A72" t="s">
        <v>279</v>
      </c>
      <c r="B72" t="s">
        <v>280</v>
      </c>
    </row>
    <row r="73" spans="1:2" x14ac:dyDescent="0.2">
      <c r="A73" t="s">
        <v>281</v>
      </c>
      <c r="B73" t="s">
        <v>282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welcome</vt:lpstr>
      <vt:lpstr>flapjack_cols</vt:lpstr>
      <vt:lpstr>Init</vt:lpstr>
      <vt:lpstr>column_definitions</vt:lpstr>
      <vt:lpstr>assay</vt:lpstr>
      <vt:lpstr>sample</vt:lpstr>
      <vt:lpstr>measurement</vt:lpstr>
      <vt:lpstr>signal</vt:lpstr>
      <vt:lpstr>SBH_sampledesigns_collection</vt:lpstr>
      <vt:lpstr>dv_assay_Assay_ID</vt:lpstr>
      <vt:lpstr>dv_SBH_sampledesigns_collection_Name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2026-07-23T18:39:22Z</dcterms:modified>
</cp:coreProperties>
</file>