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yers/research/NISTData/2005-07-02_Align-TF-Cytom-12-plasmids-Experiment/Spreadsheets/"/>
    </mc:Choice>
  </mc:AlternateContent>
  <xr:revisionPtr revIDLastSave="0" documentId="13_ncr:1_{F03DAF70-F64F-6141-BC1F-0ADBADC1096B}" xr6:coauthVersionLast="47" xr6:coauthVersionMax="47" xr10:uidLastSave="{00000000-0000-0000-0000-000000000000}"/>
  <bookViews>
    <workbookView xWindow="0" yWindow="500" windowWidth="33540" windowHeight="19580" tabRatio="745" activeTab="2" xr2:uid="{00000000-000D-0000-FFFF-FFFF00000000}"/>
  </bookViews>
  <sheets>
    <sheet name="welcome" sheetId="1" r:id="rId1"/>
    <sheet name="sample design" sheetId="11" r:id="rId2"/>
    <sheet name="supplement" sheetId="12" r:id="rId3"/>
    <sheet name="SBH_strains_collection" sheetId="13" state="hidden" r:id="rId4"/>
    <sheet name="SBH_media_collection" sheetId="14" state="hidden" r:id="rId5"/>
    <sheet name="flapjack_cols" sheetId="6" state="hidden" r:id="rId6"/>
    <sheet name="_DropdownState" sheetId="7" state="hidden" r:id="rId7"/>
    <sheet name="_DropdownLists" sheetId="8" state="hidden" r:id="rId8"/>
    <sheet name="Init" sheetId="9" state="hidden" r:id="rId9"/>
    <sheet name="column_definitions" sheetId="10" state="hidden" r:id="rId10"/>
    <sheet name="SBH_chemicals_collection" sheetId="16" state="hidden" r:id="rId11"/>
    <sheet name="_DropdownMap" sheetId="17" state="hidden" r:id="rId12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3" i="11" l="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8" i="11"/>
  <c r="B9" i="11"/>
  <c r="B10" i="11"/>
  <c r="B11" i="11"/>
  <c r="B12" i="11"/>
  <c r="B12" i="12"/>
  <c r="B11" i="12"/>
  <c r="B10" i="12"/>
  <c r="B9" i="12"/>
  <c r="B8" i="12"/>
  <c r="B7" i="12"/>
  <c r="B6" i="12"/>
  <c r="B5" i="12"/>
  <c r="B4" i="12"/>
  <c r="B3" i="12"/>
  <c r="B7" i="11"/>
  <c r="B6" i="11"/>
  <c r="B5" i="11"/>
  <c r="B4" i="11"/>
  <c r="B3" i="11"/>
  <c r="B2" i="12"/>
  <c r="B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A00-000001000000}">
      <text>
        <r>
          <rPr>
            <sz val="11"/>
            <color theme="1"/>
            <rFont val="Helvetica"/>
            <family val="2"/>
            <scheme val="minor"/>
          </rPr>
          <t>The human-readable name for this sample design entry.</t>
        </r>
      </text>
    </comment>
    <comment ref="B1" authorId="0" shapeId="0" xr:uid="{00000000-0006-0000-0A00-000002000000}">
      <text>
        <r>
          <rPr>
            <sz val="11"/>
            <color theme="1"/>
            <rFont val="Helvetica"/>
            <family val="2"/>
            <scheme val="minor"/>
          </rPr>
          <t>Unique identifier for this sample design entry. This ID is used to reference the Sample Design entries in other sheets and must be unique across all sheets in this workbook.</t>
        </r>
      </text>
    </comment>
    <comment ref="C1" authorId="0" shapeId="0" xr:uid="{00000000-0006-0000-0A00-000003000000}">
      <text>
        <r>
          <rPr>
            <sz val="11"/>
            <color rgb="FF1E1E20"/>
            <rFont val="Helvetica"/>
            <family val="2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A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sample design entry.</t>
        </r>
      </text>
    </comment>
    <comment ref="E1" authorId="0" shapeId="0" xr:uid="{00000000-0006-0000-0A00-000005000000}">
      <text>
        <r>
          <rPr>
            <sz val="11"/>
            <color theme="1"/>
            <rFont val="Helvetica"/>
            <family val="2"/>
            <scheme val="minor"/>
          </rPr>
          <t>The strain(s) used in this sample design. Select from the SBH_strains_collection dropdown.</t>
        </r>
      </text>
    </comment>
    <comment ref="F1" authorId="0" shapeId="0" xr:uid="{00000000-0006-0000-0A00-000006000000}">
      <text>
        <r>
          <rPr>
            <sz val="11"/>
            <color theme="1"/>
            <rFont val="Helvetica"/>
            <family val="2"/>
            <scheme val="minor"/>
          </rPr>
          <t>The growth media used in this sample design. Select from the SBH_media_collection dropdown.</t>
        </r>
      </text>
    </comment>
    <comment ref="G1" authorId="0" shapeId="0" xr:uid="{00000000-0006-0000-0A00-000007000000}">
      <text>
        <r>
          <rPr>
            <sz val="11"/>
            <color rgb="FF1E1E20"/>
            <rFont val="Helvetica"/>
            <family val="2"/>
          </rPr>
          <t>The supplements added to the media. Select from the SBH_supplements_collection dropdown.</t>
        </r>
      </text>
    </comment>
    <comment ref="H1" authorId="0" shapeId="0" xr:uid="{00000000-0006-0000-0A00-000008000000}">
      <text>
        <r>
          <rPr>
            <sz val="11"/>
            <color rgb="FF1E1E20"/>
            <rFont val="Helvetica"/>
            <family val="2"/>
          </rPr>
          <t>URL of the external database or publication where this part's sequence was originally obtained (e.g. iGEM Registry, NCBI, literature).</t>
        </r>
      </text>
    </comment>
    <comment ref="I1" authorId="0" shapeId="0" xr:uid="{00000000-0006-0000-0A00-000009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J1" authorId="0" shapeId="0" xr:uid="{00000000-0006-0000-0A00-00000A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Excel2SBOL</author>
  </authors>
  <commentList>
    <comment ref="A1" authorId="0" shapeId="0" xr:uid="{00000000-0006-0000-0B00-000001000000}">
      <text>
        <r>
          <rPr>
            <sz val="11"/>
            <color rgb="FF1E1E20"/>
            <rFont val="Helvetica"/>
            <family val="2"/>
          </rPr>
          <t>The human-readable name for this supplement entry.</t>
        </r>
      </text>
    </comment>
    <comment ref="B1" authorId="0" shapeId="0" xr:uid="{00000000-0006-0000-0B00-000002000000}">
      <text>
        <r>
          <rPr>
            <sz val="11"/>
            <color theme="1"/>
            <rFont val="Helvetica"/>
            <family val="2"/>
            <scheme val="minor"/>
          </rPr>
          <t>Unique identifier for this supplement entry. This ID is used to reference the Supplement entries in other sheets and must be unique across all sheets in this workbook.</t>
        </r>
      </text>
    </comment>
    <comment ref="C1" authorId="0" shapeId="0" xr:uid="{00000000-0006-0000-0B00-000003000000}">
      <text>
        <r>
          <rPr>
            <sz val="11"/>
            <color theme="1"/>
            <rFont val="Helvetica"/>
            <family val="2"/>
            <scheme val="minor"/>
          </rPr>
          <t>URI of the previous version of this part, used to track provenance and version history. Copy the URI from the part's SynBioHub page.</t>
        </r>
      </text>
    </comment>
    <comment ref="D1" authorId="0" shapeId="0" xr:uid="{00000000-0006-0000-0B00-000004000000}">
      <text>
        <r>
          <rPr>
            <sz val="11"/>
            <color theme="1"/>
            <rFont val="Helvetica"/>
            <family val="2"/>
            <scheme val="minor"/>
          </rPr>
          <t>A free-text description of this supplement entry.</t>
        </r>
      </text>
    </comment>
    <comment ref="E1" authorId="0" shapeId="0" xr:uid="{00000000-0006-0000-0B00-000005000000}">
      <text>
        <r>
          <rPr>
            <sz val="11"/>
            <color theme="1"/>
            <rFont val="Helvetica"/>
            <family val="2"/>
            <scheme val="minor"/>
          </rPr>
          <t>The base chemical compound for this supplement. Select from the SBH_chemicals_collection dropdown.</t>
        </r>
      </text>
    </comment>
    <comment ref="F1" authorId="0" shapeId="0" xr:uid="{00000000-0006-0000-0B00-000006000000}">
      <text>
        <r>
          <rPr>
            <sz val="11"/>
            <color theme="1"/>
            <rFont val="Helvetica"/>
            <family val="2"/>
            <scheme val="minor"/>
          </rPr>
          <t>The concentration of this supplement (include units, e.g. '50 µg/mL').</t>
        </r>
      </text>
    </comment>
    <comment ref="G1" authorId="0" shapeId="0" xr:uid="{00000000-0006-0000-0B00-000007000000}">
      <text>
        <r>
          <rPr>
            <sz val="11"/>
            <color theme="1"/>
            <rFont val="Helvetica"/>
            <family val="2"/>
            <scheme val="minor"/>
          </rPr>
          <t>URL of the external database or publication where this part's sequence was originally obtained (e.g. iGEM Registry, NCBI, literature).</t>
        </r>
      </text>
    </comment>
    <comment ref="H1" authorId="0" shapeId="0" xr:uid="{00000000-0006-0000-0B00-000008000000}">
      <text>
        <r>
          <rPr>
            <sz val="11"/>
            <color theme="1"/>
            <rFont val="Helvetica"/>
            <family val="2"/>
            <scheme val="minor"/>
          </rPr>
          <t>PubMed identifier of the publication describing this part. Enter only the numeric ID (e.g. 12345678).</t>
        </r>
      </text>
    </comment>
    <comment ref="I1" authorId="0" shapeId="0" xr:uid="{00000000-0006-0000-0B00-000009000000}">
      <text>
        <r>
          <rPr>
            <sz val="11"/>
            <color theme="1"/>
            <rFont val="Helvetica"/>
            <family val="2"/>
            <scheme val="minor"/>
          </rPr>
          <t>Digital Object Identifier of the publication describing this part (e.g. https://doi.org/10.1000/xyz123).</t>
        </r>
      </text>
    </comment>
  </commentList>
</comments>
</file>

<file path=xl/sharedStrings.xml><?xml version="1.0" encoding="utf-8"?>
<sst xmlns="http://schemas.openxmlformats.org/spreadsheetml/2006/main" count="580" uniqueCount="201">
  <si>
    <t>Template Type</t>
  </si>
  <si>
    <t>SampleDesign</t>
  </si>
  <si>
    <t>Author</t>
  </si>
  <si>
    <t>Email</t>
  </si>
  <si>
    <t>Lab</t>
  </si>
  <si>
    <t>Institution</t>
  </si>
  <si>
    <t>Library Name</t>
  </si>
  <si>
    <t>Sample Design</t>
  </si>
  <si>
    <t>Description</t>
  </si>
  <si>
    <t>PubId</t>
  </si>
  <si>
    <t>Date</t>
  </si>
  <si>
    <t>Domain</t>
  </si>
  <si>
    <t>Master Collection</t>
  </si>
  <si>
    <t>Show advanced sheets</t>
  </si>
  <si>
    <t>Role</t>
  </si>
  <si>
    <t>URI</t>
  </si>
  <si>
    <t>Sheet Name</t>
  </si>
  <si>
    <t>FlapjackObject</t>
  </si>
  <si>
    <t>ColName</t>
  </si>
  <si>
    <t>FlapjackName</t>
  </si>
  <si>
    <t>sample design</t>
  </si>
  <si>
    <t>Sample Design Name</t>
  </si>
  <si>
    <t>name</t>
  </si>
  <si>
    <t>Sample Design Description</t>
  </si>
  <si>
    <t>Supplement ID</t>
  </si>
  <si>
    <t>supplement</t>
  </si>
  <si>
    <t>Supplement</t>
  </si>
  <si>
    <t>Supplement Name</t>
  </si>
  <si>
    <t>chemical</t>
  </si>
  <si>
    <t>Concentration</t>
  </si>
  <si>
    <t>concentration</t>
  </si>
  <si>
    <t>SBOL Version</t>
  </si>
  <si>
    <t>Convert</t>
  </si>
  <si>
    <t>Has Collections</t>
  </si>
  <si>
    <t>Collect Cols</t>
  </si>
  <si>
    <t># of Collect Rows</t>
  </si>
  <si>
    <t>Has Descripts</t>
  </si>
  <si>
    <t>Descript Cols</t>
  </si>
  <si>
    <t>Descript Start Row</t>
  </si>
  <si>
    <t>Lib Start Row</t>
  </si>
  <si>
    <t>SBOL Object Type</t>
  </si>
  <si>
    <t>Molecule Type</t>
  </si>
  <si>
    <t>ModuleDefinition</t>
  </si>
  <si>
    <t>ontology_terms</t>
  </si>
  <si>
    <t>organism_terms</t>
  </si>
  <si>
    <t>molecule_types</t>
  </si>
  <si>
    <t>SBH_strains_collection</t>
  </si>
  <si>
    <t>SBH_media_collection</t>
  </si>
  <si>
    <t>SBH_supplements_collection</t>
  </si>
  <si>
    <t>SBH_chemicals_collection</t>
  </si>
  <si>
    <t>Column Name</t>
  </si>
  <si>
    <t>SBOL Term</t>
  </si>
  <si>
    <t>Namespace URL</t>
  </si>
  <si>
    <t>Type</t>
  </si>
  <si>
    <t>Split On</t>
  </si>
  <si>
    <t>Pattern</t>
  </si>
  <si>
    <t>Multicolumn</t>
  </si>
  <si>
    <t>Tyto Lookup</t>
  </si>
  <si>
    <t>Sheet Lookup</t>
  </si>
  <si>
    <t>Replacement Lookup</t>
  </si>
  <si>
    <t>Object_ID Lookup</t>
  </si>
  <si>
    <t>Parent Lookup</t>
  </si>
  <si>
    <t>Ontology Name</t>
  </si>
  <si>
    <t>Lookup Sheet Name</t>
  </si>
  <si>
    <t>From Col</t>
  </si>
  <si>
    <t>To Col</t>
  </si>
  <si>
    <t>comma_append</t>
  </si>
  <si>
    <t>translate_target</t>
  </si>
  <si>
    <t>Init</t>
  </si>
  <si>
    <t>sbol_objectType</t>
  </si>
  <si>
    <t>http://sbols.org/v2#</t>
  </si>
  <si>
    <t>String</t>
  </si>
  <si>
    <t>""</t>
  </si>
  <si>
    <t>A</t>
  </si>
  <si>
    <t>B</t>
  </si>
  <si>
    <t>sbol_name</t>
  </si>
  <si>
    <t>Sample Design ID</t>
  </si>
  <si>
    <t>sbol_displayId</t>
  </si>
  <si>
    <t>Previous Version (URI)</t>
  </si>
  <si>
    <t>sbol_wasDerivedFrom</t>
  </si>
  <si>
    <t>sbol_description</t>
  </si>
  <si>
    <t>http://purl.org/dc/terms/#</t>
  </si>
  <si>
    <t>Strains</t>
  </si>
  <si>
    <t>sbol_module</t>
  </si>
  <si>
    <t>Medias</t>
  </si>
  <si>
    <t>Supplements</t>
  </si>
  <si>
    <t>Data Source</t>
  </si>
  <si>
    <t>PubMed ID</t>
  </si>
  <si>
    <t>obo_OBI_0001617</t>
  </si>
  <si>
    <t>http://purl.obolibrary.org/obo/</t>
  </si>
  <si>
    <t>DOI</t>
  </si>
  <si>
    <t>Supplement Description</t>
  </si>
  <si>
    <t>Chemical</t>
  </si>
  <si>
    <t>sbol_funcComp</t>
  </si>
  <si>
    <t>fj_concentration</t>
  </si>
  <si>
    <t>https://wiki.synbiohub.org/wiki/Terms/Flapjack#</t>
  </si>
  <si>
    <t>Target Sheet</t>
  </si>
  <si>
    <t>Target Header</t>
  </si>
  <si>
    <t>Source Sheet</t>
  </si>
  <si>
    <t>Source Header</t>
  </si>
  <si>
    <t>","</t>
  </si>
  <si>
    <t>m9</t>
  </si>
  <si>
    <t>m9only</t>
  </si>
  <si>
    <t>https://synbiohub.org/user/myers/Align_TF_Resources/m9/1</t>
  </si>
  <si>
    <t>https://synbiohub.org/user/myers/Align_TF_Strains/mg1655_dlac_align_vanr_301/1</t>
  </si>
  <si>
    <t>mg1655_dlac_align_vanr_301</t>
  </si>
  <si>
    <t>https://synbiohub.org/user/myers/Align_TF_Strains/mg1655_dlac_p150_r1_5_vanr_wt_pvanr/1</t>
  </si>
  <si>
    <t>mg1655_dlac_p150_r1_5_vanr_wt_pvanr</t>
  </si>
  <si>
    <t>https://synbiohub.org/user/myers/Align_TF_Strains/mg1655_dlac_pbcd_nofp/1</t>
  </si>
  <si>
    <t>mg1655_dlac_pbcd_nofp</t>
  </si>
  <si>
    <t>mg1655_dlac_align_vanr_301_m9</t>
  </si>
  <si>
    <t>mg1655_dlac_p150_r1_5_vanr_wt_pvanr_m9</t>
  </si>
  <si>
    <t>mg1655_dlac_pbcd_nofp_m9</t>
  </si>
  <si>
    <t>https://synbiohub.org/user/myers/Align_TF_Strains/mg1655_dlac_pvanr_am_a1t_mscar/1</t>
  </si>
  <si>
    <t>mg1655_dlac_pvanr_am_a1t_mscar</t>
  </si>
  <si>
    <t>https://synbiohub.org/user/myers/Align_TF_Strains/mg1655_dlac_pvanr_am_t2a_mscar/1</t>
  </si>
  <si>
    <t>mg1655_dlac_pvanr_am_t2a_mscar</t>
  </si>
  <si>
    <t>mg1655_dlac_pvanr_am_a1t_mscar_m9</t>
  </si>
  <si>
    <t>mg1655_dlac_pvanr_am_t2a_mscar_m9</t>
  </si>
  <si>
    <t>van</t>
  </si>
  <si>
    <t>https://synbiohub.org/user/myers/Align_TF_Resources/van/1</t>
  </si>
  <si>
    <t>van_24</t>
  </si>
  <si>
    <t>van_49</t>
  </si>
  <si>
    <t>van_98</t>
  </si>
  <si>
    <t>van_195</t>
  </si>
  <si>
    <t>van_391</t>
  </si>
  <si>
    <t>van_781</t>
  </si>
  <si>
    <t>van_1563</t>
  </si>
  <si>
    <t>van_3125</t>
  </si>
  <si>
    <t>van_6150</t>
  </si>
  <si>
    <t>van_12500</t>
  </si>
  <si>
    <t>van_25000</t>
  </si>
  <si>
    <t>mg1655_dlac_align_vanr_301_m9_van_24</t>
  </si>
  <si>
    <t>mg1655_dlac_p150_r1_5_vanr_wt_pvanr_m9_van_24</t>
  </si>
  <si>
    <t>mg1655_dlac_pbcd_nofp_m9_van_24</t>
  </si>
  <si>
    <t>mg1655_dlac_pvanr_am_a1t_mscar_m9_van_24</t>
  </si>
  <si>
    <t>mg1655_dlac_pvanr_am_t2a_mscar_m9_van_24</t>
  </si>
  <si>
    <t>m9only_van_24</t>
  </si>
  <si>
    <t>m9only_van_49</t>
  </si>
  <si>
    <t>mg1655_dlac_align_vanr_301_m9_van_49</t>
  </si>
  <si>
    <t>mg1655_dlac_p150_r1_5_vanr_wt_pvanr_m9_van_49</t>
  </si>
  <si>
    <t>mg1655_dlac_pbcd_nofp_m9_van_49</t>
  </si>
  <si>
    <t>mg1655_dlac_pvanr_am_a1t_mscar_m9_van_49</t>
  </si>
  <si>
    <t>mg1655_dlac_pvanr_am_t2a_mscar_m9_van_49</t>
  </si>
  <si>
    <t>m9only_van_98</t>
  </si>
  <si>
    <t>mg1655_dlac_align_vanr_301_m9_van_98</t>
  </si>
  <si>
    <t>mg1655_dlac_p150_r1_5_vanr_wt_pvanr_m9_van_98</t>
  </si>
  <si>
    <t>mg1655_dlac_pbcd_nofp_m9_van_98</t>
  </si>
  <si>
    <t>mg1655_dlac_pvanr_am_a1t_mscar_m9_van_98</t>
  </si>
  <si>
    <t>mg1655_dlac_pvanr_am_t2a_mscar_m9_van_98</t>
  </si>
  <si>
    <t>m9only_van_195</t>
  </si>
  <si>
    <t>mg1655_dlac_align_vanr_301_m9_van_195</t>
  </si>
  <si>
    <t>mg1655_dlac_p150_r1_5_vanr_wt_pvanr_m9_van_195</t>
  </si>
  <si>
    <t>mg1655_dlac_pbcd_nofp_m9_van_195</t>
  </si>
  <si>
    <t>mg1655_dlac_pvanr_am_a1t_mscar_m9_van_195</t>
  </si>
  <si>
    <t>mg1655_dlac_pvanr_am_t2a_mscar_m9_van_195</t>
  </si>
  <si>
    <t>m9only_van_391</t>
  </si>
  <si>
    <t>mg1655_dlac_align_vanr_301_m9_van_391</t>
  </si>
  <si>
    <t>mg1655_dlac_p150_r1_5_vanr_wt_pvanr_m9_van_391</t>
  </si>
  <si>
    <t>mg1655_dlac_pbcd_nofp_m9_van_391</t>
  </si>
  <si>
    <t>mg1655_dlac_pvanr_am_a1t_mscar_m9_van_391</t>
  </si>
  <si>
    <t>mg1655_dlac_pvanr_am_t2a_mscar_m9_van_391</t>
  </si>
  <si>
    <t>m9only_van_781</t>
  </si>
  <si>
    <t>mg1655_dlac_align_vanr_301_m9_van_781</t>
  </si>
  <si>
    <t>mg1655_dlac_p150_r1_5_vanr_wt_pvanr_m9_van_781</t>
  </si>
  <si>
    <t>mg1655_dlac_pbcd_nofp_m9_van_781</t>
  </si>
  <si>
    <t>mg1655_dlac_pvanr_am_a1t_mscar_m9_van_781</t>
  </si>
  <si>
    <t>mg1655_dlac_pvanr_am_t2a_mscar_m9_van_781</t>
  </si>
  <si>
    <t>m9only_van_1563</t>
  </si>
  <si>
    <t>mg1655_dlac_align_vanr_301_m9_van_1563</t>
  </si>
  <si>
    <t>mg1655_dlac_p150_r1_5_vanr_wt_pvanr_m9_van_1563</t>
  </si>
  <si>
    <t>mg1655_dlac_pbcd_nofp_m9_van_1563</t>
  </si>
  <si>
    <t>mg1655_dlac_pvanr_am_a1t_mscar_m9_van_1563</t>
  </si>
  <si>
    <t>mg1655_dlac_pvanr_am_t2a_mscar_m9_van_1563</t>
  </si>
  <si>
    <t>m9only_van_3125</t>
  </si>
  <si>
    <t>mg1655_dlac_align_vanr_301_m9_van_3125</t>
  </si>
  <si>
    <t>mg1655_dlac_p150_r1_5_vanr_wt_pvanr_m9_van_3125</t>
  </si>
  <si>
    <t>mg1655_dlac_pbcd_nofp_m9_van_3125</t>
  </si>
  <si>
    <t>mg1655_dlac_pvanr_am_a1t_mscar_m9_van_3125</t>
  </si>
  <si>
    <t>mg1655_dlac_pvanr_am_t2a_mscar_m9_van_3125</t>
  </si>
  <si>
    <t>m9only_van_6150</t>
  </si>
  <si>
    <t>mg1655_dlac_align_vanr_301_m9_van_6150</t>
  </si>
  <si>
    <t>mg1655_dlac_p150_r1_5_vanr_wt_pvanr_m9_van_6150</t>
  </si>
  <si>
    <t>mg1655_dlac_pbcd_nofp_m9_van_6150</t>
  </si>
  <si>
    <t>mg1655_dlac_pvanr_am_a1t_mscar_m9_van_6150</t>
  </si>
  <si>
    <t>mg1655_dlac_pvanr_am_t2a_mscar_m9_van_6150</t>
  </si>
  <si>
    <t>m9only_van_12500</t>
  </si>
  <si>
    <t>mg1655_dlac_align_vanr_301_m9_van_12500</t>
  </si>
  <si>
    <t>mg1655_dlac_p150_r1_5_vanr_wt_pvanr_m9_van_12500</t>
  </si>
  <si>
    <t>mg1655_dlac_pbcd_nofp_m9_van_12500</t>
  </si>
  <si>
    <t>mg1655_dlac_pvanr_am_a1t_mscar_m9_van_12500</t>
  </si>
  <si>
    <t>mg1655_dlac_pvanr_am_t2a_mscar_m9_van_12500</t>
  </si>
  <si>
    <t>m9only_van_25000</t>
  </si>
  <si>
    <t>mg1655_dlac_align_vanr_301_m9_van_25000</t>
  </si>
  <si>
    <t>mg1655_dlac_p150_r1_5_vanr_wt_pvanr_m9_van_25000</t>
  </si>
  <si>
    <t>mg1655_dlac_pbcd_nofp_m9_van_25000</t>
  </si>
  <si>
    <t>mg1655_dlac_pvanr_am_a1t_mscar_m9_van_25000</t>
  </si>
  <si>
    <t>mg1655_dlac_pvanr_am_t2a_mscar_m9_van_25000</t>
  </si>
  <si>
    <t>F9</t>
  </si>
  <si>
    <t>https://wiki.synbiohub.org/wiki/Terms/SynBioSuite#SampleDesign</t>
  </si>
  <si>
    <t>http://purl.obolibrary.org/obo/PATO_0000033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</si>
</sst>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u/>
      <sz val="11"/>
      <color theme="10"/>
      <name val="Helvetica"/>
      <family val="2"/>
      <scheme val="minor"/>
    </font>
    <font>
      <sz val="11"/>
      <color theme="1"/>
      <name val="Helvetica"/>
      <family val="2"/>
      <scheme val="minor"/>
    </font>
    <font>
      <sz val="11"/>
      <color rgb="FF1D1D1F"/>
      <name val="Helvetica"/>
      <family val="2"/>
      <scheme val="minor"/>
    </font>
    <font>
      <b/>
      <sz val="13"/>
      <color rgb="FF1A6468"/>
      <name val="Helvetica"/>
      <family val="2"/>
      <scheme val="major"/>
    </font>
    <font>
      <b/>
      <sz val="11"/>
      <color rgb="FF1D1D1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b/>
      <sz val="11"/>
      <color rgb="FFFFFFFF"/>
      <name val="Helvetica"/>
      <family val="2"/>
      <scheme val="minor"/>
    </font>
    <font>
      <sz val="11"/>
      <color rgb="FF1D1D1F"/>
      <name val="Helvetica"/>
      <family val="2"/>
      <scheme val="minor"/>
    </font>
    <font>
      <sz val="11"/>
      <color rgb="FF1E1E20"/>
      <name val="Helvetica"/>
      <family val="2"/>
    </font>
    <font>
      <sz val="8"/>
      <name val="Helvetic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A6468"/>
      </patternFill>
    </fill>
    <fill>
      <patternFill patternType="solid">
        <fgColor rgb="FF1A6468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</borders>
  <cellStyleXfs count="5">
    <xf numFmtId="0" fontId="0" fillId="0" borderId="1"/>
    <xf numFmtId="0" fontId="1" fillId="0" borderId="1"/>
    <xf numFmtId="0" fontId="2" fillId="0" borderId="1"/>
    <xf numFmtId="0" fontId="3" fillId="0" borderId="1"/>
    <xf numFmtId="0" fontId="2" fillId="0" borderId="1"/>
  </cellStyleXfs>
  <cellXfs count="22">
    <xf numFmtId="0" fontId="0" fillId="0" borderId="0" xfId="0" applyBorder="1"/>
    <xf numFmtId="0" fontId="4" fillId="0" borderId="1" xfId="0" applyFont="1"/>
    <xf numFmtId="0" fontId="6" fillId="0" borderId="1" xfId="0" applyFont="1"/>
    <xf numFmtId="0" fontId="7" fillId="2" borderId="1" xfId="0" applyFont="1" applyFill="1" applyAlignment="1">
      <alignment vertical="center"/>
    </xf>
    <xf numFmtId="0" fontId="4" fillId="0" borderId="2" xfId="0" applyFont="1" applyBorder="1"/>
    <xf numFmtId="0" fontId="0" fillId="0" borderId="2" xfId="0" applyBorder="1"/>
    <xf numFmtId="0" fontId="5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5" fillId="0" borderId="5" xfId="0" applyFont="1" applyBorder="1"/>
    <xf numFmtId="0" fontId="4" fillId="0" borderId="6" xfId="0" applyFont="1" applyBorder="1"/>
    <xf numFmtId="0" fontId="8" fillId="3" borderId="0" xfId="0" applyFont="1" applyFill="1" applyBorder="1" applyAlignment="1">
      <alignment vertical="center"/>
    </xf>
    <xf numFmtId="0" fontId="9" fillId="0" borderId="0" xfId="0" applyFont="1" applyBorder="1"/>
    <xf numFmtId="0" fontId="0" fillId="0" borderId="0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14" fontId="4" fillId="0" borderId="1" xfId="0" applyNumberFormat="1" applyFont="1"/>
    <xf numFmtId="0" fontId="4" fillId="0" borderId="0" xfId="0" applyFont="1" applyBorder="1"/>
    <xf numFmtId="0" fontId="0" fillId="0" borderId="1" xfId="0"/>
    <xf numFmtId="0" fontId="2" fillId="0" borderId="1" xfId="2"/>
    <xf numFmtId="0" fontId="7" fillId="3" borderId="0" xfId="0" applyFont="1" applyFill="1" applyBorder="1" applyAlignment="1">
      <alignment vertical="center"/>
    </xf>
    <xf numFmtId="0" fontId="9" fillId="0" borderId="0" xfId="0" applyFont="1" applyFill="1" applyBorder="1"/>
    <xf numFmtId="0" fontId="0" fillId="0" borderId="0" xfId="0" applyFill="1" applyBorder="1"/>
    <xf numFmtId="0" fontId="0" fillId="0" borderId="1" xfId="0" applyFill="1"/>
  </cellXfs>
  <cellStyles count="5">
    <cellStyle name="Hyperlink" xfId="2" builtinId="8"/>
    <cellStyle name="Hyperlink 2" xfId="4" xr:uid="{00000000-0005-0000-0000-000004000000}"/>
    <cellStyle name="Normal" xfId="0" builtinId="0"/>
    <cellStyle name="Normal 2" xfId="1" xr:uid="{00000000-0005-0000-0000-000001000000}"/>
    <cellStyle name="Normal 3" xfId="3" xr:uid="{00000000-0005-0000-0000-000003000000}"/>
  </cellStyles>
  <dxfs count="2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2" dropStyle="combo" dx="15" noThreeD="1" sel="0" val="0"/>
</file>

<file path=xl/ctrlProps/ctrlProp2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3.xml><?xml version="1.0" encoding="utf-8"?>
<formControlPr xmlns="http://schemas.microsoft.com/office/spreadsheetml/2009/9/main" objectType="Drop" dropLines="12" dropStyle="combo" dx="15" fmlaLink="_DropdownState!$A$1" fmlaRange="_DropdownLists!$A$1:$A$5" noThreeD="1" sel="0" val="0"/>
</file>

<file path=xl/ctrlProps/ctrlProp4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5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6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7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8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9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10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11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12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13.xml><?xml version="1.0" encoding="utf-8"?>
<formControlPr xmlns="http://schemas.microsoft.com/office/spreadsheetml/2009/9/main" objectType="Drop" dropLines="12" dropStyle="combo" dx="15" fmlaLink="_DropdownState!$A$1" fmlaRange="_DropdownLists!$A$1:$A$1" noThreeD="1" sel="0" val="0"/>
</file>

<file path=xl/ctrlProps/ctrlProp14.xml><?xml version="1.0" encoding="utf-8"?>
<formControlPr xmlns="http://schemas.microsoft.com/office/spreadsheetml/2009/9/main" objectType="Drop" dropLines="12" dropStyle="combo" dx="15" noThreeD="1" sel="0" val="0"/>
</file>

<file path=xl/ctrlProps/ctrlProp15.xml><?xml version="1.0" encoding="utf-8"?>
<formControlPr xmlns="http://schemas.microsoft.com/office/spreadsheetml/2009/9/main" objectType="Drop" dropLines="12" dropStyle="combo" dx="15" noThreeD="1" sel="0" val="0"/>
</file>

<file path=xl/ctrlProps/ctrlProp16.xml><?xml version="1.0" encoding="utf-8"?>
<formControlPr xmlns="http://schemas.microsoft.com/office/spreadsheetml/2009/9/main" objectType="Drop" dropLines="12" dropStyle="combo" dx="15" noThreeD="1" sel="0" val="0"/>
</file>

<file path=xl/ctrlProps/ctrlProp17.xml><?xml version="1.0" encoding="utf-8"?>
<formControlPr xmlns="http://schemas.microsoft.com/office/spreadsheetml/2009/9/main" objectType="Drop" dropLines="12" dropStyle="combo" dx="15" noThreeD="1" sel="0" val="0"/>
</file>

<file path=xl/ctrlProps/ctrlProp18.xml><?xml version="1.0" encoding="utf-8"?>
<formControlPr xmlns="http://schemas.microsoft.com/office/spreadsheetml/2009/9/main" objectType="Drop" dropLines="12" dropStyle="combo" dx="15" noThreeD="1" sel="0" val="0"/>
</file>

<file path=xl/ctrlProps/ctrlProp19.xml><?xml version="1.0" encoding="utf-8"?>
<formControlPr xmlns="http://schemas.microsoft.com/office/spreadsheetml/2009/9/main" objectType="Drop" dropLines="12" dropStyle="combo" dx="15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711200</xdr:colOff>
          <xdr:row>1</xdr:row>
          <xdr:rowOff>38100</xdr:rowOff>
        </xdr:to>
        <xdr:sp macro="" textlink="">
          <xdr:nvSpPr>
            <xdr:cNvPr id="1025" name="cvHead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7179" name="cvHeaderDropdown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73</xdr:row>
          <xdr:rowOff>0</xdr:rowOff>
        </xdr:from>
        <xdr:to>
          <xdr:col>5</xdr:col>
          <xdr:colOff>0</xdr:colOff>
          <xdr:row>74</xdr:row>
          <xdr:rowOff>0</xdr:rowOff>
        </xdr:to>
        <xdr:sp macro="" textlink="">
          <xdr:nvSpPr>
            <xdr:cNvPr id="7191" name="cvHeaderDropdown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1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7210" name="cvHeaderDropdown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1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7213" name="Drop Dow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1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7217" name="Drop Down 4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00000000-0008-0000-0100-00003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7220" name="Drop Dow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1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7227" name="Drop Down 5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00000000-0008-0000-0100-00003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0</xdr:rowOff>
        </xdr:to>
        <xdr:sp macro="" textlink="">
          <xdr:nvSpPr>
            <xdr:cNvPr id="7230" name="Drop Dow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1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0</xdr:rowOff>
        </xdr:to>
        <xdr:sp macro="" textlink="">
          <xdr:nvSpPr>
            <xdr:cNvPr id="7233" name="Drop Down 6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00000000-0008-0000-0100-00004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0</xdr:rowOff>
        </xdr:to>
        <xdr:sp macro="" textlink="">
          <xdr:nvSpPr>
            <xdr:cNvPr id="7237" name="Drop Down 69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00000000-0008-0000-0100-00004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6</xdr:col>
          <xdr:colOff>0</xdr:colOff>
          <xdr:row>68</xdr:row>
          <xdr:rowOff>0</xdr:rowOff>
        </xdr:to>
        <xdr:sp macro="" textlink="">
          <xdr:nvSpPr>
            <xdr:cNvPr id="7240" name="Drop Down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1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8202" name="cvHeaderDropdown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1265" name="cvHeaderDropdow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2289" name="cvHeaderDropdow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381000</xdr:colOff>
          <xdr:row>0</xdr:row>
          <xdr:rowOff>228600</xdr:rowOff>
        </xdr:to>
        <xdr:sp macro="" textlink="">
          <xdr:nvSpPr>
            <xdr:cNvPr id="6145" name="cvHeaderDropdow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9217" name="cvHeaderDropdow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0241" name="cvHeaderDropdow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1524000</xdr:colOff>
          <xdr:row>0</xdr:row>
          <xdr:rowOff>228600</xdr:rowOff>
        </xdr:to>
        <xdr:sp macro="" textlink="">
          <xdr:nvSpPr>
            <xdr:cNvPr id="14337" name="cvHeaderDropdow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mple_design" displayName="sample_design" ref="A1:J73">
  <autoFilter ref="A1:J73" xr:uid="{00000000-0009-0000-0100-000001000000}"/>
  <tableColumns count="10">
    <tableColumn id="1" xr3:uid="{00000000-0010-0000-0000-000001000000}" name="Sample Design Name"/>
    <tableColumn id="2" xr3:uid="{00000000-0010-0000-0000-000002000000}" name="Sample Design ID" dataDxfId="1">
      <calculatedColumnFormula>IF(sample_design[[#This Row],[Sample Design Name]]="","",SUBSTITUTE(SUBSTITUTE(TRIM(LOWER(sample_design[[#This Row],[Sample Design Name]]))," ","_"),"-","_"))</calculatedColumnFormula>
    </tableColumn>
    <tableColumn id="3" xr3:uid="{00000000-0010-0000-0000-000003000000}" name="Previous Version (URI)"/>
    <tableColumn id="4" xr3:uid="{00000000-0010-0000-0000-000004000000}" name="Sample Design Description"/>
    <tableColumn id="5" xr3:uid="{00000000-0010-0000-0000-000005000000}" name="Strains"/>
    <tableColumn id="6" xr3:uid="{00000000-0010-0000-0000-000006000000}" name="Medias"/>
    <tableColumn id="7" xr3:uid="{00000000-0010-0000-0000-000007000000}" name="Supplements"/>
    <tableColumn id="8" xr3:uid="{00000000-0010-0000-0000-000008000000}" name="Data Source"/>
    <tableColumn id="9" xr3:uid="{00000000-0010-0000-0000-000009000000}" name="PubMed ID"/>
    <tableColumn id="10" xr3:uid="{00000000-0010-0000-0000-00000A000000}" name="DO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upplement" displayName="supplement" ref="A1:I12">
  <autoFilter ref="A1:I12" xr:uid="{00000000-0009-0000-0100-000002000000}"/>
  <tableColumns count="9">
    <tableColumn id="1" xr3:uid="{00000000-0010-0000-0100-000001000000}" name="Supplement Name"/>
    <tableColumn id="2" xr3:uid="{00000000-0010-0000-0100-000002000000}" name="Supplement ID" dataDxfId="0">
      <calculatedColumnFormula>IF(supplement[[#This Row],[Supplement Name]]="","",SUBSTITUTE(SUBSTITUTE(TRIM(LOWER(supplement[[#This Row],[Supplement Name]]))," ","_"),"-","_"))</calculatedColumnFormula>
    </tableColumn>
    <tableColumn id="3" xr3:uid="{00000000-0010-0000-0100-000003000000}" name="Previous Version (URI)"/>
    <tableColumn id="4" xr3:uid="{00000000-0010-0000-0100-000004000000}" name="Supplement Description"/>
    <tableColumn id="5" xr3:uid="{00000000-0010-0000-0100-000005000000}" name="Chemical"/>
    <tableColumn id="6" xr3:uid="{00000000-0010-0000-0100-000006000000}" name="Concentration"/>
    <tableColumn id="7" xr3:uid="{00000000-0010-0000-0100-000007000000}" name="Data Source"/>
    <tableColumn id="8" xr3:uid="{00000000-0010-0000-0100-000008000000}" name="PubMed ID"/>
    <tableColumn id="9" xr3:uid="{00000000-0010-0000-0100-000009000000}" name="DO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oApps">
      <a:dk1>
        <a:srgbClr val="1E1E20"/>
      </a:dk1>
      <a:lt1>
        <a:srgbClr val="F4F4F6"/>
      </a:lt1>
      <a:dk2>
        <a:srgbClr val="6E6E72"/>
      </a:dk2>
      <a:lt2>
        <a:srgbClr val="FFFFFF"/>
      </a:lt2>
      <a:accent1>
        <a:srgbClr val="48A8AD"/>
      </a:accent1>
      <a:accent2>
        <a:srgbClr val="3B9297"/>
      </a:accent2>
      <a:accent3>
        <a:srgbClr val="5ABEC4"/>
      </a:accent3>
      <a:accent4>
        <a:srgbClr val="AEAEB2"/>
      </a:accent4>
      <a:accent5>
        <a:srgbClr val="626264"/>
      </a:accent5>
      <a:accent6>
        <a:srgbClr val="FF382E"/>
      </a:accent6>
      <a:hlink>
        <a:srgbClr val="48A8AD"/>
      </a:hlink>
      <a:folHlink>
        <a:srgbClr val="3B9297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hyperlink" Target="https://synbiohub.org/user/myers/Align_TF_Strains/mg1655_dlac_pbcd_nofp/1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https://synbiohub.org/user/myers/Align_TF_Strains/mg1655_dlac_p150_r1_5_vanr_wt_pvanr/1" TargetMode="External"/><Relationship Id="rId1" Type="http://schemas.openxmlformats.org/officeDocument/2006/relationships/hyperlink" Target="https://synbiohub.org/user/myers/Align_TF_Strains/mg1655_dlac_align_vanr_301/1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s://synbiohub.org/user/myers/Align_TF_Strains/mg1655_dlac_pvanr_am_t2a_mscar/1" TargetMode="External"/><Relationship Id="rId4" Type="http://schemas.openxmlformats.org/officeDocument/2006/relationships/hyperlink" Target="https://synbiohub.org/user/myers/Align_TF_Strains/mg1655_dlac_pvanr_am_a1t_mscar/1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hyperlink" Target="https://wiki.synbiohub.org/wiki/Terms/SynBioSuite" TargetMode="Externa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hyperlink" Target="https://wiki.synbiohub.org/wiki/Terms/Flapjack" TargetMode="External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8"/>
  <sheetViews>
    <sheetView workbookViewId="0">
      <selection activeCell="C15" sqref="C15"/>
    </sheetView>
  </sheetViews>
  <sheetFormatPr baseColWidth="10" defaultColWidth="25" defaultRowHeight="15" x14ac:dyDescent="0.2"/>
  <cols>
    <col min="1" max="4" width="25" style="5" customWidth="1"/>
    <col min="5" max="9" width="25" customWidth="1"/>
    <col min="10" max="10" width="25" style="5" customWidth="1"/>
    <col min="11" max="11" width="25" customWidth="1"/>
    <col min="12" max="16384" width="25" style="5"/>
  </cols>
  <sheetData>
    <row r="1" spans="1:11" x14ac:dyDescent="0.2">
      <c r="A1" s="4"/>
      <c r="B1" s="4"/>
      <c r="C1" s="4"/>
      <c r="D1" s="4"/>
      <c r="E1" s="4"/>
      <c r="F1" s="4"/>
      <c r="G1" s="4"/>
      <c r="H1" s="4"/>
      <c r="I1" s="4"/>
      <c r="J1" s="4"/>
      <c r="K1" s="4"/>
    </row>
    <row r="2" spans="1:11" x14ac:dyDescent="0.2">
      <c r="A2" s="4"/>
      <c r="B2" s="4"/>
      <c r="C2" s="4"/>
      <c r="D2" s="4"/>
      <c r="E2" s="4"/>
      <c r="F2" s="4"/>
      <c r="G2" s="4"/>
      <c r="H2" s="4"/>
      <c r="I2" s="4"/>
      <c r="J2" s="4"/>
      <c r="K2" s="4"/>
    </row>
    <row r="3" spans="1:11" x14ac:dyDescent="0.2">
      <c r="A3" s="4"/>
      <c r="B3" s="4"/>
      <c r="C3" s="4"/>
      <c r="D3" s="4"/>
      <c r="E3" s="4"/>
      <c r="F3" s="4"/>
      <c r="G3" s="4"/>
      <c r="H3" s="4"/>
      <c r="I3" s="4"/>
      <c r="J3" s="4"/>
      <c r="K3" s="4"/>
    </row>
    <row r="4" spans="1:11" ht="17" customHeight="1" x14ac:dyDescent="0.2">
      <c r="A4" s="6"/>
      <c r="B4" s="9" t="s">
        <v>0</v>
      </c>
      <c r="C4" s="9" t="s">
        <v>1</v>
      </c>
      <c r="D4" s="6"/>
      <c r="E4" s="6"/>
      <c r="F4" s="6"/>
      <c r="G4" s="6"/>
      <c r="H4" s="6"/>
      <c r="I4" s="6"/>
      <c r="J4" s="6"/>
      <c r="K4" s="6"/>
    </row>
    <row r="5" spans="1:11" x14ac:dyDescent="0.2">
      <c r="A5" s="7"/>
      <c r="B5" s="2" t="s">
        <v>2</v>
      </c>
      <c r="C5" s="1"/>
      <c r="D5" s="8"/>
      <c r="E5" s="4"/>
      <c r="F5" s="4"/>
      <c r="G5" s="4"/>
      <c r="H5" s="4"/>
      <c r="I5" s="4"/>
      <c r="J5" s="4"/>
      <c r="K5" s="4"/>
    </row>
    <row r="6" spans="1:11" x14ac:dyDescent="0.2">
      <c r="A6" s="7"/>
      <c r="B6" s="2" t="s">
        <v>3</v>
      </c>
      <c r="C6" s="1"/>
      <c r="D6" s="8"/>
      <c r="E6" s="4"/>
      <c r="F6" s="4"/>
      <c r="G6" s="4"/>
      <c r="H6" s="4"/>
      <c r="I6" s="4"/>
      <c r="J6" s="4"/>
      <c r="K6" s="4"/>
    </row>
    <row r="7" spans="1:11" x14ac:dyDescent="0.2">
      <c r="A7" s="7"/>
      <c r="B7" s="2" t="s">
        <v>4</v>
      </c>
      <c r="C7" s="1"/>
      <c r="D7" s="8"/>
      <c r="E7" s="4"/>
      <c r="F7" s="4"/>
      <c r="G7" s="4"/>
      <c r="H7" s="4"/>
      <c r="I7" s="4"/>
      <c r="J7" s="4"/>
      <c r="K7" s="4"/>
    </row>
    <row r="8" spans="1:11" x14ac:dyDescent="0.2">
      <c r="A8" s="7"/>
      <c r="B8" s="2" t="s">
        <v>5</v>
      </c>
      <c r="C8" s="1"/>
      <c r="D8" s="8"/>
      <c r="E8" s="4"/>
      <c r="F8" s="4"/>
      <c r="G8" s="4"/>
      <c r="H8" s="4"/>
      <c r="I8" s="4"/>
      <c r="J8" s="4"/>
      <c r="K8" s="4"/>
    </row>
    <row r="9" spans="1:11" x14ac:dyDescent="0.2">
      <c r="A9" s="7"/>
      <c r="B9" s="2" t="s">
        <v>6</v>
      </c>
      <c r="C9" s="1" t="s">
        <v>7</v>
      </c>
      <c r="D9" s="8"/>
      <c r="E9" s="4"/>
      <c r="F9" s="4"/>
      <c r="G9" s="4"/>
      <c r="H9" s="4"/>
      <c r="I9" s="4"/>
      <c r="J9" s="4"/>
      <c r="K9" s="4"/>
    </row>
    <row r="10" spans="1:11" x14ac:dyDescent="0.2">
      <c r="A10" s="7"/>
      <c r="B10" s="2" t="s">
        <v>8</v>
      </c>
      <c r="C10" s="1"/>
      <c r="D10" s="8"/>
      <c r="E10" s="4"/>
      <c r="F10" s="4"/>
      <c r="G10" s="4"/>
      <c r="H10" s="4"/>
      <c r="I10" s="4"/>
      <c r="J10" s="4"/>
      <c r="K10" s="4"/>
    </row>
    <row r="11" spans="1:11" x14ac:dyDescent="0.2">
      <c r="A11" s="7"/>
      <c r="B11" s="2" t="s">
        <v>9</v>
      </c>
      <c r="C11" s="1"/>
      <c r="D11" s="8"/>
      <c r="E11" s="4"/>
      <c r="F11" s="4"/>
      <c r="G11" s="4"/>
      <c r="H11" s="4"/>
      <c r="I11" s="4"/>
      <c r="J11" s="4"/>
      <c r="K11" s="4"/>
    </row>
    <row r="12" spans="1:11" x14ac:dyDescent="0.2">
      <c r="A12" s="7"/>
      <c r="B12" s="2" t="s">
        <v>10</v>
      </c>
      <c r="C12" s="14">
        <v>46186</v>
      </c>
      <c r="D12" s="8"/>
      <c r="E12" s="4"/>
      <c r="F12" s="4"/>
      <c r="G12" s="4"/>
      <c r="H12" s="4"/>
      <c r="I12" s="4"/>
      <c r="J12" s="4"/>
      <c r="K12" s="4"/>
    </row>
    <row r="13" spans="1:11" x14ac:dyDescent="0.2">
      <c r="A13" s="7"/>
      <c r="B13" s="2" t="s">
        <v>11</v>
      </c>
      <c r="C13" s="1"/>
      <c r="D13" s="8"/>
      <c r="E13" s="4"/>
      <c r="F13" s="4"/>
      <c r="G13" s="4"/>
      <c r="H13" s="4"/>
      <c r="I13" s="4"/>
      <c r="J13" s="4"/>
      <c r="K13" s="4"/>
    </row>
    <row r="14" spans="1:11" x14ac:dyDescent="0.2">
      <c r="A14" s="7"/>
      <c r="B14" s="2" t="s">
        <v>12</v>
      </c>
      <c r="C14" s="1"/>
      <c r="D14" s="8"/>
      <c r="E14" s="4"/>
      <c r="F14" s="4"/>
      <c r="G14" s="4"/>
      <c r="H14" s="4"/>
      <c r="I14" s="4"/>
      <c r="J14" s="4"/>
      <c r="K14" s="4"/>
    </row>
    <row r="15" spans="1:11" x14ac:dyDescent="0.2">
      <c r="A15" s="7"/>
      <c r="B15" s="2" t="s">
        <v>13</v>
      </c>
      <c r="C15" s="1" t="b">
        <v>0</v>
      </c>
      <c r="D15" s="8"/>
      <c r="E15" s="4"/>
      <c r="F15" s="4"/>
      <c r="G15" s="4"/>
      <c r="H15" s="4"/>
      <c r="I15" s="4"/>
      <c r="J15" s="4"/>
      <c r="K15" s="4"/>
    </row>
    <row r="16" spans="1:11" x14ac:dyDescent="0.2">
      <c r="A16" s="4"/>
      <c r="B16" s="10"/>
      <c r="C16" s="10"/>
      <c r="D16" s="4"/>
      <c r="E16" s="4"/>
      <c r="F16" s="4"/>
      <c r="G16" s="4"/>
      <c r="H16" s="4"/>
      <c r="I16" s="4"/>
      <c r="J16" s="4"/>
      <c r="K16" s="4"/>
    </row>
    <row r="17" spans="1:11" x14ac:dyDescent="0.2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</row>
  </sheetData>
  <dataValidations count="1">
    <dataValidation type="list" showInputMessage="1" showErrorMessage="1" sqref="C15" xr:uid="{00000000-0002-0000-0000-000000000000}">
      <formula1>"True,False"</formula1>
    </dataValidation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711200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73"/>
  <sheetViews>
    <sheetView zoomScale="150" zoomScaleNormal="150" workbookViewId="0">
      <pane ySplit="1" topLeftCell="A2" activePane="bottomLeft" state="frozen"/>
      <selection pane="bottomLeft" activeCell="F9" sqref="F9"/>
    </sheetView>
  </sheetViews>
  <sheetFormatPr baseColWidth="10" defaultColWidth="8.83203125" defaultRowHeight="15" x14ac:dyDescent="0.2"/>
  <cols>
    <col min="1" max="1" width="51.1640625" customWidth="1"/>
    <col min="2" max="10" width="25" customWidth="1"/>
  </cols>
  <sheetData>
    <row r="1" spans="1:10" ht="20" customHeight="1" x14ac:dyDescent="0.2">
      <c r="A1" s="18" t="s">
        <v>21</v>
      </c>
      <c r="B1" s="11" t="s">
        <v>76</v>
      </c>
      <c r="C1" s="11" t="s">
        <v>78</v>
      </c>
      <c r="D1" s="11" t="s">
        <v>23</v>
      </c>
      <c r="E1" s="11" t="s">
        <v>82</v>
      </c>
      <c r="F1" s="11" t="s">
        <v>84</v>
      </c>
      <c r="G1" s="11" t="s">
        <v>85</v>
      </c>
      <c r="H1" s="11" t="s">
        <v>86</v>
      </c>
      <c r="I1" s="11" t="s">
        <v>87</v>
      </c>
      <c r="J1" s="11" t="s">
        <v>90</v>
      </c>
    </row>
    <row r="2" spans="1:10" x14ac:dyDescent="0.2">
      <c r="A2" s="15" t="s">
        <v>102</v>
      </c>
      <c r="B2" s="19" t="str">
        <f>IF(sample_design[[#This Row],[Sample Design Name]]="","",SUBSTITUTE(SUBSTITUTE(TRIM(LOWER(sample_design[[#This Row],[Sample Design Name]]))," ","_"),"-","_"))</f>
        <v>m9only</v>
      </c>
      <c r="C2" s="12"/>
      <c r="D2" s="12"/>
      <c r="E2" s="12"/>
      <c r="F2" s="12" t="s">
        <v>101</v>
      </c>
      <c r="G2" s="16"/>
      <c r="H2" s="12"/>
      <c r="I2" s="12"/>
      <c r="J2" s="12"/>
    </row>
    <row r="3" spans="1:10" x14ac:dyDescent="0.2">
      <c r="A3" t="s">
        <v>110</v>
      </c>
      <c r="B3" s="20" t="str">
        <f>IF(sample_design[[#This Row],[Sample Design Name]]="","",SUBSTITUTE(SUBSTITUTE(TRIM(LOWER(sample_design[[#This Row],[Sample Design Name]]))," ","_"),"-","_"))</f>
        <v>mg1655_dlac_align_vanr_301_m9</v>
      </c>
      <c r="E3" t="s">
        <v>105</v>
      </c>
      <c r="F3" t="s">
        <v>101</v>
      </c>
      <c r="G3" s="16"/>
    </row>
    <row r="4" spans="1:10" x14ac:dyDescent="0.2">
      <c r="A4" t="s">
        <v>111</v>
      </c>
      <c r="B4" s="20" t="str">
        <f>IF(sample_design[[#This Row],[Sample Design Name]]="","",SUBSTITUTE(SUBSTITUTE(TRIM(LOWER(sample_design[[#This Row],[Sample Design Name]]))," ","_"),"-","_"))</f>
        <v>mg1655_dlac_p150_r1_5_vanr_wt_pvanr_m9</v>
      </c>
      <c r="E4" t="s">
        <v>107</v>
      </c>
      <c r="F4" t="s">
        <v>101</v>
      </c>
      <c r="G4" s="16"/>
    </row>
    <row r="5" spans="1:10" x14ac:dyDescent="0.2">
      <c r="A5" t="s">
        <v>112</v>
      </c>
      <c r="B5" s="20" t="str">
        <f>IF(sample_design[[#This Row],[Sample Design Name]]="","",SUBSTITUTE(SUBSTITUTE(TRIM(LOWER(sample_design[[#This Row],[Sample Design Name]]))," ","_"),"-","_"))</f>
        <v>mg1655_dlac_pbcd_nofp_m9</v>
      </c>
      <c r="E5" t="s">
        <v>109</v>
      </c>
      <c r="F5" t="s">
        <v>101</v>
      </c>
      <c r="G5" s="16"/>
    </row>
    <row r="6" spans="1:10" x14ac:dyDescent="0.2">
      <c r="A6" t="s">
        <v>117</v>
      </c>
      <c r="B6" s="20" t="str">
        <f>IF(sample_design[[#This Row],[Sample Design Name]]="","",SUBSTITUTE(SUBSTITUTE(TRIM(LOWER(sample_design[[#This Row],[Sample Design Name]]))," ","_"),"-","_"))</f>
        <v>mg1655_dlac_pvanr_am_a1t_mscar_m9</v>
      </c>
      <c r="E6" t="s">
        <v>114</v>
      </c>
      <c r="F6" t="s">
        <v>101</v>
      </c>
      <c r="G6" s="16"/>
    </row>
    <row r="7" spans="1:10" x14ac:dyDescent="0.2">
      <c r="A7" t="s">
        <v>118</v>
      </c>
      <c r="B7" s="20" t="str">
        <f>IF(sample_design[[#This Row],[Sample Design Name]]="","",SUBSTITUTE(SUBSTITUTE(TRIM(LOWER(sample_design[[#This Row],[Sample Design Name]]))," ","_"),"-","_"))</f>
        <v>mg1655_dlac_pvanr_am_t2a_mscar_m9</v>
      </c>
      <c r="E7" t="s">
        <v>116</v>
      </c>
      <c r="F7" t="s">
        <v>101</v>
      </c>
      <c r="G7" s="16"/>
    </row>
    <row r="8" spans="1:10" x14ac:dyDescent="0.2">
      <c r="A8" s="15" t="s">
        <v>137</v>
      </c>
      <c r="B8" s="20" t="str">
        <f>IF(sample_design[[#This Row],[Sample Design Name]]="","",SUBSTITUTE(SUBSTITUTE(TRIM(LOWER(sample_design[[#This Row],[Sample Design Name]]))," ","_"),"-","_"))</f>
        <v>m9only_van_24</v>
      </c>
      <c r="C8" s="16"/>
      <c r="D8" s="16"/>
      <c r="E8" s="16"/>
      <c r="F8" s="16" t="s">
        <v>101</v>
      </c>
      <c r="G8" s="16" t="s">
        <v>121</v>
      </c>
      <c r="H8" s="16"/>
      <c r="I8" s="16"/>
      <c r="J8" s="16"/>
    </row>
    <row r="9" spans="1:10" x14ac:dyDescent="0.2">
      <c r="A9" t="s">
        <v>132</v>
      </c>
      <c r="B9" s="20" t="str">
        <f>IF(sample_design[[#This Row],[Sample Design Name]]="","",SUBSTITUTE(SUBSTITUTE(TRIM(LOWER(sample_design[[#This Row],[Sample Design Name]]))," ","_"),"-","_"))</f>
        <v>mg1655_dlac_align_vanr_301_m9_van_24</v>
      </c>
      <c r="C9" s="16"/>
      <c r="D9" s="16"/>
      <c r="E9" s="16" t="s">
        <v>105</v>
      </c>
      <c r="F9" s="16" t="s">
        <v>101</v>
      </c>
      <c r="G9" s="16" t="s">
        <v>121</v>
      </c>
      <c r="H9" s="16"/>
      <c r="I9" s="16"/>
      <c r="J9" s="16"/>
    </row>
    <row r="10" spans="1:10" x14ac:dyDescent="0.2">
      <c r="A10" t="s">
        <v>133</v>
      </c>
      <c r="B10" s="20" t="str">
        <f>IF(sample_design[[#This Row],[Sample Design Name]]="","",SUBSTITUTE(SUBSTITUTE(TRIM(LOWER(sample_design[[#This Row],[Sample Design Name]]))," ","_"),"-","_"))</f>
        <v>mg1655_dlac_p150_r1_5_vanr_wt_pvanr_m9_van_24</v>
      </c>
      <c r="C10" s="16"/>
      <c r="D10" s="16"/>
      <c r="E10" s="16" t="s">
        <v>107</v>
      </c>
      <c r="F10" s="16" t="s">
        <v>101</v>
      </c>
      <c r="G10" s="16" t="s">
        <v>121</v>
      </c>
      <c r="H10" s="16"/>
      <c r="I10" s="16"/>
      <c r="J10" s="16"/>
    </row>
    <row r="11" spans="1:10" x14ac:dyDescent="0.2">
      <c r="A11" t="s">
        <v>134</v>
      </c>
      <c r="B11" s="20" t="str">
        <f>IF(sample_design[[#This Row],[Sample Design Name]]="","",SUBSTITUTE(SUBSTITUTE(TRIM(LOWER(sample_design[[#This Row],[Sample Design Name]]))," ","_"),"-","_"))</f>
        <v>mg1655_dlac_pbcd_nofp_m9_van_24</v>
      </c>
      <c r="C11" s="16"/>
      <c r="D11" s="16"/>
      <c r="E11" s="16" t="s">
        <v>109</v>
      </c>
      <c r="F11" s="16" t="s">
        <v>101</v>
      </c>
      <c r="G11" s="16" t="s">
        <v>121</v>
      </c>
      <c r="H11" s="16"/>
      <c r="I11" s="16"/>
      <c r="J11" s="16"/>
    </row>
    <row r="12" spans="1:10" x14ac:dyDescent="0.2">
      <c r="A12" t="s">
        <v>135</v>
      </c>
      <c r="B12" s="20" t="str">
        <f>IF(sample_design[[#This Row],[Sample Design Name]]="","",SUBSTITUTE(SUBSTITUTE(TRIM(LOWER(sample_design[[#This Row],[Sample Design Name]]))," ","_"),"-","_"))</f>
        <v>mg1655_dlac_pvanr_am_a1t_mscar_m9_van_24</v>
      </c>
      <c r="C12" s="16"/>
      <c r="D12" s="16"/>
      <c r="E12" s="16" t="s">
        <v>114</v>
      </c>
      <c r="F12" s="16" t="s">
        <v>101</v>
      </c>
      <c r="G12" s="16" t="s">
        <v>121</v>
      </c>
      <c r="H12" s="16"/>
      <c r="I12" s="16"/>
      <c r="J12" s="16"/>
    </row>
    <row r="13" spans="1:10" x14ac:dyDescent="0.2">
      <c r="A13" t="s">
        <v>136</v>
      </c>
      <c r="B13" s="21" t="str">
        <f>IF(sample_design[[#This Row],[Sample Design Name]]="","",SUBSTITUTE(SUBSTITUTE(TRIM(LOWER(sample_design[[#This Row],[Sample Design Name]]))," ","_"),"-","_"))</f>
        <v>mg1655_dlac_pvanr_am_t2a_mscar_m9_van_24</v>
      </c>
      <c r="C13" s="16"/>
      <c r="D13" s="16"/>
      <c r="E13" s="16" t="s">
        <v>116</v>
      </c>
      <c r="F13" s="16" t="s">
        <v>101</v>
      </c>
      <c r="G13" s="16" t="s">
        <v>121</v>
      </c>
      <c r="H13" s="16"/>
      <c r="I13" s="16"/>
      <c r="J13" s="16"/>
    </row>
    <row r="14" spans="1:10" x14ac:dyDescent="0.2">
      <c r="A14" s="15" t="s">
        <v>138</v>
      </c>
      <c r="B14" s="20" t="str">
        <f>IF(sample_design[[#This Row],[Sample Design Name]]="","",SUBSTITUTE(SUBSTITUTE(TRIM(LOWER(sample_design[[#This Row],[Sample Design Name]]))," ","_"),"-","_"))</f>
        <v>m9only_van_49</v>
      </c>
      <c r="C14" s="16"/>
      <c r="D14" s="16"/>
      <c r="E14" s="16"/>
      <c r="F14" s="16" t="s">
        <v>101</v>
      </c>
      <c r="G14" s="16" t="s">
        <v>122</v>
      </c>
      <c r="H14" s="16"/>
      <c r="I14" s="16"/>
      <c r="J14" s="16"/>
    </row>
    <row r="15" spans="1:10" x14ac:dyDescent="0.2">
      <c r="A15" t="s">
        <v>139</v>
      </c>
      <c r="B15" s="20" t="str">
        <f>IF(sample_design[[#This Row],[Sample Design Name]]="","",SUBSTITUTE(SUBSTITUTE(TRIM(LOWER(sample_design[[#This Row],[Sample Design Name]]))," ","_"),"-","_"))</f>
        <v>mg1655_dlac_align_vanr_301_m9_van_49</v>
      </c>
      <c r="C15" s="16"/>
      <c r="D15" s="16"/>
      <c r="E15" s="16" t="s">
        <v>105</v>
      </c>
      <c r="F15" s="16" t="s">
        <v>101</v>
      </c>
      <c r="G15" s="16" t="s">
        <v>122</v>
      </c>
      <c r="H15" s="16"/>
      <c r="I15" s="16"/>
      <c r="J15" s="16"/>
    </row>
    <row r="16" spans="1:10" x14ac:dyDescent="0.2">
      <c r="A16" t="s">
        <v>140</v>
      </c>
      <c r="B16" s="20" t="str">
        <f>IF(sample_design[[#This Row],[Sample Design Name]]="","",SUBSTITUTE(SUBSTITUTE(TRIM(LOWER(sample_design[[#This Row],[Sample Design Name]]))," ","_"),"-","_"))</f>
        <v>mg1655_dlac_p150_r1_5_vanr_wt_pvanr_m9_van_49</v>
      </c>
      <c r="C16" s="16"/>
      <c r="D16" s="16"/>
      <c r="E16" s="16" t="s">
        <v>107</v>
      </c>
      <c r="F16" s="16" t="s">
        <v>101</v>
      </c>
      <c r="G16" s="16" t="s">
        <v>122</v>
      </c>
      <c r="H16" s="16"/>
      <c r="I16" s="16"/>
      <c r="J16" s="16"/>
    </row>
    <row r="17" spans="1:10" x14ac:dyDescent="0.2">
      <c r="A17" t="s">
        <v>141</v>
      </c>
      <c r="B17" s="20" t="str">
        <f>IF(sample_design[[#This Row],[Sample Design Name]]="","",SUBSTITUTE(SUBSTITUTE(TRIM(LOWER(sample_design[[#This Row],[Sample Design Name]]))," ","_"),"-","_"))</f>
        <v>mg1655_dlac_pbcd_nofp_m9_van_49</v>
      </c>
      <c r="C17" s="16"/>
      <c r="D17" s="16"/>
      <c r="E17" s="16" t="s">
        <v>109</v>
      </c>
      <c r="F17" s="16" t="s">
        <v>101</v>
      </c>
      <c r="G17" s="16" t="s">
        <v>122</v>
      </c>
      <c r="H17" s="16"/>
      <c r="I17" s="16"/>
      <c r="J17" s="16"/>
    </row>
    <row r="18" spans="1:10" x14ac:dyDescent="0.2">
      <c r="A18" t="s">
        <v>142</v>
      </c>
      <c r="B18" s="20" t="str">
        <f>IF(sample_design[[#This Row],[Sample Design Name]]="","",SUBSTITUTE(SUBSTITUTE(TRIM(LOWER(sample_design[[#This Row],[Sample Design Name]]))," ","_"),"-","_"))</f>
        <v>mg1655_dlac_pvanr_am_a1t_mscar_m9_van_49</v>
      </c>
      <c r="C18" s="16"/>
      <c r="D18" s="16"/>
      <c r="E18" s="16" t="s">
        <v>114</v>
      </c>
      <c r="F18" s="16" t="s">
        <v>101</v>
      </c>
      <c r="G18" s="16" t="s">
        <v>122</v>
      </c>
      <c r="H18" s="16"/>
      <c r="I18" s="16"/>
      <c r="J18" s="16"/>
    </row>
    <row r="19" spans="1:10" x14ac:dyDescent="0.2">
      <c r="A19" t="s">
        <v>143</v>
      </c>
      <c r="B19" s="21" t="str">
        <f>IF(sample_design[[#This Row],[Sample Design Name]]="","",SUBSTITUTE(SUBSTITUTE(TRIM(LOWER(sample_design[[#This Row],[Sample Design Name]]))," ","_"),"-","_"))</f>
        <v>mg1655_dlac_pvanr_am_t2a_mscar_m9_van_49</v>
      </c>
      <c r="C19" s="16"/>
      <c r="D19" s="16"/>
      <c r="E19" s="16" t="s">
        <v>116</v>
      </c>
      <c r="F19" s="16" t="s">
        <v>101</v>
      </c>
      <c r="G19" s="16" t="s">
        <v>122</v>
      </c>
      <c r="H19" s="16"/>
      <c r="I19" s="16"/>
      <c r="J19" s="16"/>
    </row>
    <row r="20" spans="1:10" x14ac:dyDescent="0.2">
      <c r="A20" s="15" t="s">
        <v>144</v>
      </c>
      <c r="B20" s="20" t="str">
        <f>IF(sample_design[[#This Row],[Sample Design Name]]="","",SUBSTITUTE(SUBSTITUTE(TRIM(LOWER(sample_design[[#This Row],[Sample Design Name]]))," ","_"),"-","_"))</f>
        <v>m9only_van_98</v>
      </c>
      <c r="C20" s="16"/>
      <c r="D20" s="16"/>
      <c r="E20" s="16"/>
      <c r="F20" s="16" t="s">
        <v>101</v>
      </c>
      <c r="G20" s="16" t="s">
        <v>123</v>
      </c>
      <c r="H20" s="16"/>
      <c r="I20" s="16"/>
      <c r="J20" s="16"/>
    </row>
    <row r="21" spans="1:10" x14ac:dyDescent="0.2">
      <c r="A21" t="s">
        <v>145</v>
      </c>
      <c r="B21" s="20" t="str">
        <f>IF(sample_design[[#This Row],[Sample Design Name]]="","",SUBSTITUTE(SUBSTITUTE(TRIM(LOWER(sample_design[[#This Row],[Sample Design Name]]))," ","_"),"-","_"))</f>
        <v>mg1655_dlac_align_vanr_301_m9_van_98</v>
      </c>
      <c r="C21" s="16"/>
      <c r="D21" s="16"/>
      <c r="E21" s="16" t="s">
        <v>105</v>
      </c>
      <c r="F21" s="16" t="s">
        <v>101</v>
      </c>
      <c r="G21" s="16" t="s">
        <v>123</v>
      </c>
      <c r="H21" s="16"/>
      <c r="I21" s="16"/>
      <c r="J21" s="16"/>
    </row>
    <row r="22" spans="1:10" x14ac:dyDescent="0.2">
      <c r="A22" t="s">
        <v>146</v>
      </c>
      <c r="B22" s="20" t="str">
        <f>IF(sample_design[[#This Row],[Sample Design Name]]="","",SUBSTITUTE(SUBSTITUTE(TRIM(LOWER(sample_design[[#This Row],[Sample Design Name]]))," ","_"),"-","_"))</f>
        <v>mg1655_dlac_p150_r1_5_vanr_wt_pvanr_m9_van_98</v>
      </c>
      <c r="C22" s="16"/>
      <c r="D22" s="16"/>
      <c r="E22" s="16" t="s">
        <v>107</v>
      </c>
      <c r="F22" s="16" t="s">
        <v>101</v>
      </c>
      <c r="G22" s="16" t="s">
        <v>123</v>
      </c>
      <c r="H22" s="16"/>
      <c r="I22" s="16"/>
      <c r="J22" s="16"/>
    </row>
    <row r="23" spans="1:10" x14ac:dyDescent="0.2">
      <c r="A23" t="s">
        <v>147</v>
      </c>
      <c r="B23" s="20" t="str">
        <f>IF(sample_design[[#This Row],[Sample Design Name]]="","",SUBSTITUTE(SUBSTITUTE(TRIM(LOWER(sample_design[[#This Row],[Sample Design Name]]))," ","_"),"-","_"))</f>
        <v>mg1655_dlac_pbcd_nofp_m9_van_98</v>
      </c>
      <c r="C23" s="16"/>
      <c r="D23" s="16"/>
      <c r="E23" s="16" t="s">
        <v>109</v>
      </c>
      <c r="F23" s="16" t="s">
        <v>101</v>
      </c>
      <c r="G23" s="16" t="s">
        <v>123</v>
      </c>
      <c r="H23" s="16"/>
      <c r="I23" s="16"/>
      <c r="J23" s="16"/>
    </row>
    <row r="24" spans="1:10" x14ac:dyDescent="0.2">
      <c r="A24" t="s">
        <v>148</v>
      </c>
      <c r="B24" s="20" t="str">
        <f>IF(sample_design[[#This Row],[Sample Design Name]]="","",SUBSTITUTE(SUBSTITUTE(TRIM(LOWER(sample_design[[#This Row],[Sample Design Name]]))," ","_"),"-","_"))</f>
        <v>mg1655_dlac_pvanr_am_a1t_mscar_m9_van_98</v>
      </c>
      <c r="C24" s="16"/>
      <c r="D24" s="16"/>
      <c r="E24" s="16" t="s">
        <v>114</v>
      </c>
      <c r="F24" s="16" t="s">
        <v>101</v>
      </c>
      <c r="G24" s="16" t="s">
        <v>123</v>
      </c>
      <c r="H24" s="16"/>
      <c r="I24" s="16"/>
      <c r="J24" s="16"/>
    </row>
    <row r="25" spans="1:10" x14ac:dyDescent="0.2">
      <c r="A25" t="s">
        <v>149</v>
      </c>
      <c r="B25" s="21" t="str">
        <f>IF(sample_design[[#This Row],[Sample Design Name]]="","",SUBSTITUTE(SUBSTITUTE(TRIM(LOWER(sample_design[[#This Row],[Sample Design Name]]))," ","_"),"-","_"))</f>
        <v>mg1655_dlac_pvanr_am_t2a_mscar_m9_van_98</v>
      </c>
      <c r="C25" s="16"/>
      <c r="D25" s="16"/>
      <c r="E25" s="16" t="s">
        <v>116</v>
      </c>
      <c r="F25" s="16" t="s">
        <v>101</v>
      </c>
      <c r="G25" s="16" t="s">
        <v>123</v>
      </c>
      <c r="H25" s="16"/>
      <c r="I25" s="16"/>
      <c r="J25" s="16"/>
    </row>
    <row r="26" spans="1:10" x14ac:dyDescent="0.2">
      <c r="A26" s="15" t="s">
        <v>150</v>
      </c>
      <c r="B26" s="20" t="str">
        <f>IF(sample_design[[#This Row],[Sample Design Name]]="","",SUBSTITUTE(SUBSTITUTE(TRIM(LOWER(sample_design[[#This Row],[Sample Design Name]]))," ","_"),"-","_"))</f>
        <v>m9only_van_195</v>
      </c>
      <c r="C26" s="16"/>
      <c r="D26" s="16"/>
      <c r="E26" s="16"/>
      <c r="F26" s="16" t="s">
        <v>101</v>
      </c>
      <c r="G26" s="16" t="s">
        <v>124</v>
      </c>
      <c r="H26" s="16"/>
      <c r="I26" s="16"/>
      <c r="J26" s="16"/>
    </row>
    <row r="27" spans="1:10" x14ac:dyDescent="0.2">
      <c r="A27" t="s">
        <v>151</v>
      </c>
      <c r="B27" s="20" t="str">
        <f>IF(sample_design[[#This Row],[Sample Design Name]]="","",SUBSTITUTE(SUBSTITUTE(TRIM(LOWER(sample_design[[#This Row],[Sample Design Name]]))," ","_"),"-","_"))</f>
        <v>mg1655_dlac_align_vanr_301_m9_van_195</v>
      </c>
      <c r="C27" s="16"/>
      <c r="D27" s="16"/>
      <c r="E27" s="16" t="s">
        <v>105</v>
      </c>
      <c r="F27" s="16" t="s">
        <v>101</v>
      </c>
      <c r="G27" s="16" t="s">
        <v>124</v>
      </c>
      <c r="H27" s="16"/>
      <c r="I27" s="16"/>
      <c r="J27" s="16"/>
    </row>
    <row r="28" spans="1:10" x14ac:dyDescent="0.2">
      <c r="A28" t="s">
        <v>152</v>
      </c>
      <c r="B28" s="20" t="str">
        <f>IF(sample_design[[#This Row],[Sample Design Name]]="","",SUBSTITUTE(SUBSTITUTE(TRIM(LOWER(sample_design[[#This Row],[Sample Design Name]]))," ","_"),"-","_"))</f>
        <v>mg1655_dlac_p150_r1_5_vanr_wt_pvanr_m9_van_195</v>
      </c>
      <c r="C28" s="16"/>
      <c r="D28" s="16"/>
      <c r="E28" s="16" t="s">
        <v>107</v>
      </c>
      <c r="F28" s="16" t="s">
        <v>101</v>
      </c>
      <c r="G28" s="16" t="s">
        <v>124</v>
      </c>
      <c r="H28" s="16"/>
      <c r="I28" s="16"/>
      <c r="J28" s="16"/>
    </row>
    <row r="29" spans="1:10" x14ac:dyDescent="0.2">
      <c r="A29" t="s">
        <v>153</v>
      </c>
      <c r="B29" s="20" t="str">
        <f>IF(sample_design[[#This Row],[Sample Design Name]]="","",SUBSTITUTE(SUBSTITUTE(TRIM(LOWER(sample_design[[#This Row],[Sample Design Name]]))," ","_"),"-","_"))</f>
        <v>mg1655_dlac_pbcd_nofp_m9_van_195</v>
      </c>
      <c r="C29" s="16"/>
      <c r="D29" s="16"/>
      <c r="E29" s="16" t="s">
        <v>109</v>
      </c>
      <c r="F29" s="16" t="s">
        <v>101</v>
      </c>
      <c r="G29" s="16" t="s">
        <v>124</v>
      </c>
      <c r="H29" s="16"/>
      <c r="I29" s="16"/>
      <c r="J29" s="16"/>
    </row>
    <row r="30" spans="1:10" x14ac:dyDescent="0.2">
      <c r="A30" t="s">
        <v>154</v>
      </c>
      <c r="B30" s="20" t="str">
        <f>IF(sample_design[[#This Row],[Sample Design Name]]="","",SUBSTITUTE(SUBSTITUTE(TRIM(LOWER(sample_design[[#This Row],[Sample Design Name]]))," ","_"),"-","_"))</f>
        <v>mg1655_dlac_pvanr_am_a1t_mscar_m9_van_195</v>
      </c>
      <c r="C30" s="16"/>
      <c r="D30" s="16"/>
      <c r="E30" s="16" t="s">
        <v>114</v>
      </c>
      <c r="F30" s="16" t="s">
        <v>101</v>
      </c>
      <c r="G30" s="16" t="s">
        <v>124</v>
      </c>
      <c r="H30" s="16"/>
      <c r="I30" s="16"/>
      <c r="J30" s="16"/>
    </row>
    <row r="31" spans="1:10" x14ac:dyDescent="0.2">
      <c r="A31" t="s">
        <v>155</v>
      </c>
      <c r="B31" s="21" t="str">
        <f>IF(sample_design[[#This Row],[Sample Design Name]]="","",SUBSTITUTE(SUBSTITUTE(TRIM(LOWER(sample_design[[#This Row],[Sample Design Name]]))," ","_"),"-","_"))</f>
        <v>mg1655_dlac_pvanr_am_t2a_mscar_m9_van_195</v>
      </c>
      <c r="C31" s="16"/>
      <c r="D31" s="16"/>
      <c r="E31" s="16" t="s">
        <v>116</v>
      </c>
      <c r="F31" s="16" t="s">
        <v>101</v>
      </c>
      <c r="G31" s="16" t="s">
        <v>124</v>
      </c>
      <c r="H31" s="16"/>
      <c r="I31" s="16"/>
      <c r="J31" s="16"/>
    </row>
    <row r="32" spans="1:10" x14ac:dyDescent="0.2">
      <c r="A32" s="15" t="s">
        <v>156</v>
      </c>
      <c r="B32" s="20" t="str">
        <f>IF(sample_design[[#This Row],[Sample Design Name]]="","",SUBSTITUTE(SUBSTITUTE(TRIM(LOWER(sample_design[[#This Row],[Sample Design Name]]))," ","_"),"-","_"))</f>
        <v>m9only_van_391</v>
      </c>
      <c r="C32" s="16"/>
      <c r="D32" s="16"/>
      <c r="E32" s="16"/>
      <c r="F32" s="16" t="s">
        <v>101</v>
      </c>
      <c r="G32" s="16" t="s">
        <v>125</v>
      </c>
      <c r="H32" s="16"/>
      <c r="I32" s="16"/>
      <c r="J32" s="16"/>
    </row>
    <row r="33" spans="1:10" x14ac:dyDescent="0.2">
      <c r="A33" t="s">
        <v>157</v>
      </c>
      <c r="B33" s="20" t="str">
        <f>IF(sample_design[[#This Row],[Sample Design Name]]="","",SUBSTITUTE(SUBSTITUTE(TRIM(LOWER(sample_design[[#This Row],[Sample Design Name]]))," ","_"),"-","_"))</f>
        <v>mg1655_dlac_align_vanr_301_m9_van_391</v>
      </c>
      <c r="C33" s="16"/>
      <c r="D33" s="16"/>
      <c r="E33" s="16" t="s">
        <v>105</v>
      </c>
      <c r="F33" s="16" t="s">
        <v>101</v>
      </c>
      <c r="G33" s="16" t="s">
        <v>125</v>
      </c>
      <c r="H33" s="16"/>
      <c r="I33" s="16"/>
      <c r="J33" s="16"/>
    </row>
    <row r="34" spans="1:10" x14ac:dyDescent="0.2">
      <c r="A34" t="s">
        <v>158</v>
      </c>
      <c r="B34" s="20" t="str">
        <f>IF(sample_design[[#This Row],[Sample Design Name]]="","",SUBSTITUTE(SUBSTITUTE(TRIM(LOWER(sample_design[[#This Row],[Sample Design Name]]))," ","_"),"-","_"))</f>
        <v>mg1655_dlac_p150_r1_5_vanr_wt_pvanr_m9_van_391</v>
      </c>
      <c r="C34" s="16"/>
      <c r="D34" s="16"/>
      <c r="E34" s="16" t="s">
        <v>107</v>
      </c>
      <c r="F34" s="16" t="s">
        <v>101</v>
      </c>
      <c r="G34" s="16" t="s">
        <v>125</v>
      </c>
      <c r="H34" s="16"/>
      <c r="I34" s="16"/>
      <c r="J34" s="16"/>
    </row>
    <row r="35" spans="1:10" x14ac:dyDescent="0.2">
      <c r="A35" t="s">
        <v>159</v>
      </c>
      <c r="B35" s="20" t="str">
        <f>IF(sample_design[[#This Row],[Sample Design Name]]="","",SUBSTITUTE(SUBSTITUTE(TRIM(LOWER(sample_design[[#This Row],[Sample Design Name]]))," ","_"),"-","_"))</f>
        <v>mg1655_dlac_pbcd_nofp_m9_van_391</v>
      </c>
      <c r="C35" s="16"/>
      <c r="D35" s="16"/>
      <c r="E35" s="16" t="s">
        <v>109</v>
      </c>
      <c r="F35" s="16" t="s">
        <v>101</v>
      </c>
      <c r="G35" s="16" t="s">
        <v>125</v>
      </c>
      <c r="H35" s="16"/>
      <c r="I35" s="16"/>
      <c r="J35" s="16"/>
    </row>
    <row r="36" spans="1:10" x14ac:dyDescent="0.2">
      <c r="A36" t="s">
        <v>160</v>
      </c>
      <c r="B36" s="20" t="str">
        <f>IF(sample_design[[#This Row],[Sample Design Name]]="","",SUBSTITUTE(SUBSTITUTE(TRIM(LOWER(sample_design[[#This Row],[Sample Design Name]]))," ","_"),"-","_"))</f>
        <v>mg1655_dlac_pvanr_am_a1t_mscar_m9_van_391</v>
      </c>
      <c r="C36" s="16"/>
      <c r="D36" s="16"/>
      <c r="E36" s="16" t="s">
        <v>114</v>
      </c>
      <c r="F36" s="16" t="s">
        <v>101</v>
      </c>
      <c r="G36" s="16" t="s">
        <v>125</v>
      </c>
      <c r="H36" s="16"/>
      <c r="I36" s="16"/>
      <c r="J36" s="16"/>
    </row>
    <row r="37" spans="1:10" x14ac:dyDescent="0.2">
      <c r="A37" t="s">
        <v>161</v>
      </c>
      <c r="B37" s="21" t="str">
        <f>IF(sample_design[[#This Row],[Sample Design Name]]="","",SUBSTITUTE(SUBSTITUTE(TRIM(LOWER(sample_design[[#This Row],[Sample Design Name]]))," ","_"),"-","_"))</f>
        <v>mg1655_dlac_pvanr_am_t2a_mscar_m9_van_391</v>
      </c>
      <c r="C37" s="16"/>
      <c r="D37" s="16"/>
      <c r="E37" s="16" t="s">
        <v>116</v>
      </c>
      <c r="F37" s="16" t="s">
        <v>101</v>
      </c>
      <c r="G37" s="16" t="s">
        <v>125</v>
      </c>
      <c r="H37" s="16"/>
      <c r="I37" s="16"/>
      <c r="J37" s="16"/>
    </row>
    <row r="38" spans="1:10" x14ac:dyDescent="0.2">
      <c r="A38" s="15" t="s">
        <v>162</v>
      </c>
      <c r="B38" s="20" t="str">
        <f>IF(sample_design[[#This Row],[Sample Design Name]]="","",SUBSTITUTE(SUBSTITUTE(TRIM(LOWER(sample_design[[#This Row],[Sample Design Name]]))," ","_"),"-","_"))</f>
        <v>m9only_van_781</v>
      </c>
      <c r="C38" s="16"/>
      <c r="D38" s="16"/>
      <c r="E38" s="16"/>
      <c r="F38" s="16" t="s">
        <v>101</v>
      </c>
      <c r="G38" s="16" t="s">
        <v>126</v>
      </c>
      <c r="H38" s="16"/>
      <c r="I38" s="16"/>
      <c r="J38" s="16"/>
    </row>
    <row r="39" spans="1:10" x14ac:dyDescent="0.2">
      <c r="A39" t="s">
        <v>163</v>
      </c>
      <c r="B39" s="20" t="str">
        <f>IF(sample_design[[#This Row],[Sample Design Name]]="","",SUBSTITUTE(SUBSTITUTE(TRIM(LOWER(sample_design[[#This Row],[Sample Design Name]]))," ","_"),"-","_"))</f>
        <v>mg1655_dlac_align_vanr_301_m9_van_781</v>
      </c>
      <c r="C39" s="16"/>
      <c r="D39" s="16"/>
      <c r="E39" s="16" t="s">
        <v>105</v>
      </c>
      <c r="F39" s="16" t="s">
        <v>101</v>
      </c>
      <c r="G39" s="16" t="s">
        <v>126</v>
      </c>
      <c r="H39" s="16"/>
      <c r="I39" s="16"/>
      <c r="J39" s="16"/>
    </row>
    <row r="40" spans="1:10" x14ac:dyDescent="0.2">
      <c r="A40" t="s">
        <v>164</v>
      </c>
      <c r="B40" s="20" t="str">
        <f>IF(sample_design[[#This Row],[Sample Design Name]]="","",SUBSTITUTE(SUBSTITUTE(TRIM(LOWER(sample_design[[#This Row],[Sample Design Name]]))," ","_"),"-","_"))</f>
        <v>mg1655_dlac_p150_r1_5_vanr_wt_pvanr_m9_van_781</v>
      </c>
      <c r="C40" s="16"/>
      <c r="D40" s="16"/>
      <c r="E40" s="16" t="s">
        <v>107</v>
      </c>
      <c r="F40" s="16" t="s">
        <v>101</v>
      </c>
      <c r="G40" s="16" t="s">
        <v>126</v>
      </c>
      <c r="H40" s="16"/>
      <c r="I40" s="16"/>
      <c r="J40" s="16"/>
    </row>
    <row r="41" spans="1:10" x14ac:dyDescent="0.2">
      <c r="A41" t="s">
        <v>165</v>
      </c>
      <c r="B41" s="20" t="str">
        <f>IF(sample_design[[#This Row],[Sample Design Name]]="","",SUBSTITUTE(SUBSTITUTE(TRIM(LOWER(sample_design[[#This Row],[Sample Design Name]]))," ","_"),"-","_"))</f>
        <v>mg1655_dlac_pbcd_nofp_m9_van_781</v>
      </c>
      <c r="C41" s="16"/>
      <c r="D41" s="16"/>
      <c r="E41" s="16" t="s">
        <v>109</v>
      </c>
      <c r="F41" s="16" t="s">
        <v>101</v>
      </c>
      <c r="G41" s="16" t="s">
        <v>126</v>
      </c>
      <c r="H41" s="16"/>
      <c r="I41" s="16"/>
      <c r="J41" s="16"/>
    </row>
    <row r="42" spans="1:10" x14ac:dyDescent="0.2">
      <c r="A42" t="s">
        <v>166</v>
      </c>
      <c r="B42" s="20" t="str">
        <f>IF(sample_design[[#This Row],[Sample Design Name]]="","",SUBSTITUTE(SUBSTITUTE(TRIM(LOWER(sample_design[[#This Row],[Sample Design Name]]))," ","_"),"-","_"))</f>
        <v>mg1655_dlac_pvanr_am_a1t_mscar_m9_van_781</v>
      </c>
      <c r="C42" s="16"/>
      <c r="D42" s="16"/>
      <c r="E42" s="16" t="s">
        <v>114</v>
      </c>
      <c r="F42" s="16" t="s">
        <v>101</v>
      </c>
      <c r="G42" s="16" t="s">
        <v>126</v>
      </c>
      <c r="H42" s="16"/>
      <c r="I42" s="16"/>
      <c r="J42" s="16"/>
    </row>
    <row r="43" spans="1:10" x14ac:dyDescent="0.2">
      <c r="A43" t="s">
        <v>167</v>
      </c>
      <c r="B43" s="21" t="str">
        <f>IF(sample_design[[#This Row],[Sample Design Name]]="","",SUBSTITUTE(SUBSTITUTE(TRIM(LOWER(sample_design[[#This Row],[Sample Design Name]]))," ","_"),"-","_"))</f>
        <v>mg1655_dlac_pvanr_am_t2a_mscar_m9_van_781</v>
      </c>
      <c r="C43" s="16"/>
      <c r="D43" s="16"/>
      <c r="E43" s="16" t="s">
        <v>116</v>
      </c>
      <c r="F43" s="16" t="s">
        <v>101</v>
      </c>
      <c r="G43" s="16" t="s">
        <v>126</v>
      </c>
      <c r="H43" s="16"/>
      <c r="I43" s="16"/>
      <c r="J43" s="16"/>
    </row>
    <row r="44" spans="1:10" x14ac:dyDescent="0.2">
      <c r="A44" s="15" t="s">
        <v>168</v>
      </c>
      <c r="B44" s="20" t="str">
        <f>IF(sample_design[[#This Row],[Sample Design Name]]="","",SUBSTITUTE(SUBSTITUTE(TRIM(LOWER(sample_design[[#This Row],[Sample Design Name]]))," ","_"),"-","_"))</f>
        <v>m9only_van_1563</v>
      </c>
      <c r="C44" s="16"/>
      <c r="D44" s="16"/>
      <c r="E44" s="16"/>
      <c r="F44" s="16" t="s">
        <v>101</v>
      </c>
      <c r="G44" s="16" t="s">
        <v>127</v>
      </c>
      <c r="H44" s="16"/>
      <c r="I44" s="16"/>
      <c r="J44" s="16"/>
    </row>
    <row r="45" spans="1:10" x14ac:dyDescent="0.2">
      <c r="A45" t="s">
        <v>169</v>
      </c>
      <c r="B45" s="20" t="str">
        <f>IF(sample_design[[#This Row],[Sample Design Name]]="","",SUBSTITUTE(SUBSTITUTE(TRIM(LOWER(sample_design[[#This Row],[Sample Design Name]]))," ","_"),"-","_"))</f>
        <v>mg1655_dlac_align_vanr_301_m9_van_1563</v>
      </c>
      <c r="C45" s="16"/>
      <c r="D45" s="16"/>
      <c r="E45" s="16" t="s">
        <v>105</v>
      </c>
      <c r="F45" s="16" t="s">
        <v>101</v>
      </c>
      <c r="G45" s="16" t="s">
        <v>127</v>
      </c>
      <c r="H45" s="16"/>
      <c r="I45" s="16"/>
      <c r="J45" s="16"/>
    </row>
    <row r="46" spans="1:10" x14ac:dyDescent="0.2">
      <c r="A46" t="s">
        <v>170</v>
      </c>
      <c r="B46" s="20" t="str">
        <f>IF(sample_design[[#This Row],[Sample Design Name]]="","",SUBSTITUTE(SUBSTITUTE(TRIM(LOWER(sample_design[[#This Row],[Sample Design Name]]))," ","_"),"-","_"))</f>
        <v>mg1655_dlac_p150_r1_5_vanr_wt_pvanr_m9_van_1563</v>
      </c>
      <c r="C46" s="16"/>
      <c r="D46" s="16"/>
      <c r="E46" s="16" t="s">
        <v>107</v>
      </c>
      <c r="F46" s="16" t="s">
        <v>101</v>
      </c>
      <c r="G46" s="16" t="s">
        <v>127</v>
      </c>
      <c r="H46" s="16"/>
      <c r="I46" s="16"/>
      <c r="J46" s="16"/>
    </row>
    <row r="47" spans="1:10" x14ac:dyDescent="0.2">
      <c r="A47" t="s">
        <v>171</v>
      </c>
      <c r="B47" s="20" t="str">
        <f>IF(sample_design[[#This Row],[Sample Design Name]]="","",SUBSTITUTE(SUBSTITUTE(TRIM(LOWER(sample_design[[#This Row],[Sample Design Name]]))," ","_"),"-","_"))</f>
        <v>mg1655_dlac_pbcd_nofp_m9_van_1563</v>
      </c>
      <c r="C47" s="16"/>
      <c r="D47" s="16"/>
      <c r="E47" s="16" t="s">
        <v>109</v>
      </c>
      <c r="F47" s="16" t="s">
        <v>101</v>
      </c>
      <c r="G47" s="16" t="s">
        <v>127</v>
      </c>
      <c r="H47" s="16"/>
      <c r="I47" s="16"/>
      <c r="J47" s="16"/>
    </row>
    <row r="48" spans="1:10" x14ac:dyDescent="0.2">
      <c r="A48" t="s">
        <v>172</v>
      </c>
      <c r="B48" s="20" t="str">
        <f>IF(sample_design[[#This Row],[Sample Design Name]]="","",SUBSTITUTE(SUBSTITUTE(TRIM(LOWER(sample_design[[#This Row],[Sample Design Name]]))," ","_"),"-","_"))</f>
        <v>mg1655_dlac_pvanr_am_a1t_mscar_m9_van_1563</v>
      </c>
      <c r="C48" s="16"/>
      <c r="D48" s="16"/>
      <c r="E48" s="16" t="s">
        <v>114</v>
      </c>
      <c r="F48" s="16" t="s">
        <v>101</v>
      </c>
      <c r="G48" s="16" t="s">
        <v>127</v>
      </c>
      <c r="H48" s="16"/>
      <c r="I48" s="16"/>
      <c r="J48" s="16"/>
    </row>
    <row r="49" spans="1:10" x14ac:dyDescent="0.2">
      <c r="A49" t="s">
        <v>173</v>
      </c>
      <c r="B49" s="21" t="str">
        <f>IF(sample_design[[#This Row],[Sample Design Name]]="","",SUBSTITUTE(SUBSTITUTE(TRIM(LOWER(sample_design[[#This Row],[Sample Design Name]]))," ","_"),"-","_"))</f>
        <v>mg1655_dlac_pvanr_am_t2a_mscar_m9_van_1563</v>
      </c>
      <c r="C49" s="16"/>
      <c r="D49" s="16"/>
      <c r="E49" s="16" t="s">
        <v>116</v>
      </c>
      <c r="F49" s="16" t="s">
        <v>101</v>
      </c>
      <c r="G49" s="16" t="s">
        <v>127</v>
      </c>
      <c r="H49" s="16"/>
      <c r="I49" s="16"/>
      <c r="J49" s="16"/>
    </row>
    <row r="50" spans="1:10" x14ac:dyDescent="0.2">
      <c r="A50" s="15" t="s">
        <v>174</v>
      </c>
      <c r="B50" s="20" t="str">
        <f>IF(sample_design[[#This Row],[Sample Design Name]]="","",SUBSTITUTE(SUBSTITUTE(TRIM(LOWER(sample_design[[#This Row],[Sample Design Name]]))," ","_"),"-","_"))</f>
        <v>m9only_van_3125</v>
      </c>
      <c r="C50" s="16"/>
      <c r="D50" s="16"/>
      <c r="E50" s="16"/>
      <c r="F50" s="16" t="s">
        <v>101</v>
      </c>
      <c r="G50" s="16" t="s">
        <v>128</v>
      </c>
      <c r="H50" s="16"/>
      <c r="I50" s="16"/>
      <c r="J50" s="16"/>
    </row>
    <row r="51" spans="1:10" x14ac:dyDescent="0.2">
      <c r="A51" t="s">
        <v>175</v>
      </c>
      <c r="B51" s="20" t="str">
        <f>IF(sample_design[[#This Row],[Sample Design Name]]="","",SUBSTITUTE(SUBSTITUTE(TRIM(LOWER(sample_design[[#This Row],[Sample Design Name]]))," ","_"),"-","_"))</f>
        <v>mg1655_dlac_align_vanr_301_m9_van_3125</v>
      </c>
      <c r="C51" s="16"/>
      <c r="D51" s="16"/>
      <c r="E51" s="16" t="s">
        <v>105</v>
      </c>
      <c r="F51" s="16" t="s">
        <v>101</v>
      </c>
      <c r="G51" s="16" t="s">
        <v>128</v>
      </c>
      <c r="H51" s="16"/>
      <c r="I51" s="16"/>
      <c r="J51" s="16"/>
    </row>
    <row r="52" spans="1:10" x14ac:dyDescent="0.2">
      <c r="A52" t="s">
        <v>176</v>
      </c>
      <c r="B52" s="20" t="str">
        <f>IF(sample_design[[#This Row],[Sample Design Name]]="","",SUBSTITUTE(SUBSTITUTE(TRIM(LOWER(sample_design[[#This Row],[Sample Design Name]]))," ","_"),"-","_"))</f>
        <v>mg1655_dlac_p150_r1_5_vanr_wt_pvanr_m9_van_3125</v>
      </c>
      <c r="C52" s="16"/>
      <c r="D52" s="16"/>
      <c r="E52" s="16" t="s">
        <v>107</v>
      </c>
      <c r="F52" s="16" t="s">
        <v>101</v>
      </c>
      <c r="G52" s="16" t="s">
        <v>128</v>
      </c>
      <c r="H52" s="16"/>
      <c r="I52" s="16"/>
      <c r="J52" s="16"/>
    </row>
    <row r="53" spans="1:10" x14ac:dyDescent="0.2">
      <c r="A53" t="s">
        <v>177</v>
      </c>
      <c r="B53" s="20" t="str">
        <f>IF(sample_design[[#This Row],[Sample Design Name]]="","",SUBSTITUTE(SUBSTITUTE(TRIM(LOWER(sample_design[[#This Row],[Sample Design Name]]))," ","_"),"-","_"))</f>
        <v>mg1655_dlac_pbcd_nofp_m9_van_3125</v>
      </c>
      <c r="C53" s="16"/>
      <c r="D53" s="16"/>
      <c r="E53" s="16" t="s">
        <v>109</v>
      </c>
      <c r="F53" s="16" t="s">
        <v>101</v>
      </c>
      <c r="G53" s="16" t="s">
        <v>128</v>
      </c>
      <c r="H53" s="16"/>
      <c r="I53" s="16"/>
      <c r="J53" s="16"/>
    </row>
    <row r="54" spans="1:10" x14ac:dyDescent="0.2">
      <c r="A54" t="s">
        <v>178</v>
      </c>
      <c r="B54" s="20" t="str">
        <f>IF(sample_design[[#This Row],[Sample Design Name]]="","",SUBSTITUTE(SUBSTITUTE(TRIM(LOWER(sample_design[[#This Row],[Sample Design Name]]))," ","_"),"-","_"))</f>
        <v>mg1655_dlac_pvanr_am_a1t_mscar_m9_van_3125</v>
      </c>
      <c r="C54" s="16"/>
      <c r="D54" s="16"/>
      <c r="E54" s="16" t="s">
        <v>114</v>
      </c>
      <c r="F54" s="16" t="s">
        <v>101</v>
      </c>
      <c r="G54" s="16" t="s">
        <v>128</v>
      </c>
      <c r="H54" s="16"/>
      <c r="I54" s="16"/>
      <c r="J54" s="16"/>
    </row>
    <row r="55" spans="1:10" x14ac:dyDescent="0.2">
      <c r="A55" t="s">
        <v>179</v>
      </c>
      <c r="B55" s="21" t="str">
        <f>IF(sample_design[[#This Row],[Sample Design Name]]="","",SUBSTITUTE(SUBSTITUTE(TRIM(LOWER(sample_design[[#This Row],[Sample Design Name]]))," ","_"),"-","_"))</f>
        <v>mg1655_dlac_pvanr_am_t2a_mscar_m9_van_3125</v>
      </c>
      <c r="C55" s="16"/>
      <c r="D55" s="16"/>
      <c r="E55" s="16" t="s">
        <v>116</v>
      </c>
      <c r="F55" s="16" t="s">
        <v>101</v>
      </c>
      <c r="G55" s="16" t="s">
        <v>128</v>
      </c>
      <c r="H55" s="16"/>
      <c r="I55" s="16"/>
      <c r="J55" s="16"/>
    </row>
    <row r="56" spans="1:10" x14ac:dyDescent="0.2">
      <c r="A56" s="15" t="s">
        <v>180</v>
      </c>
      <c r="B56" s="20" t="str">
        <f>IF(sample_design[[#This Row],[Sample Design Name]]="","",SUBSTITUTE(SUBSTITUTE(TRIM(LOWER(sample_design[[#This Row],[Sample Design Name]]))," ","_"),"-","_"))</f>
        <v>m9only_van_6150</v>
      </c>
      <c r="C56" s="16"/>
      <c r="D56" s="16"/>
      <c r="E56" s="16"/>
      <c r="F56" s="16" t="s">
        <v>101</v>
      </c>
      <c r="G56" s="16" t="s">
        <v>129</v>
      </c>
      <c r="H56" s="16"/>
      <c r="I56" s="16"/>
      <c r="J56" s="16"/>
    </row>
    <row r="57" spans="1:10" x14ac:dyDescent="0.2">
      <c r="A57" t="s">
        <v>181</v>
      </c>
      <c r="B57" s="20" t="str">
        <f>IF(sample_design[[#This Row],[Sample Design Name]]="","",SUBSTITUTE(SUBSTITUTE(TRIM(LOWER(sample_design[[#This Row],[Sample Design Name]]))," ","_"),"-","_"))</f>
        <v>mg1655_dlac_align_vanr_301_m9_van_6150</v>
      </c>
      <c r="C57" s="16"/>
      <c r="D57" s="16"/>
      <c r="E57" s="16" t="s">
        <v>105</v>
      </c>
      <c r="F57" s="16" t="s">
        <v>101</v>
      </c>
      <c r="G57" s="16" t="s">
        <v>129</v>
      </c>
      <c r="H57" s="16"/>
      <c r="I57" s="16"/>
      <c r="J57" s="16"/>
    </row>
    <row r="58" spans="1:10" x14ac:dyDescent="0.2">
      <c r="A58" t="s">
        <v>182</v>
      </c>
      <c r="B58" s="20" t="str">
        <f>IF(sample_design[[#This Row],[Sample Design Name]]="","",SUBSTITUTE(SUBSTITUTE(TRIM(LOWER(sample_design[[#This Row],[Sample Design Name]]))," ","_"),"-","_"))</f>
        <v>mg1655_dlac_p150_r1_5_vanr_wt_pvanr_m9_van_6150</v>
      </c>
      <c r="C58" s="16"/>
      <c r="D58" s="16"/>
      <c r="E58" s="16" t="s">
        <v>107</v>
      </c>
      <c r="F58" s="16" t="s">
        <v>101</v>
      </c>
      <c r="G58" s="16" t="s">
        <v>129</v>
      </c>
      <c r="H58" s="16"/>
      <c r="I58" s="16"/>
      <c r="J58" s="16"/>
    </row>
    <row r="59" spans="1:10" x14ac:dyDescent="0.2">
      <c r="A59" t="s">
        <v>183</v>
      </c>
      <c r="B59" s="20" t="str">
        <f>IF(sample_design[[#This Row],[Sample Design Name]]="","",SUBSTITUTE(SUBSTITUTE(TRIM(LOWER(sample_design[[#This Row],[Sample Design Name]]))," ","_"),"-","_"))</f>
        <v>mg1655_dlac_pbcd_nofp_m9_van_6150</v>
      </c>
      <c r="C59" s="16"/>
      <c r="D59" s="16"/>
      <c r="E59" s="16" t="s">
        <v>109</v>
      </c>
      <c r="F59" s="16" t="s">
        <v>101</v>
      </c>
      <c r="G59" s="16" t="s">
        <v>129</v>
      </c>
      <c r="H59" s="16"/>
      <c r="I59" s="16"/>
      <c r="J59" s="16"/>
    </row>
    <row r="60" spans="1:10" x14ac:dyDescent="0.2">
      <c r="A60" t="s">
        <v>184</v>
      </c>
      <c r="B60" s="20" t="str">
        <f>IF(sample_design[[#This Row],[Sample Design Name]]="","",SUBSTITUTE(SUBSTITUTE(TRIM(LOWER(sample_design[[#This Row],[Sample Design Name]]))," ","_"),"-","_"))</f>
        <v>mg1655_dlac_pvanr_am_a1t_mscar_m9_van_6150</v>
      </c>
      <c r="C60" s="16"/>
      <c r="D60" s="16"/>
      <c r="E60" s="16" t="s">
        <v>114</v>
      </c>
      <c r="F60" s="16" t="s">
        <v>101</v>
      </c>
      <c r="G60" s="16" t="s">
        <v>129</v>
      </c>
      <c r="H60" s="16"/>
      <c r="I60" s="16"/>
      <c r="J60" s="16"/>
    </row>
    <row r="61" spans="1:10" x14ac:dyDescent="0.2">
      <c r="A61" t="s">
        <v>185</v>
      </c>
      <c r="B61" s="21" t="str">
        <f>IF(sample_design[[#This Row],[Sample Design Name]]="","",SUBSTITUTE(SUBSTITUTE(TRIM(LOWER(sample_design[[#This Row],[Sample Design Name]]))," ","_"),"-","_"))</f>
        <v>mg1655_dlac_pvanr_am_t2a_mscar_m9_van_6150</v>
      </c>
      <c r="C61" s="16"/>
      <c r="D61" s="16"/>
      <c r="E61" s="16" t="s">
        <v>116</v>
      </c>
      <c r="F61" s="16" t="s">
        <v>101</v>
      </c>
      <c r="G61" s="16" t="s">
        <v>129</v>
      </c>
      <c r="H61" s="16"/>
      <c r="I61" s="16"/>
      <c r="J61" s="16"/>
    </row>
    <row r="62" spans="1:10" x14ac:dyDescent="0.2">
      <c r="A62" s="15" t="s">
        <v>186</v>
      </c>
      <c r="B62" s="20" t="str">
        <f>IF(sample_design[[#This Row],[Sample Design Name]]="","",SUBSTITUTE(SUBSTITUTE(TRIM(LOWER(sample_design[[#This Row],[Sample Design Name]]))," ","_"),"-","_"))</f>
        <v>m9only_van_12500</v>
      </c>
      <c r="C62" s="16"/>
      <c r="D62" s="16"/>
      <c r="E62" s="16"/>
      <c r="F62" s="16" t="s">
        <v>101</v>
      </c>
      <c r="G62" s="16" t="s">
        <v>130</v>
      </c>
      <c r="H62" s="16"/>
      <c r="I62" s="16"/>
      <c r="J62" s="16"/>
    </row>
    <row r="63" spans="1:10" x14ac:dyDescent="0.2">
      <c r="A63" t="s">
        <v>187</v>
      </c>
      <c r="B63" s="20" t="str">
        <f>IF(sample_design[[#This Row],[Sample Design Name]]="","",SUBSTITUTE(SUBSTITUTE(TRIM(LOWER(sample_design[[#This Row],[Sample Design Name]]))," ","_"),"-","_"))</f>
        <v>mg1655_dlac_align_vanr_301_m9_van_12500</v>
      </c>
      <c r="C63" s="16"/>
      <c r="D63" s="16"/>
      <c r="E63" s="16" t="s">
        <v>105</v>
      </c>
      <c r="F63" s="16" t="s">
        <v>101</v>
      </c>
      <c r="G63" s="16" t="s">
        <v>130</v>
      </c>
      <c r="H63" s="16"/>
      <c r="I63" s="16"/>
      <c r="J63" s="16"/>
    </row>
    <row r="64" spans="1:10" x14ac:dyDescent="0.2">
      <c r="A64" t="s">
        <v>188</v>
      </c>
      <c r="B64" s="20" t="str">
        <f>IF(sample_design[[#This Row],[Sample Design Name]]="","",SUBSTITUTE(SUBSTITUTE(TRIM(LOWER(sample_design[[#This Row],[Sample Design Name]]))," ","_"),"-","_"))</f>
        <v>mg1655_dlac_p150_r1_5_vanr_wt_pvanr_m9_van_12500</v>
      </c>
      <c r="C64" s="16"/>
      <c r="D64" s="16"/>
      <c r="E64" s="16" t="s">
        <v>107</v>
      </c>
      <c r="F64" s="16" t="s">
        <v>101</v>
      </c>
      <c r="G64" s="16" t="s">
        <v>130</v>
      </c>
      <c r="H64" s="16"/>
      <c r="I64" s="16"/>
      <c r="J64" s="16"/>
    </row>
    <row r="65" spans="1:10" x14ac:dyDescent="0.2">
      <c r="A65" t="s">
        <v>189</v>
      </c>
      <c r="B65" s="20" t="str">
        <f>IF(sample_design[[#This Row],[Sample Design Name]]="","",SUBSTITUTE(SUBSTITUTE(TRIM(LOWER(sample_design[[#This Row],[Sample Design Name]]))," ","_"),"-","_"))</f>
        <v>mg1655_dlac_pbcd_nofp_m9_van_12500</v>
      </c>
      <c r="C65" s="16"/>
      <c r="D65" s="16"/>
      <c r="E65" s="16" t="s">
        <v>109</v>
      </c>
      <c r="F65" s="16" t="s">
        <v>101</v>
      </c>
      <c r="G65" s="16" t="s">
        <v>130</v>
      </c>
      <c r="H65" s="16"/>
      <c r="I65" s="16"/>
      <c r="J65" s="16"/>
    </row>
    <row r="66" spans="1:10" x14ac:dyDescent="0.2">
      <c r="A66" t="s">
        <v>190</v>
      </c>
      <c r="B66" s="20" t="str">
        <f>IF(sample_design[[#This Row],[Sample Design Name]]="","",SUBSTITUTE(SUBSTITUTE(TRIM(LOWER(sample_design[[#This Row],[Sample Design Name]]))," ","_"),"-","_"))</f>
        <v>mg1655_dlac_pvanr_am_a1t_mscar_m9_van_12500</v>
      </c>
      <c r="C66" s="16"/>
      <c r="D66" s="16"/>
      <c r="E66" s="16" t="s">
        <v>114</v>
      </c>
      <c r="F66" s="16" t="s">
        <v>101</v>
      </c>
      <c r="G66" s="16" t="s">
        <v>130</v>
      </c>
      <c r="H66" s="16"/>
      <c r="I66" s="16"/>
      <c r="J66" s="16"/>
    </row>
    <row r="67" spans="1:10" x14ac:dyDescent="0.2">
      <c r="A67" t="s">
        <v>191</v>
      </c>
      <c r="B67" s="21" t="str">
        <f>IF(sample_design[[#This Row],[Sample Design Name]]="","",SUBSTITUTE(SUBSTITUTE(TRIM(LOWER(sample_design[[#This Row],[Sample Design Name]]))," ","_"),"-","_"))</f>
        <v>mg1655_dlac_pvanr_am_t2a_mscar_m9_van_12500</v>
      </c>
      <c r="C67" s="16"/>
      <c r="D67" s="16"/>
      <c r="E67" s="16" t="s">
        <v>116</v>
      </c>
      <c r="F67" s="16" t="s">
        <v>101</v>
      </c>
      <c r="G67" s="16" t="s">
        <v>130</v>
      </c>
      <c r="H67" s="16"/>
      <c r="I67" s="16"/>
      <c r="J67" s="16"/>
    </row>
    <row r="68" spans="1:10" x14ac:dyDescent="0.2">
      <c r="A68" s="15" t="s">
        <v>192</v>
      </c>
      <c r="B68" s="20" t="str">
        <f>IF(sample_design[[#This Row],[Sample Design Name]]="","",SUBSTITUTE(SUBSTITUTE(TRIM(LOWER(sample_design[[#This Row],[Sample Design Name]]))," ","_"),"-","_"))</f>
        <v>m9only_van_25000</v>
      </c>
      <c r="C68" s="16"/>
      <c r="D68" s="16"/>
      <c r="E68" s="16"/>
      <c r="F68" s="16" t="s">
        <v>101</v>
      </c>
      <c r="G68" s="16" t="s">
        <v>131</v>
      </c>
      <c r="H68" s="16"/>
      <c r="I68" s="16"/>
      <c r="J68" s="16"/>
    </row>
    <row r="69" spans="1:10" x14ac:dyDescent="0.2">
      <c r="A69" t="s">
        <v>193</v>
      </c>
      <c r="B69" s="20" t="str">
        <f>IF(sample_design[[#This Row],[Sample Design Name]]="","",SUBSTITUTE(SUBSTITUTE(TRIM(LOWER(sample_design[[#This Row],[Sample Design Name]]))," ","_"),"-","_"))</f>
        <v>mg1655_dlac_align_vanr_301_m9_van_25000</v>
      </c>
      <c r="C69" s="16"/>
      <c r="D69" s="16"/>
      <c r="E69" s="16" t="s">
        <v>105</v>
      </c>
      <c r="F69" s="16" t="s">
        <v>101</v>
      </c>
      <c r="G69" s="16" t="s">
        <v>131</v>
      </c>
      <c r="H69" s="16"/>
      <c r="I69" s="16"/>
      <c r="J69" s="16"/>
    </row>
    <row r="70" spans="1:10" x14ac:dyDescent="0.2">
      <c r="A70" t="s">
        <v>194</v>
      </c>
      <c r="B70" s="20" t="str">
        <f>IF(sample_design[[#This Row],[Sample Design Name]]="","",SUBSTITUTE(SUBSTITUTE(TRIM(LOWER(sample_design[[#This Row],[Sample Design Name]]))," ","_"),"-","_"))</f>
        <v>mg1655_dlac_p150_r1_5_vanr_wt_pvanr_m9_van_25000</v>
      </c>
      <c r="C70" s="16"/>
      <c r="D70" s="16"/>
      <c r="E70" s="16" t="s">
        <v>107</v>
      </c>
      <c r="F70" s="16" t="s">
        <v>101</v>
      </c>
      <c r="G70" s="16" t="s">
        <v>131</v>
      </c>
      <c r="H70" s="16"/>
      <c r="I70" s="16"/>
      <c r="J70" s="16"/>
    </row>
    <row r="71" spans="1:10" x14ac:dyDescent="0.2">
      <c r="A71" t="s">
        <v>195</v>
      </c>
      <c r="B71" s="20" t="str">
        <f>IF(sample_design[[#This Row],[Sample Design Name]]="","",SUBSTITUTE(SUBSTITUTE(TRIM(LOWER(sample_design[[#This Row],[Sample Design Name]]))," ","_"),"-","_"))</f>
        <v>mg1655_dlac_pbcd_nofp_m9_van_25000</v>
      </c>
      <c r="C71" s="16"/>
      <c r="D71" s="16"/>
      <c r="E71" s="16" t="s">
        <v>109</v>
      </c>
      <c r="F71" s="16" t="s">
        <v>101</v>
      </c>
      <c r="G71" s="16" t="s">
        <v>131</v>
      </c>
      <c r="H71" s="16"/>
      <c r="I71" s="16"/>
      <c r="J71" s="16"/>
    </row>
    <row r="72" spans="1:10" x14ac:dyDescent="0.2">
      <c r="A72" t="s">
        <v>196</v>
      </c>
      <c r="B72" s="20" t="str">
        <f>IF(sample_design[[#This Row],[Sample Design Name]]="","",SUBSTITUTE(SUBSTITUTE(TRIM(LOWER(sample_design[[#This Row],[Sample Design Name]]))," ","_"),"-","_"))</f>
        <v>mg1655_dlac_pvanr_am_a1t_mscar_m9_van_25000</v>
      </c>
      <c r="C72" s="16"/>
      <c r="D72" s="16"/>
      <c r="E72" s="16" t="s">
        <v>114</v>
      </c>
      <c r="F72" s="16" t="s">
        <v>101</v>
      </c>
      <c r="G72" s="16" t="s">
        <v>131</v>
      </c>
      <c r="H72" s="16"/>
      <c r="I72" s="16"/>
      <c r="J72" s="16"/>
    </row>
    <row r="73" spans="1:10" x14ac:dyDescent="0.2">
      <c r="A73" t="s">
        <v>197</v>
      </c>
      <c r="B73" s="21" t="str">
        <f>IF(sample_design[[#This Row],[Sample Design Name]]="","",SUBSTITUTE(SUBSTITUTE(TRIM(LOWER(sample_design[[#This Row],[Sample Design Name]]))," ","_"),"-","_"))</f>
        <v>mg1655_dlac_pvanr_am_t2a_mscar_m9_van_25000</v>
      </c>
      <c r="C73" s="16"/>
      <c r="D73" s="16"/>
      <c r="E73" s="16" t="s">
        <v>116</v>
      </c>
      <c r="F73" s="16" t="s">
        <v>101</v>
      </c>
      <c r="G73" s="16" t="s">
        <v>131</v>
      </c>
      <c r="H73" s="16"/>
      <c r="I73" s="16"/>
      <c r="J73" s="16"/>
    </row>
  </sheetData>
  <phoneticPr fontId="11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3" name="cvHeaderDropdown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4" name="Drop Down 23">
              <controlPr defaultSize="0" autoFill="0" autoPict="0" macro="[0]!HeaderDropdownChanged">
                <anchor mov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5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5" name="Drop Down 42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6" name="Drop Down 45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7" name="Drop Down 49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8" name="Drop Down 52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9" name="Drop Down 59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10" name="Drop Down 62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11" name="Drop Down 65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12" name="Drop Down 69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13" name="Drop Down 72">
              <controlPr defaultSize="0" autoFill="0" autoPict="0" macro="[0]!HeaderDropdownChanged">
                <anchor moveWithCells="1">
                  <from>
                    <xdr:col>5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A00-000002000000}">
          <x14:formula1>
            <xm:f>#REF!</xm:f>
          </x14:formula1>
          <xm:sqref>G74:G5057</xm:sqref>
        </x14:dataValidation>
        <x14:dataValidation type="list" allowBlank="1" showInputMessage="1" showErrorMessage="1" xr:uid="{98178C4C-E443-8243-884D-F414A7BB954F}">
          <x14:formula1>
            <xm:f>supplement!$A$2:$A$10000</xm:f>
          </x14:formula1>
          <xm:sqref>G2:G73</xm:sqref>
        </x14:dataValidation>
        <x14:dataValidation type="list" allowBlank="1" showInputMessage="1" showErrorMessage="1" xr:uid="{00000000-0002-0000-0A00-000000000000}">
          <x14:formula1>
            <xm:f>SBH_strains_collection!$A$2:$A$10000</xm:f>
          </x14:formula1>
          <xm:sqref>E2:E5057</xm:sqref>
        </x14:dataValidation>
        <x14:dataValidation type="list" allowBlank="1" showInputMessage="1" showErrorMessage="1" xr:uid="{00000000-0002-0000-0A00-000001000000}">
          <x14:formula1>
            <xm:f>SBH_media_collection!$A$2:$A$10000</xm:f>
          </x14:formula1>
          <xm:sqref>F2:F5057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12"/>
  <sheetViews>
    <sheetView tabSelected="1" zoomScale="150" zoomScaleNormal="150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9" width="25" customWidth="1"/>
  </cols>
  <sheetData>
    <row r="1" spans="1:9" ht="20" customHeight="1" x14ac:dyDescent="0.2">
      <c r="A1" s="18" t="s">
        <v>27</v>
      </c>
      <c r="B1" s="11" t="s">
        <v>24</v>
      </c>
      <c r="C1" s="11" t="s">
        <v>78</v>
      </c>
      <c r="D1" s="11" t="s">
        <v>91</v>
      </c>
      <c r="E1" s="11" t="s">
        <v>92</v>
      </c>
      <c r="F1" s="11" t="s">
        <v>29</v>
      </c>
      <c r="G1" s="11" t="s">
        <v>86</v>
      </c>
      <c r="H1" s="11" t="s">
        <v>87</v>
      </c>
      <c r="I1" s="11" t="s">
        <v>90</v>
      </c>
    </row>
    <row r="2" spans="1:9" x14ac:dyDescent="0.2">
      <c r="A2" s="15" t="s">
        <v>121</v>
      </c>
      <c r="B2" s="19" t="str">
        <f>IF(supplement[[#This Row],[Supplement Name]]="","",SUBSTITUTE(SUBSTITUTE(TRIM(LOWER(supplement[[#This Row],[Supplement Name]]))," ","_"),"-","_"))</f>
        <v>van_24</v>
      </c>
      <c r="C2" s="12"/>
      <c r="D2" s="12"/>
      <c r="E2" s="12" t="s">
        <v>119</v>
      </c>
      <c r="F2" s="15">
        <v>0.244140625</v>
      </c>
      <c r="G2" s="12"/>
      <c r="H2" s="12"/>
      <c r="I2" s="12"/>
    </row>
    <row r="3" spans="1:9" x14ac:dyDescent="0.2">
      <c r="A3" t="s">
        <v>122</v>
      </c>
      <c r="B3" s="20" t="str">
        <f>IF(supplement[[#This Row],[Supplement Name]]="","",SUBSTITUTE(SUBSTITUTE(TRIM(LOWER(supplement[[#This Row],[Supplement Name]]))," ","_"),"-","_"))</f>
        <v>van_49</v>
      </c>
      <c r="E3" t="s">
        <v>119</v>
      </c>
      <c r="F3">
        <v>0.48828125</v>
      </c>
    </row>
    <row r="4" spans="1:9" x14ac:dyDescent="0.2">
      <c r="A4" t="s">
        <v>123</v>
      </c>
      <c r="B4" s="20" t="str">
        <f>IF(supplement[[#This Row],[Supplement Name]]="","",SUBSTITUTE(SUBSTITUTE(TRIM(LOWER(supplement[[#This Row],[Supplement Name]]))," ","_"),"-","_"))</f>
        <v>van_98</v>
      </c>
      <c r="E4" t="s">
        <v>119</v>
      </c>
      <c r="F4" s="16">
        <v>0.9765625</v>
      </c>
    </row>
    <row r="5" spans="1:9" x14ac:dyDescent="0.2">
      <c r="A5" t="s">
        <v>124</v>
      </c>
      <c r="B5" s="20" t="str">
        <f>IF(supplement[[#This Row],[Supplement Name]]="","",SUBSTITUTE(SUBSTITUTE(TRIM(LOWER(supplement[[#This Row],[Supplement Name]]))," ","_"),"-","_"))</f>
        <v>van_195</v>
      </c>
      <c r="E5" t="s">
        <v>119</v>
      </c>
      <c r="F5" s="16">
        <v>1.953125</v>
      </c>
    </row>
    <row r="6" spans="1:9" x14ac:dyDescent="0.2">
      <c r="A6" t="s">
        <v>125</v>
      </c>
      <c r="B6" s="20" t="str">
        <f>IF(supplement[[#This Row],[Supplement Name]]="","",SUBSTITUTE(SUBSTITUTE(TRIM(LOWER(supplement[[#This Row],[Supplement Name]]))," ","_"),"-","_"))</f>
        <v>van_391</v>
      </c>
      <c r="E6" t="s">
        <v>119</v>
      </c>
      <c r="F6" s="16">
        <v>3.90625</v>
      </c>
    </row>
    <row r="7" spans="1:9" x14ac:dyDescent="0.2">
      <c r="A7" t="s">
        <v>126</v>
      </c>
      <c r="B7" s="20" t="str">
        <f>IF(supplement[[#This Row],[Supplement Name]]="","",SUBSTITUTE(SUBSTITUTE(TRIM(LOWER(supplement[[#This Row],[Supplement Name]]))," ","_"),"-","_"))</f>
        <v>van_781</v>
      </c>
      <c r="E7" t="s">
        <v>119</v>
      </c>
      <c r="F7" s="16">
        <v>7.8125</v>
      </c>
    </row>
    <row r="8" spans="1:9" x14ac:dyDescent="0.2">
      <c r="A8" t="s">
        <v>127</v>
      </c>
      <c r="B8" s="20" t="str">
        <f>IF(supplement[[#This Row],[Supplement Name]]="","",SUBSTITUTE(SUBSTITUTE(TRIM(LOWER(supplement[[#This Row],[Supplement Name]]))," ","_"),"-","_"))</f>
        <v>van_1563</v>
      </c>
      <c r="E8" t="s">
        <v>119</v>
      </c>
      <c r="F8" s="16">
        <v>15.625</v>
      </c>
    </row>
    <row r="9" spans="1:9" x14ac:dyDescent="0.2">
      <c r="A9" t="s">
        <v>128</v>
      </c>
      <c r="B9" s="20" t="str">
        <f>IF(supplement[[#This Row],[Supplement Name]]="","",SUBSTITUTE(SUBSTITUTE(TRIM(LOWER(supplement[[#This Row],[Supplement Name]]))," ","_"),"-","_"))</f>
        <v>van_3125</v>
      </c>
      <c r="E9" t="s">
        <v>119</v>
      </c>
      <c r="F9" s="16">
        <v>31.25</v>
      </c>
    </row>
    <row r="10" spans="1:9" x14ac:dyDescent="0.2">
      <c r="A10" t="s">
        <v>129</v>
      </c>
      <c r="B10" s="20" t="str">
        <f>IF(supplement[[#This Row],[Supplement Name]]="","",SUBSTITUTE(SUBSTITUTE(TRIM(LOWER(supplement[[#This Row],[Supplement Name]]))," ","_"),"-","_"))</f>
        <v>van_6150</v>
      </c>
      <c r="E10" t="s">
        <v>119</v>
      </c>
      <c r="F10" s="16">
        <v>62.5</v>
      </c>
    </row>
    <row r="11" spans="1:9" x14ac:dyDescent="0.2">
      <c r="A11" t="s">
        <v>130</v>
      </c>
      <c r="B11" s="20" t="str">
        <f>IF(supplement[[#This Row],[Supplement Name]]="","",SUBSTITUTE(SUBSTITUTE(TRIM(LOWER(supplement[[#This Row],[Supplement Name]]))," ","_"),"-","_"))</f>
        <v>van_12500</v>
      </c>
      <c r="E11" t="s">
        <v>119</v>
      </c>
      <c r="F11" s="16">
        <v>125</v>
      </c>
    </row>
    <row r="12" spans="1:9" x14ac:dyDescent="0.2">
      <c r="A12" t="s">
        <v>131</v>
      </c>
      <c r="B12" s="20" t="str">
        <f>IF(supplement[[#This Row],[Supplement Name]]="","",SUBSTITUTE(SUBSTITUTE(TRIM(LOWER(supplement[[#This Row],[Supplement Name]]))," ","_"),"-","_"))</f>
        <v>van_25000</v>
      </c>
      <c r="E12" t="s">
        <v>119</v>
      </c>
      <c r="F12">
        <v>250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cvHeaderDropdown">
              <controlPr defaultSize="0" autoFill="0" autoPict="0" macro="[0]!HeaderDropdownChanged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SBH_chemicals_collection!$A$2:$A$10000</xm:f>
          </x14:formula1>
          <xm:sqref>E2:E4999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48A9AE"/>
  </sheetPr>
  <dimension ref="A1:B6"/>
  <sheetViews>
    <sheetView zoomScale="150" zoomScaleNormal="150" workbookViewId="0">
      <pane ySplit="1" topLeftCell="A2" activePane="bottomLeft" state="frozen"/>
      <selection pane="bottomLeft" activeCell="A7" sqref="A7"/>
    </sheetView>
  </sheetViews>
  <sheetFormatPr baseColWidth="10" defaultColWidth="8.83203125" defaultRowHeight="15" x14ac:dyDescent="0.2"/>
  <cols>
    <col min="1" max="1" width="40.83203125" customWidth="1"/>
    <col min="2" max="2" width="25" customWidth="1"/>
  </cols>
  <sheetData>
    <row r="1" spans="1:2" ht="20" customHeight="1" x14ac:dyDescent="0.2">
      <c r="A1" s="11" t="s">
        <v>22</v>
      </c>
      <c r="B1" s="11" t="s">
        <v>15</v>
      </c>
    </row>
    <row r="2" spans="1:2" x14ac:dyDescent="0.2">
      <c r="A2" s="16" t="s">
        <v>105</v>
      </c>
      <c r="B2" s="17" t="s">
        <v>104</v>
      </c>
    </row>
    <row r="3" spans="1:2" x14ac:dyDescent="0.2">
      <c r="A3" t="s">
        <v>107</v>
      </c>
      <c r="B3" s="17" t="s">
        <v>106</v>
      </c>
    </row>
    <row r="4" spans="1:2" x14ac:dyDescent="0.2">
      <c r="A4" t="s">
        <v>109</v>
      </c>
      <c r="B4" s="17" t="s">
        <v>108</v>
      </c>
    </row>
    <row r="5" spans="1:2" x14ac:dyDescent="0.2">
      <c r="A5" t="s">
        <v>114</v>
      </c>
      <c r="B5" s="17" t="s">
        <v>113</v>
      </c>
    </row>
    <row r="6" spans="1:2" x14ac:dyDescent="0.2">
      <c r="A6" t="s">
        <v>116</v>
      </c>
      <c r="B6" s="17" t="s">
        <v>115</v>
      </c>
    </row>
  </sheetData>
  <hyperlinks>
    <hyperlink ref="B2" r:id="rId1" xr:uid="{9A0AEA50-2E05-7B44-A607-2C4CB03A38E7}"/>
    <hyperlink ref="B3" r:id="rId2" xr:uid="{46A5C43E-AE90-D848-BDB4-ED3C735CD1C9}"/>
    <hyperlink ref="B4" r:id="rId3" xr:uid="{6F3E38CD-B9A4-6E48-979B-22FFEAEC5C14}"/>
    <hyperlink ref="B5" r:id="rId4" xr:uid="{19D9340E-E7AB-AA40-9D33-99EB5170EDFA}"/>
    <hyperlink ref="B6" r:id="rId5" xr:uid="{7C278633-F0C7-404C-8C32-B66F2988ED94}"/>
  </hyperlinks>
  <pageMargins left="0.75" right="0.75" top="1" bottom="1" header="0.5" footer="0.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8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48A9AE"/>
  </sheetPr>
  <dimension ref="A1:B2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1" t="s">
        <v>22</v>
      </c>
      <c r="B1" s="11" t="s">
        <v>15</v>
      </c>
    </row>
    <row r="2" spans="1:2" x14ac:dyDescent="0.2">
      <c r="A2" s="16" t="s">
        <v>101</v>
      </c>
      <c r="B2" s="17" t="s">
        <v>103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>
    <tabColor rgb="FF48A9AE"/>
  </sheetPr>
  <dimension ref="A1:D4"/>
  <sheetViews>
    <sheetView zoomScale="150" zoomScaleNormal="150" workbookViewId="0">
      <pane ySplit="1" topLeftCell="A2" activePane="bottomLeft" state="frozen"/>
      <selection pane="bottomLeft" activeCell="C4" sqref="C4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3" t="s">
        <v>16</v>
      </c>
      <c r="B1" s="3" t="s">
        <v>17</v>
      </c>
      <c r="C1" s="3" t="s">
        <v>18</v>
      </c>
      <c r="D1" s="3" t="s">
        <v>19</v>
      </c>
    </row>
    <row r="2" spans="1:4" x14ac:dyDescent="0.2">
      <c r="A2" s="1" t="s">
        <v>25</v>
      </c>
      <c r="B2" s="1" t="s">
        <v>26</v>
      </c>
      <c r="C2" s="1" t="s">
        <v>27</v>
      </c>
      <c r="D2" s="1" t="s">
        <v>22</v>
      </c>
    </row>
    <row r="3" spans="1:4" x14ac:dyDescent="0.2">
      <c r="A3" s="1" t="s">
        <v>25</v>
      </c>
      <c r="B3" s="1" t="s">
        <v>26</v>
      </c>
      <c r="C3" s="1" t="s">
        <v>92</v>
      </c>
      <c r="D3" s="1" t="s">
        <v>28</v>
      </c>
    </row>
    <row r="4" spans="1:4" x14ac:dyDescent="0.2">
      <c r="A4" s="1" t="s">
        <v>25</v>
      </c>
      <c r="B4" s="1" t="s">
        <v>26</v>
      </c>
      <c r="C4" s="1" t="s">
        <v>29</v>
      </c>
      <c r="D4" s="1" t="s">
        <v>30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381000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/>
  <dimension ref="A1:C1"/>
  <sheetViews>
    <sheetView workbookViewId="0"/>
  </sheetViews>
  <sheetFormatPr baseColWidth="10" defaultRowHeight="15" x14ac:dyDescent="0.2"/>
  <cols>
    <col min="1" max="1" width="25" customWidth="1"/>
  </cols>
  <sheetData>
    <row r="1" spans="1:3" x14ac:dyDescent="0.2">
      <c r="A1">
        <v>0</v>
      </c>
      <c r="B1" t="s">
        <v>20</v>
      </c>
      <c r="C1" t="s">
        <v>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"/>
  <sheetViews>
    <sheetView workbookViewId="0"/>
  </sheetViews>
  <sheetFormatPr baseColWidth="10" defaultRowHeight="15" x14ac:dyDescent="0.2"/>
  <cols>
    <col min="1" max="1" width="25" customWidth="1"/>
  </cols>
  <sheetData>
    <row r="1" spans="1:1" x14ac:dyDescent="0.2">
      <c r="A1" t="s">
        <v>101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48A9AE"/>
  </sheetPr>
  <dimension ref="A1:L19"/>
  <sheetViews>
    <sheetView workbookViewId="0">
      <pane ySplit="1" topLeftCell="A2" activePane="bottomLeft" state="frozen"/>
      <selection pane="bottomLeft" activeCell="L13" sqref="L13"/>
    </sheetView>
  </sheetViews>
  <sheetFormatPr baseColWidth="10" defaultColWidth="8.83203125" defaultRowHeight="15" x14ac:dyDescent="0.2"/>
  <cols>
    <col min="1" max="12" width="25" customWidth="1"/>
  </cols>
  <sheetData>
    <row r="1" spans="1:12" ht="20" customHeight="1" x14ac:dyDescent="0.2">
      <c r="A1" s="11" t="s">
        <v>31</v>
      </c>
      <c r="B1" s="11">
        <v>2</v>
      </c>
    </row>
    <row r="2" spans="1:12" x14ac:dyDescent="0.2">
      <c r="A2" s="12" t="s">
        <v>6</v>
      </c>
      <c r="B2" s="12" t="s">
        <v>7</v>
      </c>
      <c r="C2" s="12"/>
      <c r="D2" s="12"/>
      <c r="E2" s="12"/>
      <c r="F2" s="12"/>
      <c r="G2" s="12"/>
      <c r="H2" s="12"/>
      <c r="I2" s="12"/>
      <c r="J2" s="12"/>
      <c r="K2" s="12"/>
      <c r="L2" s="12"/>
    </row>
    <row r="3" spans="1:12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x14ac:dyDescent="0.2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12" x14ac:dyDescent="0.2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</row>
    <row r="6" spans="1:12" x14ac:dyDescent="0.2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</row>
    <row r="7" spans="1:12" x14ac:dyDescent="0.2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</row>
    <row r="8" spans="1:12" x14ac:dyDescent="0.2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</row>
    <row r="9" spans="1:12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</row>
    <row r="10" spans="1:12" x14ac:dyDescent="0.2">
      <c r="A10" s="12" t="s">
        <v>16</v>
      </c>
      <c r="B10" s="12" t="s">
        <v>32</v>
      </c>
      <c r="C10" s="12" t="s">
        <v>33</v>
      </c>
      <c r="D10" s="12" t="s">
        <v>34</v>
      </c>
      <c r="E10" s="12" t="s">
        <v>35</v>
      </c>
      <c r="F10" s="12" t="s">
        <v>36</v>
      </c>
      <c r="G10" s="12" t="s">
        <v>37</v>
      </c>
      <c r="H10" s="12" t="s">
        <v>38</v>
      </c>
      <c r="I10" s="12" t="s">
        <v>39</v>
      </c>
      <c r="J10" s="12" t="s">
        <v>40</v>
      </c>
      <c r="K10" s="12" t="s">
        <v>41</v>
      </c>
      <c r="L10" s="12" t="s">
        <v>14</v>
      </c>
    </row>
    <row r="11" spans="1:12" x14ac:dyDescent="0.2">
      <c r="A11" s="12" t="s">
        <v>20</v>
      </c>
      <c r="B11" s="13" t="b">
        <v>1</v>
      </c>
      <c r="C11" s="13" t="b">
        <v>0</v>
      </c>
      <c r="D11" s="12">
        <v>0</v>
      </c>
      <c r="E11" s="12">
        <v>0</v>
      </c>
      <c r="F11" s="13" t="b">
        <v>0</v>
      </c>
      <c r="G11" s="12">
        <v>0</v>
      </c>
      <c r="H11" s="12">
        <v>0</v>
      </c>
      <c r="I11" s="12">
        <v>1</v>
      </c>
      <c r="J11" s="12" t="s">
        <v>42</v>
      </c>
      <c r="K11" s="12"/>
      <c r="L11" s="17" t="s">
        <v>199</v>
      </c>
    </row>
    <row r="12" spans="1:12" x14ac:dyDescent="0.2">
      <c r="A12" s="12" t="s">
        <v>25</v>
      </c>
      <c r="B12" s="13" t="b">
        <v>1</v>
      </c>
      <c r="C12" s="13" t="b">
        <v>0</v>
      </c>
      <c r="D12" s="12">
        <v>0</v>
      </c>
      <c r="E12" s="12">
        <v>0</v>
      </c>
      <c r="F12" s="13" t="b">
        <v>0</v>
      </c>
      <c r="G12" s="12">
        <v>0</v>
      </c>
      <c r="H12" s="12">
        <v>0</v>
      </c>
      <c r="I12" s="12">
        <v>1</v>
      </c>
      <c r="J12" s="15" t="s">
        <v>42</v>
      </c>
      <c r="K12" s="12"/>
      <c r="L12" t="s">
        <v>200</v>
      </c>
    </row>
    <row r="13" spans="1:12" x14ac:dyDescent="0.2">
      <c r="A13" s="12" t="s">
        <v>43</v>
      </c>
      <c r="B13" s="13" t="b">
        <v>0</v>
      </c>
      <c r="C13" s="13" t="b">
        <v>0</v>
      </c>
      <c r="D13" s="12">
        <v>0</v>
      </c>
      <c r="E13" s="12">
        <v>0</v>
      </c>
      <c r="F13" s="13" t="b">
        <v>0</v>
      </c>
      <c r="G13" s="12">
        <v>0</v>
      </c>
      <c r="H13" s="12">
        <v>0</v>
      </c>
      <c r="I13" s="12">
        <v>0</v>
      </c>
      <c r="J13" s="12"/>
      <c r="K13" s="12"/>
      <c r="L13" s="17"/>
    </row>
    <row r="14" spans="1:12" x14ac:dyDescent="0.2">
      <c r="A14" s="12" t="s">
        <v>44</v>
      </c>
      <c r="B14" s="13" t="b">
        <v>0</v>
      </c>
      <c r="C14" s="13" t="b">
        <v>0</v>
      </c>
      <c r="D14" s="12">
        <v>0</v>
      </c>
      <c r="E14" s="12">
        <v>0</v>
      </c>
      <c r="F14" s="13" t="b">
        <v>0</v>
      </c>
      <c r="G14" s="12">
        <v>0</v>
      </c>
      <c r="H14" s="12">
        <v>0</v>
      </c>
      <c r="I14" s="12">
        <v>0</v>
      </c>
      <c r="J14" s="12"/>
      <c r="K14" s="12"/>
      <c r="L14" s="12"/>
    </row>
    <row r="15" spans="1:12" x14ac:dyDescent="0.2">
      <c r="A15" s="12" t="s">
        <v>45</v>
      </c>
      <c r="B15" s="13" t="b">
        <v>0</v>
      </c>
      <c r="C15" s="13" t="b">
        <v>0</v>
      </c>
      <c r="D15" s="12">
        <v>0</v>
      </c>
      <c r="E15" s="12">
        <v>0</v>
      </c>
      <c r="F15" s="13" t="b">
        <v>0</v>
      </c>
      <c r="G15" s="12">
        <v>0</v>
      </c>
      <c r="H15" s="12">
        <v>0</v>
      </c>
      <c r="I15" s="12">
        <v>0</v>
      </c>
      <c r="J15" s="12"/>
      <c r="K15" s="12"/>
      <c r="L15" s="12"/>
    </row>
    <row r="16" spans="1:12" x14ac:dyDescent="0.2">
      <c r="A16" s="12" t="s">
        <v>46</v>
      </c>
      <c r="B16" s="13" t="b">
        <v>0</v>
      </c>
      <c r="C16" s="13" t="b">
        <v>0</v>
      </c>
      <c r="D16" s="12">
        <v>0</v>
      </c>
      <c r="E16" s="12">
        <v>0</v>
      </c>
      <c r="F16" s="13" t="b">
        <v>0</v>
      </c>
      <c r="G16" s="12">
        <v>0</v>
      </c>
      <c r="H16" s="12">
        <v>0</v>
      </c>
      <c r="I16" s="12">
        <v>0</v>
      </c>
      <c r="J16" s="12"/>
      <c r="K16" s="12"/>
      <c r="L16" s="12"/>
    </row>
    <row r="17" spans="1:12" x14ac:dyDescent="0.2">
      <c r="A17" s="12" t="s">
        <v>47</v>
      </c>
      <c r="B17" s="13" t="b">
        <v>0</v>
      </c>
      <c r="C17" s="13" t="b">
        <v>0</v>
      </c>
      <c r="D17" s="12">
        <v>0</v>
      </c>
      <c r="E17" s="12">
        <v>0</v>
      </c>
      <c r="F17" s="13" t="b">
        <v>0</v>
      </c>
      <c r="G17" s="12">
        <v>0</v>
      </c>
      <c r="H17" s="12">
        <v>0</v>
      </c>
      <c r="I17" s="12">
        <v>0</v>
      </c>
      <c r="J17" s="12"/>
      <c r="K17" s="12"/>
      <c r="L17" s="12"/>
    </row>
    <row r="18" spans="1:12" x14ac:dyDescent="0.2">
      <c r="A18" s="12" t="s">
        <v>48</v>
      </c>
      <c r="B18" s="13" t="b">
        <v>0</v>
      </c>
      <c r="C18" s="13" t="b">
        <v>0</v>
      </c>
      <c r="D18" s="12">
        <v>0</v>
      </c>
      <c r="E18" s="12">
        <v>0</v>
      </c>
      <c r="F18" s="13" t="b">
        <v>0</v>
      </c>
      <c r="G18" s="12">
        <v>0</v>
      </c>
      <c r="H18" s="12">
        <v>0</v>
      </c>
      <c r="I18" s="12">
        <v>0</v>
      </c>
      <c r="J18" s="12"/>
      <c r="K18" s="12"/>
      <c r="L18" s="12"/>
    </row>
    <row r="19" spans="1:12" x14ac:dyDescent="0.2">
      <c r="A19" s="12" t="s">
        <v>49</v>
      </c>
      <c r="B19" s="13" t="b">
        <v>0</v>
      </c>
      <c r="C19" s="13" t="b">
        <v>0</v>
      </c>
      <c r="D19" s="12">
        <v>0</v>
      </c>
      <c r="E19" s="12">
        <v>0</v>
      </c>
      <c r="F19" s="13" t="b">
        <v>0</v>
      </c>
      <c r="G19" s="12">
        <v>0</v>
      </c>
      <c r="H19" s="12">
        <v>0</v>
      </c>
      <c r="I19" s="12">
        <v>0</v>
      </c>
      <c r="J19" s="12"/>
      <c r="K19" s="12"/>
      <c r="L19" s="12"/>
    </row>
  </sheetData>
  <hyperlinks>
    <hyperlink ref="L11" r:id="rId1" location="SampleDesign" xr:uid="{570FF95A-78CD-B547-B2D2-104877D59DD9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48A9AE"/>
  </sheetPr>
  <dimension ref="A1:S21"/>
  <sheetViews>
    <sheetView zoomScale="150" zoomScaleNormal="150" workbookViewId="0">
      <pane ySplit="1" topLeftCell="A2" activePane="bottomLeft" state="frozen"/>
      <selection pane="bottomLeft" activeCell="D18" sqref="D18"/>
    </sheetView>
  </sheetViews>
  <sheetFormatPr baseColWidth="10" defaultColWidth="8.83203125" defaultRowHeight="15" x14ac:dyDescent="0.2"/>
  <cols>
    <col min="1" max="19" width="25" customWidth="1"/>
  </cols>
  <sheetData>
    <row r="1" spans="1:19" ht="20" customHeight="1" x14ac:dyDescent="0.2">
      <c r="A1" s="11" t="s">
        <v>16</v>
      </c>
      <c r="B1" s="11" t="s">
        <v>50</v>
      </c>
      <c r="C1" s="11" t="s">
        <v>51</v>
      </c>
      <c r="D1" s="11" t="s">
        <v>52</v>
      </c>
      <c r="E1" s="11" t="s">
        <v>53</v>
      </c>
      <c r="F1" s="11" t="s">
        <v>54</v>
      </c>
      <c r="G1" s="11" t="s">
        <v>55</v>
      </c>
      <c r="H1" s="11" t="s">
        <v>56</v>
      </c>
      <c r="I1" s="11" t="s">
        <v>57</v>
      </c>
      <c r="J1" s="11" t="s">
        <v>58</v>
      </c>
      <c r="K1" s="11" t="s">
        <v>59</v>
      </c>
      <c r="L1" s="11" t="s">
        <v>60</v>
      </c>
      <c r="M1" s="11" t="s">
        <v>61</v>
      </c>
      <c r="N1" s="11" t="s">
        <v>62</v>
      </c>
      <c r="O1" s="11" t="s">
        <v>63</v>
      </c>
      <c r="P1" s="11" t="s">
        <v>64</v>
      </c>
      <c r="Q1" s="11" t="s">
        <v>65</v>
      </c>
      <c r="R1" s="11" t="s">
        <v>66</v>
      </c>
      <c r="S1" s="11" t="s">
        <v>67</v>
      </c>
    </row>
    <row r="2" spans="1:19" x14ac:dyDescent="0.2">
      <c r="A2" s="12" t="s">
        <v>68</v>
      </c>
      <c r="B2" s="12" t="s">
        <v>40</v>
      </c>
      <c r="C2" s="12" t="s">
        <v>69</v>
      </c>
      <c r="D2" s="12" t="s">
        <v>70</v>
      </c>
      <c r="E2" s="12" t="s">
        <v>71</v>
      </c>
      <c r="F2" s="12" t="s">
        <v>72</v>
      </c>
      <c r="G2" s="12" t="s">
        <v>72</v>
      </c>
      <c r="H2" s="12"/>
      <c r="I2" s="12" t="b">
        <v>0</v>
      </c>
      <c r="J2" s="12" t="b">
        <v>0</v>
      </c>
      <c r="K2" s="12" t="b">
        <v>0</v>
      </c>
      <c r="L2" s="12" t="b">
        <v>0</v>
      </c>
      <c r="M2" s="12" t="b">
        <v>0</v>
      </c>
      <c r="N2" s="12"/>
      <c r="O2" s="12"/>
      <c r="P2" s="12"/>
      <c r="Q2" s="12"/>
      <c r="R2" s="12" t="b">
        <v>0</v>
      </c>
      <c r="S2" s="12"/>
    </row>
    <row r="3" spans="1:19" x14ac:dyDescent="0.2">
      <c r="A3" s="12" t="s">
        <v>20</v>
      </c>
      <c r="B3" s="12" t="s">
        <v>21</v>
      </c>
      <c r="C3" s="12" t="s">
        <v>75</v>
      </c>
      <c r="D3" s="12" t="s">
        <v>70</v>
      </c>
      <c r="E3" s="12" t="s">
        <v>71</v>
      </c>
      <c r="F3" s="12" t="s">
        <v>72</v>
      </c>
      <c r="G3" s="12" t="s">
        <v>72</v>
      </c>
      <c r="H3" s="12"/>
      <c r="I3" s="12" t="b">
        <v>0</v>
      </c>
      <c r="J3" s="12" t="b">
        <v>0</v>
      </c>
      <c r="K3" s="12" t="b">
        <v>0</v>
      </c>
      <c r="L3" s="12" t="b">
        <v>0</v>
      </c>
      <c r="M3" s="12" t="b">
        <v>0</v>
      </c>
      <c r="N3" s="12"/>
      <c r="O3" s="12"/>
      <c r="P3" s="12"/>
      <c r="Q3" s="12"/>
      <c r="R3" s="12" t="b">
        <v>0</v>
      </c>
      <c r="S3" s="12"/>
    </row>
    <row r="4" spans="1:19" x14ac:dyDescent="0.2">
      <c r="A4" s="12" t="s">
        <v>20</v>
      </c>
      <c r="B4" s="12" t="s">
        <v>76</v>
      </c>
      <c r="C4" s="12" t="s">
        <v>77</v>
      </c>
      <c r="D4" s="12" t="s">
        <v>70</v>
      </c>
      <c r="E4" s="12" t="s">
        <v>71</v>
      </c>
      <c r="F4" s="12" t="s">
        <v>72</v>
      </c>
      <c r="G4" s="12" t="s">
        <v>72</v>
      </c>
      <c r="H4" s="12"/>
      <c r="I4" s="12" t="b">
        <v>0</v>
      </c>
      <c r="J4" s="12" t="b">
        <v>0</v>
      </c>
      <c r="K4" s="12" t="b">
        <v>0</v>
      </c>
      <c r="L4" s="12" t="b">
        <v>0</v>
      </c>
      <c r="M4" s="12" t="b">
        <v>0</v>
      </c>
      <c r="N4" s="12"/>
      <c r="O4" s="12"/>
      <c r="P4" s="12"/>
      <c r="Q4" s="12"/>
      <c r="R4" s="12" t="b">
        <v>0</v>
      </c>
      <c r="S4" s="12"/>
    </row>
    <row r="5" spans="1:19" x14ac:dyDescent="0.2">
      <c r="A5" s="12" t="s">
        <v>20</v>
      </c>
      <c r="B5" s="12" t="s">
        <v>78</v>
      </c>
      <c r="C5" s="12" t="s">
        <v>79</v>
      </c>
      <c r="D5" s="12" t="s">
        <v>70</v>
      </c>
      <c r="E5" s="12" t="s">
        <v>15</v>
      </c>
      <c r="F5" s="12" t="s">
        <v>72</v>
      </c>
      <c r="G5" s="12" t="s">
        <v>72</v>
      </c>
      <c r="H5" s="12"/>
      <c r="I5" s="12" t="b">
        <v>0</v>
      </c>
      <c r="J5" s="12" t="b">
        <v>0</v>
      </c>
      <c r="K5" s="12" t="b">
        <v>0</v>
      </c>
      <c r="L5" s="12" t="b">
        <v>0</v>
      </c>
      <c r="M5" s="12" t="b">
        <v>0</v>
      </c>
      <c r="N5" s="12"/>
      <c r="O5" s="12"/>
      <c r="P5" s="12"/>
      <c r="Q5" s="12"/>
      <c r="R5" s="12" t="b">
        <v>0</v>
      </c>
      <c r="S5" s="12"/>
    </row>
    <row r="6" spans="1:19" x14ac:dyDescent="0.2">
      <c r="A6" s="12" t="s">
        <v>20</v>
      </c>
      <c r="B6" s="12" t="s">
        <v>23</v>
      </c>
      <c r="C6" s="12" t="s">
        <v>80</v>
      </c>
      <c r="D6" s="12" t="s">
        <v>81</v>
      </c>
      <c r="E6" s="12" t="s">
        <v>71</v>
      </c>
      <c r="F6" s="12" t="s">
        <v>72</v>
      </c>
      <c r="G6" s="12" t="s">
        <v>72</v>
      </c>
      <c r="H6" s="12"/>
      <c r="I6" s="12" t="b">
        <v>0</v>
      </c>
      <c r="J6" s="12" t="b">
        <v>0</v>
      </c>
      <c r="K6" s="12" t="b">
        <v>0</v>
      </c>
      <c r="L6" s="12" t="b">
        <v>0</v>
      </c>
      <c r="M6" s="12" t="b">
        <v>0</v>
      </c>
      <c r="N6" s="12"/>
      <c r="O6" s="12"/>
      <c r="P6" s="12"/>
      <c r="Q6" s="12"/>
      <c r="R6" s="12" t="b">
        <v>0</v>
      </c>
      <c r="S6" s="12"/>
    </row>
    <row r="7" spans="1:19" x14ac:dyDescent="0.2">
      <c r="A7" s="12" t="s">
        <v>20</v>
      </c>
      <c r="B7" s="12" t="s">
        <v>82</v>
      </c>
      <c r="C7" s="12" t="s">
        <v>83</v>
      </c>
      <c r="D7" s="12" t="s">
        <v>70</v>
      </c>
      <c r="E7" s="12" t="s">
        <v>15</v>
      </c>
      <c r="F7" s="12" t="s">
        <v>72</v>
      </c>
      <c r="G7" s="12" t="s">
        <v>72</v>
      </c>
      <c r="H7" s="12"/>
      <c r="I7" s="12" t="b">
        <v>0</v>
      </c>
      <c r="J7" s="12" t="b">
        <v>1</v>
      </c>
      <c r="K7" s="12" t="b">
        <v>0</v>
      </c>
      <c r="L7" s="12" t="b">
        <v>0</v>
      </c>
      <c r="M7" s="12" t="b">
        <v>0</v>
      </c>
      <c r="N7" s="12"/>
      <c r="O7" s="12" t="s">
        <v>46</v>
      </c>
      <c r="P7" s="12" t="s">
        <v>73</v>
      </c>
      <c r="Q7" s="12" t="s">
        <v>74</v>
      </c>
      <c r="R7" s="12" t="b">
        <v>0</v>
      </c>
      <c r="S7" s="12"/>
    </row>
    <row r="8" spans="1:19" x14ac:dyDescent="0.2">
      <c r="A8" s="12" t="s">
        <v>20</v>
      </c>
      <c r="B8" s="12" t="s">
        <v>84</v>
      </c>
      <c r="C8" s="12" t="s">
        <v>83</v>
      </c>
      <c r="D8" s="12" t="s">
        <v>70</v>
      </c>
      <c r="E8" s="12" t="s">
        <v>15</v>
      </c>
      <c r="F8" s="12" t="s">
        <v>72</v>
      </c>
      <c r="G8" s="12" t="s">
        <v>72</v>
      </c>
      <c r="H8" s="12"/>
      <c r="I8" s="12" t="b">
        <v>0</v>
      </c>
      <c r="J8" s="12" t="b">
        <v>1</v>
      </c>
      <c r="K8" s="12" t="b">
        <v>0</v>
      </c>
      <c r="L8" s="12" t="b">
        <v>0</v>
      </c>
      <c r="M8" s="12" t="b">
        <v>0</v>
      </c>
      <c r="N8" s="12"/>
      <c r="O8" s="12" t="s">
        <v>47</v>
      </c>
      <c r="P8" s="12" t="s">
        <v>73</v>
      </c>
      <c r="Q8" s="12" t="s">
        <v>74</v>
      </c>
      <c r="R8" s="12" t="b">
        <v>0</v>
      </c>
      <c r="S8" s="12"/>
    </row>
    <row r="9" spans="1:19" x14ac:dyDescent="0.2">
      <c r="A9" s="12" t="s">
        <v>20</v>
      </c>
      <c r="B9" s="12" t="s">
        <v>85</v>
      </c>
      <c r="C9" s="12" t="s">
        <v>83</v>
      </c>
      <c r="D9" s="12" t="s">
        <v>70</v>
      </c>
      <c r="E9" s="12" t="s">
        <v>15</v>
      </c>
      <c r="F9" s="15" t="s">
        <v>100</v>
      </c>
      <c r="G9" s="12" t="s">
        <v>72</v>
      </c>
      <c r="H9" s="12"/>
      <c r="I9" s="12" t="b">
        <v>0</v>
      </c>
      <c r="J9" s="12" t="b">
        <v>0</v>
      </c>
      <c r="K9" s="12" t="b">
        <v>0</v>
      </c>
      <c r="L9" s="12" t="b">
        <v>1</v>
      </c>
      <c r="M9" s="12" t="b">
        <v>0</v>
      </c>
      <c r="N9" s="12"/>
      <c r="O9" s="12"/>
      <c r="P9" s="12"/>
      <c r="Q9" s="12"/>
      <c r="R9" s="12" t="b">
        <v>0</v>
      </c>
      <c r="S9" s="12"/>
    </row>
    <row r="10" spans="1:19" x14ac:dyDescent="0.2">
      <c r="A10" s="12" t="s">
        <v>20</v>
      </c>
      <c r="B10" s="12" t="s">
        <v>86</v>
      </c>
      <c r="C10" s="12" t="s">
        <v>79</v>
      </c>
      <c r="D10" s="12" t="s">
        <v>70</v>
      </c>
      <c r="E10" s="12" t="s">
        <v>15</v>
      </c>
      <c r="F10" s="12" t="s">
        <v>72</v>
      </c>
      <c r="G10" s="12" t="s">
        <v>72</v>
      </c>
      <c r="H10" s="12"/>
      <c r="I10" s="12" t="b">
        <v>0</v>
      </c>
      <c r="J10" s="12" t="b">
        <v>0</v>
      </c>
      <c r="K10" s="12" t="b">
        <v>0</v>
      </c>
      <c r="L10" s="12" t="b">
        <v>0</v>
      </c>
      <c r="M10" s="12" t="b">
        <v>0</v>
      </c>
      <c r="N10" s="12"/>
      <c r="O10" s="12"/>
      <c r="P10" s="12"/>
      <c r="Q10" s="12"/>
      <c r="R10" s="12" t="b">
        <v>0</v>
      </c>
      <c r="S10" s="12"/>
    </row>
    <row r="11" spans="1:19" x14ac:dyDescent="0.2">
      <c r="A11" s="12" t="s">
        <v>20</v>
      </c>
      <c r="B11" s="12" t="s">
        <v>87</v>
      </c>
      <c r="C11" s="12" t="s">
        <v>88</v>
      </c>
      <c r="D11" s="12" t="s">
        <v>89</v>
      </c>
      <c r="E11" s="12" t="s">
        <v>71</v>
      </c>
      <c r="F11" s="12" t="s">
        <v>72</v>
      </c>
      <c r="G11" s="12" t="s">
        <v>72</v>
      </c>
      <c r="H11" s="12"/>
      <c r="I11" s="12" t="b">
        <v>0</v>
      </c>
      <c r="J11" s="12" t="b">
        <v>0</v>
      </c>
      <c r="K11" s="12" t="b">
        <v>0</v>
      </c>
      <c r="L11" s="12" t="b">
        <v>0</v>
      </c>
      <c r="M11" s="12" t="b">
        <v>0</v>
      </c>
      <c r="N11" s="12"/>
      <c r="O11" s="12"/>
      <c r="P11" s="12"/>
      <c r="Q11" s="12"/>
      <c r="R11" s="12" t="b">
        <v>0</v>
      </c>
      <c r="S11" s="12"/>
    </row>
    <row r="12" spans="1:19" x14ac:dyDescent="0.2">
      <c r="A12" s="12" t="s">
        <v>20</v>
      </c>
      <c r="B12" s="12" t="s">
        <v>90</v>
      </c>
      <c r="C12" s="12" t="s">
        <v>79</v>
      </c>
      <c r="D12" s="12" t="s">
        <v>70</v>
      </c>
      <c r="E12" s="12" t="s">
        <v>15</v>
      </c>
      <c r="F12" s="12" t="s">
        <v>72</v>
      </c>
      <c r="G12" s="12" t="s">
        <v>72</v>
      </c>
      <c r="H12" s="12"/>
      <c r="I12" s="12" t="b">
        <v>0</v>
      </c>
      <c r="J12" s="12" t="b">
        <v>0</v>
      </c>
      <c r="K12" s="12" t="b">
        <v>0</v>
      </c>
      <c r="L12" s="12" t="b">
        <v>0</v>
      </c>
      <c r="M12" s="12" t="b">
        <v>0</v>
      </c>
      <c r="N12" s="12"/>
      <c r="O12" s="12"/>
      <c r="P12" s="12"/>
      <c r="Q12" s="12"/>
      <c r="R12" s="12" t="b">
        <v>0</v>
      </c>
      <c r="S12" s="12"/>
    </row>
    <row r="13" spans="1:19" x14ac:dyDescent="0.2">
      <c r="A13" s="12" t="s">
        <v>25</v>
      </c>
      <c r="B13" s="12" t="s">
        <v>27</v>
      </c>
      <c r="C13" s="12" t="s">
        <v>75</v>
      </c>
      <c r="D13" s="12" t="s">
        <v>70</v>
      </c>
      <c r="E13" s="12" t="s">
        <v>71</v>
      </c>
      <c r="F13" s="12" t="s">
        <v>72</v>
      </c>
      <c r="G13" s="12" t="s">
        <v>72</v>
      </c>
      <c r="H13" s="12"/>
      <c r="I13" s="12" t="b">
        <v>0</v>
      </c>
      <c r="J13" s="12" t="b">
        <v>0</v>
      </c>
      <c r="K13" s="12" t="b">
        <v>0</v>
      </c>
      <c r="L13" s="12" t="b">
        <v>0</v>
      </c>
      <c r="M13" s="12" t="b">
        <v>0</v>
      </c>
      <c r="N13" s="12"/>
      <c r="O13" s="12"/>
      <c r="P13" s="12"/>
      <c r="Q13" s="12"/>
      <c r="R13" s="12" t="b">
        <v>0</v>
      </c>
      <c r="S13" s="12"/>
    </row>
    <row r="14" spans="1:19" x14ac:dyDescent="0.2">
      <c r="A14" s="12" t="s">
        <v>25</v>
      </c>
      <c r="B14" s="12" t="s">
        <v>24</v>
      </c>
      <c r="C14" s="12" t="s">
        <v>77</v>
      </c>
      <c r="D14" s="12" t="s">
        <v>70</v>
      </c>
      <c r="E14" s="12" t="s">
        <v>71</v>
      </c>
      <c r="F14" s="12" t="s">
        <v>72</v>
      </c>
      <c r="G14" s="12" t="s">
        <v>72</v>
      </c>
      <c r="H14" s="12"/>
      <c r="I14" s="12" t="b">
        <v>0</v>
      </c>
      <c r="J14" s="12" t="b">
        <v>0</v>
      </c>
      <c r="K14" s="12" t="b">
        <v>0</v>
      </c>
      <c r="L14" s="12" t="b">
        <v>0</v>
      </c>
      <c r="M14" s="12" t="b">
        <v>0</v>
      </c>
      <c r="N14" s="12"/>
      <c r="O14" s="12"/>
      <c r="P14" s="12"/>
      <c r="Q14" s="12"/>
      <c r="R14" s="12" t="b">
        <v>0</v>
      </c>
      <c r="S14" s="12"/>
    </row>
    <row r="15" spans="1:19" x14ac:dyDescent="0.2">
      <c r="A15" s="12" t="s">
        <v>25</v>
      </c>
      <c r="B15" s="12" t="s">
        <v>78</v>
      </c>
      <c r="C15" s="12" t="s">
        <v>79</v>
      </c>
      <c r="D15" s="12" t="s">
        <v>70</v>
      </c>
      <c r="E15" s="12" t="s">
        <v>15</v>
      </c>
      <c r="F15" s="12" t="s">
        <v>72</v>
      </c>
      <c r="G15" s="12" t="s">
        <v>72</v>
      </c>
      <c r="H15" s="12"/>
      <c r="I15" s="12" t="b">
        <v>0</v>
      </c>
      <c r="J15" s="12" t="b">
        <v>0</v>
      </c>
      <c r="K15" s="12" t="b">
        <v>0</v>
      </c>
      <c r="L15" s="12" t="b">
        <v>0</v>
      </c>
      <c r="M15" s="12" t="b">
        <v>0</v>
      </c>
      <c r="N15" s="12"/>
      <c r="O15" s="12"/>
      <c r="P15" s="12"/>
      <c r="Q15" s="12"/>
      <c r="R15" s="12" t="b">
        <v>0</v>
      </c>
      <c r="S15" s="12"/>
    </row>
    <row r="16" spans="1:19" x14ac:dyDescent="0.2">
      <c r="A16" s="12" t="s">
        <v>25</v>
      </c>
      <c r="B16" s="12" t="s">
        <v>91</v>
      </c>
      <c r="C16" s="12" t="s">
        <v>80</v>
      </c>
      <c r="D16" s="12" t="s">
        <v>81</v>
      </c>
      <c r="E16" s="12" t="s">
        <v>71</v>
      </c>
      <c r="F16" s="12" t="s">
        <v>72</v>
      </c>
      <c r="G16" s="12" t="s">
        <v>72</v>
      </c>
      <c r="H16" s="12"/>
      <c r="I16" s="12" t="b">
        <v>0</v>
      </c>
      <c r="J16" s="12" t="b">
        <v>0</v>
      </c>
      <c r="K16" s="12" t="b">
        <v>0</v>
      </c>
      <c r="L16" s="12" t="b">
        <v>0</v>
      </c>
      <c r="M16" s="12" t="b">
        <v>0</v>
      </c>
      <c r="N16" s="12"/>
      <c r="O16" s="12"/>
      <c r="P16" s="12"/>
      <c r="Q16" s="12"/>
      <c r="R16" s="12" t="b">
        <v>0</v>
      </c>
      <c r="S16" s="12"/>
    </row>
    <row r="17" spans="1:19" x14ac:dyDescent="0.2">
      <c r="A17" s="12" t="s">
        <v>25</v>
      </c>
      <c r="B17" s="12" t="s">
        <v>92</v>
      </c>
      <c r="C17" s="12" t="s">
        <v>93</v>
      </c>
      <c r="D17" s="12" t="s">
        <v>70</v>
      </c>
      <c r="E17" s="12" t="s">
        <v>15</v>
      </c>
      <c r="F17" s="12" t="s">
        <v>72</v>
      </c>
      <c r="G17" s="12" t="s">
        <v>72</v>
      </c>
      <c r="H17" s="12"/>
      <c r="I17" s="12" t="b">
        <v>0</v>
      </c>
      <c r="J17" s="12" t="b">
        <v>1</v>
      </c>
      <c r="K17" s="12" t="b">
        <v>0</v>
      </c>
      <c r="L17" s="12" t="b">
        <v>0</v>
      </c>
      <c r="M17" s="12" t="b">
        <v>0</v>
      </c>
      <c r="N17" s="12"/>
      <c r="O17" s="12" t="s">
        <v>49</v>
      </c>
      <c r="P17" s="12" t="s">
        <v>73</v>
      </c>
      <c r="Q17" s="12" t="s">
        <v>74</v>
      </c>
      <c r="R17" s="12" t="b">
        <v>0</v>
      </c>
      <c r="S17" s="12"/>
    </row>
    <row r="18" spans="1:19" x14ac:dyDescent="0.2">
      <c r="A18" s="12" t="s">
        <v>25</v>
      </c>
      <c r="B18" s="12" t="s">
        <v>29</v>
      </c>
      <c r="C18" s="12" t="s">
        <v>94</v>
      </c>
      <c r="D18" s="17" t="s">
        <v>95</v>
      </c>
      <c r="E18" s="12" t="s">
        <v>71</v>
      </c>
      <c r="F18" s="12" t="s">
        <v>72</v>
      </c>
      <c r="G18" s="12" t="s">
        <v>72</v>
      </c>
      <c r="H18" s="12"/>
      <c r="I18" s="12" t="b">
        <v>0</v>
      </c>
      <c r="J18" s="12" t="b">
        <v>0</v>
      </c>
      <c r="K18" s="12" t="b">
        <v>0</v>
      </c>
      <c r="L18" s="12" t="b">
        <v>0</v>
      </c>
      <c r="M18" s="12" t="b">
        <v>0</v>
      </c>
      <c r="N18" s="12"/>
      <c r="O18" s="12"/>
      <c r="P18" s="12"/>
      <c r="Q18" s="12"/>
      <c r="R18" s="12" t="b">
        <v>0</v>
      </c>
      <c r="S18" s="12"/>
    </row>
    <row r="19" spans="1:19" x14ac:dyDescent="0.2">
      <c r="A19" s="12" t="s">
        <v>25</v>
      </c>
      <c r="B19" s="12" t="s">
        <v>86</v>
      </c>
      <c r="C19" s="12" t="s">
        <v>79</v>
      </c>
      <c r="D19" s="12" t="s">
        <v>70</v>
      </c>
      <c r="E19" s="12" t="s">
        <v>15</v>
      </c>
      <c r="F19" s="12" t="s">
        <v>72</v>
      </c>
      <c r="G19" s="12" t="s">
        <v>72</v>
      </c>
      <c r="H19" s="12"/>
      <c r="I19" s="12" t="b">
        <v>0</v>
      </c>
      <c r="J19" s="12" t="b">
        <v>0</v>
      </c>
      <c r="K19" s="12" t="b">
        <v>0</v>
      </c>
      <c r="L19" s="12" t="b">
        <v>0</v>
      </c>
      <c r="M19" s="12" t="b">
        <v>0</v>
      </c>
      <c r="N19" s="12"/>
      <c r="O19" s="12"/>
      <c r="P19" s="12"/>
      <c r="Q19" s="12"/>
      <c r="R19" s="12" t="b">
        <v>0</v>
      </c>
      <c r="S19" s="12"/>
    </row>
    <row r="20" spans="1:19" x14ac:dyDescent="0.2">
      <c r="A20" s="12" t="s">
        <v>25</v>
      </c>
      <c r="B20" s="12" t="s">
        <v>87</v>
      </c>
      <c r="C20" s="12" t="s">
        <v>88</v>
      </c>
      <c r="D20" s="12" t="s">
        <v>89</v>
      </c>
      <c r="E20" s="12" t="s">
        <v>71</v>
      </c>
      <c r="F20" s="12" t="s">
        <v>72</v>
      </c>
      <c r="G20" s="12" t="s">
        <v>72</v>
      </c>
      <c r="H20" s="12"/>
      <c r="I20" s="12" t="b">
        <v>0</v>
      </c>
      <c r="J20" s="12" t="b">
        <v>0</v>
      </c>
      <c r="K20" s="12" t="b">
        <v>0</v>
      </c>
      <c r="L20" s="12" t="b">
        <v>0</v>
      </c>
      <c r="M20" s="12" t="b">
        <v>0</v>
      </c>
      <c r="N20" s="12"/>
      <c r="O20" s="12"/>
      <c r="P20" s="12"/>
      <c r="Q20" s="12"/>
      <c r="R20" s="12" t="b">
        <v>0</v>
      </c>
      <c r="S20" s="12"/>
    </row>
    <row r="21" spans="1:19" x14ac:dyDescent="0.2">
      <c r="A21" s="12" t="s">
        <v>25</v>
      </c>
      <c r="B21" s="12" t="s">
        <v>90</v>
      </c>
      <c r="C21" s="12" t="s">
        <v>79</v>
      </c>
      <c r="D21" s="12" t="s">
        <v>70</v>
      </c>
      <c r="E21" s="12" t="s">
        <v>15</v>
      </c>
      <c r="F21" s="12" t="s">
        <v>72</v>
      </c>
      <c r="G21" s="12" t="s">
        <v>72</v>
      </c>
      <c r="H21" s="12"/>
      <c r="I21" s="12" t="b">
        <v>0</v>
      </c>
      <c r="J21" s="12" t="b">
        <v>0</v>
      </c>
      <c r="K21" s="12" t="b">
        <v>0</v>
      </c>
      <c r="L21" s="12" t="b">
        <v>0</v>
      </c>
      <c r="M21" s="12" t="b">
        <v>0</v>
      </c>
      <c r="N21" s="12"/>
      <c r="O21" s="12"/>
      <c r="P21" s="12"/>
      <c r="Q21" s="12"/>
      <c r="R21" s="12" t="b">
        <v>0</v>
      </c>
      <c r="S21" s="12"/>
    </row>
  </sheetData>
  <hyperlinks>
    <hyperlink ref="D18" r:id="rId1" xr:uid="{2376F8E0-E012-6644-B86B-68742629367C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48A9AE"/>
  </sheetPr>
  <dimension ref="A1:B3"/>
  <sheetViews>
    <sheetView zoomScale="150" zoomScaleNormal="150" workbookViewId="0">
      <pane ySplit="1" topLeftCell="A2" activePane="bottomLeft" state="frozen"/>
      <selection pane="bottomLeft" activeCell="B3" sqref="B3"/>
    </sheetView>
  </sheetViews>
  <sheetFormatPr baseColWidth="10" defaultColWidth="8.83203125" defaultRowHeight="15" x14ac:dyDescent="0.2"/>
  <cols>
    <col min="1" max="2" width="25" customWidth="1"/>
  </cols>
  <sheetData>
    <row r="1" spans="1:2" ht="20" customHeight="1" x14ac:dyDescent="0.2">
      <c r="A1" s="11" t="s">
        <v>22</v>
      </c>
      <c r="B1" s="11" t="s">
        <v>15</v>
      </c>
    </row>
    <row r="2" spans="1:2" x14ac:dyDescent="0.2">
      <c r="A2" s="16" t="s">
        <v>119</v>
      </c>
      <c r="B2" s="17" t="s">
        <v>120</v>
      </c>
    </row>
    <row r="3" spans="1:2" x14ac:dyDescent="0.2">
      <c r="A3" s="16"/>
      <c r="B3" s="17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cvHeaderDropdown">
              <controlPr defaultSize="0" autoFill="0" autoPict="0" macro="[0]!HeaderDropdownChange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1524000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48A9AE"/>
  </sheetPr>
  <dimension ref="A1:D5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4" width="25" customWidth="1"/>
  </cols>
  <sheetData>
    <row r="1" spans="1:4" ht="20" customHeight="1" x14ac:dyDescent="0.2">
      <c r="A1" s="11" t="s">
        <v>96</v>
      </c>
      <c r="B1" s="11" t="s">
        <v>97</v>
      </c>
      <c r="C1" s="11" t="s">
        <v>98</v>
      </c>
      <c r="D1" s="11" t="s">
        <v>99</v>
      </c>
    </row>
    <row r="2" spans="1:4" x14ac:dyDescent="0.2">
      <c r="A2" s="12" t="s">
        <v>20</v>
      </c>
      <c r="B2" s="12" t="s">
        <v>82</v>
      </c>
      <c r="C2" s="12" t="s">
        <v>46</v>
      </c>
      <c r="D2" s="12" t="s">
        <v>22</v>
      </c>
    </row>
    <row r="3" spans="1:4" x14ac:dyDescent="0.2">
      <c r="A3" s="12" t="s">
        <v>20</v>
      </c>
      <c r="B3" s="12" t="s">
        <v>84</v>
      </c>
      <c r="C3" s="12" t="s">
        <v>47</v>
      </c>
      <c r="D3" s="12" t="s">
        <v>22</v>
      </c>
    </row>
    <row r="4" spans="1:4" x14ac:dyDescent="0.2">
      <c r="A4" s="12" t="s">
        <v>20</v>
      </c>
      <c r="B4" s="12" t="s">
        <v>85</v>
      </c>
      <c r="C4" s="12" t="s">
        <v>48</v>
      </c>
      <c r="D4" s="12" t="s">
        <v>22</v>
      </c>
    </row>
    <row r="5" spans="1:4" x14ac:dyDescent="0.2">
      <c r="A5" s="12" t="s">
        <v>25</v>
      </c>
      <c r="B5" s="12" t="s">
        <v>92</v>
      </c>
      <c r="C5" s="12" t="s">
        <v>49</v>
      </c>
      <c r="D5" s="12" t="s">
        <v>22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welcome</vt:lpstr>
      <vt:lpstr>sample design</vt:lpstr>
      <vt:lpstr>supplement</vt:lpstr>
      <vt:lpstr>SBH_strains_collection</vt:lpstr>
      <vt:lpstr>SBH_media_collection</vt:lpstr>
      <vt:lpstr>flapjack_cols</vt:lpstr>
      <vt:lpstr>_DropdownState</vt:lpstr>
      <vt:lpstr>_DropdownLists</vt:lpstr>
      <vt:lpstr>Init</vt:lpstr>
      <vt:lpstr>column_definitions</vt:lpstr>
      <vt:lpstr>SBH_chemicals_collection</vt:lpstr>
      <vt:lpstr>_DropdownMap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Chris Myers</cp:lastModifiedBy>
  <dcterms:created xsi:type="dcterms:W3CDTF">2022-06-30T21:03:14Z</dcterms:created>
  <dcterms:modified xsi:type="dcterms:W3CDTF">2026-07-14T23:16:29Z</dcterms:modified>
</cp:coreProperties>
</file>