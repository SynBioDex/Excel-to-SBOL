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6" codeName="{F3310B89-0DAA-6C43-5919-0D5897632BE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onzalovidal/Downloads/"/>
    </mc:Choice>
  </mc:AlternateContent>
  <xr:revisionPtr revIDLastSave="0" documentId="13_ncr:1_{F827E836-9F55-9E4C-B9B0-74C6381B931C}" xr6:coauthVersionLast="47" xr6:coauthVersionMax="47" xr10:uidLastSave="{00000000-0000-0000-0000-000000000000}"/>
  <bookViews>
    <workbookView xWindow="33760" yWindow="40" windowWidth="19320" windowHeight="19020" tabRatio="745" xr2:uid="{00000000-000D-0000-FFFF-FFFF00000000}"/>
  </bookViews>
  <sheets>
    <sheet name="welcome" sheetId="1" r:id="rId1"/>
    <sheet name="flapjack_cols" sheetId="2" state="hidden" r:id="rId2"/>
    <sheet name="Init" sheetId="3" state="hidden" r:id="rId3"/>
    <sheet name="column_definitions" sheetId="4" state="hidden" r:id="rId4"/>
    <sheet name="sample design" sheetId="5" r:id="rId5"/>
    <sheet name="supplement" sheetId="6" r:id="rId6"/>
    <sheet name="SBH_strains_collection" sheetId="7" r:id="rId7"/>
    <sheet name="SBH_media_collection" sheetId="8" r:id="rId8"/>
    <sheet name="SBH_chemicals_collection" sheetId="9" r:id="rId9"/>
  </sheets>
  <functionGroups builtInGroupCount="19"/>
  <definedNames>
    <definedName name="dv_SBH_chemicals_collection_Name">SBH_chemicals_collection[Name]</definedName>
    <definedName name="dv_SBH_media_collection_Name">SBH_media_collection[Name]</definedName>
    <definedName name="dv_SBH_strains_collection_Name">SBH_strains_collection[Name]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4" i="5" l="1"/>
  <c r="B33" i="5"/>
  <c r="B32" i="5"/>
  <c r="B24" i="5"/>
  <c r="B25" i="5"/>
  <c r="B26" i="5"/>
  <c r="B27" i="5"/>
  <c r="B28" i="5"/>
  <c r="B29" i="5"/>
  <c r="B30" i="5"/>
  <c r="B31" i="5"/>
  <c r="B23" i="5"/>
  <c r="B22" i="5"/>
  <c r="B14" i="5"/>
  <c r="B15" i="5"/>
  <c r="B16" i="5"/>
  <c r="B17" i="5"/>
  <c r="B18" i="5"/>
  <c r="B19" i="5"/>
  <c r="B20" i="5"/>
  <c r="B21" i="5"/>
  <c r="B13" i="5"/>
  <c r="B12" i="5"/>
  <c r="B4" i="5"/>
  <c r="B5" i="5"/>
  <c r="B6" i="5"/>
  <c r="B7" i="5"/>
  <c r="B8" i="5"/>
  <c r="B9" i="5"/>
  <c r="B10" i="5"/>
  <c r="B11" i="5"/>
  <c r="B3" i="5"/>
  <c r="B27" i="6"/>
  <c r="B26" i="6"/>
  <c r="B25" i="6"/>
  <c r="B24" i="6"/>
  <c r="B17" i="6"/>
  <c r="B18" i="6"/>
  <c r="B19" i="6"/>
  <c r="B20" i="6"/>
  <c r="B21" i="6"/>
  <c r="B22" i="6"/>
  <c r="B23" i="6"/>
  <c r="B11" i="6"/>
  <c r="B12" i="6"/>
  <c r="B13" i="6"/>
  <c r="B14" i="6"/>
  <c r="B15" i="6"/>
  <c r="B16" i="6"/>
  <c r="B10" i="6"/>
  <c r="B9" i="6"/>
  <c r="B8" i="6"/>
  <c r="B7" i="6"/>
  <c r="B6" i="6"/>
  <c r="B5" i="6"/>
  <c r="B4" i="6"/>
  <c r="B3" i="6"/>
  <c r="B2" i="6" l="1"/>
  <c r="B2" i="5"/>
  <c r="C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4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sample design entry.</t>
        </r>
      </text>
    </comment>
    <comment ref="B1" authorId="0" shapeId="0" xr:uid="{00000000-0006-0000-0400-000002000000}">
      <text>
        <r>
          <rPr>
            <sz val="11"/>
            <color theme="1"/>
            <rFont val="Helvetica"/>
            <family val="2"/>
            <scheme val="minor"/>
          </rPr>
          <t>Unique identifier for this sample design entry. This ID is used to reference the Sample Design entries in other sheets and must be unique across all sheets in this workbook.</t>
        </r>
      </text>
    </comment>
    <comment ref="C1" authorId="0" shapeId="0" xr:uid="{00000000-0006-0000-04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4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sample design entry.</t>
        </r>
      </text>
    </comment>
    <comment ref="E1" authorId="0" shapeId="0" xr:uid="{00000000-0006-0000-0400-000005000000}">
      <text>
        <r>
          <rPr>
            <sz val="11"/>
            <color theme="1"/>
            <rFont val="Helvetica"/>
            <family val="2"/>
            <scheme val="minor"/>
          </rPr>
          <t>The strain(s) used in this sample design. Select from the SBH_strains_collection dropdown.</t>
        </r>
      </text>
    </comment>
    <comment ref="F1" authorId="0" shapeId="0" xr:uid="{00000000-0006-0000-0400-000006000000}">
      <text>
        <r>
          <rPr>
            <sz val="11"/>
            <color theme="1"/>
            <rFont val="Helvetica"/>
            <family val="2"/>
            <scheme val="minor"/>
          </rPr>
          <t>The growth media used in this sample design. Select from the SBH_media_collection dropdown.</t>
        </r>
      </text>
    </comment>
    <comment ref="G1" authorId="0" shapeId="0" xr:uid="{00000000-0006-0000-0400-000007000000}">
      <text>
        <r>
          <rPr>
            <sz val="11"/>
            <color theme="1"/>
            <rFont val="Helvetica"/>
            <family val="2"/>
            <scheme val="minor"/>
          </rPr>
          <t>The supplement(s) for this sample design. Double-click the cell to open the selector and choose one or more Supplement IDs defined on the supplement sheet.</t>
        </r>
      </text>
    </comment>
    <comment ref="H1" authorId="0" shapeId="0" xr:uid="{00000000-0006-0000-0400-000008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I1" authorId="0" shapeId="0" xr:uid="{00000000-0006-0000-0400-000009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J1" authorId="0" shapeId="0" xr:uid="{00000000-0006-0000-0400-00000A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5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supplement entry.</t>
        </r>
      </text>
    </comment>
    <comment ref="B1" authorId="0" shapeId="0" xr:uid="{00000000-0006-0000-0500-000002000000}">
      <text>
        <r>
          <rPr>
            <sz val="11"/>
            <color theme="1"/>
            <rFont val="Helvetica"/>
            <family val="2"/>
            <scheme val="minor"/>
          </rPr>
          <t>Unique identifier for this supplement entry. This ID is used to reference the Supplement entries in other sheets and must be unique across all sheets in this workbook.</t>
        </r>
      </text>
    </comment>
    <comment ref="C1" authorId="0" shapeId="0" xr:uid="{00000000-0006-0000-05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5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supplement entry.</t>
        </r>
      </text>
    </comment>
    <comment ref="E1" authorId="0" shapeId="0" xr:uid="{00000000-0006-0000-0500-000005000000}">
      <text>
        <r>
          <rPr>
            <sz val="11"/>
            <color theme="1"/>
            <rFont val="Helvetica"/>
            <family val="2"/>
            <scheme val="minor"/>
          </rPr>
          <t>The base chemical compound for this supplement. Select from the SBH_chemicals_collection dropdown.</t>
        </r>
      </text>
    </comment>
    <comment ref="F1" authorId="0" shapeId="0" xr:uid="{00000000-0006-0000-0500-000006000000}">
      <text>
        <r>
          <rPr>
            <sz val="11"/>
            <color theme="1"/>
            <rFont val="Helvetica"/>
            <family val="2"/>
            <scheme val="minor"/>
          </rPr>
          <t>The concentration of this supplement (include units, e.g. '50 µg/mL').</t>
        </r>
      </text>
    </comment>
    <comment ref="G1" authorId="0" shapeId="0" xr:uid="{00000000-0006-0000-0500-000007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H1" authorId="0" shapeId="0" xr:uid="{00000000-0006-0000-0500-000008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I1" authorId="0" shapeId="0" xr:uid="{00000000-0006-0000-0500-000009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</commentList>
</comments>
</file>

<file path=xl/sharedStrings.xml><?xml version="1.0" encoding="utf-8"?>
<sst xmlns="http://schemas.openxmlformats.org/spreadsheetml/2006/main" count="458" uniqueCount="183">
  <si>
    <t>Library Information</t>
  </si>
  <si>
    <t>Template Type</t>
  </si>
  <si>
    <t>SampleDesign</t>
  </si>
  <si>
    <t>Name</t>
  </si>
  <si>
    <t>Sample Design</t>
  </si>
  <si>
    <t>ID</t>
  </si>
  <si>
    <t>Version</t>
  </si>
  <si>
    <t>1</t>
  </si>
  <si>
    <t>Description</t>
  </si>
  <si>
    <t>Author</t>
  </si>
  <si>
    <t>Email</t>
  </si>
  <si>
    <t>Laboratory</t>
  </si>
  <si>
    <t>Institution</t>
  </si>
  <si>
    <t>PubMed IDs</t>
  </si>
  <si>
    <t>Domain</t>
  </si>
  <si>
    <t>Master Collection</t>
  </si>
  <si>
    <t>Show Common Sheets</t>
  </si>
  <si>
    <t>Show Advanced Sheets</t>
  </si>
  <si>
    <t>Sheet Name</t>
  </si>
  <si>
    <t>FlapjackObject</t>
  </si>
  <si>
    <t>ColName</t>
  </si>
  <si>
    <t>FlapjackName</t>
  </si>
  <si>
    <t>supplement</t>
  </si>
  <si>
    <t>Supplement</t>
  </si>
  <si>
    <t>Supplement Name</t>
  </si>
  <si>
    <t>name</t>
  </si>
  <si>
    <t>Chemical</t>
  </si>
  <si>
    <t>chemical</t>
  </si>
  <si>
    <t>Concentration</t>
  </si>
  <si>
    <t>concentration</t>
  </si>
  <si>
    <t>SBOL Version</t>
  </si>
  <si>
    <t>Library Name</t>
  </si>
  <si>
    <t>Convert</t>
  </si>
  <si>
    <t>Has Collections</t>
  </si>
  <si>
    <t>Collect Cols</t>
  </si>
  <si>
    <t># of Collect Rows</t>
  </si>
  <si>
    <t>Has Descripts</t>
  </si>
  <si>
    <t>Descript Cols</t>
  </si>
  <si>
    <t>Descript Start Row</t>
  </si>
  <si>
    <t>Lib Start Row</t>
  </si>
  <si>
    <t>SBOL Object Type</t>
  </si>
  <si>
    <t>Molecule Type</t>
  </si>
  <si>
    <t>Role</t>
  </si>
  <si>
    <t>sample design</t>
  </si>
  <si>
    <t>ModuleDefinition</t>
  </si>
  <si>
    <t>https://wiki.synbiohub.org/wiki/Terms/SynBioSuite#SampleDesign</t>
  </si>
  <si>
    <t>http://purl.obolibrary.org/obo/PATO_0000033</t>
  </si>
  <si>
    <t>SBH_strains_collection</t>
  </si>
  <si>
    <t>SBH_media_collection</t>
  </si>
  <si>
    <t>SBH_chemicals_collection</t>
  </si>
  <si>
    <t>Column Name</t>
  </si>
  <si>
    <t>SBOL Term</t>
  </si>
  <si>
    <t>Namespace URL</t>
  </si>
  <si>
    <t>Type</t>
  </si>
  <si>
    <t>Split On</t>
  </si>
  <si>
    <t>Pattern</t>
  </si>
  <si>
    <t>Multicolumn</t>
  </si>
  <si>
    <t>Tyto Lookup</t>
  </si>
  <si>
    <t>Sheet Lookup</t>
  </si>
  <si>
    <t>Replacement Lookup</t>
  </si>
  <si>
    <t>Object_ID Lookup</t>
  </si>
  <si>
    <t>Parent Lookup</t>
  </si>
  <si>
    <t>Ontology Name</t>
  </si>
  <si>
    <t>Lookup Sheet Name</t>
  </si>
  <si>
    <t>From Col</t>
  </si>
  <si>
    <t>To Col</t>
  </si>
  <si>
    <t>comma_append</t>
  </si>
  <si>
    <t>translate_target</t>
  </si>
  <si>
    <t>Init</t>
  </si>
  <si>
    <t>sbol_objectType</t>
  </si>
  <si>
    <t>http://sbols.org/v2#</t>
  </si>
  <si>
    <t>String</t>
  </si>
  <si>
    <t>""</t>
  </si>
  <si>
    <t>sbol_types</t>
  </si>
  <si>
    <t>sbol_roles</t>
  </si>
  <si>
    <t>URI</t>
  </si>
  <si>
    <t>Sample Design Name</t>
  </si>
  <si>
    <t>sbol_name</t>
  </si>
  <si>
    <t>Sample Design ID</t>
  </si>
  <si>
    <t>sbol_displayId</t>
  </si>
  <si>
    <t>Previous Version (URI)</t>
  </si>
  <si>
    <t>sbol_wasDerivedFrom</t>
  </si>
  <si>
    <t>Sample Design Description</t>
  </si>
  <si>
    <t>sbol_description</t>
  </si>
  <si>
    <t>http://purl.org/dc/terms/#</t>
  </si>
  <si>
    <t>Strains</t>
  </si>
  <si>
    <t>sbol_module</t>
  </si>
  <si>
    <t>A</t>
  </si>
  <si>
    <t>B</t>
  </si>
  <si>
    <t>Medias</t>
  </si>
  <si>
    <t>Supplements</t>
  </si>
  <si>
    <t>","</t>
  </si>
  <si>
    <t>Data Source</t>
  </si>
  <si>
    <t>PubMed ID</t>
  </si>
  <si>
    <t>obo_OBI_0001617</t>
  </si>
  <si>
    <t>http://purl.obolibrary.org/obo/</t>
  </si>
  <si>
    <t>DOI</t>
  </si>
  <si>
    <t>Supplement ID</t>
  </si>
  <si>
    <t>Supplement Description</t>
  </si>
  <si>
    <t>sbol_funcComp</t>
  </si>
  <si>
    <t>fj_concentration</t>
  </si>
  <si>
    <t>https://wiki.synbiohub.org/wiki/Terms/Flapjack#</t>
  </si>
  <si>
    <t>Pputida_ars_sensor</t>
  </si>
  <si>
    <t>Pputida_yfp</t>
  </si>
  <si>
    <t>LB</t>
  </si>
  <si>
    <t>PBS</t>
  </si>
  <si>
    <t>Sodium Arsenite</t>
  </si>
  <si>
    <t>Aluminum sulfate</t>
  </si>
  <si>
    <t>Fluorescein</t>
  </si>
  <si>
    <t>Copper Sulfate</t>
  </si>
  <si>
    <t>Beads</t>
  </si>
  <si>
    <t>Sodium_arsenite_1</t>
  </si>
  <si>
    <t>Sodium_arsenite_2</t>
  </si>
  <si>
    <t>Sodium_arsenite_3</t>
  </si>
  <si>
    <t>Sodium_arsenite_4</t>
  </si>
  <si>
    <t>Sodium_arsenite_5</t>
  </si>
  <si>
    <t>Sodium_arsenite_6</t>
  </si>
  <si>
    <t>Sodium_arsenite_7</t>
  </si>
  <si>
    <t>Sodium_arsenite_8</t>
  </si>
  <si>
    <t>Aluminum_sulfate_1</t>
  </si>
  <si>
    <t>Aluminum_sulfate_2</t>
  </si>
  <si>
    <t>Aluminum_sulfate_3</t>
  </si>
  <si>
    <t>Aluminum_sulfate_4</t>
  </si>
  <si>
    <t>Aluminum_sulfate_5</t>
  </si>
  <si>
    <t>Aluminum_sulfate_6</t>
  </si>
  <si>
    <t>Aluminum_sulfate_7</t>
  </si>
  <si>
    <t>Copper_sulfate_1</t>
  </si>
  <si>
    <t>Copper_sulfate_2</t>
  </si>
  <si>
    <t>Copper_sulfate_3</t>
  </si>
  <si>
    <t>Copper_sulfate_4</t>
  </si>
  <si>
    <t>Copper_sulfate_5</t>
  </si>
  <si>
    <t>Copper_sulfate_6</t>
  </si>
  <si>
    <t>Copper_sulfate_7</t>
  </si>
  <si>
    <t>Aluminum_sulfate_8</t>
  </si>
  <si>
    <t>Copper_sulfate_8</t>
  </si>
  <si>
    <t>PBS_only</t>
  </si>
  <si>
    <t>Pputida_LB</t>
  </si>
  <si>
    <t>Pputida_pTT384_LB_ars_1</t>
  </si>
  <si>
    <t>Pputida_pTT384_LB_ars_2</t>
  </si>
  <si>
    <t>Pputida_pTT384_LB_ars_3</t>
  </si>
  <si>
    <t>Pputida_pTT384_LB_ars_4</t>
  </si>
  <si>
    <t>Pputida_pTT384_LB_ars_5</t>
  </si>
  <si>
    <t>Pputida_pTT384_LB_ars_6</t>
  </si>
  <si>
    <t>Pputida_pTT384_LB_ars_7</t>
  </si>
  <si>
    <t>Pputida_pTT384_LB_ars_8</t>
  </si>
  <si>
    <t>Pputida_pTT384_LB_ars_9</t>
  </si>
  <si>
    <t>Pputida_pTT384_LB_al_1</t>
  </si>
  <si>
    <t>Pputida_pTT384_LB_al_2</t>
  </si>
  <si>
    <t>Pputida_pTT384_LB_al_3</t>
  </si>
  <si>
    <t>Pputida_pTT384_LB_al_4</t>
  </si>
  <si>
    <t>Pputida_pTT384_LB_al_5</t>
  </si>
  <si>
    <t>Pputida_pTT384_LB_al_6</t>
  </si>
  <si>
    <t>Pputida_pTT384_LB_al_7</t>
  </si>
  <si>
    <t>Pputida_pTT384_LB_al_8</t>
  </si>
  <si>
    <t>Pputida_pTT384_LB_al_9</t>
  </si>
  <si>
    <t>Fluorescein_only</t>
  </si>
  <si>
    <t>Pputida_pTT384_LB_cu_1</t>
  </si>
  <si>
    <t>Pputida_pTT384_LB_cu_2</t>
  </si>
  <si>
    <t>Pputida_pTT384_LB_cu_3</t>
  </si>
  <si>
    <t>Pputida_pTT384_LB_cu_4</t>
  </si>
  <si>
    <t>Pputida_pTT384_LB_cu_5</t>
  </si>
  <si>
    <t>Pputida_pTT384_LB_cu_6</t>
  </si>
  <si>
    <t>Pputida_pTT384_LB_cu_7</t>
  </si>
  <si>
    <t>Pputida_pTT384_LB_cu_8</t>
  </si>
  <si>
    <t>Pputida_pTT384_LB_cu_9</t>
  </si>
  <si>
    <t>Pputida_pTTP27_LB_1</t>
  </si>
  <si>
    <t>Pputida_KT2440</t>
  </si>
  <si>
    <t>Beads_only</t>
  </si>
  <si>
    <t>LB_only</t>
  </si>
  <si>
    <t>Gonzalo Vidal</t>
  </si>
  <si>
    <t>gonzalo.vidalpena@colorado.edu</t>
  </si>
  <si>
    <t>Genetic Logic Lab</t>
  </si>
  <si>
    <t>University of Colorado Boulder</t>
  </si>
  <si>
    <t>https://synbiohub.org/user/Gon/E2S2_tellus_study/NaAsO2/1</t>
  </si>
  <si>
    <t>https://synbiohub.org/user/Gon/E2S2_tellus_study/Al2SO43/1</t>
  </si>
  <si>
    <t>https://synbiohub.org/user/Gon/E2S2_tellus_study/Fluorescein/1</t>
  </si>
  <si>
    <t>https://synbiohub.org/user/Gon/E2S2_tellus_study/CuSO4/1</t>
  </si>
  <si>
    <t>https://synbiohub.org/user/Gon/E2S2_tellus_study/Beads/1</t>
  </si>
  <si>
    <t>https://synbiohub.org/user/Gon/E2S2_tellus_study/LB/1</t>
  </si>
  <si>
    <t>https://synbiohub.org/user/Gon/E2S2_tellus_study/PBS/1</t>
  </si>
  <si>
    <t>https://synbiohub.org/user/Gon/E2S2_tellus_study/Pputida_KT2440/1</t>
  </si>
  <si>
    <t>https://synbiohub.org/user/Gon/E2S2_tellus_study/Pputida_ars_sensor/1</t>
  </si>
  <si>
    <t>https://synbiohub.org/user/Gon/E2S2_tellus_study/Pputida_yfp/1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</si>
</sst>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u/>
      <sz val="11"/>
      <color theme="10"/>
      <name val="Helvetica"/>
      <family val="2"/>
      <scheme val="minor"/>
    </font>
    <font>
      <sz val="11"/>
      <color theme="1"/>
      <name val="Helvetica"/>
      <family val="2"/>
      <scheme val="minor"/>
    </font>
    <font>
      <sz val="11"/>
      <color rgb="FF1D1D1F"/>
      <name val="Helvetica"/>
      <family val="2"/>
      <scheme val="minor"/>
    </font>
    <font>
      <b/>
      <sz val="13"/>
      <color rgb="FF1A6468"/>
      <name val="Helvetica"/>
      <family val="2"/>
      <scheme val="major"/>
    </font>
    <font>
      <b/>
      <sz val="11"/>
      <color rgb="FFFFFFFF"/>
      <name val="Helvetica"/>
      <family val="2"/>
      <scheme val="minor"/>
    </font>
    <font>
      <sz val="11"/>
      <color rgb="FF1D1D1F"/>
      <name val="Helvetica"/>
      <family val="2"/>
      <scheme val="minor"/>
    </font>
    <font>
      <b/>
      <sz val="12"/>
      <color rgb="FFFFFFFF"/>
      <name val="Helvetica"/>
      <family val="2"/>
      <scheme val="minor"/>
    </font>
    <font>
      <b/>
      <sz val="11"/>
      <color rgb="FF1D1D1F"/>
      <name val="Helvetica"/>
      <family val="2"/>
      <scheme val="minor"/>
    </font>
    <font>
      <sz val="11"/>
      <color rgb="FF1D1D1F"/>
      <name val="Helvetica"/>
      <family val="2"/>
      <scheme val="minor"/>
    </font>
    <font>
      <b/>
      <sz val="11"/>
      <color rgb="FFFFFFFF"/>
      <name val="Helvetica"/>
      <family val="2"/>
      <scheme val="minor"/>
    </font>
    <font>
      <sz val="8"/>
      <name val="Helvetica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A6468"/>
      </patternFill>
    </fill>
    <fill>
      <patternFill patternType="solid">
        <fgColor rgb="FF1A6468"/>
      </patternFill>
    </fill>
    <fill>
      <patternFill patternType="solid">
        <fgColor rgb="FFFFFFFF"/>
      </patternFill>
    </fill>
  </fills>
  <borders count="5">
    <border>
      <left/>
      <right/>
      <top/>
      <bottom/>
      <diagonal/>
    </border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/>
      <bottom/>
      <diagonal/>
    </border>
    <border>
      <left style="thin">
        <color rgb="FFC7C7CC"/>
      </left>
      <right style="thin">
        <color rgb="FFC7C7CC"/>
      </right>
      <top style="thin">
        <color rgb="FFC7C7CC"/>
      </top>
      <bottom style="thin">
        <color rgb="FFC7C7CC"/>
      </bottom>
      <diagonal/>
    </border>
  </borders>
  <cellStyleXfs count="5">
    <xf numFmtId="0" fontId="0" fillId="0" borderId="1"/>
    <xf numFmtId="0" fontId="1" fillId="0" borderId="1"/>
    <xf numFmtId="0" fontId="2" fillId="0" borderId="1"/>
    <xf numFmtId="0" fontId="3" fillId="0" borderId="1"/>
    <xf numFmtId="0" fontId="2" fillId="0" borderId="1"/>
  </cellStyleXfs>
  <cellXfs count="18">
    <xf numFmtId="0" fontId="0" fillId="0" borderId="0" xfId="0" applyBorder="1"/>
    <xf numFmtId="0" fontId="0" fillId="0" borderId="2" xfId="0" applyBorder="1"/>
    <xf numFmtId="0" fontId="6" fillId="2" borderId="1" xfId="0" applyFont="1" applyFill="1" applyAlignment="1">
      <alignment vertical="center"/>
    </xf>
    <xf numFmtId="0" fontId="7" fillId="0" borderId="1" xfId="0" applyFont="1"/>
    <xf numFmtId="0" fontId="4" fillId="0" borderId="3" xfId="0" applyFont="1" applyBorder="1"/>
    <xf numFmtId="0" fontId="0" fillId="0" borderId="3" xfId="0" applyBorder="1"/>
    <xf numFmtId="0" fontId="8" fillId="3" borderId="3" xfId="0" applyFont="1" applyFill="1" applyBorder="1" applyAlignment="1">
      <alignment vertical="center"/>
    </xf>
    <xf numFmtId="0" fontId="5" fillId="0" borderId="3" xfId="0" applyFont="1" applyBorder="1"/>
    <xf numFmtId="0" fontId="9" fillId="0" borderId="3" xfId="0" applyFont="1" applyBorder="1" applyAlignment="1">
      <alignment vertical="center"/>
    </xf>
    <xf numFmtId="0" fontId="10" fillId="4" borderId="4" xfId="0" applyFont="1" applyFill="1" applyBorder="1" applyAlignment="1">
      <alignment horizontal="left" vertical="center"/>
    </xf>
    <xf numFmtId="0" fontId="11" fillId="3" borderId="0" xfId="0" applyFont="1" applyFill="1" applyBorder="1" applyAlignment="1">
      <alignment vertical="center"/>
    </xf>
    <xf numFmtId="0" fontId="10" fillId="0" borderId="0" xfId="0" applyFont="1" applyBorder="1"/>
    <xf numFmtId="0" fontId="0" fillId="0" borderId="0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0" borderId="3" xfId="2" applyBorder="1"/>
    <xf numFmtId="0" fontId="4" fillId="0" borderId="0" xfId="0" applyFont="1" applyBorder="1"/>
    <xf numFmtId="0" fontId="10" fillId="0" borderId="0" xfId="0" applyFont="1" applyFill="1" applyBorder="1"/>
    <xf numFmtId="0" fontId="0" fillId="0" borderId="0" xfId="0" applyFill="1" applyBorder="1"/>
    <xf numFmtId="0" fontId="4" fillId="4" borderId="4" xfId="0" applyFont="1" applyFill="1" applyBorder="1" applyAlignment="1">
      <alignment horizontal="left" vertical="center"/>
    </xf>
  </cellXfs>
  <cellStyles count="5">
    <cellStyle name="Hyperlink" xfId="2" builtinId="8"/>
    <cellStyle name="Hyperlink 2" xfId="4" xr:uid="{00000000-0005-0000-0000-000004000000}"/>
    <cellStyle name="Normal" xfId="0" builtinId="0"/>
    <cellStyle name="Normal 2" xfId="1" xr:uid="{00000000-0005-0000-0000-000001000000}"/>
    <cellStyle name="Normal 3" xfId="3" xr:uid="{00000000-0005-0000-0000-000003000000}"/>
  </cellStyles>
  <dxfs count="8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ample_design" displayName="sample_design" ref="A1:J34">
  <tableColumns count="10">
    <tableColumn id="1" xr3:uid="{00000000-0010-0000-0000-000001000000}" name="Sample Design Name"/>
    <tableColumn id="2" xr3:uid="{00000000-0010-0000-0000-000002000000}" name="Sample Design ID" dataDxfId="7">
      <calculatedColumnFormula>IF(sample_design[[#This Row],[Sample Design Name]]="","",SUBSTITUTE(SUBSTITUTE(TRIM(sample_design[[#This Row],[Sample Design Name]])," ","_"),"-","_"))</calculatedColumnFormula>
    </tableColumn>
    <tableColumn id="3" xr3:uid="{00000000-0010-0000-0000-000003000000}" name="Previous Version (URI)" dataDxfId="6"/>
    <tableColumn id="4" xr3:uid="{00000000-0010-0000-0000-000004000000}" name="Sample Design Description"/>
    <tableColumn id="5" xr3:uid="{00000000-0010-0000-0000-000005000000}" name="Strains"/>
    <tableColumn id="6" xr3:uid="{00000000-0010-0000-0000-000006000000}" name="Medias"/>
    <tableColumn id="7" xr3:uid="{00000000-0010-0000-0000-000007000000}" name="Supplements"/>
    <tableColumn id="8" xr3:uid="{00000000-0010-0000-0000-000008000000}" name="Data Source" dataDxfId="5"/>
    <tableColumn id="9" xr3:uid="{00000000-0010-0000-0000-000009000000}" name="PubMed ID"/>
    <tableColumn id="10" xr3:uid="{00000000-0010-0000-0000-00000A000000}" name="DOI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upplement" displayName="supplement" ref="A1:I27">
  <tableColumns count="9">
    <tableColumn id="1" xr3:uid="{00000000-0010-0000-0100-000001000000}" name="Supplement Name"/>
    <tableColumn id="2" xr3:uid="{00000000-0010-0000-0100-000002000000}" name="Supplement ID" dataDxfId="3">
      <calculatedColumnFormula>IF(supplement[[#This Row],[Supplement Name]]="","",SUBSTITUTE(SUBSTITUTE(TRIM(supplement[[#This Row],[Supplement Name]])," ","_"),"-","_"))</calculatedColumnFormula>
    </tableColumn>
    <tableColumn id="3" xr3:uid="{00000000-0010-0000-0100-000003000000}" name="Previous Version (URI)" dataDxfId="2"/>
    <tableColumn id="4" xr3:uid="{00000000-0010-0000-0100-000004000000}" name="Supplement Description"/>
    <tableColumn id="5" xr3:uid="{00000000-0010-0000-0100-000005000000}" name="Chemical"/>
    <tableColumn id="6" xr3:uid="{00000000-0010-0000-0100-000006000000}" name="Concentration"/>
    <tableColumn id="7" xr3:uid="{00000000-0010-0000-0100-000007000000}" name="Data Source" dataDxfId="1"/>
    <tableColumn id="8" xr3:uid="{00000000-0010-0000-0100-000008000000}" name="PubMed ID"/>
    <tableColumn id="9" xr3:uid="{00000000-0010-0000-0100-000009000000}" name="DOI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SBH_strains_collection" displayName="SBH_strains_collection" ref="A1:B4">
  <autoFilter ref="A1:B4" xr:uid="{00000000-0009-0000-0100-000003000000}"/>
  <tableColumns count="2">
    <tableColumn id="1" xr3:uid="{00000000-0010-0000-0200-000001000000}" name="Name"/>
    <tableColumn id="2" xr3:uid="{00000000-0010-0000-0200-000002000000}" name="URI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SBH_media_collection" displayName="SBH_media_collection" ref="A1:B3">
  <autoFilter ref="A1:B3" xr:uid="{00000000-0009-0000-0100-000004000000}"/>
  <tableColumns count="2">
    <tableColumn id="1" xr3:uid="{00000000-0010-0000-0300-000001000000}" name="Name"/>
    <tableColumn id="2" xr3:uid="{00000000-0010-0000-0300-000002000000}" name="URI" dataCellStyle="Hyperlink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SBH_chemicals_collection" displayName="SBH_chemicals_collection" ref="A1:B6">
  <autoFilter ref="A1:B6" xr:uid="{00000000-0009-0000-0100-000005000000}"/>
  <tableColumns count="2">
    <tableColumn id="1" xr3:uid="{00000000-0010-0000-0400-000001000000}" name="Name"/>
    <tableColumn id="2" xr3:uid="{00000000-0010-0000-0400-000002000000}" name="URI" dataCellStyle="Hyperlin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ioApps">
      <a:dk1>
        <a:srgbClr val="1E1E20"/>
      </a:dk1>
      <a:lt1>
        <a:srgbClr val="F4F4F6"/>
      </a:lt1>
      <a:dk2>
        <a:srgbClr val="6E6E72"/>
      </a:dk2>
      <a:lt2>
        <a:srgbClr val="FFFFFF"/>
      </a:lt2>
      <a:accent1>
        <a:srgbClr val="48A8AD"/>
      </a:accent1>
      <a:accent2>
        <a:srgbClr val="3B9297"/>
      </a:accent2>
      <a:accent3>
        <a:srgbClr val="5ABEC4"/>
      </a:accent3>
      <a:accent4>
        <a:srgbClr val="AEAEB2"/>
      </a:accent4>
      <a:accent5>
        <a:srgbClr val="626264"/>
      </a:accent5>
      <a:accent6>
        <a:srgbClr val="FF382E"/>
      </a:accent6>
      <a:hlink>
        <a:srgbClr val="48A8AD"/>
      </a:hlink>
      <a:folHlink>
        <a:srgbClr val="3B9297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gonzalo.vidalpena@colorado.edu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synbiohub.org/user/Gon/E2S2_tellus_study/Pputida_KT2440/1" TargetMode="External"/><Relationship Id="rId2" Type="http://schemas.openxmlformats.org/officeDocument/2006/relationships/hyperlink" Target="https://synbiohub.org/user/Gon/E2S2_tellus_study/Pputida_yfp/1" TargetMode="External"/><Relationship Id="rId1" Type="http://schemas.openxmlformats.org/officeDocument/2006/relationships/hyperlink" Target="https://synbiohub.org/user/Gon/E2S2_tellus_study/Pputida_ars_sensor/1" TargetMode="External"/><Relationship Id="rId4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hyperlink" Target="https://synbiohub.org/user/Gon/E2S2_tellus_study/PBS/1" TargetMode="External"/><Relationship Id="rId1" Type="http://schemas.openxmlformats.org/officeDocument/2006/relationships/hyperlink" Target="https://synbiohub.org/user/Gon/E2S2_tellus_study/LB/1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synbiohub.org/user/Gon/E2S2_tellus_study/Fluorescein/1" TargetMode="External"/><Relationship Id="rId2" Type="http://schemas.openxmlformats.org/officeDocument/2006/relationships/hyperlink" Target="https://synbiohub.org/user/Gon/E2S2_tellus_study/Al2SO43/1" TargetMode="External"/><Relationship Id="rId1" Type="http://schemas.openxmlformats.org/officeDocument/2006/relationships/hyperlink" Target="https://synbiohub.org/user/Gon/E2S2_tellus_study/NaAsO2/1" TargetMode="External"/><Relationship Id="rId6" Type="http://schemas.openxmlformats.org/officeDocument/2006/relationships/table" Target="../tables/table5.xml"/><Relationship Id="rId5" Type="http://schemas.openxmlformats.org/officeDocument/2006/relationships/hyperlink" Target="https://synbiohub.org/user/Gon/E2S2_tellus_study/Beads/1" TargetMode="External"/><Relationship Id="rId4" Type="http://schemas.openxmlformats.org/officeDocument/2006/relationships/hyperlink" Target="https://synbiohub.org/user/Gon/E2S2_tellus_study/CuSO4/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45"/>
  <sheetViews>
    <sheetView showGridLines="0" tabSelected="1" workbookViewId="0">
      <selection activeCell="C25" sqref="C25"/>
    </sheetView>
  </sheetViews>
  <sheetFormatPr baseColWidth="10" defaultColWidth="10.6640625" defaultRowHeight="15" x14ac:dyDescent="0.2"/>
  <cols>
    <col min="1" max="4" width="25" style="1" customWidth="1"/>
    <col min="5" max="14" width="25" customWidth="1"/>
    <col min="15" max="15" width="25" style="1" customWidth="1"/>
    <col min="16" max="16" width="10.6640625" style="1" customWidth="1"/>
    <col min="17" max="16384" width="10.6640625" style="1"/>
  </cols>
  <sheetData>
    <row r="1" spans="1:14" x14ac:dyDescent="0.2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5"/>
      <c r="M1" s="5"/>
      <c r="N1" s="5"/>
    </row>
    <row r="2" spans="1:14" x14ac:dyDescent="0.2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5"/>
      <c r="M2" s="5"/>
      <c r="N2" s="5"/>
    </row>
    <row r="3" spans="1:14" ht="22" customHeight="1" x14ac:dyDescent="0.2">
      <c r="A3" s="4"/>
      <c r="B3" s="6" t="s">
        <v>0</v>
      </c>
      <c r="C3" s="6"/>
      <c r="D3" s="4"/>
      <c r="E3" s="4"/>
      <c r="F3" s="4"/>
      <c r="G3" s="4"/>
      <c r="H3" s="4"/>
      <c r="I3" s="4"/>
      <c r="J3" s="4"/>
      <c r="K3" s="4"/>
      <c r="L3" s="5"/>
      <c r="M3" s="5"/>
      <c r="N3" s="5"/>
    </row>
    <row r="4" spans="1:14" ht="17" customHeight="1" x14ac:dyDescent="0.2">
      <c r="A4" s="7"/>
      <c r="B4" s="8" t="s">
        <v>1</v>
      </c>
      <c r="C4" s="9" t="s">
        <v>2</v>
      </c>
      <c r="D4" s="7"/>
      <c r="E4" s="7"/>
      <c r="F4" s="7"/>
      <c r="G4" s="7"/>
      <c r="H4" s="7"/>
      <c r="I4" s="7"/>
      <c r="J4" s="7"/>
      <c r="K4" s="7"/>
      <c r="L4" s="5"/>
      <c r="M4" s="5"/>
      <c r="N4" s="5"/>
    </row>
    <row r="5" spans="1:14" ht="15" customHeight="1" x14ac:dyDescent="0.2">
      <c r="A5" s="4"/>
      <c r="B5" s="8" t="s">
        <v>3</v>
      </c>
      <c r="C5" s="9" t="s">
        <v>4</v>
      </c>
      <c r="D5" s="4"/>
      <c r="E5" s="4"/>
      <c r="F5" s="4"/>
      <c r="G5" s="4"/>
      <c r="H5" s="4"/>
      <c r="I5" s="4"/>
      <c r="J5" s="4"/>
      <c r="K5" s="4"/>
      <c r="L5" s="5"/>
      <c r="M5" s="5"/>
      <c r="N5" s="5"/>
    </row>
    <row r="6" spans="1:14" ht="15" customHeight="1" x14ac:dyDescent="0.2">
      <c r="A6" s="4"/>
      <c r="B6" s="8" t="s">
        <v>5</v>
      </c>
      <c r="C6" s="9" t="str">
        <f>IF($C$5="","",SUBSTITUTE(SUBSTITUTE(TRIM($C$5)," ","_"),"-","_"))</f>
        <v>Sample_Design</v>
      </c>
      <c r="D6" s="4"/>
      <c r="E6" s="4"/>
      <c r="F6" s="4"/>
      <c r="G6" s="4"/>
      <c r="H6" s="4"/>
      <c r="I6" s="4"/>
      <c r="J6" s="4"/>
      <c r="K6" s="4"/>
      <c r="L6" s="5"/>
      <c r="M6" s="5"/>
      <c r="N6" s="5"/>
    </row>
    <row r="7" spans="1:14" ht="15" customHeight="1" x14ac:dyDescent="0.2">
      <c r="A7" s="4"/>
      <c r="B7" s="8" t="s">
        <v>6</v>
      </c>
      <c r="C7" s="9" t="s">
        <v>7</v>
      </c>
      <c r="D7" s="4"/>
      <c r="E7" s="4"/>
      <c r="F7" s="4"/>
      <c r="G7" s="4"/>
      <c r="H7" s="4"/>
      <c r="I7" s="4"/>
      <c r="J7" s="4"/>
      <c r="K7" s="4"/>
      <c r="L7" s="5"/>
      <c r="M7" s="5"/>
      <c r="N7" s="5"/>
    </row>
    <row r="8" spans="1:14" ht="15" customHeight="1" x14ac:dyDescent="0.2">
      <c r="A8" s="4"/>
      <c r="B8" s="8" t="s">
        <v>8</v>
      </c>
      <c r="C8" s="9"/>
      <c r="D8" s="4"/>
      <c r="E8" s="4"/>
      <c r="F8" s="4"/>
      <c r="G8" s="4"/>
      <c r="H8" s="4"/>
      <c r="I8" s="4"/>
      <c r="J8" s="4"/>
      <c r="K8" s="4"/>
      <c r="L8" s="5"/>
      <c r="M8" s="5"/>
      <c r="N8" s="5"/>
    </row>
    <row r="9" spans="1:14" ht="15" customHeight="1" x14ac:dyDescent="0.2">
      <c r="A9" s="4"/>
      <c r="B9" s="8" t="s">
        <v>9</v>
      </c>
      <c r="C9" s="17" t="s">
        <v>169</v>
      </c>
      <c r="D9" s="4"/>
      <c r="E9" s="4"/>
      <c r="F9" s="4"/>
      <c r="G9" s="4"/>
      <c r="H9" s="4"/>
      <c r="I9" s="4"/>
      <c r="J9" s="4"/>
      <c r="K9" s="4"/>
      <c r="L9" s="5"/>
      <c r="M9" s="5"/>
      <c r="N9" s="5"/>
    </row>
    <row r="10" spans="1:14" ht="15" customHeight="1" x14ac:dyDescent="0.2">
      <c r="A10" s="4"/>
      <c r="B10" s="8" t="s">
        <v>10</v>
      </c>
      <c r="C10" s="13" t="s">
        <v>170</v>
      </c>
      <c r="D10" s="4"/>
      <c r="E10" s="4"/>
      <c r="F10" s="4"/>
      <c r="G10" s="4"/>
      <c r="H10" s="4"/>
      <c r="I10" s="4"/>
      <c r="J10" s="4"/>
      <c r="K10" s="4"/>
      <c r="L10" s="5"/>
      <c r="M10" s="5"/>
      <c r="N10" s="5"/>
    </row>
    <row r="11" spans="1:14" ht="15" customHeight="1" x14ac:dyDescent="0.2">
      <c r="A11" s="4"/>
      <c r="B11" s="8" t="s">
        <v>11</v>
      </c>
      <c r="C11" s="17" t="s">
        <v>171</v>
      </c>
      <c r="D11" s="4"/>
      <c r="E11" s="4"/>
      <c r="F11" s="4"/>
      <c r="G11" s="4"/>
      <c r="H11" s="4"/>
      <c r="I11" s="4"/>
      <c r="J11" s="4"/>
      <c r="K11" s="4"/>
      <c r="L11" s="5"/>
      <c r="M11" s="5"/>
      <c r="N11" s="5"/>
    </row>
    <row r="12" spans="1:14" ht="15" customHeight="1" x14ac:dyDescent="0.2">
      <c r="A12" s="4"/>
      <c r="B12" s="8" t="s">
        <v>12</v>
      </c>
      <c r="C12" s="17" t="s">
        <v>172</v>
      </c>
      <c r="D12" s="4"/>
      <c r="E12" s="4"/>
      <c r="F12" s="4"/>
      <c r="G12" s="4"/>
      <c r="H12" s="4"/>
      <c r="I12" s="4"/>
      <c r="J12" s="4"/>
      <c r="K12" s="4"/>
      <c r="L12" s="5"/>
      <c r="M12" s="5"/>
      <c r="N12" s="5"/>
    </row>
    <row r="13" spans="1:14" ht="15" customHeight="1" x14ac:dyDescent="0.2">
      <c r="A13" s="4"/>
      <c r="B13" s="8" t="s">
        <v>13</v>
      </c>
      <c r="C13" s="9"/>
      <c r="D13" s="4"/>
      <c r="E13" s="4"/>
      <c r="F13" s="4"/>
      <c r="G13" s="4"/>
      <c r="H13" s="4"/>
      <c r="I13" s="4"/>
      <c r="J13" s="4"/>
      <c r="K13" s="4"/>
      <c r="L13" s="5"/>
      <c r="M13" s="5"/>
      <c r="N13" s="5"/>
    </row>
    <row r="14" spans="1:14" ht="15" customHeight="1" x14ac:dyDescent="0.2">
      <c r="A14" s="4"/>
      <c r="B14" s="8" t="s">
        <v>14</v>
      </c>
      <c r="C14" s="9"/>
      <c r="D14" s="4"/>
      <c r="E14" s="4"/>
      <c r="F14" s="4"/>
      <c r="G14" s="4"/>
      <c r="H14" s="4"/>
      <c r="I14" s="4"/>
      <c r="J14" s="4"/>
      <c r="K14" s="4"/>
      <c r="L14" s="5"/>
      <c r="M14" s="5"/>
      <c r="N14" s="5"/>
    </row>
    <row r="15" spans="1:14" ht="15" customHeight="1" x14ac:dyDescent="0.2">
      <c r="A15" s="4"/>
      <c r="B15" s="8" t="s">
        <v>15</v>
      </c>
      <c r="C15" s="9"/>
      <c r="D15" s="4"/>
      <c r="E15" s="4"/>
      <c r="F15" s="4"/>
      <c r="G15" s="4"/>
      <c r="H15" s="4"/>
      <c r="I15" s="4"/>
      <c r="J15" s="4"/>
      <c r="K15" s="4"/>
      <c r="L15" s="5"/>
      <c r="M15" s="5"/>
      <c r="N15" s="5"/>
    </row>
    <row r="16" spans="1:14" ht="15" customHeight="1" x14ac:dyDescent="0.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</row>
    <row r="17" spans="1:14" ht="15" customHeight="1" x14ac:dyDescent="0.2">
      <c r="A17" s="5"/>
      <c r="B17" s="8" t="s">
        <v>16</v>
      </c>
      <c r="C17" s="12" t="b">
        <v>1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</row>
    <row r="18" spans="1:14" ht="15" customHeight="1" x14ac:dyDescent="0.2">
      <c r="A18" s="4"/>
      <c r="B18" s="8" t="s">
        <v>17</v>
      </c>
      <c r="C18" s="12" t="b">
        <v>0</v>
      </c>
      <c r="D18" s="4"/>
      <c r="E18" s="4"/>
      <c r="F18" s="4"/>
      <c r="G18" s="4"/>
      <c r="H18" s="4"/>
      <c r="I18" s="4"/>
      <c r="J18" s="4"/>
      <c r="K18" s="4"/>
      <c r="L18" s="5"/>
      <c r="M18" s="5"/>
      <c r="N18" s="5"/>
    </row>
    <row r="19" spans="1:14" x14ac:dyDescent="0.2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5"/>
      <c r="M19" s="5"/>
      <c r="N19" s="5"/>
    </row>
    <row r="20" spans="1:14" x14ac:dyDescent="0.2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5"/>
      <c r="M20" s="5"/>
      <c r="N20" s="5"/>
    </row>
    <row r="21" spans="1:14" x14ac:dyDescent="0.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</row>
    <row r="22" spans="1:14" x14ac:dyDescent="0.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</row>
    <row r="23" spans="1:14" x14ac:dyDescent="0.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</row>
    <row r="24" spans="1:14" x14ac:dyDescent="0.2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</row>
    <row r="25" spans="1:14" x14ac:dyDescent="0.2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</row>
    <row r="26" spans="1:14" x14ac:dyDescent="0.2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</row>
    <row r="27" spans="1:14" x14ac:dyDescent="0.2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</row>
    <row r="28" spans="1:14" x14ac:dyDescent="0.2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</row>
    <row r="29" spans="1:14" x14ac:dyDescent="0.2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</row>
    <row r="30" spans="1:14" x14ac:dyDescent="0.2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</row>
    <row r="31" spans="1:14" x14ac:dyDescent="0.2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</row>
    <row r="32" spans="1:14" x14ac:dyDescent="0.2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</row>
    <row r="33" spans="1:14" x14ac:dyDescent="0.2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</row>
    <row r="34" spans="1:14" x14ac:dyDescent="0.2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1:14" x14ac:dyDescent="0.2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1:14" x14ac:dyDescent="0.2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</row>
    <row r="37" spans="1:14" x14ac:dyDescent="0.2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</row>
    <row r="38" spans="1:14" x14ac:dyDescent="0.2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</row>
    <row r="39" spans="1:14" x14ac:dyDescent="0.2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</row>
    <row r="40" spans="1:14" x14ac:dyDescent="0.2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  <row r="41" spans="1:14" x14ac:dyDescent="0.2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</row>
    <row r="42" spans="1:14" x14ac:dyDescent="0.2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</row>
    <row r="43" spans="1:14" x14ac:dyDescent="0.2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</row>
    <row r="44" spans="1:14" x14ac:dyDescent="0.2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</row>
    <row r="45" spans="1:14" x14ac:dyDescent="0.2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</row>
  </sheetData>
  <dataValidations count="1">
    <dataValidation type="list" showInputMessage="1" showErrorMessage="1" sqref="C15" xr:uid="{00000000-0002-0000-0000-000000000000}">
      <formula1>"True,False"</formula1>
    </dataValidation>
  </dataValidations>
  <hyperlinks>
    <hyperlink ref="C10" r:id="rId1" xr:uid="{14C13808-601D-6447-B8FF-4F0C635010FB}"/>
  </hyperlink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8">
    <tabColor rgb="FF48A9AE"/>
  </sheetPr>
  <dimension ref="A1:D4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4" width="25" customWidth="1"/>
  </cols>
  <sheetData>
    <row r="1" spans="1:4" ht="20" customHeight="1" x14ac:dyDescent="0.2">
      <c r="A1" s="2" t="s">
        <v>18</v>
      </c>
      <c r="B1" s="2" t="s">
        <v>19</v>
      </c>
      <c r="C1" s="2" t="s">
        <v>20</v>
      </c>
      <c r="D1" s="2" t="s">
        <v>21</v>
      </c>
    </row>
    <row r="2" spans="1:4" x14ac:dyDescent="0.2">
      <c r="A2" s="3" t="s">
        <v>22</v>
      </c>
      <c r="B2" s="3" t="s">
        <v>23</v>
      </c>
      <c r="C2" s="3" t="s">
        <v>24</v>
      </c>
      <c r="D2" s="3" t="s">
        <v>25</v>
      </c>
    </row>
    <row r="3" spans="1:4" x14ac:dyDescent="0.2">
      <c r="A3" s="3" t="s">
        <v>22</v>
      </c>
      <c r="B3" s="3" t="s">
        <v>23</v>
      </c>
      <c r="C3" s="3" t="s">
        <v>26</v>
      </c>
      <c r="D3" s="3" t="s">
        <v>27</v>
      </c>
    </row>
    <row r="4" spans="1:4" x14ac:dyDescent="0.2">
      <c r="A4" s="3" t="s">
        <v>22</v>
      </c>
      <c r="B4" s="3" t="s">
        <v>23</v>
      </c>
      <c r="C4" s="3" t="s">
        <v>28</v>
      </c>
      <c r="D4" s="3" t="s">
        <v>29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48A9AE"/>
  </sheetPr>
  <dimension ref="A1:L15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10" t="s">
        <v>30</v>
      </c>
      <c r="B1" s="10">
        <v>2</v>
      </c>
    </row>
    <row r="2" spans="1:12" x14ac:dyDescent="0.2">
      <c r="A2" s="11" t="s">
        <v>31</v>
      </c>
      <c r="B2" s="11" t="s">
        <v>4</v>
      </c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1:12" x14ac:dyDescent="0.2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1:12" x14ac:dyDescent="0.2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1:12" x14ac:dyDescent="0.2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</row>
    <row r="6" spans="1:12" x14ac:dyDescent="0.2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</row>
    <row r="7" spans="1:12" x14ac:dyDescent="0.2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</row>
    <row r="8" spans="1:12" x14ac:dyDescent="0.2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</row>
    <row r="9" spans="1:12" x14ac:dyDescent="0.2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</row>
    <row r="10" spans="1:12" x14ac:dyDescent="0.2">
      <c r="A10" s="11" t="s">
        <v>18</v>
      </c>
      <c r="B10" s="11" t="s">
        <v>32</v>
      </c>
      <c r="C10" s="11" t="s">
        <v>33</v>
      </c>
      <c r="D10" s="11" t="s">
        <v>34</v>
      </c>
      <c r="E10" s="11" t="s">
        <v>35</v>
      </c>
      <c r="F10" s="11" t="s">
        <v>36</v>
      </c>
      <c r="G10" s="11" t="s">
        <v>37</v>
      </c>
      <c r="H10" s="11" t="s">
        <v>38</v>
      </c>
      <c r="I10" s="11" t="s">
        <v>39</v>
      </c>
      <c r="J10" s="11" t="s">
        <v>40</v>
      </c>
      <c r="K10" s="11" t="s">
        <v>41</v>
      </c>
      <c r="L10" s="11" t="s">
        <v>42</v>
      </c>
    </row>
    <row r="11" spans="1:12" x14ac:dyDescent="0.2">
      <c r="A11" s="11" t="s">
        <v>43</v>
      </c>
      <c r="B11" s="12" t="b">
        <v>1</v>
      </c>
      <c r="C11" s="12" t="b">
        <v>0</v>
      </c>
      <c r="D11" s="11">
        <v>0</v>
      </c>
      <c r="E11" s="11">
        <v>0</v>
      </c>
      <c r="F11" s="12" t="b">
        <v>0</v>
      </c>
      <c r="G11" s="11">
        <v>0</v>
      </c>
      <c r="H11" s="11">
        <v>0</v>
      </c>
      <c r="I11" s="11">
        <v>1</v>
      </c>
      <c r="J11" s="11" t="s">
        <v>44</v>
      </c>
      <c r="K11" s="11"/>
      <c r="L11" s="11" t="s">
        <v>45</v>
      </c>
    </row>
    <row r="12" spans="1:12" x14ac:dyDescent="0.2">
      <c r="A12" s="11" t="s">
        <v>22</v>
      </c>
      <c r="B12" s="12" t="b">
        <v>1</v>
      </c>
      <c r="C12" s="12" t="b">
        <v>0</v>
      </c>
      <c r="D12" s="11">
        <v>0</v>
      </c>
      <c r="E12" s="11">
        <v>0</v>
      </c>
      <c r="F12" s="12" t="b">
        <v>0</v>
      </c>
      <c r="G12" s="11">
        <v>0</v>
      </c>
      <c r="H12" s="11">
        <v>0</v>
      </c>
      <c r="I12" s="11">
        <v>1</v>
      </c>
      <c r="J12" s="11" t="s">
        <v>44</v>
      </c>
      <c r="K12" s="11"/>
      <c r="L12" s="11" t="s">
        <v>46</v>
      </c>
    </row>
    <row r="13" spans="1:12" x14ac:dyDescent="0.2">
      <c r="A13" s="11" t="s">
        <v>47</v>
      </c>
      <c r="B13" s="12" t="b">
        <v>0</v>
      </c>
      <c r="C13" s="12" t="b">
        <v>0</v>
      </c>
      <c r="D13" s="11">
        <v>0</v>
      </c>
      <c r="E13" s="11">
        <v>0</v>
      </c>
      <c r="F13" s="12" t="b">
        <v>0</v>
      </c>
      <c r="G13" s="11">
        <v>0</v>
      </c>
      <c r="H13" s="11">
        <v>0</v>
      </c>
      <c r="I13" s="11">
        <v>0</v>
      </c>
      <c r="J13" s="11"/>
      <c r="K13" s="11"/>
      <c r="L13" s="11"/>
    </row>
    <row r="14" spans="1:12" x14ac:dyDescent="0.2">
      <c r="A14" s="11" t="s">
        <v>48</v>
      </c>
      <c r="B14" s="12" t="b">
        <v>0</v>
      </c>
      <c r="C14" s="12" t="b">
        <v>0</v>
      </c>
      <c r="D14" s="11">
        <v>0</v>
      </c>
      <c r="E14" s="11">
        <v>0</v>
      </c>
      <c r="F14" s="12" t="b">
        <v>0</v>
      </c>
      <c r="G14" s="11">
        <v>0</v>
      </c>
      <c r="H14" s="11">
        <v>0</v>
      </c>
      <c r="I14" s="11">
        <v>0</v>
      </c>
      <c r="J14" s="11"/>
      <c r="K14" s="11"/>
      <c r="L14" s="11"/>
    </row>
    <row r="15" spans="1:12" x14ac:dyDescent="0.2">
      <c r="A15" s="11" t="s">
        <v>49</v>
      </c>
      <c r="B15" s="12" t="b">
        <v>0</v>
      </c>
      <c r="C15" s="12" t="b">
        <v>0</v>
      </c>
      <c r="D15" s="11">
        <v>0</v>
      </c>
      <c r="E15" s="11">
        <v>0</v>
      </c>
      <c r="F15" s="12" t="b">
        <v>0</v>
      </c>
      <c r="G15" s="11">
        <v>0</v>
      </c>
      <c r="H15" s="11">
        <v>0</v>
      </c>
      <c r="I15" s="11">
        <v>0</v>
      </c>
      <c r="J15" s="11"/>
      <c r="K15" s="11"/>
      <c r="L15" s="11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48A9AE"/>
  </sheetPr>
  <dimension ref="A1:S23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9" width="25" customWidth="1"/>
  </cols>
  <sheetData>
    <row r="1" spans="1:19" ht="20" customHeight="1" x14ac:dyDescent="0.2">
      <c r="A1" s="10" t="s">
        <v>18</v>
      </c>
      <c r="B1" s="10" t="s">
        <v>50</v>
      </c>
      <c r="C1" s="10" t="s">
        <v>51</v>
      </c>
      <c r="D1" s="10" t="s">
        <v>52</v>
      </c>
      <c r="E1" s="10" t="s">
        <v>53</v>
      </c>
      <c r="F1" s="10" t="s">
        <v>54</v>
      </c>
      <c r="G1" s="10" t="s">
        <v>55</v>
      </c>
      <c r="H1" s="10" t="s">
        <v>56</v>
      </c>
      <c r="I1" s="10" t="s">
        <v>57</v>
      </c>
      <c r="J1" s="10" t="s">
        <v>58</v>
      </c>
      <c r="K1" s="10" t="s">
        <v>59</v>
      </c>
      <c r="L1" s="10" t="s">
        <v>60</v>
      </c>
      <c r="M1" s="10" t="s">
        <v>61</v>
      </c>
      <c r="N1" s="10" t="s">
        <v>62</v>
      </c>
      <c r="O1" s="10" t="s">
        <v>63</v>
      </c>
      <c r="P1" s="10" t="s">
        <v>64</v>
      </c>
      <c r="Q1" s="10" t="s">
        <v>65</v>
      </c>
      <c r="R1" s="10" t="s">
        <v>66</v>
      </c>
      <c r="S1" s="10" t="s">
        <v>67</v>
      </c>
    </row>
    <row r="2" spans="1:19" x14ac:dyDescent="0.2">
      <c r="A2" s="11" t="s">
        <v>68</v>
      </c>
      <c r="B2" s="11" t="s">
        <v>40</v>
      </c>
      <c r="C2" s="11" t="s">
        <v>69</v>
      </c>
      <c r="D2" s="11" t="s">
        <v>70</v>
      </c>
      <c r="E2" s="11" t="s">
        <v>71</v>
      </c>
      <c r="F2" s="11" t="s">
        <v>72</v>
      </c>
      <c r="G2" s="11" t="s">
        <v>72</v>
      </c>
      <c r="H2" s="11"/>
      <c r="I2" s="11" t="b">
        <v>0</v>
      </c>
      <c r="J2" s="11" t="b">
        <v>0</v>
      </c>
      <c r="K2" s="11" t="b">
        <v>0</v>
      </c>
      <c r="L2" s="11" t="b">
        <v>0</v>
      </c>
      <c r="M2" s="11" t="b">
        <v>0</v>
      </c>
      <c r="N2" s="11"/>
      <c r="O2" s="11"/>
      <c r="P2" s="11"/>
      <c r="Q2" s="11"/>
      <c r="R2" s="11" t="b">
        <v>0</v>
      </c>
      <c r="S2" s="11"/>
    </row>
    <row r="3" spans="1:19" x14ac:dyDescent="0.2">
      <c r="A3" s="11" t="s">
        <v>68</v>
      </c>
      <c r="B3" s="11" t="s">
        <v>41</v>
      </c>
      <c r="C3" s="11" t="s">
        <v>73</v>
      </c>
      <c r="D3" s="11" t="s">
        <v>70</v>
      </c>
      <c r="E3" s="11" t="s">
        <v>71</v>
      </c>
      <c r="F3" s="11" t="s">
        <v>72</v>
      </c>
      <c r="G3" s="11" t="s">
        <v>72</v>
      </c>
      <c r="H3" s="11"/>
      <c r="I3" s="11" t="b">
        <v>0</v>
      </c>
      <c r="J3" s="11" t="b">
        <v>0</v>
      </c>
      <c r="K3" s="11" t="b">
        <v>0</v>
      </c>
      <c r="L3" s="11" t="b">
        <v>0</v>
      </c>
      <c r="M3" s="11" t="b">
        <v>0</v>
      </c>
      <c r="N3" s="11"/>
      <c r="O3" s="11"/>
      <c r="P3" s="11"/>
      <c r="Q3" s="11"/>
      <c r="R3" s="11" t="b">
        <v>0</v>
      </c>
      <c r="S3" s="11"/>
    </row>
    <row r="4" spans="1:19" x14ac:dyDescent="0.2">
      <c r="A4" s="11" t="s">
        <v>68</v>
      </c>
      <c r="B4" s="11" t="s">
        <v>42</v>
      </c>
      <c r="C4" s="11" t="s">
        <v>74</v>
      </c>
      <c r="D4" s="11" t="s">
        <v>70</v>
      </c>
      <c r="E4" s="11" t="s">
        <v>75</v>
      </c>
      <c r="F4" s="11" t="s">
        <v>72</v>
      </c>
      <c r="G4" s="11" t="s">
        <v>72</v>
      </c>
      <c r="H4" s="11"/>
      <c r="I4" s="11" t="b">
        <v>0</v>
      </c>
      <c r="J4" s="11" t="b">
        <v>0</v>
      </c>
      <c r="K4" s="11" t="b">
        <v>0</v>
      </c>
      <c r="L4" s="11" t="b">
        <v>0</v>
      </c>
      <c r="M4" s="11" t="b">
        <v>0</v>
      </c>
      <c r="N4" s="11"/>
      <c r="O4" s="11"/>
      <c r="P4" s="11"/>
      <c r="Q4" s="11"/>
      <c r="R4" s="11" t="b">
        <v>0</v>
      </c>
      <c r="S4" s="11"/>
    </row>
    <row r="5" spans="1:19" x14ac:dyDescent="0.2">
      <c r="A5" s="11" t="s">
        <v>43</v>
      </c>
      <c r="B5" s="11" t="s">
        <v>76</v>
      </c>
      <c r="C5" s="11" t="s">
        <v>77</v>
      </c>
      <c r="D5" s="11" t="s">
        <v>70</v>
      </c>
      <c r="E5" s="11" t="s">
        <v>71</v>
      </c>
      <c r="F5" s="11" t="s">
        <v>72</v>
      </c>
      <c r="G5" s="11" t="s">
        <v>72</v>
      </c>
      <c r="H5" s="11"/>
      <c r="I5" s="11" t="b">
        <v>0</v>
      </c>
      <c r="J5" s="11" t="b">
        <v>0</v>
      </c>
      <c r="K5" s="11" t="b">
        <v>0</v>
      </c>
      <c r="L5" s="11" t="b">
        <v>0</v>
      </c>
      <c r="M5" s="11" t="b">
        <v>0</v>
      </c>
      <c r="N5" s="11"/>
      <c r="O5" s="11"/>
      <c r="P5" s="11"/>
      <c r="Q5" s="11"/>
      <c r="R5" s="11" t="b">
        <v>0</v>
      </c>
      <c r="S5" s="11"/>
    </row>
    <row r="6" spans="1:19" x14ac:dyDescent="0.2">
      <c r="A6" s="11" t="s">
        <v>43</v>
      </c>
      <c r="B6" s="11" t="s">
        <v>78</v>
      </c>
      <c r="C6" s="11" t="s">
        <v>79</v>
      </c>
      <c r="D6" s="11" t="s">
        <v>70</v>
      </c>
      <c r="E6" s="11" t="s">
        <v>71</v>
      </c>
      <c r="F6" s="11" t="s">
        <v>72</v>
      </c>
      <c r="G6" s="11" t="s">
        <v>72</v>
      </c>
      <c r="H6" s="11"/>
      <c r="I6" s="11" t="b">
        <v>0</v>
      </c>
      <c r="J6" s="11" t="b">
        <v>0</v>
      </c>
      <c r="K6" s="11" t="b">
        <v>0</v>
      </c>
      <c r="L6" s="11" t="b">
        <v>0</v>
      </c>
      <c r="M6" s="11" t="b">
        <v>0</v>
      </c>
      <c r="N6" s="11"/>
      <c r="O6" s="11"/>
      <c r="P6" s="11"/>
      <c r="Q6" s="11"/>
      <c r="R6" s="11" t="b">
        <v>0</v>
      </c>
      <c r="S6" s="11"/>
    </row>
    <row r="7" spans="1:19" x14ac:dyDescent="0.2">
      <c r="A7" s="11" t="s">
        <v>43</v>
      </c>
      <c r="B7" s="11" t="s">
        <v>80</v>
      </c>
      <c r="C7" s="11" t="s">
        <v>81</v>
      </c>
      <c r="D7" s="11" t="s">
        <v>70</v>
      </c>
      <c r="E7" s="11" t="s">
        <v>75</v>
      </c>
      <c r="F7" s="11" t="s">
        <v>72</v>
      </c>
      <c r="G7" s="11" t="s">
        <v>72</v>
      </c>
      <c r="H7" s="11"/>
      <c r="I7" s="11" t="b">
        <v>0</v>
      </c>
      <c r="J7" s="11" t="b">
        <v>0</v>
      </c>
      <c r="K7" s="11" t="b">
        <v>0</v>
      </c>
      <c r="L7" s="11" t="b">
        <v>0</v>
      </c>
      <c r="M7" s="11" t="b">
        <v>0</v>
      </c>
      <c r="N7" s="11"/>
      <c r="O7" s="11"/>
      <c r="P7" s="11"/>
      <c r="Q7" s="11"/>
      <c r="R7" s="11" t="b">
        <v>0</v>
      </c>
      <c r="S7" s="11"/>
    </row>
    <row r="8" spans="1:19" x14ac:dyDescent="0.2">
      <c r="A8" s="11" t="s">
        <v>43</v>
      </c>
      <c r="B8" s="11" t="s">
        <v>82</v>
      </c>
      <c r="C8" s="11" t="s">
        <v>83</v>
      </c>
      <c r="D8" s="11" t="s">
        <v>84</v>
      </c>
      <c r="E8" s="11" t="s">
        <v>71</v>
      </c>
      <c r="F8" s="11" t="s">
        <v>72</v>
      </c>
      <c r="G8" s="11" t="s">
        <v>72</v>
      </c>
      <c r="H8" s="11"/>
      <c r="I8" s="11" t="b">
        <v>0</v>
      </c>
      <c r="J8" s="11" t="b">
        <v>0</v>
      </c>
      <c r="K8" s="11" t="b">
        <v>0</v>
      </c>
      <c r="L8" s="11" t="b">
        <v>0</v>
      </c>
      <c r="M8" s="11" t="b">
        <v>0</v>
      </c>
      <c r="N8" s="11"/>
      <c r="O8" s="11"/>
      <c r="P8" s="11"/>
      <c r="Q8" s="11"/>
      <c r="R8" s="11" t="b">
        <v>0</v>
      </c>
      <c r="S8" s="11"/>
    </row>
    <row r="9" spans="1:19" x14ac:dyDescent="0.2">
      <c r="A9" s="11" t="s">
        <v>43</v>
      </c>
      <c r="B9" s="11" t="s">
        <v>85</v>
      </c>
      <c r="C9" s="11" t="s">
        <v>86</v>
      </c>
      <c r="D9" s="11" t="s">
        <v>70</v>
      </c>
      <c r="E9" s="11" t="s">
        <v>75</v>
      </c>
      <c r="F9" s="11" t="s">
        <v>72</v>
      </c>
      <c r="G9" s="11" t="s">
        <v>72</v>
      </c>
      <c r="H9" s="11"/>
      <c r="I9" s="11" t="b">
        <v>0</v>
      </c>
      <c r="J9" s="11" t="b">
        <v>1</v>
      </c>
      <c r="K9" s="11" t="b">
        <v>0</v>
      </c>
      <c r="L9" s="11" t="b">
        <v>0</v>
      </c>
      <c r="M9" s="11" t="b">
        <v>0</v>
      </c>
      <c r="N9" s="11"/>
      <c r="O9" s="11" t="s">
        <v>47</v>
      </c>
      <c r="P9" s="11" t="s">
        <v>87</v>
      </c>
      <c r="Q9" s="11" t="s">
        <v>88</v>
      </c>
      <c r="R9" s="11" t="b">
        <v>0</v>
      </c>
      <c r="S9" s="11"/>
    </row>
    <row r="10" spans="1:19" x14ac:dyDescent="0.2">
      <c r="A10" s="11" t="s">
        <v>43</v>
      </c>
      <c r="B10" s="11" t="s">
        <v>89</v>
      </c>
      <c r="C10" s="11" t="s">
        <v>86</v>
      </c>
      <c r="D10" s="11" t="s">
        <v>70</v>
      </c>
      <c r="E10" s="11" t="s">
        <v>75</v>
      </c>
      <c r="F10" s="11" t="s">
        <v>72</v>
      </c>
      <c r="G10" s="11" t="s">
        <v>72</v>
      </c>
      <c r="H10" s="11"/>
      <c r="I10" s="11" t="b">
        <v>0</v>
      </c>
      <c r="J10" s="11" t="b">
        <v>1</v>
      </c>
      <c r="K10" s="11" t="b">
        <v>0</v>
      </c>
      <c r="L10" s="11" t="b">
        <v>0</v>
      </c>
      <c r="M10" s="11" t="b">
        <v>0</v>
      </c>
      <c r="N10" s="11"/>
      <c r="O10" s="11" t="s">
        <v>48</v>
      </c>
      <c r="P10" s="11" t="s">
        <v>87</v>
      </c>
      <c r="Q10" s="11" t="s">
        <v>88</v>
      </c>
      <c r="R10" s="11" t="b">
        <v>0</v>
      </c>
      <c r="S10" s="11"/>
    </row>
    <row r="11" spans="1:19" x14ac:dyDescent="0.2">
      <c r="A11" s="11" t="s">
        <v>43</v>
      </c>
      <c r="B11" s="11" t="s">
        <v>90</v>
      </c>
      <c r="C11" s="11" t="s">
        <v>86</v>
      </c>
      <c r="D11" s="11" t="s">
        <v>70</v>
      </c>
      <c r="E11" s="11" t="s">
        <v>75</v>
      </c>
      <c r="F11" s="11" t="s">
        <v>91</v>
      </c>
      <c r="G11" s="11" t="s">
        <v>72</v>
      </c>
      <c r="H11" s="11"/>
      <c r="I11" s="11" t="b">
        <v>0</v>
      </c>
      <c r="J11" s="11" t="b">
        <v>0</v>
      </c>
      <c r="K11" s="11" t="b">
        <v>0</v>
      </c>
      <c r="L11" s="11" t="b">
        <v>1</v>
      </c>
      <c r="M11" s="11" t="b">
        <v>0</v>
      </c>
      <c r="N11" s="11"/>
      <c r="O11" s="11"/>
      <c r="P11" s="11"/>
      <c r="Q11" s="11"/>
      <c r="R11" s="11" t="b">
        <v>0</v>
      </c>
      <c r="S11" s="11"/>
    </row>
    <row r="12" spans="1:19" x14ac:dyDescent="0.2">
      <c r="A12" s="11" t="s">
        <v>43</v>
      </c>
      <c r="B12" s="11" t="s">
        <v>92</v>
      </c>
      <c r="C12" s="11" t="s">
        <v>81</v>
      </c>
      <c r="D12" s="11" t="s">
        <v>70</v>
      </c>
      <c r="E12" s="11" t="s">
        <v>75</v>
      </c>
      <c r="F12" s="11" t="s">
        <v>72</v>
      </c>
      <c r="G12" s="11" t="s">
        <v>72</v>
      </c>
      <c r="H12" s="11"/>
      <c r="I12" s="11" t="b">
        <v>0</v>
      </c>
      <c r="J12" s="11" t="b">
        <v>0</v>
      </c>
      <c r="K12" s="11" t="b">
        <v>0</v>
      </c>
      <c r="L12" s="11" t="b">
        <v>0</v>
      </c>
      <c r="M12" s="11" t="b">
        <v>0</v>
      </c>
      <c r="N12" s="11"/>
      <c r="O12" s="11"/>
      <c r="P12" s="11"/>
      <c r="Q12" s="11"/>
      <c r="R12" s="11" t="b">
        <v>0</v>
      </c>
      <c r="S12" s="11"/>
    </row>
    <row r="13" spans="1:19" x14ac:dyDescent="0.2">
      <c r="A13" s="11" t="s">
        <v>43</v>
      </c>
      <c r="B13" s="11" t="s">
        <v>93</v>
      </c>
      <c r="C13" s="11" t="s">
        <v>94</v>
      </c>
      <c r="D13" s="11" t="s">
        <v>95</v>
      </c>
      <c r="E13" s="11" t="s">
        <v>71</v>
      </c>
      <c r="F13" s="11" t="s">
        <v>72</v>
      </c>
      <c r="G13" s="11" t="s">
        <v>72</v>
      </c>
      <c r="H13" s="11"/>
      <c r="I13" s="11" t="b">
        <v>0</v>
      </c>
      <c r="J13" s="11" t="b">
        <v>0</v>
      </c>
      <c r="K13" s="11" t="b">
        <v>0</v>
      </c>
      <c r="L13" s="11" t="b">
        <v>0</v>
      </c>
      <c r="M13" s="11" t="b">
        <v>0</v>
      </c>
      <c r="N13" s="11"/>
      <c r="O13" s="11"/>
      <c r="P13" s="11"/>
      <c r="Q13" s="11"/>
      <c r="R13" s="11" t="b">
        <v>0</v>
      </c>
      <c r="S13" s="11"/>
    </row>
    <row r="14" spans="1:19" x14ac:dyDescent="0.2">
      <c r="A14" s="11" t="s">
        <v>43</v>
      </c>
      <c r="B14" s="11" t="s">
        <v>96</v>
      </c>
      <c r="C14" s="11" t="s">
        <v>81</v>
      </c>
      <c r="D14" s="11" t="s">
        <v>70</v>
      </c>
      <c r="E14" s="11" t="s">
        <v>75</v>
      </c>
      <c r="F14" s="11" t="s">
        <v>72</v>
      </c>
      <c r="G14" s="11" t="s">
        <v>72</v>
      </c>
      <c r="H14" s="11"/>
      <c r="I14" s="11" t="b">
        <v>0</v>
      </c>
      <c r="J14" s="11" t="b">
        <v>0</v>
      </c>
      <c r="K14" s="11" t="b">
        <v>0</v>
      </c>
      <c r="L14" s="11" t="b">
        <v>0</v>
      </c>
      <c r="M14" s="11" t="b">
        <v>0</v>
      </c>
      <c r="N14" s="11"/>
      <c r="O14" s="11"/>
      <c r="P14" s="11"/>
      <c r="Q14" s="11"/>
      <c r="R14" s="11" t="b">
        <v>0</v>
      </c>
      <c r="S14" s="11"/>
    </row>
    <row r="15" spans="1:19" x14ac:dyDescent="0.2">
      <c r="A15" s="11" t="s">
        <v>22</v>
      </c>
      <c r="B15" s="11" t="s">
        <v>24</v>
      </c>
      <c r="C15" s="11" t="s">
        <v>77</v>
      </c>
      <c r="D15" s="11" t="s">
        <v>70</v>
      </c>
      <c r="E15" s="11" t="s">
        <v>71</v>
      </c>
      <c r="F15" s="11" t="s">
        <v>72</v>
      </c>
      <c r="G15" s="11" t="s">
        <v>72</v>
      </c>
      <c r="H15" s="11"/>
      <c r="I15" s="11" t="b">
        <v>0</v>
      </c>
      <c r="J15" s="11" t="b">
        <v>0</v>
      </c>
      <c r="K15" s="11" t="b">
        <v>0</v>
      </c>
      <c r="L15" s="11" t="b">
        <v>0</v>
      </c>
      <c r="M15" s="11" t="b">
        <v>0</v>
      </c>
      <c r="N15" s="11"/>
      <c r="O15" s="11"/>
      <c r="P15" s="11"/>
      <c r="Q15" s="11"/>
      <c r="R15" s="11" t="b">
        <v>0</v>
      </c>
      <c r="S15" s="11"/>
    </row>
    <row r="16" spans="1:19" x14ac:dyDescent="0.2">
      <c r="A16" s="11" t="s">
        <v>22</v>
      </c>
      <c r="B16" s="11" t="s">
        <v>97</v>
      </c>
      <c r="C16" s="11" t="s">
        <v>79</v>
      </c>
      <c r="D16" s="11" t="s">
        <v>70</v>
      </c>
      <c r="E16" s="11" t="s">
        <v>71</v>
      </c>
      <c r="F16" s="11" t="s">
        <v>72</v>
      </c>
      <c r="G16" s="11" t="s">
        <v>72</v>
      </c>
      <c r="H16" s="11"/>
      <c r="I16" s="11" t="b">
        <v>0</v>
      </c>
      <c r="J16" s="11" t="b">
        <v>0</v>
      </c>
      <c r="K16" s="11" t="b">
        <v>0</v>
      </c>
      <c r="L16" s="11" t="b">
        <v>0</v>
      </c>
      <c r="M16" s="11" t="b">
        <v>0</v>
      </c>
      <c r="N16" s="11"/>
      <c r="O16" s="11"/>
      <c r="P16" s="11"/>
      <c r="Q16" s="11"/>
      <c r="R16" s="11" t="b">
        <v>0</v>
      </c>
      <c r="S16" s="11"/>
    </row>
    <row r="17" spans="1:19" x14ac:dyDescent="0.2">
      <c r="A17" s="11" t="s">
        <v>22</v>
      </c>
      <c r="B17" s="11" t="s">
        <v>80</v>
      </c>
      <c r="C17" s="11" t="s">
        <v>81</v>
      </c>
      <c r="D17" s="11" t="s">
        <v>70</v>
      </c>
      <c r="E17" s="11" t="s">
        <v>75</v>
      </c>
      <c r="F17" s="11" t="s">
        <v>72</v>
      </c>
      <c r="G17" s="11" t="s">
        <v>72</v>
      </c>
      <c r="H17" s="11"/>
      <c r="I17" s="11" t="b">
        <v>0</v>
      </c>
      <c r="J17" s="11" t="b">
        <v>0</v>
      </c>
      <c r="K17" s="11" t="b">
        <v>0</v>
      </c>
      <c r="L17" s="11" t="b">
        <v>0</v>
      </c>
      <c r="M17" s="11" t="b">
        <v>0</v>
      </c>
      <c r="N17" s="11"/>
      <c r="O17" s="11"/>
      <c r="P17" s="11"/>
      <c r="Q17" s="11"/>
      <c r="R17" s="11" t="b">
        <v>0</v>
      </c>
      <c r="S17" s="11"/>
    </row>
    <row r="18" spans="1:19" x14ac:dyDescent="0.2">
      <c r="A18" s="11" t="s">
        <v>22</v>
      </c>
      <c r="B18" s="11" t="s">
        <v>98</v>
      </c>
      <c r="C18" s="11" t="s">
        <v>83</v>
      </c>
      <c r="D18" s="11" t="s">
        <v>84</v>
      </c>
      <c r="E18" s="11" t="s">
        <v>71</v>
      </c>
      <c r="F18" s="11" t="s">
        <v>72</v>
      </c>
      <c r="G18" s="11" t="s">
        <v>72</v>
      </c>
      <c r="H18" s="11"/>
      <c r="I18" s="11" t="b">
        <v>0</v>
      </c>
      <c r="J18" s="11" t="b">
        <v>0</v>
      </c>
      <c r="K18" s="11" t="b">
        <v>0</v>
      </c>
      <c r="L18" s="11" t="b">
        <v>0</v>
      </c>
      <c r="M18" s="11" t="b">
        <v>0</v>
      </c>
      <c r="N18" s="11"/>
      <c r="O18" s="11"/>
      <c r="P18" s="11"/>
      <c r="Q18" s="11"/>
      <c r="R18" s="11" t="b">
        <v>0</v>
      </c>
      <c r="S18" s="11"/>
    </row>
    <row r="19" spans="1:19" x14ac:dyDescent="0.2">
      <c r="A19" s="11" t="s">
        <v>22</v>
      </c>
      <c r="B19" s="11" t="s">
        <v>26</v>
      </c>
      <c r="C19" s="11" t="s">
        <v>99</v>
      </c>
      <c r="D19" s="11" t="s">
        <v>70</v>
      </c>
      <c r="E19" s="11" t="s">
        <v>75</v>
      </c>
      <c r="F19" s="11" t="s">
        <v>72</v>
      </c>
      <c r="G19" s="11" t="s">
        <v>72</v>
      </c>
      <c r="H19" s="11"/>
      <c r="I19" s="11" t="b">
        <v>0</v>
      </c>
      <c r="J19" s="11" t="b">
        <v>1</v>
      </c>
      <c r="K19" s="11" t="b">
        <v>0</v>
      </c>
      <c r="L19" s="11" t="b">
        <v>0</v>
      </c>
      <c r="M19" s="11" t="b">
        <v>0</v>
      </c>
      <c r="N19" s="11"/>
      <c r="O19" s="11" t="s">
        <v>49</v>
      </c>
      <c r="P19" s="11" t="s">
        <v>87</v>
      </c>
      <c r="Q19" s="11" t="s">
        <v>88</v>
      </c>
      <c r="R19" s="11" t="b">
        <v>0</v>
      </c>
      <c r="S19" s="11"/>
    </row>
    <row r="20" spans="1:19" x14ac:dyDescent="0.2">
      <c r="A20" s="11" t="s">
        <v>22</v>
      </c>
      <c r="B20" s="11" t="s">
        <v>28</v>
      </c>
      <c r="C20" s="11" t="s">
        <v>100</v>
      </c>
      <c r="D20" s="11" t="s">
        <v>101</v>
      </c>
      <c r="E20" s="11" t="s">
        <v>71</v>
      </c>
      <c r="F20" s="11" t="s">
        <v>72</v>
      </c>
      <c r="G20" s="11" t="s">
        <v>72</v>
      </c>
      <c r="H20" s="11"/>
      <c r="I20" s="11" t="b">
        <v>0</v>
      </c>
      <c r="J20" s="11" t="b">
        <v>0</v>
      </c>
      <c r="K20" s="11" t="b">
        <v>0</v>
      </c>
      <c r="L20" s="11" t="b">
        <v>0</v>
      </c>
      <c r="M20" s="11" t="b">
        <v>0</v>
      </c>
      <c r="N20" s="11"/>
      <c r="O20" s="11"/>
      <c r="P20" s="11"/>
      <c r="Q20" s="11"/>
      <c r="R20" s="11" t="b">
        <v>0</v>
      </c>
      <c r="S20" s="11"/>
    </row>
    <row r="21" spans="1:19" x14ac:dyDescent="0.2">
      <c r="A21" s="11" t="s">
        <v>22</v>
      </c>
      <c r="B21" s="11" t="s">
        <v>92</v>
      </c>
      <c r="C21" s="11" t="s">
        <v>81</v>
      </c>
      <c r="D21" s="11" t="s">
        <v>70</v>
      </c>
      <c r="E21" s="11" t="s">
        <v>75</v>
      </c>
      <c r="F21" s="11" t="s">
        <v>72</v>
      </c>
      <c r="G21" s="11" t="s">
        <v>72</v>
      </c>
      <c r="H21" s="11"/>
      <c r="I21" s="11" t="b">
        <v>0</v>
      </c>
      <c r="J21" s="11" t="b">
        <v>0</v>
      </c>
      <c r="K21" s="11" t="b">
        <v>0</v>
      </c>
      <c r="L21" s="11" t="b">
        <v>0</v>
      </c>
      <c r="M21" s="11" t="b">
        <v>0</v>
      </c>
      <c r="N21" s="11"/>
      <c r="O21" s="11"/>
      <c r="P21" s="11"/>
      <c r="Q21" s="11"/>
      <c r="R21" s="11" t="b">
        <v>0</v>
      </c>
      <c r="S21" s="11"/>
    </row>
    <row r="22" spans="1:19" x14ac:dyDescent="0.2">
      <c r="A22" s="11" t="s">
        <v>22</v>
      </c>
      <c r="B22" s="11" t="s">
        <v>93</v>
      </c>
      <c r="C22" s="11" t="s">
        <v>94</v>
      </c>
      <c r="D22" s="11" t="s">
        <v>95</v>
      </c>
      <c r="E22" s="11" t="s">
        <v>71</v>
      </c>
      <c r="F22" s="11" t="s">
        <v>72</v>
      </c>
      <c r="G22" s="11" t="s">
        <v>72</v>
      </c>
      <c r="H22" s="11"/>
      <c r="I22" s="11" t="b">
        <v>0</v>
      </c>
      <c r="J22" s="11" t="b">
        <v>0</v>
      </c>
      <c r="K22" s="11" t="b">
        <v>0</v>
      </c>
      <c r="L22" s="11" t="b">
        <v>0</v>
      </c>
      <c r="M22" s="11" t="b">
        <v>0</v>
      </c>
      <c r="N22" s="11"/>
      <c r="O22" s="11"/>
      <c r="P22" s="11"/>
      <c r="Q22" s="11"/>
      <c r="R22" s="11" t="b">
        <v>0</v>
      </c>
      <c r="S22" s="11"/>
    </row>
    <row r="23" spans="1:19" x14ac:dyDescent="0.2">
      <c r="A23" s="11" t="s">
        <v>22</v>
      </c>
      <c r="B23" s="11" t="s">
        <v>96</v>
      </c>
      <c r="C23" s="11" t="s">
        <v>81</v>
      </c>
      <c r="D23" s="11" t="s">
        <v>70</v>
      </c>
      <c r="E23" s="11" t="s">
        <v>75</v>
      </c>
      <c r="F23" s="11" t="s">
        <v>72</v>
      </c>
      <c r="G23" s="11" t="s">
        <v>72</v>
      </c>
      <c r="H23" s="11"/>
      <c r="I23" s="11" t="b">
        <v>0</v>
      </c>
      <c r="J23" s="11" t="b">
        <v>0</v>
      </c>
      <c r="K23" s="11" t="b">
        <v>0</v>
      </c>
      <c r="L23" s="11" t="b">
        <v>0</v>
      </c>
      <c r="M23" s="11" t="b">
        <v>0</v>
      </c>
      <c r="N23" s="11"/>
      <c r="O23" s="11"/>
      <c r="P23" s="11"/>
      <c r="Q23" s="11"/>
      <c r="R23" s="11" t="b">
        <v>0</v>
      </c>
      <c r="S23" s="11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34"/>
  <sheetViews>
    <sheetView workbookViewId="0">
      <pane ySplit="1" topLeftCell="A2" activePane="bottomLeft" state="frozen"/>
      <selection pane="bottomLeft" activeCell="B34" sqref="B34"/>
    </sheetView>
  </sheetViews>
  <sheetFormatPr baseColWidth="10" defaultColWidth="8.83203125" defaultRowHeight="15" x14ac:dyDescent="0.2"/>
  <cols>
    <col min="1" max="10" width="25" customWidth="1"/>
  </cols>
  <sheetData>
    <row r="1" spans="1:10" ht="20" customHeight="1" x14ac:dyDescent="0.2">
      <c r="A1" s="10" t="s">
        <v>76</v>
      </c>
      <c r="B1" s="10" t="s">
        <v>78</v>
      </c>
      <c r="C1" s="10" t="s">
        <v>80</v>
      </c>
      <c r="D1" s="10" t="s">
        <v>82</v>
      </c>
      <c r="E1" s="10" t="s">
        <v>85</v>
      </c>
      <c r="F1" s="10" t="s">
        <v>89</v>
      </c>
      <c r="G1" s="10" t="s">
        <v>90</v>
      </c>
      <c r="H1" s="10" t="s">
        <v>92</v>
      </c>
      <c r="I1" s="10" t="s">
        <v>93</v>
      </c>
      <c r="J1" s="10" t="s">
        <v>96</v>
      </c>
    </row>
    <row r="2" spans="1:10" x14ac:dyDescent="0.2">
      <c r="A2" s="14" t="s">
        <v>135</v>
      </c>
      <c r="B2" s="15" t="str">
        <f>IF(sample_design[[#This Row],[Sample Design Name]]="","",SUBSTITUTE(SUBSTITUTE(TRIM(sample_design[[#This Row],[Sample Design Name]])," ","_"),"-","_"))</f>
        <v>PBS_only</v>
      </c>
      <c r="C2" s="15"/>
      <c r="D2" s="11"/>
      <c r="E2" s="11"/>
      <c r="F2" s="11" t="s">
        <v>105</v>
      </c>
      <c r="G2" s="11"/>
      <c r="H2" s="15"/>
      <c r="I2" s="11"/>
      <c r="J2" s="15"/>
    </row>
    <row r="3" spans="1:10" x14ac:dyDescent="0.2">
      <c r="A3" t="s">
        <v>137</v>
      </c>
      <c r="B3" s="16" t="str">
        <f>IF(sample_design[[#This Row],[Sample Design Name]]="","",SUBSTITUTE(SUBSTITUTE(TRIM(sample_design[[#This Row],[Sample Design Name]])," ","_"),"-","_"))</f>
        <v>Pputida_pTT384_LB_ars_1</v>
      </c>
      <c r="C3" s="16"/>
      <c r="E3" t="s">
        <v>102</v>
      </c>
      <c r="F3" t="s">
        <v>104</v>
      </c>
      <c r="G3" s="14" t="s">
        <v>111</v>
      </c>
      <c r="H3" s="16"/>
      <c r="J3" s="16"/>
    </row>
    <row r="4" spans="1:10" x14ac:dyDescent="0.2">
      <c r="A4" t="s">
        <v>138</v>
      </c>
      <c r="B4" s="16" t="str">
        <f>IF(sample_design[[#This Row],[Sample Design Name]]="","",SUBSTITUTE(SUBSTITUTE(TRIM(sample_design[[#This Row],[Sample Design Name]])," ","_"),"-","_"))</f>
        <v>Pputida_pTT384_LB_ars_2</v>
      </c>
      <c r="C4" s="16"/>
      <c r="E4" t="s">
        <v>102</v>
      </c>
      <c r="F4" t="s">
        <v>104</v>
      </c>
      <c r="G4" s="14" t="s">
        <v>112</v>
      </c>
      <c r="H4" s="16"/>
      <c r="J4" s="16"/>
    </row>
    <row r="5" spans="1:10" x14ac:dyDescent="0.2">
      <c r="A5" t="s">
        <v>139</v>
      </c>
      <c r="B5" s="16" t="str">
        <f>IF(sample_design[[#This Row],[Sample Design Name]]="","",SUBSTITUTE(SUBSTITUTE(TRIM(sample_design[[#This Row],[Sample Design Name]])," ","_"),"-","_"))</f>
        <v>Pputida_pTT384_LB_ars_3</v>
      </c>
      <c r="C5" s="16"/>
      <c r="E5" t="s">
        <v>102</v>
      </c>
      <c r="F5" t="s">
        <v>104</v>
      </c>
      <c r="G5" s="14" t="s">
        <v>113</v>
      </c>
      <c r="H5" s="16"/>
      <c r="J5" s="16"/>
    </row>
    <row r="6" spans="1:10" x14ac:dyDescent="0.2">
      <c r="A6" t="s">
        <v>140</v>
      </c>
      <c r="B6" s="16" t="str">
        <f>IF(sample_design[[#This Row],[Sample Design Name]]="","",SUBSTITUTE(SUBSTITUTE(TRIM(sample_design[[#This Row],[Sample Design Name]])," ","_"),"-","_"))</f>
        <v>Pputida_pTT384_LB_ars_4</v>
      </c>
      <c r="C6" s="16"/>
      <c r="E6" t="s">
        <v>102</v>
      </c>
      <c r="F6" t="s">
        <v>104</v>
      </c>
      <c r="G6" s="14" t="s">
        <v>114</v>
      </c>
      <c r="H6" s="16"/>
      <c r="J6" s="16"/>
    </row>
    <row r="7" spans="1:10" x14ac:dyDescent="0.2">
      <c r="A7" t="s">
        <v>141</v>
      </c>
      <c r="B7" s="16" t="str">
        <f>IF(sample_design[[#This Row],[Sample Design Name]]="","",SUBSTITUTE(SUBSTITUTE(TRIM(sample_design[[#This Row],[Sample Design Name]])," ","_"),"-","_"))</f>
        <v>Pputida_pTT384_LB_ars_5</v>
      </c>
      <c r="C7" s="16"/>
      <c r="E7" t="s">
        <v>102</v>
      </c>
      <c r="F7" t="s">
        <v>104</v>
      </c>
      <c r="G7" s="14" t="s">
        <v>115</v>
      </c>
      <c r="H7" s="16"/>
      <c r="J7" s="16"/>
    </row>
    <row r="8" spans="1:10" x14ac:dyDescent="0.2">
      <c r="A8" t="s">
        <v>142</v>
      </c>
      <c r="B8" s="16" t="str">
        <f>IF(sample_design[[#This Row],[Sample Design Name]]="","",SUBSTITUTE(SUBSTITUTE(TRIM(sample_design[[#This Row],[Sample Design Name]])," ","_"),"-","_"))</f>
        <v>Pputida_pTT384_LB_ars_6</v>
      </c>
      <c r="C8" s="16"/>
      <c r="E8" t="s">
        <v>102</v>
      </c>
      <c r="F8" t="s">
        <v>104</v>
      </c>
      <c r="G8" s="14" t="s">
        <v>116</v>
      </c>
      <c r="H8" s="16"/>
      <c r="J8" s="16"/>
    </row>
    <row r="9" spans="1:10" x14ac:dyDescent="0.2">
      <c r="A9" t="s">
        <v>143</v>
      </c>
      <c r="B9" s="16" t="str">
        <f>IF(sample_design[[#This Row],[Sample Design Name]]="","",SUBSTITUTE(SUBSTITUTE(TRIM(sample_design[[#This Row],[Sample Design Name]])," ","_"),"-","_"))</f>
        <v>Pputida_pTT384_LB_ars_7</v>
      </c>
      <c r="C9" s="16"/>
      <c r="E9" t="s">
        <v>102</v>
      </c>
      <c r="F9" t="s">
        <v>104</v>
      </c>
      <c r="G9" s="14" t="s">
        <v>117</v>
      </c>
      <c r="H9" s="16"/>
      <c r="J9" s="16"/>
    </row>
    <row r="10" spans="1:10" x14ac:dyDescent="0.2">
      <c r="A10" t="s">
        <v>144</v>
      </c>
      <c r="B10" s="16" t="str">
        <f>IF(sample_design[[#This Row],[Sample Design Name]]="","",SUBSTITUTE(SUBSTITUTE(TRIM(sample_design[[#This Row],[Sample Design Name]])," ","_"),"-","_"))</f>
        <v>Pputida_pTT384_LB_ars_8</v>
      </c>
      <c r="C10" s="16"/>
      <c r="E10" t="s">
        <v>102</v>
      </c>
      <c r="F10" t="s">
        <v>104</v>
      </c>
      <c r="G10" s="14" t="s">
        <v>118</v>
      </c>
      <c r="H10" s="16"/>
      <c r="J10" s="16"/>
    </row>
    <row r="11" spans="1:10" x14ac:dyDescent="0.2">
      <c r="A11" t="s">
        <v>145</v>
      </c>
      <c r="B11" s="16" t="str">
        <f>IF(sample_design[[#This Row],[Sample Design Name]]="","",SUBSTITUTE(SUBSTITUTE(TRIM(sample_design[[#This Row],[Sample Design Name]])," ","_"),"-","_"))</f>
        <v>Pputida_pTT384_LB_ars_9</v>
      </c>
      <c r="C11" s="16"/>
      <c r="E11" t="s">
        <v>102</v>
      </c>
      <c r="F11" t="s">
        <v>104</v>
      </c>
      <c r="H11" s="16"/>
      <c r="J11" s="16"/>
    </row>
    <row r="12" spans="1:10" x14ac:dyDescent="0.2">
      <c r="A12" t="s">
        <v>136</v>
      </c>
      <c r="B12" s="16" t="str">
        <f>IF(sample_design[[#This Row],[Sample Design Name]]="","",SUBSTITUTE(SUBSTITUTE(TRIM(sample_design[[#This Row],[Sample Design Name]])," ","_"),"-","_"))</f>
        <v>Pputida_LB</v>
      </c>
      <c r="C12" s="16"/>
      <c r="E12" t="s">
        <v>166</v>
      </c>
      <c r="F12" t="s">
        <v>104</v>
      </c>
      <c r="H12" s="16"/>
      <c r="J12" s="16"/>
    </row>
    <row r="13" spans="1:10" x14ac:dyDescent="0.2">
      <c r="A13" t="s">
        <v>146</v>
      </c>
      <c r="B13" s="16" t="str">
        <f>IF(sample_design[[#This Row],[Sample Design Name]]="","",SUBSTITUTE(SUBSTITUTE(TRIM(sample_design[[#This Row],[Sample Design Name]])," ","_"),"-","_"))</f>
        <v>Pputida_pTT384_LB_al_1</v>
      </c>
      <c r="C13" s="16"/>
      <c r="E13" t="s">
        <v>102</v>
      </c>
      <c r="F13" t="s">
        <v>104</v>
      </c>
      <c r="G13" t="s">
        <v>119</v>
      </c>
      <c r="H13" s="16"/>
      <c r="J13" s="16"/>
    </row>
    <row r="14" spans="1:10" x14ac:dyDescent="0.2">
      <c r="A14" t="s">
        <v>147</v>
      </c>
      <c r="B14" s="16" t="str">
        <f>IF(sample_design[[#This Row],[Sample Design Name]]="","",SUBSTITUTE(SUBSTITUTE(TRIM(sample_design[[#This Row],[Sample Design Name]])," ","_"),"-","_"))</f>
        <v>Pputida_pTT384_LB_al_2</v>
      </c>
      <c r="C14" s="16"/>
      <c r="E14" t="s">
        <v>102</v>
      </c>
      <c r="F14" t="s">
        <v>104</v>
      </c>
      <c r="G14" t="s">
        <v>120</v>
      </c>
      <c r="H14" s="16"/>
      <c r="J14" s="16"/>
    </row>
    <row r="15" spans="1:10" x14ac:dyDescent="0.2">
      <c r="A15" t="s">
        <v>148</v>
      </c>
      <c r="B15" s="16" t="str">
        <f>IF(sample_design[[#This Row],[Sample Design Name]]="","",SUBSTITUTE(SUBSTITUTE(TRIM(sample_design[[#This Row],[Sample Design Name]])," ","_"),"-","_"))</f>
        <v>Pputida_pTT384_LB_al_3</v>
      </c>
      <c r="C15" s="16"/>
      <c r="E15" t="s">
        <v>102</v>
      </c>
      <c r="F15" t="s">
        <v>104</v>
      </c>
      <c r="G15" t="s">
        <v>121</v>
      </c>
      <c r="H15" s="16"/>
      <c r="J15" s="16"/>
    </row>
    <row r="16" spans="1:10" x14ac:dyDescent="0.2">
      <c r="A16" t="s">
        <v>149</v>
      </c>
      <c r="B16" s="16" t="str">
        <f>IF(sample_design[[#This Row],[Sample Design Name]]="","",SUBSTITUTE(SUBSTITUTE(TRIM(sample_design[[#This Row],[Sample Design Name]])," ","_"),"-","_"))</f>
        <v>Pputida_pTT384_LB_al_4</v>
      </c>
      <c r="C16" s="16"/>
      <c r="E16" t="s">
        <v>102</v>
      </c>
      <c r="F16" t="s">
        <v>104</v>
      </c>
      <c r="G16" t="s">
        <v>122</v>
      </c>
      <c r="H16" s="16"/>
      <c r="J16" s="16"/>
    </row>
    <row r="17" spans="1:10" x14ac:dyDescent="0.2">
      <c r="A17" t="s">
        <v>150</v>
      </c>
      <c r="B17" s="16" t="str">
        <f>IF(sample_design[[#This Row],[Sample Design Name]]="","",SUBSTITUTE(SUBSTITUTE(TRIM(sample_design[[#This Row],[Sample Design Name]])," ","_"),"-","_"))</f>
        <v>Pputida_pTT384_LB_al_5</v>
      </c>
      <c r="C17" s="16"/>
      <c r="E17" t="s">
        <v>102</v>
      </c>
      <c r="F17" t="s">
        <v>104</v>
      </c>
      <c r="G17" t="s">
        <v>123</v>
      </c>
      <c r="H17" s="16"/>
      <c r="J17" s="16"/>
    </row>
    <row r="18" spans="1:10" x14ac:dyDescent="0.2">
      <c r="A18" t="s">
        <v>151</v>
      </c>
      <c r="B18" s="16" t="str">
        <f>IF(sample_design[[#This Row],[Sample Design Name]]="","",SUBSTITUTE(SUBSTITUTE(TRIM(sample_design[[#This Row],[Sample Design Name]])," ","_"),"-","_"))</f>
        <v>Pputida_pTT384_LB_al_6</v>
      </c>
      <c r="C18" s="16"/>
      <c r="E18" t="s">
        <v>102</v>
      </c>
      <c r="F18" t="s">
        <v>104</v>
      </c>
      <c r="G18" t="s">
        <v>124</v>
      </c>
      <c r="H18" s="16"/>
      <c r="J18" s="16"/>
    </row>
    <row r="19" spans="1:10" x14ac:dyDescent="0.2">
      <c r="A19" t="s">
        <v>152</v>
      </c>
      <c r="B19" s="16" t="str">
        <f>IF(sample_design[[#This Row],[Sample Design Name]]="","",SUBSTITUTE(SUBSTITUTE(TRIM(sample_design[[#This Row],[Sample Design Name]])," ","_"),"-","_"))</f>
        <v>Pputida_pTT384_LB_al_7</v>
      </c>
      <c r="C19" s="16"/>
      <c r="E19" t="s">
        <v>102</v>
      </c>
      <c r="F19" t="s">
        <v>104</v>
      </c>
      <c r="G19" t="s">
        <v>125</v>
      </c>
      <c r="H19" s="16"/>
      <c r="J19" s="16"/>
    </row>
    <row r="20" spans="1:10" x14ac:dyDescent="0.2">
      <c r="A20" t="s">
        <v>153</v>
      </c>
      <c r="B20" s="16" t="str">
        <f>IF(sample_design[[#This Row],[Sample Design Name]]="","",SUBSTITUTE(SUBSTITUTE(TRIM(sample_design[[#This Row],[Sample Design Name]])," ","_"),"-","_"))</f>
        <v>Pputida_pTT384_LB_al_8</v>
      </c>
      <c r="C20" s="16"/>
      <c r="E20" t="s">
        <v>102</v>
      </c>
      <c r="F20" t="s">
        <v>104</v>
      </c>
      <c r="G20" t="s">
        <v>133</v>
      </c>
      <c r="H20" s="16"/>
      <c r="J20" s="16"/>
    </row>
    <row r="21" spans="1:10" x14ac:dyDescent="0.2">
      <c r="A21" t="s">
        <v>154</v>
      </c>
      <c r="B21" s="16" t="str">
        <f>IF(sample_design[[#This Row],[Sample Design Name]]="","",SUBSTITUTE(SUBSTITUTE(TRIM(sample_design[[#This Row],[Sample Design Name]])," ","_"),"-","_"))</f>
        <v>Pputida_pTT384_LB_al_9</v>
      </c>
      <c r="C21" s="16"/>
      <c r="H21" s="16"/>
      <c r="J21" s="16"/>
    </row>
    <row r="22" spans="1:10" x14ac:dyDescent="0.2">
      <c r="A22" t="s">
        <v>155</v>
      </c>
      <c r="B22" s="16" t="str">
        <f>IF(sample_design[[#This Row],[Sample Design Name]]="","",SUBSTITUTE(SUBSTITUTE(TRIM(sample_design[[#This Row],[Sample Design Name]])," ","_"),"-","_"))</f>
        <v>Fluorescein_only</v>
      </c>
      <c r="C22" s="16"/>
      <c r="F22" t="s">
        <v>105</v>
      </c>
      <c r="G22" t="s">
        <v>108</v>
      </c>
      <c r="H22" s="16"/>
      <c r="J22" s="16"/>
    </row>
    <row r="23" spans="1:10" x14ac:dyDescent="0.2">
      <c r="A23" t="s">
        <v>156</v>
      </c>
      <c r="B23" s="16" t="str">
        <f>IF(sample_design[[#This Row],[Sample Design Name]]="","",SUBSTITUTE(SUBSTITUTE(TRIM(sample_design[[#This Row],[Sample Design Name]])," ","_"),"-","_"))</f>
        <v>Pputida_pTT384_LB_cu_1</v>
      </c>
      <c r="C23" s="16"/>
      <c r="E23" t="s">
        <v>102</v>
      </c>
      <c r="F23" t="s">
        <v>104</v>
      </c>
      <c r="G23" t="s">
        <v>126</v>
      </c>
      <c r="H23" s="16"/>
      <c r="J23" s="16"/>
    </row>
    <row r="24" spans="1:10" x14ac:dyDescent="0.2">
      <c r="A24" t="s">
        <v>157</v>
      </c>
      <c r="B24" s="16" t="str">
        <f>IF(sample_design[[#This Row],[Sample Design Name]]="","",SUBSTITUTE(SUBSTITUTE(TRIM(sample_design[[#This Row],[Sample Design Name]])," ","_"),"-","_"))</f>
        <v>Pputida_pTT384_LB_cu_2</v>
      </c>
      <c r="C24" s="16"/>
      <c r="E24" t="s">
        <v>102</v>
      </c>
      <c r="F24" t="s">
        <v>104</v>
      </c>
      <c r="G24" t="s">
        <v>127</v>
      </c>
      <c r="H24" s="16"/>
      <c r="J24" s="16"/>
    </row>
    <row r="25" spans="1:10" x14ac:dyDescent="0.2">
      <c r="A25" t="s">
        <v>158</v>
      </c>
      <c r="B25" s="16" t="str">
        <f>IF(sample_design[[#This Row],[Sample Design Name]]="","",SUBSTITUTE(SUBSTITUTE(TRIM(sample_design[[#This Row],[Sample Design Name]])," ","_"),"-","_"))</f>
        <v>Pputida_pTT384_LB_cu_3</v>
      </c>
      <c r="C25" s="16"/>
      <c r="E25" t="s">
        <v>102</v>
      </c>
      <c r="F25" t="s">
        <v>104</v>
      </c>
      <c r="G25" t="s">
        <v>128</v>
      </c>
      <c r="H25" s="16"/>
      <c r="J25" s="16"/>
    </row>
    <row r="26" spans="1:10" x14ac:dyDescent="0.2">
      <c r="A26" t="s">
        <v>159</v>
      </c>
      <c r="B26" s="16" t="str">
        <f>IF(sample_design[[#This Row],[Sample Design Name]]="","",SUBSTITUTE(SUBSTITUTE(TRIM(sample_design[[#This Row],[Sample Design Name]])," ","_"),"-","_"))</f>
        <v>Pputida_pTT384_LB_cu_4</v>
      </c>
      <c r="C26" s="16"/>
      <c r="E26" t="s">
        <v>102</v>
      </c>
      <c r="F26" t="s">
        <v>104</v>
      </c>
      <c r="G26" t="s">
        <v>129</v>
      </c>
      <c r="H26" s="16"/>
      <c r="J26" s="16"/>
    </row>
    <row r="27" spans="1:10" x14ac:dyDescent="0.2">
      <c r="A27" t="s">
        <v>160</v>
      </c>
      <c r="B27" s="16" t="str">
        <f>IF(sample_design[[#This Row],[Sample Design Name]]="","",SUBSTITUTE(SUBSTITUTE(TRIM(sample_design[[#This Row],[Sample Design Name]])," ","_"),"-","_"))</f>
        <v>Pputida_pTT384_LB_cu_5</v>
      </c>
      <c r="C27" s="16"/>
      <c r="E27" t="s">
        <v>102</v>
      </c>
      <c r="F27" t="s">
        <v>104</v>
      </c>
      <c r="G27" t="s">
        <v>130</v>
      </c>
      <c r="H27" s="16"/>
      <c r="J27" s="16"/>
    </row>
    <row r="28" spans="1:10" x14ac:dyDescent="0.2">
      <c r="A28" t="s">
        <v>161</v>
      </c>
      <c r="B28" s="16" t="str">
        <f>IF(sample_design[[#This Row],[Sample Design Name]]="","",SUBSTITUTE(SUBSTITUTE(TRIM(sample_design[[#This Row],[Sample Design Name]])," ","_"),"-","_"))</f>
        <v>Pputida_pTT384_LB_cu_6</v>
      </c>
      <c r="C28" s="16"/>
      <c r="E28" t="s">
        <v>102</v>
      </c>
      <c r="F28" t="s">
        <v>104</v>
      </c>
      <c r="G28" t="s">
        <v>131</v>
      </c>
      <c r="H28" s="16"/>
      <c r="J28" s="16"/>
    </row>
    <row r="29" spans="1:10" x14ac:dyDescent="0.2">
      <c r="A29" t="s">
        <v>162</v>
      </c>
      <c r="B29" s="16" t="str">
        <f>IF(sample_design[[#This Row],[Sample Design Name]]="","",SUBSTITUTE(SUBSTITUTE(TRIM(sample_design[[#This Row],[Sample Design Name]])," ","_"),"-","_"))</f>
        <v>Pputida_pTT384_LB_cu_7</v>
      </c>
      <c r="C29" s="16"/>
      <c r="E29" t="s">
        <v>102</v>
      </c>
      <c r="F29" t="s">
        <v>104</v>
      </c>
      <c r="G29" t="s">
        <v>132</v>
      </c>
      <c r="H29" s="16"/>
      <c r="J29" s="16"/>
    </row>
    <row r="30" spans="1:10" x14ac:dyDescent="0.2">
      <c r="A30" t="s">
        <v>163</v>
      </c>
      <c r="B30" s="16" t="str">
        <f>IF(sample_design[[#This Row],[Sample Design Name]]="","",SUBSTITUTE(SUBSTITUTE(TRIM(sample_design[[#This Row],[Sample Design Name]])," ","_"),"-","_"))</f>
        <v>Pputida_pTT384_LB_cu_8</v>
      </c>
      <c r="C30" s="16"/>
      <c r="E30" t="s">
        <v>102</v>
      </c>
      <c r="F30" t="s">
        <v>104</v>
      </c>
      <c r="G30" t="s">
        <v>134</v>
      </c>
      <c r="H30" s="16"/>
      <c r="J30" s="16"/>
    </row>
    <row r="31" spans="1:10" x14ac:dyDescent="0.2">
      <c r="A31" t="s">
        <v>164</v>
      </c>
      <c r="B31" s="16" t="str">
        <f>IF(sample_design[[#This Row],[Sample Design Name]]="","",SUBSTITUTE(SUBSTITUTE(TRIM(sample_design[[#This Row],[Sample Design Name]])," ","_"),"-","_"))</f>
        <v>Pputida_pTT384_LB_cu_9</v>
      </c>
      <c r="C31" s="16"/>
      <c r="H31" s="16"/>
      <c r="J31" s="16"/>
    </row>
    <row r="32" spans="1:10" x14ac:dyDescent="0.2">
      <c r="A32" t="s">
        <v>165</v>
      </c>
      <c r="B32" s="16" t="str">
        <f>IF(sample_design[[#This Row],[Sample Design Name]]="","",SUBSTITUTE(SUBSTITUTE(TRIM(sample_design[[#This Row],[Sample Design Name]])," ","_"),"-","_"))</f>
        <v>Pputida_pTTP27_LB_1</v>
      </c>
      <c r="C32" s="16"/>
      <c r="E32" t="s">
        <v>103</v>
      </c>
      <c r="F32" t="s">
        <v>104</v>
      </c>
      <c r="H32" s="16"/>
      <c r="J32" s="16"/>
    </row>
    <row r="33" spans="1:10" x14ac:dyDescent="0.2">
      <c r="A33" t="s">
        <v>167</v>
      </c>
      <c r="B33" s="16" t="str">
        <f>IF(sample_design[[#This Row],[Sample Design Name]]="","",SUBSTITUTE(SUBSTITUTE(TRIM(sample_design[[#This Row],[Sample Design Name]])," ","_"),"-","_"))</f>
        <v>Beads_only</v>
      </c>
      <c r="C33" s="16"/>
      <c r="F33" t="s">
        <v>105</v>
      </c>
      <c r="G33" t="s">
        <v>110</v>
      </c>
      <c r="H33" s="16"/>
      <c r="J33" s="16"/>
    </row>
    <row r="34" spans="1:10" x14ac:dyDescent="0.2">
      <c r="A34" t="s">
        <v>168</v>
      </c>
      <c r="B34" s="16" t="str">
        <f>IF(sample_design[[#This Row],[Sample Design Name]]="","",SUBSTITUTE(SUBSTITUTE(TRIM(sample_design[[#This Row],[Sample Design Name]])," ","_"),"-","_"))</f>
        <v>LB_only</v>
      </c>
      <c r="C34" s="16"/>
      <c r="F34" t="s">
        <v>104</v>
      </c>
      <c r="H34" s="16"/>
      <c r="J34" s="16"/>
    </row>
  </sheetData>
  <phoneticPr fontId="12" type="noConversion"/>
  <dataValidations count="2">
    <dataValidation type="list" allowBlank="1" showInputMessage="1" showErrorMessage="1" sqref="E2:E34" xr:uid="{00000000-0002-0000-0400-000000000000}">
      <formula1>dv_SBH_strains_collection_Name</formula1>
    </dataValidation>
    <dataValidation type="list" allowBlank="1" showInputMessage="1" showErrorMessage="1" sqref="F2:F34" xr:uid="{00000000-0002-0000-0400-000001000000}">
      <formula1>dv_SBH_media_collection_Name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I27"/>
  <sheetViews>
    <sheetView workbookViewId="0">
      <pane ySplit="1" topLeftCell="A2" activePane="bottomLeft" state="frozen"/>
      <selection pane="bottomLeft" activeCell="A18" sqref="A18:A25"/>
    </sheetView>
  </sheetViews>
  <sheetFormatPr baseColWidth="10" defaultColWidth="8.83203125" defaultRowHeight="15" x14ac:dyDescent="0.2"/>
  <cols>
    <col min="1" max="9" width="25" customWidth="1"/>
  </cols>
  <sheetData>
    <row r="1" spans="1:9" ht="20" customHeight="1" x14ac:dyDescent="0.2">
      <c r="A1" s="10" t="s">
        <v>24</v>
      </c>
      <c r="B1" s="10" t="s">
        <v>97</v>
      </c>
      <c r="C1" s="10" t="s">
        <v>80</v>
      </c>
      <c r="D1" s="10" t="s">
        <v>98</v>
      </c>
      <c r="E1" s="10" t="s">
        <v>26</v>
      </c>
      <c r="F1" s="10" t="s">
        <v>28</v>
      </c>
      <c r="G1" s="10" t="s">
        <v>92</v>
      </c>
      <c r="H1" s="10" t="s">
        <v>93</v>
      </c>
      <c r="I1" s="10" t="s">
        <v>96</v>
      </c>
    </row>
    <row r="2" spans="1:9" x14ac:dyDescent="0.2">
      <c r="A2" s="14" t="s">
        <v>111</v>
      </c>
      <c r="B2" s="15" t="str">
        <f>IF(supplement[[#This Row],[Supplement Name]]="","",SUBSTITUTE(SUBSTITUTE(TRIM(supplement[[#This Row],[Supplement Name]])," ","_"),"-","_"))</f>
        <v>Sodium_arsenite_1</v>
      </c>
      <c r="C2" s="15"/>
      <c r="D2" s="11"/>
      <c r="E2" s="11" t="s">
        <v>106</v>
      </c>
      <c r="F2" s="11">
        <v>1.2799999999999999E-4</v>
      </c>
      <c r="G2" s="15"/>
      <c r="H2" s="11"/>
      <c r="I2" s="15"/>
    </row>
    <row r="3" spans="1:9" x14ac:dyDescent="0.2">
      <c r="A3" s="14" t="s">
        <v>112</v>
      </c>
      <c r="B3" s="16" t="str">
        <f>IF(supplement[[#This Row],[Supplement Name]]="","",SUBSTITUTE(SUBSTITUTE(TRIM(supplement[[#This Row],[Supplement Name]])," ","_"),"-","_"))</f>
        <v>Sodium_arsenite_2</v>
      </c>
      <c r="C3" s="16"/>
      <c r="E3" t="s">
        <v>106</v>
      </c>
      <c r="F3">
        <v>3.1999999999999999E-5</v>
      </c>
      <c r="G3" s="16"/>
      <c r="I3" s="16"/>
    </row>
    <row r="4" spans="1:9" x14ac:dyDescent="0.2">
      <c r="A4" s="14" t="s">
        <v>113</v>
      </c>
      <c r="B4" s="16" t="str">
        <f>IF(supplement[[#This Row],[Supplement Name]]="","",SUBSTITUTE(SUBSTITUTE(TRIM(supplement[[#This Row],[Supplement Name]])," ","_"),"-","_"))</f>
        <v>Sodium_arsenite_3</v>
      </c>
      <c r="C4" s="16"/>
      <c r="E4" t="s">
        <v>106</v>
      </c>
      <c r="F4">
        <v>7.9999999999999996E-6</v>
      </c>
      <c r="G4" s="16"/>
      <c r="I4" s="16"/>
    </row>
    <row r="5" spans="1:9" x14ac:dyDescent="0.2">
      <c r="A5" s="14" t="s">
        <v>114</v>
      </c>
      <c r="B5" s="16" t="str">
        <f>IF(supplement[[#This Row],[Supplement Name]]="","",SUBSTITUTE(SUBSTITUTE(TRIM(supplement[[#This Row],[Supplement Name]])," ","_"),"-","_"))</f>
        <v>Sodium_arsenite_4</v>
      </c>
      <c r="C5" s="16"/>
      <c r="E5" t="s">
        <v>106</v>
      </c>
      <c r="F5">
        <v>1.9999999999999999E-6</v>
      </c>
      <c r="G5" s="16"/>
      <c r="I5" s="16"/>
    </row>
    <row r="6" spans="1:9" x14ac:dyDescent="0.2">
      <c r="A6" s="14" t="s">
        <v>115</v>
      </c>
      <c r="B6" s="16" t="str">
        <f>IF(supplement[[#This Row],[Supplement Name]]="","",SUBSTITUTE(SUBSTITUTE(TRIM(supplement[[#This Row],[Supplement Name]])," ","_"),"-","_"))</f>
        <v>Sodium_arsenite_5</v>
      </c>
      <c r="C6" s="16"/>
      <c r="E6" t="s">
        <v>106</v>
      </c>
      <c r="F6">
        <v>4.9999999999999998E-7</v>
      </c>
      <c r="G6" s="16"/>
      <c r="I6" s="16"/>
    </row>
    <row r="7" spans="1:9" x14ac:dyDescent="0.2">
      <c r="A7" s="14" t="s">
        <v>116</v>
      </c>
      <c r="B7" s="16" t="str">
        <f>IF(supplement[[#This Row],[Supplement Name]]="","",SUBSTITUTE(SUBSTITUTE(TRIM(supplement[[#This Row],[Supplement Name]])," ","_"),"-","_"))</f>
        <v>Sodium_arsenite_6</v>
      </c>
      <c r="C7" s="16"/>
      <c r="E7" t="s">
        <v>106</v>
      </c>
      <c r="F7">
        <v>1.2499999999999999E-7</v>
      </c>
      <c r="G7" s="16"/>
      <c r="I7" s="16"/>
    </row>
    <row r="8" spans="1:9" x14ac:dyDescent="0.2">
      <c r="A8" s="14" t="s">
        <v>117</v>
      </c>
      <c r="B8" s="16" t="str">
        <f>IF(supplement[[#This Row],[Supplement Name]]="","",SUBSTITUTE(SUBSTITUTE(TRIM(supplement[[#This Row],[Supplement Name]])," ","_"),"-","_"))</f>
        <v>Sodium_arsenite_7</v>
      </c>
      <c r="C8" s="16"/>
      <c r="E8" t="s">
        <v>106</v>
      </c>
      <c r="F8">
        <v>3.1249999999999999E-8</v>
      </c>
      <c r="G8" s="16"/>
      <c r="I8" s="16"/>
    </row>
    <row r="9" spans="1:9" x14ac:dyDescent="0.2">
      <c r="A9" s="14" t="s">
        <v>118</v>
      </c>
      <c r="B9" s="16" t="str">
        <f>IF(supplement[[#This Row],[Supplement Name]]="","",SUBSTITUTE(SUBSTITUTE(TRIM(supplement[[#This Row],[Supplement Name]])," ","_"),"-","_"))</f>
        <v>Sodium_arsenite_8</v>
      </c>
      <c r="C9" s="16"/>
      <c r="E9" t="s">
        <v>106</v>
      </c>
      <c r="F9">
        <v>7.8124999999999996E-9</v>
      </c>
      <c r="G9" s="16"/>
      <c r="I9" s="16"/>
    </row>
    <row r="10" spans="1:9" x14ac:dyDescent="0.2">
      <c r="A10" t="s">
        <v>119</v>
      </c>
      <c r="B10" s="16" t="str">
        <f>IF(supplement[[#This Row],[Supplement Name]]="","",SUBSTITUTE(SUBSTITUTE(TRIM(supplement[[#This Row],[Supplement Name]])," ","_"),"-","_"))</f>
        <v>Aluminum_sulfate_1</v>
      </c>
      <c r="C10" s="16"/>
      <c r="E10" t="s">
        <v>107</v>
      </c>
      <c r="F10" s="11">
        <v>1.2799999999999999E-4</v>
      </c>
      <c r="G10" s="16"/>
      <c r="I10" s="16"/>
    </row>
    <row r="11" spans="1:9" x14ac:dyDescent="0.2">
      <c r="A11" t="s">
        <v>120</v>
      </c>
      <c r="B11" s="16" t="str">
        <f>IF(supplement[[#This Row],[Supplement Name]]="","",SUBSTITUTE(SUBSTITUTE(TRIM(supplement[[#This Row],[Supplement Name]])," ","_"),"-","_"))</f>
        <v>Aluminum_sulfate_2</v>
      </c>
      <c r="C11" s="16"/>
      <c r="E11" t="s">
        <v>107</v>
      </c>
      <c r="F11">
        <v>3.1999999999999999E-5</v>
      </c>
      <c r="G11" s="16"/>
      <c r="I11" s="16"/>
    </row>
    <row r="12" spans="1:9" x14ac:dyDescent="0.2">
      <c r="A12" t="s">
        <v>121</v>
      </c>
      <c r="B12" s="16" t="str">
        <f>IF(supplement[[#This Row],[Supplement Name]]="","",SUBSTITUTE(SUBSTITUTE(TRIM(supplement[[#This Row],[Supplement Name]])," ","_"),"-","_"))</f>
        <v>Aluminum_sulfate_3</v>
      </c>
      <c r="C12" s="16"/>
      <c r="E12" t="s">
        <v>107</v>
      </c>
      <c r="F12">
        <v>7.9999999999999996E-6</v>
      </c>
      <c r="G12" s="16"/>
      <c r="I12" s="16"/>
    </row>
    <row r="13" spans="1:9" x14ac:dyDescent="0.2">
      <c r="A13" t="s">
        <v>122</v>
      </c>
      <c r="B13" s="16" t="str">
        <f>IF(supplement[[#This Row],[Supplement Name]]="","",SUBSTITUTE(SUBSTITUTE(TRIM(supplement[[#This Row],[Supplement Name]])," ","_"),"-","_"))</f>
        <v>Aluminum_sulfate_4</v>
      </c>
      <c r="C13" s="16"/>
      <c r="E13" t="s">
        <v>107</v>
      </c>
      <c r="F13">
        <v>1.9999999999999999E-6</v>
      </c>
      <c r="G13" s="16"/>
      <c r="I13" s="16"/>
    </row>
    <row r="14" spans="1:9" x14ac:dyDescent="0.2">
      <c r="A14" t="s">
        <v>123</v>
      </c>
      <c r="B14" s="16" t="str">
        <f>IF(supplement[[#This Row],[Supplement Name]]="","",SUBSTITUTE(SUBSTITUTE(TRIM(supplement[[#This Row],[Supplement Name]])," ","_"),"-","_"))</f>
        <v>Aluminum_sulfate_5</v>
      </c>
      <c r="C14" s="16"/>
      <c r="E14" t="s">
        <v>107</v>
      </c>
      <c r="F14">
        <v>4.9999999999999998E-7</v>
      </c>
      <c r="G14" s="16"/>
      <c r="I14" s="16"/>
    </row>
    <row r="15" spans="1:9" x14ac:dyDescent="0.2">
      <c r="A15" t="s">
        <v>124</v>
      </c>
      <c r="B15" s="16" t="str">
        <f>IF(supplement[[#This Row],[Supplement Name]]="","",SUBSTITUTE(SUBSTITUTE(TRIM(supplement[[#This Row],[Supplement Name]])," ","_"),"-","_"))</f>
        <v>Aluminum_sulfate_6</v>
      </c>
      <c r="C15" s="16"/>
      <c r="E15" t="s">
        <v>107</v>
      </c>
      <c r="F15">
        <v>1.2499999999999999E-7</v>
      </c>
      <c r="G15" s="16"/>
      <c r="I15" s="16"/>
    </row>
    <row r="16" spans="1:9" x14ac:dyDescent="0.2">
      <c r="A16" t="s">
        <v>125</v>
      </c>
      <c r="B16" s="16" t="str">
        <f>IF(supplement[[#This Row],[Supplement Name]]="","",SUBSTITUTE(SUBSTITUTE(TRIM(supplement[[#This Row],[Supplement Name]])," ","_"),"-","_"))</f>
        <v>Aluminum_sulfate_7</v>
      </c>
      <c r="C16" s="16"/>
      <c r="E16" t="s">
        <v>107</v>
      </c>
      <c r="F16">
        <v>3.1249999999999999E-8</v>
      </c>
      <c r="G16" s="16"/>
      <c r="I16" s="16"/>
    </row>
    <row r="17" spans="1:9" x14ac:dyDescent="0.2">
      <c r="A17" t="s">
        <v>133</v>
      </c>
      <c r="B17" s="16" t="str">
        <f>IF(supplement[[#This Row],[Supplement Name]]="","",SUBSTITUTE(SUBSTITUTE(TRIM(supplement[[#This Row],[Supplement Name]])," ","_"),"-","_"))</f>
        <v>Aluminum_sulfate_8</v>
      </c>
      <c r="C17" s="16"/>
      <c r="E17" t="s">
        <v>107</v>
      </c>
      <c r="F17">
        <v>7.8124999999999996E-9</v>
      </c>
      <c r="G17" s="16"/>
      <c r="I17" s="16"/>
    </row>
    <row r="18" spans="1:9" x14ac:dyDescent="0.2">
      <c r="A18" t="s">
        <v>126</v>
      </c>
      <c r="B18" s="16" t="str">
        <f>IF(supplement[[#This Row],[Supplement Name]]="","",SUBSTITUTE(SUBSTITUTE(TRIM(supplement[[#This Row],[Supplement Name]])," ","_"),"-","_"))</f>
        <v>Copper_sulfate_1</v>
      </c>
      <c r="C18" s="16"/>
      <c r="E18" t="s">
        <v>109</v>
      </c>
      <c r="F18" s="11">
        <v>1.2799999999999999E-4</v>
      </c>
      <c r="G18" s="16"/>
      <c r="I18" s="16"/>
    </row>
    <row r="19" spans="1:9" x14ac:dyDescent="0.2">
      <c r="A19" t="s">
        <v>127</v>
      </c>
      <c r="B19" s="16" t="str">
        <f>IF(supplement[[#This Row],[Supplement Name]]="","",SUBSTITUTE(SUBSTITUTE(TRIM(supplement[[#This Row],[Supplement Name]])," ","_"),"-","_"))</f>
        <v>Copper_sulfate_2</v>
      </c>
      <c r="C19" s="16"/>
      <c r="E19" t="s">
        <v>109</v>
      </c>
      <c r="F19">
        <v>3.1999999999999999E-5</v>
      </c>
      <c r="G19" s="16"/>
      <c r="I19" s="16"/>
    </row>
    <row r="20" spans="1:9" x14ac:dyDescent="0.2">
      <c r="A20" t="s">
        <v>128</v>
      </c>
      <c r="B20" s="16" t="str">
        <f>IF(supplement[[#This Row],[Supplement Name]]="","",SUBSTITUTE(SUBSTITUTE(TRIM(supplement[[#This Row],[Supplement Name]])," ","_"),"-","_"))</f>
        <v>Copper_sulfate_3</v>
      </c>
      <c r="C20" s="16"/>
      <c r="E20" t="s">
        <v>109</v>
      </c>
      <c r="F20">
        <v>7.9999999999999996E-6</v>
      </c>
      <c r="G20" s="16"/>
      <c r="I20" s="16"/>
    </row>
    <row r="21" spans="1:9" x14ac:dyDescent="0.2">
      <c r="A21" t="s">
        <v>129</v>
      </c>
      <c r="B21" s="16" t="str">
        <f>IF(supplement[[#This Row],[Supplement Name]]="","",SUBSTITUTE(SUBSTITUTE(TRIM(supplement[[#This Row],[Supplement Name]])," ","_"),"-","_"))</f>
        <v>Copper_sulfate_4</v>
      </c>
      <c r="C21" s="16"/>
      <c r="E21" t="s">
        <v>109</v>
      </c>
      <c r="F21">
        <v>1.9999999999999999E-6</v>
      </c>
      <c r="G21" s="16"/>
      <c r="I21" s="16"/>
    </row>
    <row r="22" spans="1:9" x14ac:dyDescent="0.2">
      <c r="A22" t="s">
        <v>130</v>
      </c>
      <c r="B22" s="16" t="str">
        <f>IF(supplement[[#This Row],[Supplement Name]]="","",SUBSTITUTE(SUBSTITUTE(TRIM(supplement[[#This Row],[Supplement Name]])," ","_"),"-","_"))</f>
        <v>Copper_sulfate_5</v>
      </c>
      <c r="C22" s="16"/>
      <c r="E22" t="s">
        <v>109</v>
      </c>
      <c r="F22">
        <v>4.9999999999999998E-7</v>
      </c>
      <c r="G22" s="16"/>
      <c r="I22" s="16"/>
    </row>
    <row r="23" spans="1:9" x14ac:dyDescent="0.2">
      <c r="A23" t="s">
        <v>131</v>
      </c>
      <c r="B23" s="16" t="str">
        <f>IF(supplement[[#This Row],[Supplement Name]]="","",SUBSTITUTE(SUBSTITUTE(TRIM(supplement[[#This Row],[Supplement Name]])," ","_"),"-","_"))</f>
        <v>Copper_sulfate_6</v>
      </c>
      <c r="C23" s="16"/>
      <c r="E23" t="s">
        <v>109</v>
      </c>
      <c r="F23">
        <v>1.2499999999999999E-7</v>
      </c>
      <c r="G23" s="16"/>
      <c r="I23" s="16"/>
    </row>
    <row r="24" spans="1:9" x14ac:dyDescent="0.2">
      <c r="A24" t="s">
        <v>132</v>
      </c>
      <c r="B24" s="16" t="str">
        <f>IF(supplement[[#This Row],[Supplement Name]]="","",SUBSTITUTE(SUBSTITUTE(TRIM(supplement[[#This Row],[Supplement Name]])," ","_"),"-","_"))</f>
        <v>Copper_sulfate_7</v>
      </c>
      <c r="C24" s="16"/>
      <c r="E24" t="s">
        <v>109</v>
      </c>
      <c r="F24">
        <v>3.1249999999999999E-8</v>
      </c>
      <c r="G24" s="16"/>
      <c r="I24" s="16"/>
    </row>
    <row r="25" spans="1:9" x14ac:dyDescent="0.2">
      <c r="A25" t="s">
        <v>134</v>
      </c>
      <c r="B25" s="16" t="str">
        <f>IF(supplement[[#This Row],[Supplement Name]]="","",SUBSTITUTE(SUBSTITUTE(TRIM(supplement[[#This Row],[Supplement Name]])," ","_"),"-","_"))</f>
        <v>Copper_sulfate_8</v>
      </c>
      <c r="C25" s="16"/>
      <c r="E25" t="s">
        <v>109</v>
      </c>
      <c r="F25">
        <v>7.8124999999999996E-9</v>
      </c>
      <c r="G25" s="16"/>
      <c r="I25" s="16"/>
    </row>
    <row r="26" spans="1:9" x14ac:dyDescent="0.2">
      <c r="A26" t="s">
        <v>110</v>
      </c>
      <c r="B26" s="16" t="str">
        <f>IF(supplement[[#This Row],[Supplement Name]]="","",SUBSTITUTE(SUBSTITUTE(TRIM(supplement[[#This Row],[Supplement Name]])," ","_"),"-","_"))</f>
        <v>Beads</v>
      </c>
      <c r="C26" s="16"/>
      <c r="E26" t="s">
        <v>110</v>
      </c>
      <c r="F26">
        <v>4.9800000000000002E-12</v>
      </c>
      <c r="G26" s="16"/>
      <c r="I26" s="16"/>
    </row>
    <row r="27" spans="1:9" x14ac:dyDescent="0.2">
      <c r="A27" t="s">
        <v>108</v>
      </c>
      <c r="B27" s="16" t="str">
        <f>IF(supplement[[#This Row],[Supplement Name]]="","",SUBSTITUTE(SUBSTITUTE(TRIM(supplement[[#This Row],[Supplement Name]])," ","_"),"-","_"))</f>
        <v>Fluorescein</v>
      </c>
      <c r="C27" s="16"/>
      <c r="E27" t="s">
        <v>108</v>
      </c>
      <c r="F27">
        <v>1.0000000000000001E-5</v>
      </c>
      <c r="G27" s="16"/>
      <c r="I27" s="16"/>
    </row>
  </sheetData>
  <phoneticPr fontId="12" type="noConversion"/>
  <dataValidations count="1">
    <dataValidation type="list" allowBlank="1" showInputMessage="1" showErrorMessage="1" sqref="E2:E27" xr:uid="{00000000-0002-0000-0500-000000000000}">
      <formula1>dv_SBH_chemicals_collection_Name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48A9AE"/>
  </sheetPr>
  <dimension ref="A1:B4"/>
  <sheetViews>
    <sheetView workbookViewId="0">
      <pane ySplit="1" topLeftCell="A2" activePane="bottomLeft" state="frozen"/>
      <selection pane="bottomLeft" activeCell="B13" sqref="B13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10" t="s">
        <v>3</v>
      </c>
      <c r="B1" s="10" t="s">
        <v>75</v>
      </c>
    </row>
    <row r="2" spans="1:2" x14ac:dyDescent="0.2">
      <c r="A2" t="s">
        <v>102</v>
      </c>
      <c r="B2" s="13" t="s">
        <v>181</v>
      </c>
    </row>
    <row r="3" spans="1:2" x14ac:dyDescent="0.2">
      <c r="A3" t="s">
        <v>103</v>
      </c>
      <c r="B3" s="13" t="s">
        <v>182</v>
      </c>
    </row>
    <row r="4" spans="1:2" x14ac:dyDescent="0.2">
      <c r="A4" s="13" t="s">
        <v>166</v>
      </c>
      <c r="B4" s="13" t="s">
        <v>180</v>
      </c>
    </row>
  </sheetData>
  <hyperlinks>
    <hyperlink ref="B2" r:id="rId1" xr:uid="{C32C15B6-3045-2F4C-A301-CAA6DCBCC679}"/>
    <hyperlink ref="B3" r:id="rId2" xr:uid="{5924F564-394F-A941-8AFA-039DCABE5A30}"/>
    <hyperlink ref="B4" r:id="rId3" xr:uid="{7D254E7F-6D16-6943-856C-CD1ECD9B3004}"/>
  </hyperlinks>
  <pageMargins left="0.75" right="0.75" top="1" bottom="1" header="0.5" footer="0.5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48A9AE"/>
  </sheetPr>
  <dimension ref="A1:B3"/>
  <sheetViews>
    <sheetView workbookViewId="0">
      <pane ySplit="1" topLeftCell="A2" activePane="bottomLeft" state="frozen"/>
      <selection pane="bottomLeft" activeCell="A10" sqref="A10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10" t="s">
        <v>3</v>
      </c>
      <c r="B1" s="10" t="s">
        <v>75</v>
      </c>
    </row>
    <row r="2" spans="1:2" x14ac:dyDescent="0.2">
      <c r="A2" t="s">
        <v>104</v>
      </c>
      <c r="B2" s="13" t="s">
        <v>178</v>
      </c>
    </row>
    <row r="3" spans="1:2" x14ac:dyDescent="0.2">
      <c r="A3" t="s">
        <v>105</v>
      </c>
      <c r="B3" s="13" t="s">
        <v>179</v>
      </c>
    </row>
  </sheetData>
  <hyperlinks>
    <hyperlink ref="B2" r:id="rId1" xr:uid="{1A97F703-E9BD-824D-AA7C-EBE82F24DFEB}"/>
    <hyperlink ref="B3" r:id="rId2" xr:uid="{26CBD8CC-F082-9848-9F1C-314C2A0FB94A}"/>
  </hyperlinks>
  <pageMargins left="0.75" right="0.75" top="1" bottom="1" header="0.5" footer="0.5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48A9AE"/>
  </sheetPr>
  <dimension ref="A1:B6"/>
  <sheetViews>
    <sheetView workbookViewId="0">
      <pane ySplit="1" topLeftCell="A2" activePane="bottomLeft" state="frozen"/>
      <selection pane="bottomLeft" activeCell="F15" sqref="F15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10" t="s">
        <v>3</v>
      </c>
      <c r="B1" s="10" t="s">
        <v>75</v>
      </c>
    </row>
    <row r="2" spans="1:2" x14ac:dyDescent="0.2">
      <c r="A2" t="s">
        <v>106</v>
      </c>
      <c r="B2" s="13" t="s">
        <v>173</v>
      </c>
    </row>
    <row r="3" spans="1:2" x14ac:dyDescent="0.2">
      <c r="A3" t="s">
        <v>107</v>
      </c>
      <c r="B3" s="13" t="s">
        <v>174</v>
      </c>
    </row>
    <row r="4" spans="1:2" x14ac:dyDescent="0.2">
      <c r="A4" t="s">
        <v>108</v>
      </c>
      <c r="B4" s="13" t="s">
        <v>175</v>
      </c>
    </row>
    <row r="5" spans="1:2" x14ac:dyDescent="0.2">
      <c r="A5" t="s">
        <v>109</v>
      </c>
      <c r="B5" s="13" t="s">
        <v>176</v>
      </c>
    </row>
    <row r="6" spans="1:2" x14ac:dyDescent="0.2">
      <c r="A6" t="s">
        <v>110</v>
      </c>
      <c r="B6" s="13" t="s">
        <v>177</v>
      </c>
    </row>
  </sheetData>
  <hyperlinks>
    <hyperlink ref="B2" r:id="rId1" xr:uid="{72E50796-2C58-B34E-A8EC-02DD704C743C}"/>
    <hyperlink ref="B3" r:id="rId2" xr:uid="{182C481C-98E4-924D-BF9C-589D2FE3EB71}"/>
    <hyperlink ref="B4" r:id="rId3" xr:uid="{A6545868-3263-674A-BE9E-6DCB8AC0B906}"/>
    <hyperlink ref="B5" r:id="rId4" xr:uid="{EED9A804-2C2C-B54B-88B9-96416A0B9A21}"/>
    <hyperlink ref="B6" r:id="rId5" xr:uid="{88B65C64-F33B-CC49-A823-E3A383FCE189}"/>
  </hyperlinks>
  <pageMargins left="0.75" right="0.75" top="1" bottom="1" header="0.5" footer="0.5"/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welcome</vt:lpstr>
      <vt:lpstr>flapjack_cols</vt:lpstr>
      <vt:lpstr>Init</vt:lpstr>
      <vt:lpstr>column_definitions</vt:lpstr>
      <vt:lpstr>sample design</vt:lpstr>
      <vt:lpstr>supplement</vt:lpstr>
      <vt:lpstr>SBH_strains_collection</vt:lpstr>
      <vt:lpstr>SBH_media_collection</vt:lpstr>
      <vt:lpstr>SBH_chemicals_collection</vt:lpstr>
      <vt:lpstr>dv_SBH_chemicals_collection_Name</vt:lpstr>
      <vt:lpstr>dv_SBH_media_collection_Name</vt:lpstr>
      <vt:lpstr>dv_SBH_strains_collection_Name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JVM</dc:creator>
  <cp:lastModifiedBy>Gonzalo Vidal Peña (PGR)</cp:lastModifiedBy>
  <dcterms:created xsi:type="dcterms:W3CDTF">2022-06-30T21:03:14Z</dcterms:created>
  <dcterms:modified xsi:type="dcterms:W3CDTF">2026-08-04T18:33:52Z</dcterms:modified>
</cp:coreProperties>
</file>