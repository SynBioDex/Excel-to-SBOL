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69E4B8AC-6A83-FD41-AB15-5E4C4AFD24B0}" xr6:coauthVersionLast="47" xr6:coauthVersionMax="47" xr10:uidLastSave="{00000000-0000-0000-0000-000000000000}"/>
  <bookViews>
    <workbookView xWindow="42540" yWindow="920" windowWidth="32760" windowHeight="18800" tabRatio="745" activeTab="6" xr2:uid="{00000000-000D-0000-FFFF-FFFF00000000}"/>
  </bookViews>
  <sheets>
    <sheet name="welcome" sheetId="1" r:id="rId1"/>
    <sheet name="flapjack_cols" sheetId="2" state="hidden" r:id="rId2"/>
    <sheet name="Init" sheetId="3" state="hidden" r:id="rId3"/>
    <sheet name="column_definitions" sheetId="4" state="hidden" r:id="rId4"/>
    <sheet name="assay" sheetId="5" r:id="rId5"/>
    <sheet name="sample" sheetId="6" r:id="rId6"/>
    <sheet name="measurement" sheetId="7" r:id="rId7"/>
    <sheet name="signal" sheetId="8" r:id="rId8"/>
    <sheet name="SBH_sampledesigns_collection" sheetId="9" r:id="rId9"/>
  </sheets>
  <functionGroups builtInGroupCount="19"/>
  <externalReferences>
    <externalReference r:id="rId10"/>
  </externalReferences>
  <definedNames>
    <definedName name="dv_assay_Assay_ID">assay[Assay ID]</definedName>
    <definedName name="dv_SBH_sampledesigns_collection_Name">SBH_sampledesigns_collection[Name]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" i="7" l="1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A97" i="7"/>
  <c r="B97" i="7" s="1"/>
  <c r="A96" i="7"/>
  <c r="B96" i="7" s="1"/>
  <c r="A95" i="7"/>
  <c r="B95" i="7" s="1"/>
  <c r="A94" i="7"/>
  <c r="B94" i="7" s="1"/>
  <c r="A93" i="7"/>
  <c r="B93" i="7" s="1"/>
  <c r="A92" i="7"/>
  <c r="B92" i="7" s="1"/>
  <c r="A91" i="7"/>
  <c r="B91" i="7" s="1"/>
  <c r="A90" i="7"/>
  <c r="B90" i="7" s="1"/>
  <c r="A89" i="7"/>
  <c r="B89" i="7" s="1"/>
  <c r="A88" i="7"/>
  <c r="B88" i="7" s="1"/>
  <c r="A87" i="7"/>
  <c r="B87" i="7" s="1"/>
  <c r="A86" i="7"/>
  <c r="B86" i="7" s="1"/>
  <c r="A85" i="7"/>
  <c r="B85" i="7" s="1"/>
  <c r="A84" i="7"/>
  <c r="B84" i="7" s="1"/>
  <c r="A83" i="7"/>
  <c r="B83" i="7" s="1"/>
  <c r="A82" i="7"/>
  <c r="B82" i="7" s="1"/>
  <c r="A81" i="7"/>
  <c r="B81" i="7" s="1"/>
  <c r="A80" i="7"/>
  <c r="B80" i="7" s="1"/>
  <c r="A79" i="7"/>
  <c r="B79" i="7" s="1"/>
  <c r="A78" i="7"/>
  <c r="B78" i="7" s="1"/>
  <c r="A77" i="7"/>
  <c r="B77" i="7" s="1"/>
  <c r="A76" i="7"/>
  <c r="B76" i="7" s="1"/>
  <c r="A75" i="7"/>
  <c r="B75" i="7" s="1"/>
  <c r="A74" i="7"/>
  <c r="B74" i="7" s="1"/>
  <c r="A73" i="7"/>
  <c r="B73" i="7" s="1"/>
  <c r="A72" i="7"/>
  <c r="B72" i="7" s="1"/>
  <c r="A71" i="7"/>
  <c r="B71" i="7" s="1"/>
  <c r="A70" i="7"/>
  <c r="B70" i="7" s="1"/>
  <c r="A69" i="7"/>
  <c r="B69" i="7" s="1"/>
  <c r="A68" i="7"/>
  <c r="B68" i="7" s="1"/>
  <c r="A67" i="7"/>
  <c r="B67" i="7" s="1"/>
  <c r="A66" i="7"/>
  <c r="B66" i="7" s="1"/>
  <c r="A65" i="7"/>
  <c r="B65" i="7" s="1"/>
  <c r="A64" i="7"/>
  <c r="B64" i="7" s="1"/>
  <c r="A63" i="7"/>
  <c r="B63" i="7" s="1"/>
  <c r="A62" i="7"/>
  <c r="B62" i="7" s="1"/>
  <c r="A61" i="7"/>
  <c r="B61" i="7" s="1"/>
  <c r="A60" i="7"/>
  <c r="B60" i="7" s="1"/>
  <c r="A59" i="7"/>
  <c r="B59" i="7" s="1"/>
  <c r="A58" i="7"/>
  <c r="B58" i="7" s="1"/>
  <c r="A57" i="7"/>
  <c r="B57" i="7" s="1"/>
  <c r="A56" i="7"/>
  <c r="B56" i="7" s="1"/>
  <c r="A55" i="7"/>
  <c r="B55" i="7" s="1"/>
  <c r="A54" i="7"/>
  <c r="B54" i="7" s="1"/>
  <c r="A53" i="7"/>
  <c r="B53" i="7" s="1"/>
  <c r="A52" i="7"/>
  <c r="B52" i="7" s="1"/>
  <c r="A51" i="7"/>
  <c r="B51" i="7" s="1"/>
  <c r="A50" i="7"/>
  <c r="B50" i="7" s="1"/>
  <c r="A49" i="7"/>
  <c r="B49" i="7" s="1"/>
  <c r="A48" i="7"/>
  <c r="B48" i="7" s="1"/>
  <c r="A47" i="7"/>
  <c r="B47" i="7" s="1"/>
  <c r="A46" i="7"/>
  <c r="B46" i="7" s="1"/>
  <c r="A45" i="7"/>
  <c r="B45" i="7" s="1"/>
  <c r="A44" i="7"/>
  <c r="B44" i="7" s="1"/>
  <c r="A43" i="7"/>
  <c r="B43" i="7" s="1"/>
  <c r="A42" i="7"/>
  <c r="B42" i="7" s="1"/>
  <c r="A41" i="7"/>
  <c r="B41" i="7" s="1"/>
  <c r="A40" i="7"/>
  <c r="B40" i="7" s="1"/>
  <c r="A39" i="7"/>
  <c r="B39" i="7" s="1"/>
  <c r="A38" i="7"/>
  <c r="B38" i="7" s="1"/>
  <c r="A37" i="7"/>
  <c r="B37" i="7" s="1"/>
  <c r="A36" i="7"/>
  <c r="B36" i="7" s="1"/>
  <c r="A35" i="7"/>
  <c r="B35" i="7" s="1"/>
  <c r="A34" i="7"/>
  <c r="B34" i="7" s="1"/>
  <c r="A33" i="7"/>
  <c r="B33" i="7" s="1"/>
  <c r="A32" i="7"/>
  <c r="B32" i="7" s="1"/>
  <c r="A31" i="7"/>
  <c r="B31" i="7" s="1"/>
  <c r="A30" i="7"/>
  <c r="B30" i="7" s="1"/>
  <c r="A29" i="7"/>
  <c r="B29" i="7" s="1"/>
  <c r="A28" i="7"/>
  <c r="B28" i="7" s="1"/>
  <c r="A27" i="7"/>
  <c r="B27" i="7" s="1"/>
  <c r="A26" i="7"/>
  <c r="B26" i="7" s="1"/>
  <c r="A25" i="7"/>
  <c r="B25" i="7" s="1"/>
  <c r="A24" i="7"/>
  <c r="B24" i="7" s="1"/>
  <c r="A23" i="7"/>
  <c r="B23" i="7" s="1"/>
  <c r="A22" i="7"/>
  <c r="B22" i="7" s="1"/>
  <c r="A21" i="7"/>
  <c r="B21" i="7" s="1"/>
  <c r="A20" i="7"/>
  <c r="B20" i="7" s="1"/>
  <c r="A19" i="7"/>
  <c r="B19" i="7" s="1"/>
  <c r="A18" i="7"/>
  <c r="B18" i="7" s="1"/>
  <c r="A17" i="7"/>
  <c r="B17" i="7" s="1"/>
  <c r="A16" i="7"/>
  <c r="B16" i="7" s="1"/>
  <c r="A15" i="7"/>
  <c r="B15" i="7" s="1"/>
  <c r="A14" i="7"/>
  <c r="B14" i="7" s="1"/>
  <c r="A13" i="7"/>
  <c r="B13" i="7" s="1"/>
  <c r="A12" i="7"/>
  <c r="B12" i="7" s="1"/>
  <c r="A11" i="7"/>
  <c r="B11" i="7" s="1"/>
  <c r="A10" i="7"/>
  <c r="B10" i="7" s="1"/>
  <c r="A9" i="7"/>
  <c r="B9" i="7" s="1"/>
  <c r="A8" i="7"/>
  <c r="B8" i="7" s="1"/>
  <c r="A7" i="7"/>
  <c r="B7" i="7" s="1"/>
  <c r="A6" i="7"/>
  <c r="B6" i="7" s="1"/>
  <c r="A5" i="7"/>
  <c r="B5" i="7" s="1"/>
  <c r="A4" i="7"/>
  <c r="B4" i="7" s="1"/>
  <c r="A3" i="7"/>
  <c r="B3" i="7" s="1"/>
  <c r="A2" i="7"/>
  <c r="C35" i="6" l="1"/>
  <c r="C47" i="6" s="1"/>
  <c r="C59" i="6" s="1"/>
  <c r="C71" i="6" s="1"/>
  <c r="C83" i="6" s="1"/>
  <c r="C95" i="6" s="1"/>
  <c r="C30" i="6"/>
  <c r="C42" i="6" s="1"/>
  <c r="C54" i="6" s="1"/>
  <c r="C66" i="6" s="1"/>
  <c r="C78" i="6" s="1"/>
  <c r="C90" i="6" s="1"/>
  <c r="D26" i="6"/>
  <c r="D38" i="6" s="1"/>
  <c r="D50" i="6" s="1"/>
  <c r="D62" i="6" s="1"/>
  <c r="D74" i="6" s="1"/>
  <c r="D86" i="6" s="1"/>
  <c r="C26" i="6"/>
  <c r="C38" i="6" s="1"/>
  <c r="C50" i="6" s="1"/>
  <c r="C62" i="6" s="1"/>
  <c r="C74" i="6" s="1"/>
  <c r="C86" i="6" s="1"/>
  <c r="D25" i="6"/>
  <c r="D37" i="6" s="1"/>
  <c r="D49" i="6" s="1"/>
  <c r="D61" i="6" s="1"/>
  <c r="D73" i="6" s="1"/>
  <c r="D85" i="6" s="1"/>
  <c r="D97" i="6" s="1"/>
  <c r="C25" i="6"/>
  <c r="C37" i="6" s="1"/>
  <c r="C49" i="6" s="1"/>
  <c r="C61" i="6" s="1"/>
  <c r="C73" i="6" s="1"/>
  <c r="C85" i="6" s="1"/>
  <c r="C97" i="6" s="1"/>
  <c r="D24" i="6"/>
  <c r="D36" i="6" s="1"/>
  <c r="D48" i="6" s="1"/>
  <c r="D60" i="6" s="1"/>
  <c r="D72" i="6" s="1"/>
  <c r="D84" i="6" s="1"/>
  <c r="D96" i="6" s="1"/>
  <c r="C24" i="6"/>
  <c r="C36" i="6" s="1"/>
  <c r="C48" i="6" s="1"/>
  <c r="C60" i="6" s="1"/>
  <c r="C72" i="6" s="1"/>
  <c r="C84" i="6" s="1"/>
  <c r="C96" i="6" s="1"/>
  <c r="D23" i="6"/>
  <c r="D35" i="6" s="1"/>
  <c r="D47" i="6" s="1"/>
  <c r="D59" i="6" s="1"/>
  <c r="D71" i="6" s="1"/>
  <c r="D83" i="6" s="1"/>
  <c r="D95" i="6" s="1"/>
  <c r="C23" i="6"/>
  <c r="D22" i="6"/>
  <c r="D34" i="6" s="1"/>
  <c r="D46" i="6" s="1"/>
  <c r="D58" i="6" s="1"/>
  <c r="D70" i="6" s="1"/>
  <c r="D82" i="6" s="1"/>
  <c r="D94" i="6" s="1"/>
  <c r="C22" i="6"/>
  <c r="C34" i="6" s="1"/>
  <c r="C46" i="6" s="1"/>
  <c r="C58" i="6" s="1"/>
  <c r="C70" i="6" s="1"/>
  <c r="C82" i="6" s="1"/>
  <c r="C94" i="6" s="1"/>
  <c r="D21" i="6"/>
  <c r="D33" i="6" s="1"/>
  <c r="D45" i="6" s="1"/>
  <c r="D57" i="6" s="1"/>
  <c r="D69" i="6" s="1"/>
  <c r="D81" i="6" s="1"/>
  <c r="D93" i="6" s="1"/>
  <c r="C21" i="6"/>
  <c r="C33" i="6" s="1"/>
  <c r="C45" i="6" s="1"/>
  <c r="C57" i="6" s="1"/>
  <c r="C69" i="6" s="1"/>
  <c r="C81" i="6" s="1"/>
  <c r="C93" i="6" s="1"/>
  <c r="D20" i="6"/>
  <c r="D32" i="6" s="1"/>
  <c r="D44" i="6" s="1"/>
  <c r="D56" i="6" s="1"/>
  <c r="D68" i="6" s="1"/>
  <c r="D80" i="6" s="1"/>
  <c r="D92" i="6" s="1"/>
  <c r="C20" i="6"/>
  <c r="C32" i="6" s="1"/>
  <c r="C44" i="6" s="1"/>
  <c r="C56" i="6" s="1"/>
  <c r="C68" i="6" s="1"/>
  <c r="C80" i="6" s="1"/>
  <c r="C92" i="6" s="1"/>
  <c r="D19" i="6"/>
  <c r="D31" i="6" s="1"/>
  <c r="D43" i="6" s="1"/>
  <c r="D55" i="6" s="1"/>
  <c r="D67" i="6" s="1"/>
  <c r="D79" i="6" s="1"/>
  <c r="D91" i="6" s="1"/>
  <c r="C19" i="6"/>
  <c r="C31" i="6" s="1"/>
  <c r="C43" i="6" s="1"/>
  <c r="C55" i="6" s="1"/>
  <c r="C67" i="6" s="1"/>
  <c r="C79" i="6" s="1"/>
  <c r="C91" i="6" s="1"/>
  <c r="D18" i="6"/>
  <c r="D30" i="6" s="1"/>
  <c r="D42" i="6" s="1"/>
  <c r="D54" i="6" s="1"/>
  <c r="D66" i="6" s="1"/>
  <c r="D78" i="6" s="1"/>
  <c r="D90" i="6" s="1"/>
  <c r="C18" i="6"/>
  <c r="D17" i="6"/>
  <c r="D29" i="6" s="1"/>
  <c r="D41" i="6" s="1"/>
  <c r="D53" i="6" s="1"/>
  <c r="D65" i="6" s="1"/>
  <c r="D77" i="6" s="1"/>
  <c r="D89" i="6" s="1"/>
  <c r="C17" i="6"/>
  <c r="C29" i="6" s="1"/>
  <c r="C41" i="6" s="1"/>
  <c r="C53" i="6" s="1"/>
  <c r="C65" i="6" s="1"/>
  <c r="C77" i="6" s="1"/>
  <c r="C89" i="6" s="1"/>
  <c r="D16" i="6"/>
  <c r="D28" i="6" s="1"/>
  <c r="D40" i="6" s="1"/>
  <c r="D52" i="6" s="1"/>
  <c r="D64" i="6" s="1"/>
  <c r="D76" i="6" s="1"/>
  <c r="D88" i="6" s="1"/>
  <c r="C16" i="6"/>
  <c r="C28" i="6" s="1"/>
  <c r="C40" i="6" s="1"/>
  <c r="C52" i="6" s="1"/>
  <c r="C64" i="6" s="1"/>
  <c r="C76" i="6" s="1"/>
  <c r="C88" i="6" s="1"/>
  <c r="D15" i="6"/>
  <c r="D27" i="6" s="1"/>
  <c r="D39" i="6" s="1"/>
  <c r="D51" i="6" s="1"/>
  <c r="D63" i="6" s="1"/>
  <c r="D75" i="6" s="1"/>
  <c r="D87" i="6" s="1"/>
  <c r="C15" i="6"/>
  <c r="C27" i="6" s="1"/>
  <c r="C39" i="6" s="1"/>
  <c r="C51" i="6" s="1"/>
  <c r="C63" i="6" s="1"/>
  <c r="C75" i="6" s="1"/>
  <c r="C87" i="6" s="1"/>
  <c r="D14" i="6"/>
  <c r="C14" i="6"/>
  <c r="A97" i="6"/>
  <c r="B97" i="6" s="1"/>
  <c r="A96" i="6"/>
  <c r="B96" i="6" s="1"/>
  <c r="A95" i="6"/>
  <c r="B95" i="6" s="1"/>
  <c r="A94" i="6"/>
  <c r="B94" i="6" s="1"/>
  <c r="A93" i="6"/>
  <c r="B93" i="6" s="1"/>
  <c r="A92" i="6"/>
  <c r="B92" i="6" s="1"/>
  <c r="A91" i="6"/>
  <c r="B91" i="6" s="1"/>
  <c r="A90" i="6"/>
  <c r="B90" i="6" s="1"/>
  <c r="A89" i="6"/>
  <c r="B89" i="6" s="1"/>
  <c r="A88" i="6"/>
  <c r="B88" i="6" s="1"/>
  <c r="A87" i="6"/>
  <c r="B87" i="6" s="1"/>
  <c r="A86" i="6"/>
  <c r="B86" i="6" s="1"/>
  <c r="A85" i="6"/>
  <c r="B85" i="6" s="1"/>
  <c r="A84" i="6"/>
  <c r="B84" i="6" s="1"/>
  <c r="A83" i="6"/>
  <c r="B83" i="6" s="1"/>
  <c r="A82" i="6"/>
  <c r="B82" i="6" s="1"/>
  <c r="A81" i="6"/>
  <c r="B81" i="6" s="1"/>
  <c r="A80" i="6"/>
  <c r="B80" i="6" s="1"/>
  <c r="A79" i="6"/>
  <c r="B79" i="6" s="1"/>
  <c r="A78" i="6"/>
  <c r="B78" i="6" s="1"/>
  <c r="A77" i="6"/>
  <c r="B77" i="6" s="1"/>
  <c r="A76" i="6"/>
  <c r="B76" i="6" s="1"/>
  <c r="A75" i="6"/>
  <c r="B75" i="6" s="1"/>
  <c r="A74" i="6"/>
  <c r="B74" i="6" s="1"/>
  <c r="A73" i="6"/>
  <c r="B73" i="6" s="1"/>
  <c r="A72" i="6"/>
  <c r="B72" i="6" s="1"/>
  <c r="A71" i="6"/>
  <c r="B71" i="6" s="1"/>
  <c r="A70" i="6"/>
  <c r="B70" i="6" s="1"/>
  <c r="A69" i="6"/>
  <c r="B69" i="6" s="1"/>
  <c r="A68" i="6"/>
  <c r="B68" i="6" s="1"/>
  <c r="A67" i="6"/>
  <c r="B67" i="6" s="1"/>
  <c r="A66" i="6"/>
  <c r="B66" i="6" s="1"/>
  <c r="A65" i="6"/>
  <c r="B65" i="6" s="1"/>
  <c r="A64" i="6"/>
  <c r="B64" i="6" s="1"/>
  <c r="A63" i="6"/>
  <c r="B63" i="6" s="1"/>
  <c r="A62" i="6"/>
  <c r="B62" i="6" s="1"/>
  <c r="A61" i="6"/>
  <c r="B61" i="6" s="1"/>
  <c r="A60" i="6"/>
  <c r="B60" i="6" s="1"/>
  <c r="A59" i="6"/>
  <c r="B59" i="6" s="1"/>
  <c r="A58" i="6"/>
  <c r="B58" i="6" s="1"/>
  <c r="A57" i="6"/>
  <c r="B57" i="6" s="1"/>
  <c r="A56" i="6"/>
  <c r="B56" i="6" s="1"/>
  <c r="A55" i="6"/>
  <c r="B55" i="6" s="1"/>
  <c r="A54" i="6"/>
  <c r="B54" i="6" s="1"/>
  <c r="A53" i="6"/>
  <c r="B53" i="6" s="1"/>
  <c r="A52" i="6"/>
  <c r="B52" i="6" s="1"/>
  <c r="A51" i="6"/>
  <c r="B51" i="6" s="1"/>
  <c r="A50" i="6"/>
  <c r="B50" i="6" s="1"/>
  <c r="A49" i="6"/>
  <c r="B49" i="6" s="1"/>
  <c r="A48" i="6"/>
  <c r="B48" i="6" s="1"/>
  <c r="A47" i="6"/>
  <c r="B47" i="6" s="1"/>
  <c r="A46" i="6"/>
  <c r="B46" i="6" s="1"/>
  <c r="A45" i="6"/>
  <c r="B45" i="6" s="1"/>
  <c r="A44" i="6"/>
  <c r="B44" i="6" s="1"/>
  <c r="A43" i="6"/>
  <c r="B43" i="6" s="1"/>
  <c r="A42" i="6"/>
  <c r="B42" i="6" s="1"/>
  <c r="A41" i="6"/>
  <c r="B41" i="6" s="1"/>
  <c r="A40" i="6"/>
  <c r="B40" i="6" s="1"/>
  <c r="A39" i="6"/>
  <c r="B39" i="6" s="1"/>
  <c r="A38" i="6"/>
  <c r="B38" i="6" s="1"/>
  <c r="A37" i="6"/>
  <c r="B37" i="6" s="1"/>
  <c r="A36" i="6"/>
  <c r="B36" i="6" s="1"/>
  <c r="A35" i="6"/>
  <c r="B35" i="6" s="1"/>
  <c r="A34" i="6"/>
  <c r="B34" i="6" s="1"/>
  <c r="A33" i="6"/>
  <c r="B33" i="6" s="1"/>
  <c r="A32" i="6"/>
  <c r="B32" i="6" s="1"/>
  <c r="A31" i="6"/>
  <c r="B31" i="6" s="1"/>
  <c r="A30" i="6"/>
  <c r="B30" i="6" s="1"/>
  <c r="A29" i="6"/>
  <c r="B29" i="6" s="1"/>
  <c r="A28" i="6"/>
  <c r="B28" i="6" s="1"/>
  <c r="A27" i="6"/>
  <c r="B27" i="6" s="1"/>
  <c r="A26" i="6"/>
  <c r="B26" i="6" s="1"/>
  <c r="A25" i="6"/>
  <c r="B25" i="6" s="1"/>
  <c r="A24" i="6"/>
  <c r="B24" i="6" s="1"/>
  <c r="A23" i="6"/>
  <c r="B23" i="6" s="1"/>
  <c r="A22" i="6"/>
  <c r="B22" i="6" s="1"/>
  <c r="A21" i="6"/>
  <c r="B21" i="6" s="1"/>
  <c r="A20" i="6"/>
  <c r="B20" i="6" s="1"/>
  <c r="A19" i="6"/>
  <c r="B19" i="6" s="1"/>
  <c r="A18" i="6"/>
  <c r="B18" i="6" s="1"/>
  <c r="A17" i="6"/>
  <c r="B17" i="6" s="1"/>
  <c r="A16" i="6"/>
  <c r="B16" i="6" s="1"/>
  <c r="A15" i="6"/>
  <c r="B15" i="6" s="1"/>
  <c r="A14" i="6"/>
  <c r="B14" i="6" s="1"/>
  <c r="A13" i="6"/>
  <c r="B13" i="6" s="1"/>
  <c r="A12" i="6"/>
  <c r="B12" i="6" s="1"/>
  <c r="A11" i="6"/>
  <c r="B11" i="6" s="1"/>
  <c r="A10" i="6"/>
  <c r="B10" i="6" s="1"/>
  <c r="A9" i="6"/>
  <c r="B9" i="6" s="1"/>
  <c r="A8" i="6"/>
  <c r="B8" i="6" s="1"/>
  <c r="A7" i="6"/>
  <c r="B7" i="6" s="1"/>
  <c r="A6" i="6"/>
  <c r="B6" i="6" s="1"/>
  <c r="A5" i="6"/>
  <c r="B5" i="6" s="1"/>
  <c r="A4" i="6"/>
  <c r="B4" i="6" s="1"/>
  <c r="A3" i="6"/>
  <c r="B3" i="6" s="1"/>
  <c r="A2" i="6"/>
  <c r="B2" i="7" l="1"/>
  <c r="B2" i="6"/>
  <c r="B2" i="5"/>
  <c r="C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4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assay entry.</t>
        </r>
      </text>
    </comment>
    <comment ref="B1" authorId="0" shapeId="0" xr:uid="{00000000-0006-0000-0400-000002000000}">
      <text>
        <r>
          <rPr>
            <sz val="11"/>
            <color theme="1"/>
            <rFont val="Helvetica"/>
            <family val="2"/>
            <scheme val="minor"/>
          </rPr>
          <t>Unique identifier for this assay entry. This ID is used to reference the Assay entries in other sheets and must be unique across all sheets in this workbook.</t>
        </r>
      </text>
    </comment>
    <comment ref="C1" authorId="0" shapeId="0" xr:uid="{00000000-0006-0000-04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4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assay entry.</t>
        </r>
      </text>
    </comment>
    <comment ref="E1" authorId="0" shapeId="0" xr:uid="{00000000-0006-0000-0400-000005000000}">
      <text>
        <r>
          <rPr>
            <sz val="11"/>
            <color theme="1"/>
            <rFont val="Helvetica"/>
            <family val="2"/>
            <scheme val="minor"/>
          </rPr>
          <t>The type of measurement performed (e.g. fluorescence, absorbance, growth rate).</t>
        </r>
      </text>
    </comment>
    <comment ref="F1" authorId="0" shapeId="0" xr:uid="{00000000-0006-0000-0400-000006000000}">
      <text>
        <r>
          <rPr>
            <sz val="11"/>
            <color theme="1"/>
            <rFont val="Helvetica"/>
            <family val="2"/>
            <scheme val="minor"/>
          </rPr>
          <t>The measurement technology used (e.g. flow cytometry, plate reader).</t>
        </r>
      </text>
    </comment>
    <comment ref="G1" authorId="0" shapeId="0" xr:uid="{00000000-0006-0000-0400-000007000000}">
      <text>
        <r>
          <rPr>
            <sz val="11"/>
            <color rgb="FF1E1E20"/>
            <rFont val="Helvetica"/>
            <family val="2"/>
          </rPr>
          <t>The specific instrument or platform used (e.g. BD FACSCanto, BioTek Synergy).</t>
        </r>
      </text>
    </comment>
    <comment ref="H1" authorId="0" shapeId="0" xr:uid="{00000000-0006-0000-0400-000008000000}">
      <text>
        <r>
          <rPr>
            <sz val="11"/>
            <color theme="1"/>
            <rFont val="Helvetica"/>
            <family val="2"/>
            <scheme val="minor"/>
          </rPr>
          <t>URI(s) of the experimental protocols used for this assay.</t>
        </r>
      </text>
    </comment>
    <comment ref="I1" authorId="0" shapeId="0" xr:uid="{00000000-0006-0000-0400-000009000000}">
      <text>
        <r>
          <rPr>
            <sz val="11"/>
            <color theme="1"/>
            <rFont val="Helvetica"/>
            <family val="2"/>
            <scheme val="minor"/>
          </rPr>
          <t>Incubation temperature for this assay (include units, e.g. '37 °C').</t>
        </r>
      </text>
    </comment>
    <comment ref="J1" authorId="0" shapeId="0" xr:uid="{00000000-0006-0000-0400-00000A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K1" authorId="0" shapeId="0" xr:uid="{00000000-0006-0000-0400-00000B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500-000001000000}">
      <text>
        <r>
          <rPr>
            <sz val="11"/>
            <color rgb="FF1E1E20"/>
            <rFont val="Helvetica"/>
            <family val="2"/>
          </rPr>
          <t>The human-readable name for this sample entry.</t>
        </r>
      </text>
    </comment>
    <comment ref="B1" authorId="0" shapeId="0" xr:uid="{00000000-0006-0000-05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entry. This ID is used to reference the Sample entries in other sheets and must be unique across all sheets in this workbook.</t>
        </r>
      </text>
    </comment>
    <comment ref="C1" authorId="0" shapeId="0" xr:uid="{00000000-0006-0000-0500-000003000000}">
      <text>
        <r>
          <rPr>
            <sz val="11"/>
            <color theme="1"/>
            <rFont val="Helvetica"/>
            <family val="2"/>
            <scheme val="minor"/>
          </rPr>
          <t>Well row position in the plate (e.g. A, B, C).</t>
        </r>
      </text>
    </comment>
    <comment ref="D1" authorId="0" shapeId="0" xr:uid="{00000000-0006-0000-0500-000004000000}">
      <text>
        <r>
          <rPr>
            <sz val="11"/>
            <color theme="1"/>
            <rFont val="Helvetica"/>
            <family val="2"/>
            <scheme val="minor"/>
          </rPr>
          <t>Well column position in the plate (e.g. 1, 2, 3).</t>
        </r>
      </text>
    </comment>
    <comment ref="E1" authorId="0" shapeId="0" xr:uid="{00000000-0006-0000-0500-000005000000}">
      <text>
        <r>
          <rPr>
            <sz val="11"/>
            <color theme="1"/>
            <rFont val="Helvetica"/>
            <family val="2"/>
            <scheme val="minor"/>
          </rPr>
          <t>The ID of the Assay this sample belongs to.</t>
        </r>
      </text>
    </comment>
    <comment ref="F1" authorId="0" shapeId="0" xr:uid="{00000000-0006-0000-0500-000006000000}">
      <text>
        <r>
          <rPr>
            <sz val="11"/>
            <color theme="1"/>
            <rFont val="Helvetica"/>
            <family val="2"/>
            <scheme val="minor"/>
          </rPr>
          <t>The Sample Design describing the biological conditions for this sample. Select from the SBH_sampledesigns_collection dropdown.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6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measurement entry.</t>
        </r>
      </text>
    </comment>
    <comment ref="B1" authorId="0" shapeId="0" xr:uid="{00000000-0006-0000-0600-000002000000}">
      <text>
        <r>
          <rPr>
            <sz val="11"/>
            <color theme="1"/>
            <rFont val="Helvetica"/>
            <family val="2"/>
            <scheme val="minor"/>
          </rPr>
          <t>Unique identifier for this measurement entry. This ID is used to reference the Measurement entries in other sheets and must be unique across all sheets in this workbook.</t>
        </r>
      </text>
    </comment>
    <comment ref="C1" authorId="0" shapeId="0" xr:uid="{00000000-0006-0000-0600-000003000000}">
      <text>
        <r>
          <rPr>
            <sz val="11"/>
            <color theme="1"/>
            <rFont val="Helvetica"/>
            <family val="2"/>
            <scheme val="minor"/>
          </rPr>
          <t>The ID of the Sample this measurement belongs to.</t>
        </r>
      </text>
    </comment>
    <comment ref="D1" authorId="0" shapeId="0" xr:uid="{00000000-0006-0000-0600-000004000000}">
      <text>
        <r>
          <rPr>
            <sz val="11"/>
            <color theme="1"/>
            <rFont val="Helvetica"/>
            <family val="2"/>
            <scheme val="minor"/>
          </rPr>
          <t>The ID of the Signal being measured.</t>
        </r>
      </text>
    </comment>
    <comment ref="E1" authorId="0" shapeId="0" xr:uid="{00000000-0006-0000-0600-000005000000}">
      <text>
        <r>
          <rPr>
            <sz val="11"/>
            <color theme="1"/>
            <rFont val="Helvetica"/>
            <family val="2"/>
            <scheme val="minor"/>
          </rPr>
          <t>Time point of the measurement (include units, e.g. '60 min').</t>
        </r>
      </text>
    </comment>
    <comment ref="F1" authorId="0" shapeId="0" xr:uid="{00000000-0006-0000-0600-000006000000}">
      <text>
        <r>
          <rPr>
            <sz val="11"/>
            <color theme="1"/>
            <rFont val="Helvetica"/>
            <family val="2"/>
            <scheme val="minor"/>
          </rPr>
          <t>The measured value at this time point.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7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signal entry.</t>
        </r>
      </text>
    </comment>
    <comment ref="B1" authorId="0" shapeId="0" xr:uid="{00000000-0006-0000-0700-000002000000}">
      <text>
        <r>
          <rPr>
            <sz val="11"/>
            <color theme="1"/>
            <rFont val="Helvetica"/>
            <family val="2"/>
            <scheme val="minor"/>
          </rPr>
          <t>Unique identifier for this signal entry. This ID is used to reference the Signal entries in other sheets and must be unique across all sheets in this workbook.</t>
        </r>
      </text>
    </comment>
    <comment ref="C1" authorId="0" shapeId="0" xr:uid="{00000000-0006-0000-07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7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signal entry.</t>
        </r>
      </text>
    </comment>
    <comment ref="E1" authorId="0" shapeId="0" xr:uid="{00000000-0006-0000-0700-000005000000}">
      <text>
        <r>
          <rPr>
            <sz val="11"/>
            <color theme="1"/>
            <rFont val="Helvetica"/>
            <family val="2"/>
            <scheme val="minor"/>
          </rPr>
          <t>Hex color code used to represent this signal in Flapjack visualizations (e.g. #FF0000 for red). Must be a valid 6-digit hex color prefixed with #.</t>
        </r>
      </text>
    </comment>
    <comment ref="F1" authorId="0" shapeId="0" xr:uid="{00000000-0006-0000-07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7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7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<sst xmlns="http://schemas.openxmlformats.org/spreadsheetml/2006/main" count="961" uniqueCount="308">
  <si>
    <t>Library Information</t>
  </si>
  <si>
    <t>Template Type</t>
  </si>
  <si>
    <t>Assay</t>
  </si>
  <si>
    <t>Name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</si>
  <si>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</si>
  <si>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</si>
  <si>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</si>
  <si>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</si>
  <si>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</si>
  <si>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</si>
  <si>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</si>
  <si>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</si>
  <si>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</si>
  <si>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</si>
  <si>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</si>
  <si>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</si>
  <si>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</si>
  <si>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Sheet Name</t>
  </si>
  <si>
    <t>FlapjackObject</t>
  </si>
  <si>
    <t>ColName</t>
  </si>
  <si>
    <t>FlapjackName</t>
  </si>
  <si>
    <t>assay</t>
  </si>
  <si>
    <t>Assay Name</t>
  </si>
  <si>
    <t>name</t>
  </si>
  <si>
    <t>Machine</t>
  </si>
  <si>
    <t>machine</t>
  </si>
  <si>
    <t>Assay Description</t>
  </si>
  <si>
    <t>description</t>
  </si>
  <si>
    <t>Temperature</t>
  </si>
  <si>
    <t>temperature</t>
  </si>
  <si>
    <t>sample</t>
  </si>
  <si>
    <t>Sample</t>
  </si>
  <si>
    <t>Row</t>
  </si>
  <si>
    <t>row</t>
  </si>
  <si>
    <t>Column</t>
  </si>
  <si>
    <t>col</t>
  </si>
  <si>
    <t>Sample Design ID</t>
  </si>
  <si>
    <t>sampledesign</t>
  </si>
  <si>
    <t>Assay ID</t>
  </si>
  <si>
    <t>measurement</t>
  </si>
  <si>
    <t>Measurement</t>
  </si>
  <si>
    <t>Signal ID</t>
  </si>
  <si>
    <t>signal</t>
  </si>
  <si>
    <t>Value</t>
  </si>
  <si>
    <t>value</t>
  </si>
  <si>
    <t>Sample ID</t>
  </si>
  <si>
    <t>Time</t>
  </si>
  <si>
    <t>time</t>
  </si>
  <si>
    <t>Signal</t>
  </si>
  <si>
    <t>Signal Name</t>
  </si>
  <si>
    <t>Signal Description</t>
  </si>
  <si>
    <t>Signal Color</t>
  </si>
  <si>
    <t>color</t>
  </si>
  <si>
    <t>SBOL Version</t>
  </si>
  <si>
    <t>Library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</si>
  <si>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</si>
  <si>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</si>
  <si>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</si>
  <si>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</si>
  <si>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</si>
  <si>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</si>
  <si>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</si>
  <si>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</si>
  <si>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</si>
  <si>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</si>
  <si>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Role</t>
  </si>
  <si>
    <t>Experiment</t>
  </si>
  <si>
    <t>ExperimentalData</t>
  </si>
  <si>
    <t>ComponentDefinition</t>
  </si>
  <si>
    <t>http://identifiers.org/ncit/NCIT:C43382</t>
  </si>
  <si>
    <t>SBH_sampledesigns_collection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</si>
  <si>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</si>
  <si>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</si>
  <si>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</si>
  <si>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</si>
  <si>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</si>
  <si>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</si>
  <si>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</si>
  <si>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</si>
  <si>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</si>
  <si>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</si>
  <si>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</si>
  <si>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</si>
  <si>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</si>
  <si>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</si>
  <si>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</si>
  <si>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</si>
  <si>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</si>
  <si>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</si>
  <si>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</si>
  <si>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</si>
  <si>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</si>
  <si>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</si>
  <si>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</si>
  <si>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</si>
  <si>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sbol_roles</t>
  </si>
  <si>
    <t>URI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</si>
  <si>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</si>
  <si>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</si>
  <si>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</si>
  <si>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</si>
  <si>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</si>
  <si>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</si>
  <si>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Measurement Type</t>
  </si>
  <si>
    <t>isa_measurementType</t>
  </si>
  <si>
    <t>http://isa-tools.org/ns/</t>
  </si>
  <si>
    <t>Technology Type</t>
  </si>
  <si>
    <t>isa_technologyType</t>
  </si>
  <si>
    <t>Technology Platform</t>
  </si>
  <si>
    <t>isa_technologyPlatform</t>
  </si>
  <si>
    <t>Protocols</t>
  </si>
  <si>
    <t>fj_temperature</t>
  </si>
  <si>
    <t>https://wiki.synbiohub.org/wiki/Terms/Flapjack#</t>
  </si>
  <si>
    <t>PubMed ID</t>
  </si>
  <si>
    <t>obo_OBI_0001617</t>
  </si>
  <si>
    <t>http://purl.obolibrary.org/obo/</t>
  </si>
  <si>
    <t>DOI</t>
  </si>
  <si>
    <t>Sample Name</t>
  </si>
  <si>
    <t>fj_row</t>
  </si>
  <si>
    <t>fj_column</t>
  </si>
  <si>
    <t>sbol_experimentalData</t>
  </si>
  <si>
    <t>Sample Design</t>
  </si>
  <si>
    <t>A</t>
  </si>
  <si>
    <t>B</t>
  </si>
  <si>
    <t>Measurement Name</t>
  </si>
  <si>
    <t>Measurement ID</t>
  </si>
  <si>
    <t>fj_sampleId</t>
  </si>
  <si>
    <t>fj_signalId</t>
  </si>
  <si>
    <t>fj_time</t>
  </si>
  <si>
    <t>fj_value</t>
  </si>
  <si>
    <t>fj_color</t>
  </si>
  <si>
    <t>Data Source</t>
  </si>
  <si>
    <t>PBS_only</t>
  </si>
  <si>
    <t>Pputida_pTT384_LB_ars_1</t>
  </si>
  <si>
    <t>Pputida_pTT384_LB_ars_2</t>
  </si>
  <si>
    <t>Pputida_pTT384_LB_ars_3</t>
  </si>
  <si>
    <t>Pputida_pTT384_LB_ars_4</t>
  </si>
  <si>
    <t>Pputida_pTT384_LB_ars_5</t>
  </si>
  <si>
    <t>Pputida_pTT384_LB_ars_6</t>
  </si>
  <si>
    <t>Pputida_pTT384_LB_ars_7</t>
  </si>
  <si>
    <t>Pputida_pTT384_LB_ars_8</t>
  </si>
  <si>
    <t>Pputida_pTT384_LB_ars_9</t>
  </si>
  <si>
    <t>Pputida_LB</t>
  </si>
  <si>
    <t>Pputida_pTT384_LB_al_1</t>
  </si>
  <si>
    <t>Pputida_pTT384_LB_al_2</t>
  </si>
  <si>
    <t>Pputida_pTT384_LB_al_3</t>
  </si>
  <si>
    <t>Pputida_pTT384_LB_al_4</t>
  </si>
  <si>
    <t>Pputida_pTT384_LB_al_5</t>
  </si>
  <si>
    <t>Pputida_pTT384_LB_al_6</t>
  </si>
  <si>
    <t>Pputida_pTT384_LB_al_7</t>
  </si>
  <si>
    <t>Pputida_pTT384_LB_al_8</t>
  </si>
  <si>
    <t>Pputida_pTT384_LB_al_9</t>
  </si>
  <si>
    <t>Fluorescein_only</t>
  </si>
  <si>
    <t>Pputida_pTT384_LB_cu_1</t>
  </si>
  <si>
    <t>Pputida_pTT384_LB_cu_2</t>
  </si>
  <si>
    <t>Pputida_pTT384_LB_cu_3</t>
  </si>
  <si>
    <t>Pputida_pTT384_LB_cu_4</t>
  </si>
  <si>
    <t>Pputida_pTT384_LB_cu_5</t>
  </si>
  <si>
    <t>Pputida_pTT384_LB_cu_6</t>
  </si>
  <si>
    <t>Pputida_pTT384_LB_cu_7</t>
  </si>
  <si>
    <t>Pputida_pTT384_LB_cu_8</t>
  </si>
  <si>
    <t>Pputida_pTT384_LB_cu_9</t>
  </si>
  <si>
    <t>Pputida_pTTP27_LB_1</t>
  </si>
  <si>
    <t>Beads_only</t>
  </si>
  <si>
    <t>LB_only</t>
  </si>
  <si>
    <t>new_pTT384_Plate1</t>
  </si>
  <si>
    <t>Biotek_Synergy_H1_Tellus</t>
  </si>
  <si>
    <t>Dose Response of new pTT384 to Arsenite</t>
  </si>
  <si>
    <t>Gonzalo Vidal</t>
  </si>
  <si>
    <t>gonzalo.vidalpena@colorado.edu</t>
  </si>
  <si>
    <t>Genetic Logic Lab</t>
  </si>
  <si>
    <t>University of Colorado Boulder</t>
  </si>
  <si>
    <t>https://synbiohub.org/user/Gon/E2S2_tellus_study/PBS_only/1</t>
  </si>
  <si>
    <t>https://synbiohub.org/user/Gon/E2S2_tellus_study/Beads_only/1</t>
  </si>
  <si>
    <t>https://synbiohub.org/user/Gon/E2S2_tellus_study/Fluorescein_only/1</t>
  </si>
  <si>
    <t>https://synbiohub.org/user/Gon/E2S2_tellus_study/LB_only/1</t>
  </si>
  <si>
    <t>https://synbiohub.org/user/Gon/E2S2_tellus_study/Pputida_LB/1</t>
  </si>
  <si>
    <t>https://synbiohub.org/user/Gon/E2S2_tellus_study/Pputida_pTT384_LB_al_1/1</t>
  </si>
  <si>
    <t>https://synbiohub.org/user/Gon/E2S2_tellus_study/Pputida_pTT384_LB_al_2/1</t>
  </si>
  <si>
    <t>https://synbiohub.org/user/Gon/E2S2_tellus_study/Pputida_pTT384_LB_al_3/1</t>
  </si>
  <si>
    <t>https://synbiohub.org/user/Gon/E2S2_tellus_study/Pputida_pTT384_LB_al_4/1</t>
  </si>
  <si>
    <t>https://synbiohub.org/user/Gon/E2S2_tellus_study/Pputida_pTT384_LB_al_5/1</t>
  </si>
  <si>
    <t>https://synbiohub.org/user/Gon/E2S2_tellus_study/Pputida_pTT384_LB_al_6/1</t>
  </si>
  <si>
    <t>https://synbiohub.org/user/Gon/E2S2_tellus_study/Pputida_pTT384_LB_al_7/1</t>
  </si>
  <si>
    <t>https://synbiohub.org/user/Gon/E2S2_tellus_study/Pputida_pTT384_LB_al_8/1</t>
  </si>
  <si>
    <t>https://synbiohub.org/user/Gon/E2S2_tellus_study/Pputida_pTT384_LB_al_9/1</t>
  </si>
  <si>
    <t>https://synbiohub.org/user/Gon/E2S2_tellus_study/Pputida_pTT384_LB_ars_1/1</t>
  </si>
  <si>
    <t>https://synbiohub.org/user/Gon/E2S2_tellus_study/Pputida_pTT384_LB_ars_2/1</t>
  </si>
  <si>
    <t>https://synbiohub.org/user/Gon/E2S2_tellus_study/Pputida_pTT384_LB_ars_3/1</t>
  </si>
  <si>
    <t>https://synbiohub.org/user/Gon/E2S2_tellus_study/Pputida_pTT384_LB_ars_4/1</t>
  </si>
  <si>
    <t>https://synbiohub.org/user/Gon/E2S2_tellus_study/Pputida_pTT384_LB_ars_5/1</t>
  </si>
  <si>
    <t>https://synbiohub.org/user/Gon/E2S2_tellus_study/Pputida_pTT384_LB_ars_6/1</t>
  </si>
  <si>
    <t>https://synbiohub.org/user/Gon/E2S2_tellus_study/Pputida_pTT384_LB_ars_7/1</t>
  </si>
  <si>
    <t>https://synbiohub.org/user/Gon/E2S2_tellus_study/Pputida_pTT384_LB_ars_8/1</t>
  </si>
  <si>
    <t>https://synbiohub.org/user/Gon/E2S2_tellus_study/Pputida_pTT384_LB_ars_9/1</t>
  </si>
  <si>
    <t>https://synbiohub.org/user/Gon/E2S2_tellus_study/Pputida_pTT384_LB_cu_1/1</t>
  </si>
  <si>
    <t>https://synbiohub.org/user/Gon/E2S2_tellus_study/Pputida_pTT384_LB_cu_2/1</t>
  </si>
  <si>
    <t>https://synbiohub.org/user/Gon/E2S2_tellus_study/Pputida_pTT384_LB_cu_3/1</t>
  </si>
  <si>
    <t>https://synbiohub.org/user/Gon/E2S2_tellus_study/Pputida_pTT384_LB_cu_4/1</t>
  </si>
  <si>
    <t>https://synbiohub.org/user/Gon/E2S2_tellus_study/Pputida_pTT384_LB_cu_5/1</t>
  </si>
  <si>
    <t>https://synbiohub.org/user/Gon/E2S2_tellus_study/Pputida_pTT384_LB_cu_6/1</t>
  </si>
  <si>
    <t>https://synbiohub.org/user/Gon/E2S2_tellus_study/Pputida_pTT384_LB_cu_7/1</t>
  </si>
  <si>
    <t>https://synbiohub.org/user/Gon/E2S2_tellus_study/Pputida_pTT384_LB_cu_8/1</t>
  </si>
  <si>
    <t>https://synbiohub.org/user/Gon/E2S2_tellus_study/Pputida_pTT384_LB_cu_9/1</t>
  </si>
  <si>
    <t>https://synbiohub.org/user/Gon/E2S2_tellus_study/Pputida_pTTP27_LB_1/1</t>
  </si>
  <si>
    <t>OD600</t>
  </si>
  <si>
    <t>Sample_A1_Plate1</t>
  </si>
  <si>
    <t>standard_GFP</t>
  </si>
  <si>
    <t>Sample_A2_Plate1</t>
  </si>
  <si>
    <t>Sample_A3_Plate1</t>
  </si>
  <si>
    <t>Sample_A4_Plate1</t>
  </si>
  <si>
    <t>Sample_A5_Plate1</t>
  </si>
  <si>
    <t>Sample_A6_Plate1</t>
  </si>
  <si>
    <t>Sample_A7_Plate1</t>
  </si>
  <si>
    <t>Sample_A8_Plate1</t>
  </si>
  <si>
    <t>Sample_A9_Plate1</t>
  </si>
  <si>
    <t>Sample_A10_Plate1</t>
  </si>
  <si>
    <t>Sample_A11_Plate1</t>
  </si>
  <si>
    <t>Sample_A12_Plate1</t>
  </si>
  <si>
    <t>Sample_B1_Plate1</t>
  </si>
  <si>
    <t>Sample_B2_Plate1</t>
  </si>
  <si>
    <t>Sample_B3_Plate1</t>
  </si>
  <si>
    <t>Sample_B4_Plate1</t>
  </si>
  <si>
    <t>Sample_B5_Plate1</t>
  </si>
  <si>
    <t>Sample_B6_Plate1</t>
  </si>
  <si>
    <t>Sample_B7_Plate1</t>
  </si>
  <si>
    <t>Sample_B8_Plate1</t>
  </si>
  <si>
    <t>Sample_B9_Plate1</t>
  </si>
  <si>
    <t>Sample_B10_Plate1</t>
  </si>
  <si>
    <t>Sample_B11_Plate1</t>
  </si>
  <si>
    <t>Sample_B12_Plate1</t>
  </si>
  <si>
    <t>Sample_C1_Plate1</t>
  </si>
  <si>
    <t>Sample_C2_Plate1</t>
  </si>
  <si>
    <t>Sample_C3_Plate1</t>
  </si>
  <si>
    <t>Sample_C4_Plate1</t>
  </si>
  <si>
    <t>Sample_C5_Plate1</t>
  </si>
  <si>
    <t>Sample_C6_Plate1</t>
  </si>
  <si>
    <t>Sample_C7_Plate1</t>
  </si>
  <si>
    <t>Sample_C8_Plate1</t>
  </si>
  <si>
    <t>Sample_C9_Plate1</t>
  </si>
  <si>
    <t>Sample_C10_Plate1</t>
  </si>
  <si>
    <t>Sample_C11_Plate1</t>
  </si>
  <si>
    <t>Sample_C12_Plate1</t>
  </si>
  <si>
    <t>Sample_D1_Plate1</t>
  </si>
  <si>
    <t>Sample_D2_Plate1</t>
  </si>
  <si>
    <t>Sample_D3_Plate1</t>
  </si>
  <si>
    <t>Sample_D4_Plate1</t>
  </si>
  <si>
    <t>Sample_D5_Plate1</t>
  </si>
  <si>
    <t>Sample_D6_Plate1</t>
  </si>
  <si>
    <t>Sample_D7_Plate1</t>
  </si>
  <si>
    <t>Sample_D8_Plate1</t>
  </si>
  <si>
    <t>Sample_D9_Plate1</t>
  </si>
  <si>
    <t>Sample_D10_Plate1</t>
  </si>
  <si>
    <t>Sample_D11_Plate1</t>
  </si>
  <si>
    <t>Sample_D12_Plate1</t>
  </si>
  <si>
    <t>Sample_E1_Plate1</t>
  </si>
  <si>
    <t>Sample_E2_Plate1</t>
  </si>
  <si>
    <t>Sample_E3_Plate1</t>
  </si>
  <si>
    <t>Sample_E4_Plate1</t>
  </si>
  <si>
    <t>Sample_E5_Plate1</t>
  </si>
  <si>
    <t>Sample_E6_Plate1</t>
  </si>
  <si>
    <t>Sample_E7_Plate1</t>
  </si>
  <si>
    <t>Sample_E8_Plate1</t>
  </si>
  <si>
    <t>Sample_E9_Plate1</t>
  </si>
  <si>
    <t>Sample_E10_Plate1</t>
  </si>
  <si>
    <t>Sample_E11_Plate1</t>
  </si>
  <si>
    <t>Sample_E12_Plate1</t>
  </si>
  <si>
    <t>OVRFLW</t>
  </si>
  <si>
    <t>Sample_F1_Plate1</t>
  </si>
  <si>
    <t>Sample_F2_Plate1</t>
  </si>
  <si>
    <t>Sample_F3_Plate1</t>
  </si>
  <si>
    <t>Sample_F4_Plate1</t>
  </si>
  <si>
    <t>Sample_F5_Plate1</t>
  </si>
  <si>
    <t>Sample_F6_Plate1</t>
  </si>
  <si>
    <t>Sample_F7_Plate1</t>
  </si>
  <si>
    <t>Sample_F8_Plate1</t>
  </si>
  <si>
    <t>Sample_F9_Plate1</t>
  </si>
  <si>
    <t>Sample_F10_Plate1</t>
  </si>
  <si>
    <t>Sample_F11_Plate1</t>
  </si>
  <si>
    <t>Sample_F12_Plate1</t>
  </si>
  <si>
    <t>Sample_G1_Plate1</t>
  </si>
  <si>
    <t>Sample_G2_Plate1</t>
  </si>
  <si>
    <t>Sample_G3_Plate1</t>
  </si>
  <si>
    <t>Sample_G4_Plate1</t>
  </si>
  <si>
    <t>Sample_G5_Plate1</t>
  </si>
  <si>
    <t>Sample_G6_Plate1</t>
  </si>
  <si>
    <t>Sample_G7_Plate1</t>
  </si>
  <si>
    <t>Sample_G8_Plate1</t>
  </si>
  <si>
    <t>Sample_G9_Plate1</t>
  </si>
  <si>
    <t>Sample_G10_Plate1</t>
  </si>
  <si>
    <t>Sample_G11_Plate1</t>
  </si>
  <si>
    <t>Sample_G12_Plate1</t>
  </si>
  <si>
    <t>Sample_H1_Plate1</t>
  </si>
  <si>
    <t>Sample_H2_Plate1</t>
  </si>
  <si>
    <t>Sample_H3_Plate1</t>
  </si>
  <si>
    <t>Sample_H4_Plate1</t>
  </si>
  <si>
    <t>Sample_H5_Plate1</t>
  </si>
  <si>
    <t>Sample_H6_Plate1</t>
  </si>
  <si>
    <t>Sample_H7_Plate1</t>
  </si>
  <si>
    <t>Sample_H8_Plate1</t>
  </si>
  <si>
    <t>Sample_H9_Plate1</t>
  </si>
  <si>
    <t>Sample_H10_Plate1</t>
  </si>
  <si>
    <t>Sample_H11_Plate1</t>
  </si>
  <si>
    <t>Sample_H12_Plate1</t>
  </si>
  <si>
    <t>GFP Fluorescence</t>
  </si>
  <si>
    <t>green</t>
  </si>
  <si>
    <t>Optical density at 600nm</t>
  </si>
  <si>
    <t>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</si>
</sst>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2"/>
      <color theme="1"/>
      <name val="Helvetica"/>
      <family val="2"/>
      <scheme val="major"/>
    </font>
    <font>
      <sz val="11"/>
      <color rgb="FF1E1E20"/>
      <name val="Helvetica"/>
      <family val="2"/>
    </font>
    <font>
      <sz val="11"/>
      <color rgb="FF000000"/>
      <name val="Menlo"/>
      <family val="2"/>
    </font>
    <font>
      <sz val="8"/>
      <name val="Helvetic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5">
    <xf numFmtId="0" fontId="0" fillId="0" borderId="1"/>
    <xf numFmtId="0" fontId="1" fillId="0" borderId="1"/>
    <xf numFmtId="0" fontId="2" fillId="0" borderId="1"/>
    <xf numFmtId="0" fontId="3" fillId="0" borderId="1"/>
    <xf numFmtId="0" fontId="2" fillId="0" borderId="1"/>
  </cellStyleXfs>
  <cellXfs count="23">
    <xf numFmtId="0" fontId="0" fillId="0" borderId="0" xfId="0" applyBorder="1"/>
    <xf numFmtId="0" fontId="0" fillId="0" borderId="2" xfId="0" applyBorder="1"/>
    <xf numFmtId="0" fontId="6" fillId="2" borderId="1" xfId="0" applyFont="1" applyFill="1" applyAlignment="1">
      <alignment vertical="center"/>
    </xf>
    <xf numFmtId="0" fontId="7" fillId="0" borderId="1" xfId="0" applyFont="1"/>
    <xf numFmtId="0" fontId="4" fillId="0" borderId="3" xfId="0" applyFont="1" applyBorder="1"/>
    <xf numFmtId="0" fontId="0" fillId="0" borderId="3" xfId="0" applyBorder="1"/>
    <xf numFmtId="0" fontId="8" fillId="3" borderId="3" xfId="0" applyFont="1" applyFill="1" applyBorder="1" applyAlignment="1">
      <alignment vertical="center"/>
    </xf>
    <xf numFmtId="0" fontId="5" fillId="0" borderId="3" xfId="0" applyFont="1" applyBorder="1"/>
    <xf numFmtId="0" fontId="9" fillId="0" borderId="3" xfId="0" applyFont="1" applyBorder="1" applyAlignment="1">
      <alignment vertical="center"/>
    </xf>
    <xf numFmtId="0" fontId="10" fillId="4" borderId="4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3" xfId="2" applyBorder="1"/>
    <xf numFmtId="0" fontId="4" fillId="0" borderId="3" xfId="2" applyFont="1" applyBorder="1"/>
    <xf numFmtId="0" fontId="4" fillId="0" borderId="0" xfId="0" applyFont="1" applyBorder="1"/>
    <xf numFmtId="0" fontId="12" fillId="0" borderId="1" xfId="0" applyFont="1"/>
    <xf numFmtId="0" fontId="14" fillId="0" borderId="0" xfId="0" applyFont="1" applyBorder="1"/>
    <xf numFmtId="0" fontId="10" fillId="0" borderId="0" xfId="0" applyFont="1" applyFill="1" applyBorder="1"/>
    <xf numFmtId="0" fontId="0" fillId="0" borderId="0" xfId="0" applyFill="1" applyBorder="1"/>
    <xf numFmtId="0" fontId="4" fillId="4" borderId="4" xfId="0" applyFont="1" applyFill="1" applyBorder="1" applyAlignment="1">
      <alignment horizontal="left" vertical="center"/>
    </xf>
    <xf numFmtId="0" fontId="1" fillId="0" borderId="1" xfId="1"/>
    <xf numFmtId="0" fontId="12" fillId="0" borderId="1" xfId="0" applyFont="1" applyFill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2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ont>
        <sz val="12"/>
      </font>
      <fill>
        <patternFill patternType="none">
          <fgColor indexed="64"/>
          <bgColor indexed="65"/>
        </patternFill>
      </fill>
    </dxf>
    <dxf>
      <font>
        <sz val="1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1D1F"/>
        <name val="Helvetica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1/relationships/FeaturePropertyBag" Target="featurePropertyBag/featurePropertyBag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Gonzalo/Postdoc_CU/Army/Excel2SBOL/Excel2SBOL%20Paper%20Metadata/Exp_6_DAMP_MIT_Putida_Arsenic/Day1/Tellus_XDC_new_pTT384_Plate1.xlsx" TargetMode="External"/><Relationship Id="rId2" Type="http://schemas.openxmlformats.org/officeDocument/2006/relationships/externalLinkPath" Target="/Users/gonzalovidal/Gonzalo/Postdoc_CU/Army/Excel2SBOL/Excel2SBOL%20Paper%20Metadata/Exp_6_DAMP_MIT_Putida_Arsenic/Day1/Tellus_XDC_new_pTT384_Plate1.xlsx" TargetMode="External"/><Relationship Id="rId1" Type="http://schemas.openxmlformats.org/officeDocument/2006/relationships/externalLinkPath" Target="/Users/gonzalovidal/Gonzalo/Postdoc_CU/Army/Excel2SBOL/Excel2SBOL%20Paper%20Metadata/Exp_6_DAMP_MIT_Putida_Arsenic/Day1/Tellus_XDC_new_pTT384_Plate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t"/>
      <sheetName val="column_definitions"/>
      <sheetName val="FlapjackCols"/>
      <sheetName val="Study"/>
      <sheetName val="Assay"/>
      <sheetName val="Sample"/>
      <sheetName val="Sample Design"/>
      <sheetName val="Measurement"/>
      <sheetName val="Signal"/>
      <sheetName val="Media"/>
      <sheetName val="Strain"/>
      <sheetName val="Supplement"/>
      <sheetName val="Chemical"/>
      <sheetName val="Vector"/>
      <sheetName val="DNA"/>
      <sheetName val="molecule_types"/>
      <sheetName val="NCI_Thesaur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ay" displayName="assay" ref="A1:K2">
  <tableColumns count="11">
    <tableColumn id="1" xr3:uid="{00000000-0010-0000-0000-000001000000}" name="Assay Name"/>
    <tableColumn id="2" xr3:uid="{00000000-0010-0000-0000-000002000000}" name="Assay ID" dataDxfId="0">
      <calculatedColumnFormula>IF(assay[[#This Row],[Assay Name]]="","",SUBSTITUTE(SUBSTITUTE(TRIM(assay[[#This Row],[Assay Name]])," ","_"),"-","_"))</calculatedColumnFormula>
    </tableColumn>
    <tableColumn id="3" xr3:uid="{00000000-0010-0000-0000-000003000000}" name="Previous Version (URI)" dataDxfId="1"/>
    <tableColumn id="4" xr3:uid="{00000000-0010-0000-0000-000004000000}" name="Assay Description"/>
    <tableColumn id="5" xr3:uid="{00000000-0010-0000-0000-000005000000}" name="Measurement Type"/>
    <tableColumn id="6" xr3:uid="{00000000-0010-0000-0000-000006000000}" name="Technology Type"/>
    <tableColumn id="7" xr3:uid="{00000000-0010-0000-0000-000007000000}" name="Technology Platform"/>
    <tableColumn id="8" xr3:uid="{00000000-0010-0000-0000-000008000000}" name="Protocols" dataDxfId="15"/>
    <tableColumn id="9" xr3:uid="{00000000-0010-0000-0000-000009000000}" name="Temperature"/>
    <tableColumn id="10" xr3:uid="{00000000-0010-0000-0000-00000A000000}" name="PubMed ID"/>
    <tableColumn id="11" xr3:uid="{00000000-0010-0000-0000-00000B000000}" name="DOI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ample" displayName="sample" ref="A1:F97">
  <tableColumns count="6">
    <tableColumn id="1" xr3:uid="{00000000-0010-0000-0100-000001000000}" name="Sample Name" dataDxfId="20"/>
    <tableColumn id="2" xr3:uid="{00000000-0010-0000-0100-000002000000}" name="Sample ID" dataDxfId="19">
      <calculatedColumnFormula>IF(sample[[#This Row],[Sample Name]]="","",SUBSTITUTE(SUBSTITUTE(TRIM(sample[[#This Row],[Sample Name]])," ","_"),"-","_"))</calculatedColumnFormula>
    </tableColumn>
    <tableColumn id="3" xr3:uid="{00000000-0010-0000-0100-000003000000}" name="Row" dataDxfId="18"/>
    <tableColumn id="4" xr3:uid="{00000000-0010-0000-0100-000004000000}" name="Column" dataDxfId="17"/>
    <tableColumn id="5" xr3:uid="{00000000-0010-0000-0100-000005000000}" name="Assay ID"/>
    <tableColumn id="6" xr3:uid="{00000000-0010-0000-0100-000006000000}" name="Sample Desig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easurement" displayName="measurement" ref="A1:F193">
  <tableColumns count="6">
    <tableColumn id="1" xr3:uid="{00000000-0010-0000-0200-000001000000}" name="Measurement Name" dataDxfId="10"/>
    <tableColumn id="2" xr3:uid="{00000000-0010-0000-0200-000002000000}" name="Measurement ID" dataDxfId="11">
      <calculatedColumnFormula>IF(measurement[[#This Row],[Measurement Name]]="","",SUBSTITUTE(SUBSTITUTE(TRIM(measurement[[#This Row],[Measurement Name]])," ","_"),"-","_"))</calculatedColumnFormula>
    </tableColumn>
    <tableColumn id="3" xr3:uid="{00000000-0010-0000-0200-000003000000}" name="Sample ID" dataDxfId="9"/>
    <tableColumn id="4" xr3:uid="{00000000-0010-0000-0200-000004000000}" name="Signal ID" dataDxfId="8"/>
    <tableColumn id="5" xr3:uid="{00000000-0010-0000-0200-000005000000}" name="Time" dataDxfId="7"/>
    <tableColumn id="6" xr3:uid="{00000000-0010-0000-0200-000006000000}" name="Value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ignal" displayName="signal" ref="A1:H3">
  <tableColumns count="8">
    <tableColumn id="1" xr3:uid="{00000000-0010-0000-0300-000001000000}" name="Signal Name" dataDxfId="6"/>
    <tableColumn id="2" xr3:uid="{00000000-0010-0000-0300-000002000000}" name="Signal ID" dataDxfId="5"/>
    <tableColumn id="3" xr3:uid="{00000000-0010-0000-0300-000003000000}" name="Previous Version (URI)" dataDxfId="4"/>
    <tableColumn id="4" xr3:uid="{00000000-0010-0000-0300-000004000000}" name="Signal Description" dataDxfId="3"/>
    <tableColumn id="5" xr3:uid="{00000000-0010-0000-0300-000005000000}" name="Signal Color" dataDxfId="2"/>
    <tableColumn id="6" xr3:uid="{00000000-0010-0000-0300-000006000000}" name="Data Source" dataDxfId="13"/>
    <tableColumn id="7" xr3:uid="{00000000-0010-0000-0300-000007000000}" name="PubMed ID"/>
    <tableColumn id="8" xr3:uid="{00000000-0010-0000-0300-000008000000}" name="DOI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BH_sampledesigns_collection" displayName="SBH_sampledesigns_collection" ref="A1:B34">
  <autoFilter ref="A1:B34" xr:uid="{00000000-0009-0000-0100-000005000000}"/>
  <tableColumns count="2">
    <tableColumn id="1" xr3:uid="{00000000-0010-0000-0400-000001000000}" name="Name" dataDxfId="16"/>
    <tableColumn id="2" xr3:uid="{00000000-0010-0000-0400-000002000000}" name="U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gonzalo.vidalpena@colorado.edu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synbiohub.org/user/Gon/E2S2_tellus_study/Pputida_pTT384_LB_al_9/1" TargetMode="External"/><Relationship Id="rId18" Type="http://schemas.openxmlformats.org/officeDocument/2006/relationships/hyperlink" Target="https://synbiohub.org/user/Gon/E2S2_tellus_study/Pputida_pTT384_LB_ars_5/1" TargetMode="External"/><Relationship Id="rId26" Type="http://schemas.openxmlformats.org/officeDocument/2006/relationships/hyperlink" Target="https://synbiohub.org/user/Gon/E2S2_tellus_study/Pputida_pTT384_LB_cu_4/1" TargetMode="External"/><Relationship Id="rId3" Type="http://schemas.openxmlformats.org/officeDocument/2006/relationships/hyperlink" Target="https://synbiohub.org/user/Gon/E2S2_tellus_study/Fluorescein_only/1" TargetMode="External"/><Relationship Id="rId21" Type="http://schemas.openxmlformats.org/officeDocument/2006/relationships/hyperlink" Target="https://synbiohub.org/user/Gon/E2S2_tellus_study/Pputida_pTT384_LB_ars_8/1" TargetMode="External"/><Relationship Id="rId34" Type="http://schemas.openxmlformats.org/officeDocument/2006/relationships/hyperlink" Target="https://synbiohub.org/user/Gon/E2S2_tellus_study/Pputida_pTT384_LB_al_3/1" TargetMode="External"/><Relationship Id="rId7" Type="http://schemas.openxmlformats.org/officeDocument/2006/relationships/hyperlink" Target="https://synbiohub.org/user/Gon/E2S2_tellus_study/Pputida_pTT384_LB_al_2/1" TargetMode="External"/><Relationship Id="rId12" Type="http://schemas.openxmlformats.org/officeDocument/2006/relationships/hyperlink" Target="https://synbiohub.org/user/Gon/E2S2_tellus_study/Pputida_pTT384_LB_al_8/1" TargetMode="External"/><Relationship Id="rId17" Type="http://schemas.openxmlformats.org/officeDocument/2006/relationships/hyperlink" Target="https://synbiohub.org/user/Gon/E2S2_tellus_study/Pputida_pTT384_LB_ars_4/1" TargetMode="External"/><Relationship Id="rId25" Type="http://schemas.openxmlformats.org/officeDocument/2006/relationships/hyperlink" Target="https://synbiohub.org/user/Gon/E2S2_tellus_study/Pputida_pTT384_LB_cu_3/1" TargetMode="External"/><Relationship Id="rId33" Type="http://schemas.openxmlformats.org/officeDocument/2006/relationships/hyperlink" Target="https://synbiohub.org/user/Gon/E2S2_tellus_study/LB_only/1" TargetMode="External"/><Relationship Id="rId2" Type="http://schemas.openxmlformats.org/officeDocument/2006/relationships/hyperlink" Target="https://synbiohub.org/user/Gon/E2S2_tellus_study/Beads_only/1" TargetMode="External"/><Relationship Id="rId16" Type="http://schemas.openxmlformats.org/officeDocument/2006/relationships/hyperlink" Target="https://synbiohub.org/user/Gon/E2S2_tellus_study/Pputida_pTT384_LB_ars_3/1" TargetMode="External"/><Relationship Id="rId20" Type="http://schemas.openxmlformats.org/officeDocument/2006/relationships/hyperlink" Target="https://synbiohub.org/user/Gon/E2S2_tellus_study/Pputida_pTT384_LB_ars_7/1" TargetMode="External"/><Relationship Id="rId29" Type="http://schemas.openxmlformats.org/officeDocument/2006/relationships/hyperlink" Target="https://synbiohub.org/user/Gon/E2S2_tellus_study/Pputida_pTT384_LB_cu_7/1" TargetMode="External"/><Relationship Id="rId1" Type="http://schemas.openxmlformats.org/officeDocument/2006/relationships/hyperlink" Target="https://synbiohub.org/user/Gon/SBS_E2S2_SampleDesigns/Beads_only/1" TargetMode="External"/><Relationship Id="rId6" Type="http://schemas.openxmlformats.org/officeDocument/2006/relationships/hyperlink" Target="https://synbiohub.org/user/Gon/E2S2_tellus_study/Pputida_pTT384_LB_al_1/1" TargetMode="External"/><Relationship Id="rId11" Type="http://schemas.openxmlformats.org/officeDocument/2006/relationships/hyperlink" Target="https://synbiohub.org/user/Gon/E2S2_tellus_study/Pputida_pTT384_LB_al_7/1" TargetMode="External"/><Relationship Id="rId24" Type="http://schemas.openxmlformats.org/officeDocument/2006/relationships/hyperlink" Target="https://synbiohub.org/user/Gon/E2S2_tellus_study/Pputida_pTT384_LB_cu_2/1" TargetMode="External"/><Relationship Id="rId32" Type="http://schemas.openxmlformats.org/officeDocument/2006/relationships/hyperlink" Target="https://synbiohub.org/user/Gon/E2S2_tellus_study/Pputida_pTTP27_LB_1/1" TargetMode="External"/><Relationship Id="rId5" Type="http://schemas.openxmlformats.org/officeDocument/2006/relationships/hyperlink" Target="https://synbiohub.org/user/Gon/E2S2_tellus_study/Pputida_LB/1" TargetMode="External"/><Relationship Id="rId15" Type="http://schemas.openxmlformats.org/officeDocument/2006/relationships/hyperlink" Target="https://synbiohub.org/user/Gon/E2S2_tellus_study/Pputida_pTT384_LB_ars_2/1" TargetMode="External"/><Relationship Id="rId23" Type="http://schemas.openxmlformats.org/officeDocument/2006/relationships/hyperlink" Target="https://synbiohub.org/user/Gon/E2S2_tellus_study/Pputida_pTT384_LB_cu_1/1" TargetMode="External"/><Relationship Id="rId28" Type="http://schemas.openxmlformats.org/officeDocument/2006/relationships/hyperlink" Target="https://synbiohub.org/user/Gon/E2S2_tellus_study/Pputida_pTT384_LB_cu_6/1" TargetMode="External"/><Relationship Id="rId10" Type="http://schemas.openxmlformats.org/officeDocument/2006/relationships/hyperlink" Target="https://synbiohub.org/user/Gon/E2S2_tellus_study/Pputida_pTT384_LB_al_6/1" TargetMode="External"/><Relationship Id="rId19" Type="http://schemas.openxmlformats.org/officeDocument/2006/relationships/hyperlink" Target="https://synbiohub.org/user/Gon/E2S2_tellus_study/Pputida_pTT384_LB_ars_6/1" TargetMode="External"/><Relationship Id="rId31" Type="http://schemas.openxmlformats.org/officeDocument/2006/relationships/hyperlink" Target="https://synbiohub.org/user/Gon/E2S2_tellus_study/Pputida_pTT384_LB_cu_9/1" TargetMode="External"/><Relationship Id="rId4" Type="http://schemas.openxmlformats.org/officeDocument/2006/relationships/hyperlink" Target="https://synbiohub.org/user/Gon/E2S2_tellus_study/PBS_only/1" TargetMode="External"/><Relationship Id="rId9" Type="http://schemas.openxmlformats.org/officeDocument/2006/relationships/hyperlink" Target="https://synbiohub.org/user/Gon/E2S2_tellus_study/Pputida_pTT384_LB_al_5/1" TargetMode="External"/><Relationship Id="rId14" Type="http://schemas.openxmlformats.org/officeDocument/2006/relationships/hyperlink" Target="https://synbiohub.org/user/Gon/E2S2_tellus_study/Pputida_pTT384_LB_ars_1/1" TargetMode="External"/><Relationship Id="rId22" Type="http://schemas.openxmlformats.org/officeDocument/2006/relationships/hyperlink" Target="https://synbiohub.org/user/Gon/E2S2_tellus_study/Pputida_pTT384_LB_ars_9/1" TargetMode="External"/><Relationship Id="rId27" Type="http://schemas.openxmlformats.org/officeDocument/2006/relationships/hyperlink" Target="https://synbiohub.org/user/Gon/E2S2_tellus_study/Pputida_pTT384_LB_cu_5/1" TargetMode="External"/><Relationship Id="rId30" Type="http://schemas.openxmlformats.org/officeDocument/2006/relationships/hyperlink" Target="https://synbiohub.org/user/Gon/E2S2_tellus_study/Pputida_pTT384_LB_cu_8/1" TargetMode="External"/><Relationship Id="rId35" Type="http://schemas.openxmlformats.org/officeDocument/2006/relationships/table" Target="../tables/table5.xml"/><Relationship Id="rId8" Type="http://schemas.openxmlformats.org/officeDocument/2006/relationships/hyperlink" Target="https://synbiohub.org/user/Gon/E2S2_tellus_study/Pputida_pTT384_LB_al_4/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workbookViewId="0">
      <selection activeCell="D20" sqref="D20"/>
    </sheetView>
  </sheetViews>
  <sheetFormatPr baseColWidth="10" defaultColWidth="10.6640625" defaultRowHeight="15" x14ac:dyDescent="0.2"/>
  <cols>
    <col min="1" max="4" width="25" style="1" customWidth="1"/>
    <col min="5" max="14" width="25" customWidth="1"/>
    <col min="15" max="15" width="25" style="1" customWidth="1"/>
    <col min="16" max="16" width="10.6640625" style="1" customWidth="1"/>
    <col min="17" max="16384" width="10.6640625" style="1"/>
  </cols>
  <sheetData>
    <row r="1" spans="1:14" x14ac:dyDescent="0.2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5"/>
      <c r="M1" s="5"/>
      <c r="N1" s="5"/>
    </row>
    <row r="2" spans="1:14" x14ac:dyDescent="0.2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5"/>
      <c r="M2" s="5"/>
      <c r="N2" s="5"/>
    </row>
    <row r="3" spans="1:14" ht="22" customHeight="1" x14ac:dyDescent="0.2">
      <c r="A3" s="4"/>
      <c r="B3" s="6" t="s">
        <v>0</v>
      </c>
      <c r="C3" s="6"/>
      <c r="D3" s="4"/>
      <c r="E3" s="4"/>
      <c r="F3" s="4"/>
      <c r="G3" s="4"/>
      <c r="H3" s="4"/>
      <c r="I3" s="4"/>
      <c r="J3" s="4"/>
      <c r="K3" s="4"/>
      <c r="L3" s="5"/>
      <c r="M3" s="5"/>
      <c r="N3" s="5"/>
    </row>
    <row r="4" spans="1:14" ht="17" customHeight="1" x14ac:dyDescent="0.2">
      <c r="A4" s="7"/>
      <c r="B4" s="8" t="s">
        <v>1</v>
      </c>
      <c r="C4" s="9" t="s">
        <v>2</v>
      </c>
      <c r="D4" s="7"/>
      <c r="E4" s="7"/>
      <c r="F4" s="7"/>
      <c r="G4" s="7"/>
      <c r="H4" s="7"/>
      <c r="I4" s="7"/>
      <c r="J4" s="7"/>
      <c r="K4" s="7"/>
      <c r="L4" s="5"/>
      <c r="M4" s="5"/>
      <c r="N4" s="5"/>
    </row>
    <row r="5" spans="1:14" ht="15" customHeight="1" x14ac:dyDescent="0.2">
      <c r="A5" s="4"/>
      <c r="B5" s="8" t="s">
        <v>3</v>
      </c>
      <c r="C5" s="9" t="s">
        <v>2</v>
      </c>
      <c r="D5" s="4"/>
      <c r="E5" s="4"/>
      <c r="F5" s="4"/>
      <c r="G5" s="4"/>
      <c r="H5" s="4"/>
      <c r="I5" s="4"/>
      <c r="J5" s="4"/>
      <c r="K5" s="4"/>
      <c r="L5" s="5"/>
      <c r="M5" s="5"/>
      <c r="N5" s="5"/>
    </row>
    <row r="6" spans="1:14" ht="15" customHeight="1" x14ac:dyDescent="0.2">
      <c r="A6" s="4"/>
      <c r="B6" s="8" t="s">
        <v>4</v>
      </c>
      <c r="C6" s="9" t="str">
        <f>IF($C$5="","",SUBSTITUTE(SUBSTITUTE(TRIM($C$5)," ","_"),"-","_"))</f>
        <v>Assay</v>
      </c>
      <c r="D6" s="4"/>
      <c r="E6" s="4"/>
      <c r="F6" s="4"/>
      <c r="G6" s="4"/>
      <c r="H6" s="4"/>
      <c r="I6" s="4"/>
      <c r="J6" s="4"/>
      <c r="K6" s="4"/>
      <c r="L6" s="5"/>
      <c r="M6" s="5"/>
      <c r="N6" s="5"/>
    </row>
    <row r="7" spans="1:14" ht="15" customHeight="1" x14ac:dyDescent="0.2">
      <c r="A7" s="4"/>
      <c r="B7" s="8" t="s">
        <v>5</v>
      </c>
      <c r="C7" s="9" t="s">
        <v>6</v>
      </c>
      <c r="D7" s="4"/>
      <c r="E7" s="4"/>
      <c r="F7" s="4"/>
      <c r="G7" s="4"/>
      <c r="H7" s="4"/>
      <c r="I7" s="4"/>
      <c r="J7" s="4"/>
      <c r="K7" s="4"/>
      <c r="L7" s="5"/>
      <c r="M7" s="5"/>
      <c r="N7" s="5"/>
    </row>
    <row r="8" spans="1:14" ht="15" customHeight="1" x14ac:dyDescent="0.2">
      <c r="A8" s="4"/>
      <c r="B8" s="8" t="s">
        <v>7</v>
      </c>
      <c r="C8" s="9"/>
      <c r="D8" s="4"/>
      <c r="E8" s="4"/>
      <c r="F8" s="4"/>
      <c r="G8" s="4"/>
      <c r="H8" s="4"/>
      <c r="I8" s="4"/>
      <c r="J8" s="4"/>
      <c r="K8" s="4"/>
      <c r="L8" s="5"/>
      <c r="M8" s="5"/>
      <c r="N8" s="5"/>
    </row>
    <row r="9" spans="1:14" ht="15" customHeight="1" x14ac:dyDescent="0.2">
      <c r="A9" s="4"/>
      <c r="B9" s="8" t="s">
        <v>8</v>
      </c>
      <c r="C9" s="20" t="s">
        <v>168</v>
      </c>
      <c r="D9" s="4"/>
      <c r="E9" s="4"/>
      <c r="F9" s="4"/>
      <c r="G9" s="4"/>
      <c r="H9" s="4"/>
      <c r="I9" s="4"/>
      <c r="J9" s="4"/>
      <c r="K9" s="4"/>
      <c r="L9" s="5"/>
      <c r="M9" s="5"/>
      <c r="N9" s="5"/>
    </row>
    <row r="10" spans="1:14" ht="15" customHeight="1" x14ac:dyDescent="0.2">
      <c r="A10" s="4"/>
      <c r="B10" s="8" t="s">
        <v>9</v>
      </c>
      <c r="C10" s="13" t="s">
        <v>169</v>
      </c>
      <c r="D10" s="4"/>
      <c r="E10" s="4"/>
      <c r="F10" s="4"/>
      <c r="G10" s="4"/>
      <c r="H10" s="4"/>
      <c r="I10" s="4"/>
      <c r="J10" s="4"/>
      <c r="K10" s="4"/>
      <c r="L10" s="5"/>
      <c r="M10" s="5"/>
      <c r="N10" s="5"/>
    </row>
    <row r="11" spans="1:14" ht="15" customHeight="1" x14ac:dyDescent="0.2">
      <c r="A11" s="4"/>
      <c r="B11" s="8" t="s">
        <v>10</v>
      </c>
      <c r="C11" s="20" t="s">
        <v>170</v>
      </c>
      <c r="D11" s="4"/>
      <c r="E11" s="4"/>
      <c r="F11" s="4"/>
      <c r="G11" s="4"/>
      <c r="H11" s="4"/>
      <c r="I11" s="4"/>
      <c r="J11" s="4"/>
      <c r="K11" s="4"/>
      <c r="L11" s="5"/>
      <c r="M11" s="5"/>
      <c r="N11" s="5"/>
    </row>
    <row r="12" spans="1:14" ht="15" customHeight="1" x14ac:dyDescent="0.2">
      <c r="A12" s="4"/>
      <c r="B12" s="8" t="s">
        <v>11</v>
      </c>
      <c r="C12" s="20" t="s">
        <v>171</v>
      </c>
      <c r="D12" s="4"/>
      <c r="E12" s="4"/>
      <c r="F12" s="4"/>
      <c r="G12" s="4"/>
      <c r="H12" s="4"/>
      <c r="I12" s="4"/>
      <c r="J12" s="4"/>
      <c r="K12" s="4"/>
      <c r="L12" s="5"/>
      <c r="M12" s="5"/>
      <c r="N12" s="5"/>
    </row>
    <row r="13" spans="1:14" ht="15" customHeight="1" x14ac:dyDescent="0.2">
      <c r="A13" s="4"/>
      <c r="B13" s="8" t="s">
        <v>12</v>
      </c>
      <c r="C13" s="9"/>
      <c r="D13" s="4"/>
      <c r="E13" s="4"/>
      <c r="F13" s="4"/>
      <c r="G13" s="4"/>
      <c r="H13" s="4"/>
      <c r="I13" s="4"/>
      <c r="J13" s="4"/>
      <c r="K13" s="4"/>
      <c r="L13" s="5"/>
      <c r="M13" s="5"/>
      <c r="N13" s="5"/>
    </row>
    <row r="14" spans="1:14" ht="15" customHeight="1" x14ac:dyDescent="0.2">
      <c r="A14" s="4"/>
      <c r="B14" s="8" t="s">
        <v>13</v>
      </c>
      <c r="C14" s="9"/>
      <c r="D14" s="4"/>
      <c r="E14" s="4"/>
      <c r="F14" s="4"/>
      <c r="G14" s="4"/>
      <c r="H14" s="4"/>
      <c r="I14" s="4"/>
      <c r="J14" s="4"/>
      <c r="K14" s="4"/>
      <c r="L14" s="5"/>
      <c r="M14" s="5"/>
      <c r="N14" s="5"/>
    </row>
    <row r="15" spans="1:14" ht="15" customHeight="1" x14ac:dyDescent="0.2">
      <c r="A15" s="4"/>
      <c r="B15" s="8" t="s">
        <v>14</v>
      </c>
      <c r="C15" s="9"/>
      <c r="D15" s="4"/>
      <c r="E15" s="4"/>
      <c r="F15" s="4"/>
      <c r="G15" s="4"/>
      <c r="H15" s="4"/>
      <c r="I15" s="4"/>
      <c r="J15" s="4"/>
      <c r="K15" s="4"/>
      <c r="L15" s="5"/>
      <c r="M15" s="5"/>
      <c r="N15" s="5"/>
    </row>
    <row r="16" spans="1:14" ht="15" customHeight="1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ht="15" customHeight="1" x14ac:dyDescent="0.2">
      <c r="A17" s="5"/>
      <c r="B17" s="8" t="s">
        <v>15</v>
      </c>
      <c r="C17" s="12" t="b">
        <v>1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ht="15" customHeight="1" x14ac:dyDescent="0.2">
      <c r="A18" s="4"/>
      <c r="B18" s="8" t="s">
        <v>16</v>
      </c>
      <c r="C18" s="12" t="b">
        <v>0</v>
      </c>
      <c r="D18" s="4"/>
      <c r="E18" s="4"/>
      <c r="F18" s="4"/>
      <c r="G18" s="4"/>
      <c r="H18" s="4"/>
      <c r="I18" s="4"/>
      <c r="J18" s="4"/>
      <c r="K18" s="4"/>
      <c r="L18" s="5"/>
      <c r="M18" s="5"/>
      <c r="N18" s="5"/>
    </row>
    <row r="19" spans="1:14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5"/>
      <c r="M19" s="5"/>
      <c r="N19" s="5"/>
    </row>
    <row r="20" spans="1:14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5"/>
      <c r="M20" s="5"/>
      <c r="N20" s="5"/>
    </row>
    <row r="21" spans="1:14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1:14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1:14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1:14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1:14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1:14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</row>
    <row r="31" spans="1:14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hyperlinks>
    <hyperlink ref="C10" r:id="rId1" xr:uid="{F76A4E39-34DC-7146-A36D-378B063A1481}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rgb="FF48A9AE"/>
  </sheetPr>
  <dimension ref="A1:D16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2" t="s">
        <v>17</v>
      </c>
      <c r="B1" s="2" t="s">
        <v>18</v>
      </c>
      <c r="C1" s="2" t="s">
        <v>19</v>
      </c>
      <c r="D1" s="2" t="s">
        <v>20</v>
      </c>
    </row>
    <row r="2" spans="1:4" x14ac:dyDescent="0.2">
      <c r="A2" s="3" t="s">
        <v>21</v>
      </c>
      <c r="B2" s="3" t="s">
        <v>2</v>
      </c>
      <c r="C2" s="3" t="s">
        <v>22</v>
      </c>
      <c r="D2" s="3" t="s">
        <v>23</v>
      </c>
    </row>
    <row r="3" spans="1:4" x14ac:dyDescent="0.2">
      <c r="A3" s="3" t="s">
        <v>21</v>
      </c>
      <c r="B3" s="3" t="s">
        <v>2</v>
      </c>
      <c r="C3" s="3" t="s">
        <v>24</v>
      </c>
      <c r="D3" s="3" t="s">
        <v>25</v>
      </c>
    </row>
    <row r="4" spans="1:4" x14ac:dyDescent="0.2">
      <c r="A4" s="3" t="s">
        <v>21</v>
      </c>
      <c r="B4" s="3" t="s">
        <v>2</v>
      </c>
      <c r="C4" s="3" t="s">
        <v>26</v>
      </c>
      <c r="D4" s="3" t="s">
        <v>27</v>
      </c>
    </row>
    <row r="5" spans="1:4" x14ac:dyDescent="0.2">
      <c r="A5" s="3" t="s">
        <v>21</v>
      </c>
      <c r="B5" s="3" t="s">
        <v>2</v>
      </c>
      <c r="C5" s="3" t="s">
        <v>28</v>
      </c>
      <c r="D5" s="3" t="s">
        <v>29</v>
      </c>
    </row>
    <row r="6" spans="1:4" x14ac:dyDescent="0.2">
      <c r="A6" s="3" t="s">
        <v>30</v>
      </c>
      <c r="B6" s="3" t="s">
        <v>31</v>
      </c>
      <c r="C6" s="3" t="s">
        <v>32</v>
      </c>
      <c r="D6" s="3" t="s">
        <v>33</v>
      </c>
    </row>
    <row r="7" spans="1:4" x14ac:dyDescent="0.2">
      <c r="A7" s="3" t="s">
        <v>30</v>
      </c>
      <c r="B7" s="3" t="s">
        <v>31</v>
      </c>
      <c r="C7" s="3" t="s">
        <v>34</v>
      </c>
      <c r="D7" s="3" t="s">
        <v>35</v>
      </c>
    </row>
    <row r="8" spans="1:4" x14ac:dyDescent="0.2">
      <c r="A8" s="3" t="s">
        <v>30</v>
      </c>
      <c r="B8" s="3" t="s">
        <v>31</v>
      </c>
      <c r="C8" s="3" t="s">
        <v>36</v>
      </c>
      <c r="D8" s="3" t="s">
        <v>37</v>
      </c>
    </row>
    <row r="9" spans="1:4" x14ac:dyDescent="0.2">
      <c r="A9" s="3" t="s">
        <v>30</v>
      </c>
      <c r="B9" s="3" t="s">
        <v>31</v>
      </c>
      <c r="C9" s="3" t="s">
        <v>38</v>
      </c>
      <c r="D9" s="3" t="s">
        <v>21</v>
      </c>
    </row>
    <row r="10" spans="1:4" x14ac:dyDescent="0.2">
      <c r="A10" s="3" t="s">
        <v>39</v>
      </c>
      <c r="B10" s="3" t="s">
        <v>40</v>
      </c>
      <c r="C10" s="3" t="s">
        <v>41</v>
      </c>
      <c r="D10" s="3" t="s">
        <v>42</v>
      </c>
    </row>
    <row r="11" spans="1:4" x14ac:dyDescent="0.2">
      <c r="A11" s="3" t="s">
        <v>39</v>
      </c>
      <c r="B11" s="3" t="s">
        <v>40</v>
      </c>
      <c r="C11" s="3" t="s">
        <v>43</v>
      </c>
      <c r="D11" s="3" t="s">
        <v>44</v>
      </c>
    </row>
    <row r="12" spans="1:4" x14ac:dyDescent="0.2">
      <c r="A12" s="3" t="s">
        <v>39</v>
      </c>
      <c r="B12" s="3" t="s">
        <v>40</v>
      </c>
      <c r="C12" s="3" t="s">
        <v>45</v>
      </c>
      <c r="D12" s="3" t="s">
        <v>30</v>
      </c>
    </row>
    <row r="13" spans="1:4" x14ac:dyDescent="0.2">
      <c r="A13" s="3" t="s">
        <v>39</v>
      </c>
      <c r="B13" s="3" t="s">
        <v>40</v>
      </c>
      <c r="C13" s="3" t="s">
        <v>46</v>
      </c>
      <c r="D13" s="3" t="s">
        <v>47</v>
      </c>
    </row>
    <row r="14" spans="1:4" x14ac:dyDescent="0.2">
      <c r="A14" s="3" t="s">
        <v>42</v>
      </c>
      <c r="B14" s="3" t="s">
        <v>48</v>
      </c>
      <c r="C14" s="3" t="s">
        <v>49</v>
      </c>
      <c r="D14" s="3" t="s">
        <v>23</v>
      </c>
    </row>
    <row r="15" spans="1:4" x14ac:dyDescent="0.2">
      <c r="A15" s="3" t="s">
        <v>42</v>
      </c>
      <c r="B15" s="3" t="s">
        <v>48</v>
      </c>
      <c r="C15" s="3" t="s">
        <v>50</v>
      </c>
      <c r="D15" s="3" t="s">
        <v>27</v>
      </c>
    </row>
    <row r="16" spans="1:4" x14ac:dyDescent="0.2">
      <c r="A16" s="3" t="s">
        <v>42</v>
      </c>
      <c r="B16" s="3" t="s">
        <v>48</v>
      </c>
      <c r="C16" s="3" t="s">
        <v>51</v>
      </c>
      <c r="D16" s="3" t="s">
        <v>52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8A9AE"/>
  </sheetPr>
  <dimension ref="A1:L1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0" t="s">
        <v>53</v>
      </c>
      <c r="B1" s="10">
        <v>2</v>
      </c>
    </row>
    <row r="2" spans="1:12" x14ac:dyDescent="0.2">
      <c r="A2" s="11" t="s">
        <v>54</v>
      </c>
      <c r="B2" s="11" t="s">
        <v>2</v>
      </c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x14ac:dyDescent="0.2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2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1:12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2" x14ac:dyDescent="0.2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1:12" x14ac:dyDescent="0.2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x14ac:dyDescent="0.2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1:12" x14ac:dyDescent="0.2">
      <c r="A10" s="11" t="s">
        <v>17</v>
      </c>
      <c r="B10" s="11" t="s">
        <v>55</v>
      </c>
      <c r="C10" s="11" t="s">
        <v>56</v>
      </c>
      <c r="D10" s="11" t="s">
        <v>57</v>
      </c>
      <c r="E10" s="11" t="s">
        <v>58</v>
      </c>
      <c r="F10" s="11" t="s">
        <v>59</v>
      </c>
      <c r="G10" s="11" t="s">
        <v>60</v>
      </c>
      <c r="H10" s="11" t="s">
        <v>61</v>
      </c>
      <c r="I10" s="11" t="s">
        <v>62</v>
      </c>
      <c r="J10" s="11" t="s">
        <v>63</v>
      </c>
      <c r="K10" s="11" t="s">
        <v>64</v>
      </c>
      <c r="L10" s="11" t="s">
        <v>65</v>
      </c>
    </row>
    <row r="11" spans="1:12" x14ac:dyDescent="0.2">
      <c r="A11" s="11" t="s">
        <v>21</v>
      </c>
      <c r="B11" s="12" t="b">
        <v>1</v>
      </c>
      <c r="C11" s="12" t="b">
        <v>0</v>
      </c>
      <c r="D11" s="11">
        <v>0</v>
      </c>
      <c r="E11" s="11">
        <v>0</v>
      </c>
      <c r="F11" s="12" t="b">
        <v>0</v>
      </c>
      <c r="G11" s="11">
        <v>0</v>
      </c>
      <c r="H11" s="11">
        <v>0</v>
      </c>
      <c r="I11" s="11">
        <v>1</v>
      </c>
      <c r="J11" s="11" t="s">
        <v>66</v>
      </c>
      <c r="K11" s="11"/>
      <c r="L11" s="11"/>
    </row>
    <row r="12" spans="1:12" x14ac:dyDescent="0.2">
      <c r="A12" s="11" t="s">
        <v>30</v>
      </c>
      <c r="B12" s="12" t="b">
        <v>1</v>
      </c>
      <c r="C12" s="12" t="b">
        <v>0</v>
      </c>
      <c r="D12" s="11">
        <v>0</v>
      </c>
      <c r="E12" s="11">
        <v>0</v>
      </c>
      <c r="F12" s="12" t="b">
        <v>0</v>
      </c>
      <c r="G12" s="11">
        <v>0</v>
      </c>
      <c r="H12" s="11">
        <v>0</v>
      </c>
      <c r="I12" s="11">
        <v>1</v>
      </c>
      <c r="J12" s="11" t="s">
        <v>67</v>
      </c>
      <c r="K12" s="11"/>
      <c r="L12" s="11"/>
    </row>
    <row r="13" spans="1:12" x14ac:dyDescent="0.2">
      <c r="A13" s="11" t="s">
        <v>39</v>
      </c>
      <c r="B13" s="12" t="b">
        <v>0</v>
      </c>
      <c r="C13" s="12" t="b">
        <v>0</v>
      </c>
      <c r="D13" s="11">
        <v>0</v>
      </c>
      <c r="E13" s="11">
        <v>0</v>
      </c>
      <c r="F13" s="12" t="b">
        <v>0</v>
      </c>
      <c r="G13" s="11">
        <v>0</v>
      </c>
      <c r="H13" s="11">
        <v>0</v>
      </c>
      <c r="I13" s="11">
        <v>1</v>
      </c>
      <c r="J13" s="11"/>
      <c r="K13" s="11"/>
      <c r="L13" s="11"/>
    </row>
    <row r="14" spans="1:12" x14ac:dyDescent="0.2">
      <c r="A14" s="11" t="s">
        <v>42</v>
      </c>
      <c r="B14" s="12" t="b">
        <v>1</v>
      </c>
      <c r="C14" s="12" t="b">
        <v>0</v>
      </c>
      <c r="D14" s="11">
        <v>0</v>
      </c>
      <c r="E14" s="11">
        <v>0</v>
      </c>
      <c r="F14" s="12" t="b">
        <v>0</v>
      </c>
      <c r="G14" s="11">
        <v>0</v>
      </c>
      <c r="H14" s="11">
        <v>0</v>
      </c>
      <c r="I14" s="11">
        <v>1</v>
      </c>
      <c r="J14" s="11" t="s">
        <v>68</v>
      </c>
      <c r="K14" s="11"/>
      <c r="L14" s="11" t="s">
        <v>69</v>
      </c>
    </row>
    <row r="15" spans="1:12" x14ac:dyDescent="0.2">
      <c r="A15" s="11" t="s">
        <v>70</v>
      </c>
      <c r="B15" s="12" t="b">
        <v>0</v>
      </c>
      <c r="C15" s="12" t="b">
        <v>0</v>
      </c>
      <c r="D15" s="11">
        <v>0</v>
      </c>
      <c r="E15" s="11">
        <v>0</v>
      </c>
      <c r="F15" s="12" t="b">
        <v>0</v>
      </c>
      <c r="G15" s="11">
        <v>0</v>
      </c>
      <c r="H15" s="11">
        <v>0</v>
      </c>
      <c r="I15" s="11">
        <v>0</v>
      </c>
      <c r="J15" s="11"/>
      <c r="K15" s="11"/>
      <c r="L15" s="11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48A9AE"/>
  </sheetPr>
  <dimension ref="A1:S3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0" t="s">
        <v>17</v>
      </c>
      <c r="B1" s="10" t="s">
        <v>71</v>
      </c>
      <c r="C1" s="10" t="s">
        <v>72</v>
      </c>
      <c r="D1" s="10" t="s">
        <v>73</v>
      </c>
      <c r="E1" s="10" t="s">
        <v>74</v>
      </c>
      <c r="F1" s="10" t="s">
        <v>75</v>
      </c>
      <c r="G1" s="10" t="s">
        <v>76</v>
      </c>
      <c r="H1" s="10" t="s">
        <v>77</v>
      </c>
      <c r="I1" s="10" t="s">
        <v>78</v>
      </c>
      <c r="J1" s="10" t="s">
        <v>79</v>
      </c>
      <c r="K1" s="10" t="s">
        <v>80</v>
      </c>
      <c r="L1" s="10" t="s">
        <v>81</v>
      </c>
      <c r="M1" s="10" t="s">
        <v>82</v>
      </c>
      <c r="N1" s="10" t="s">
        <v>83</v>
      </c>
      <c r="O1" s="10" t="s">
        <v>84</v>
      </c>
      <c r="P1" s="10" t="s">
        <v>85</v>
      </c>
      <c r="Q1" s="10" t="s">
        <v>86</v>
      </c>
      <c r="R1" s="10" t="s">
        <v>87</v>
      </c>
      <c r="S1" s="10" t="s">
        <v>88</v>
      </c>
    </row>
    <row r="2" spans="1:19" x14ac:dyDescent="0.2">
      <c r="A2" s="11" t="s">
        <v>89</v>
      </c>
      <c r="B2" s="11" t="s">
        <v>63</v>
      </c>
      <c r="C2" s="11" t="s">
        <v>90</v>
      </c>
      <c r="D2" s="11" t="s">
        <v>91</v>
      </c>
      <c r="E2" s="11" t="s">
        <v>92</v>
      </c>
      <c r="F2" s="11" t="s">
        <v>93</v>
      </c>
      <c r="G2" s="11" t="s">
        <v>93</v>
      </c>
      <c r="H2" s="11"/>
      <c r="I2" s="11" t="b">
        <v>0</v>
      </c>
      <c r="J2" s="11" t="b">
        <v>0</v>
      </c>
      <c r="K2" s="11" t="b">
        <v>0</v>
      </c>
      <c r="L2" s="11" t="b">
        <v>0</v>
      </c>
      <c r="M2" s="11" t="b">
        <v>0</v>
      </c>
      <c r="N2" s="11"/>
      <c r="O2" s="11"/>
      <c r="P2" s="11"/>
      <c r="Q2" s="11"/>
      <c r="R2" s="11" t="b">
        <v>0</v>
      </c>
      <c r="S2" s="11"/>
    </row>
    <row r="3" spans="1:19" x14ac:dyDescent="0.2">
      <c r="A3" s="11" t="s">
        <v>89</v>
      </c>
      <c r="B3" s="11" t="s">
        <v>64</v>
      </c>
      <c r="C3" s="11" t="s">
        <v>94</v>
      </c>
      <c r="D3" s="11" t="s">
        <v>91</v>
      </c>
      <c r="E3" s="11" t="s">
        <v>92</v>
      </c>
      <c r="F3" s="11" t="s">
        <v>93</v>
      </c>
      <c r="G3" s="11" t="s">
        <v>93</v>
      </c>
      <c r="H3" s="11"/>
      <c r="I3" s="11" t="b">
        <v>0</v>
      </c>
      <c r="J3" s="11" t="b">
        <v>0</v>
      </c>
      <c r="K3" s="11" t="b">
        <v>0</v>
      </c>
      <c r="L3" s="11" t="b">
        <v>0</v>
      </c>
      <c r="M3" s="11" t="b">
        <v>0</v>
      </c>
      <c r="N3" s="11"/>
      <c r="O3" s="11"/>
      <c r="P3" s="11"/>
      <c r="Q3" s="11"/>
      <c r="R3" s="11" t="b">
        <v>0</v>
      </c>
      <c r="S3" s="11"/>
    </row>
    <row r="4" spans="1:19" x14ac:dyDescent="0.2">
      <c r="A4" s="11" t="s">
        <v>89</v>
      </c>
      <c r="B4" s="11" t="s">
        <v>65</v>
      </c>
      <c r="C4" s="11" t="s">
        <v>95</v>
      </c>
      <c r="D4" s="11" t="s">
        <v>91</v>
      </c>
      <c r="E4" s="11" t="s">
        <v>96</v>
      </c>
      <c r="F4" s="11" t="s">
        <v>93</v>
      </c>
      <c r="G4" s="11" t="s">
        <v>93</v>
      </c>
      <c r="H4" s="11"/>
      <c r="I4" s="11" t="b">
        <v>0</v>
      </c>
      <c r="J4" s="11" t="b">
        <v>0</v>
      </c>
      <c r="K4" s="11" t="b">
        <v>0</v>
      </c>
      <c r="L4" s="11" t="b">
        <v>0</v>
      </c>
      <c r="M4" s="11" t="b">
        <v>0</v>
      </c>
      <c r="N4" s="11"/>
      <c r="O4" s="11"/>
      <c r="P4" s="11"/>
      <c r="Q4" s="11"/>
      <c r="R4" s="11" t="b">
        <v>0</v>
      </c>
      <c r="S4" s="11"/>
    </row>
    <row r="5" spans="1:19" x14ac:dyDescent="0.2">
      <c r="A5" s="11" t="s">
        <v>21</v>
      </c>
      <c r="B5" s="11" t="s">
        <v>22</v>
      </c>
      <c r="C5" s="11" t="s">
        <v>97</v>
      </c>
      <c r="D5" s="11" t="s">
        <v>91</v>
      </c>
      <c r="E5" s="11" t="s">
        <v>92</v>
      </c>
      <c r="F5" s="11" t="s">
        <v>93</v>
      </c>
      <c r="G5" s="11" t="s">
        <v>93</v>
      </c>
      <c r="H5" s="11"/>
      <c r="I5" s="11" t="b">
        <v>0</v>
      </c>
      <c r="J5" s="11" t="b">
        <v>0</v>
      </c>
      <c r="K5" s="11" t="b">
        <v>0</v>
      </c>
      <c r="L5" s="11" t="b">
        <v>0</v>
      </c>
      <c r="M5" s="11" t="b">
        <v>0</v>
      </c>
      <c r="N5" s="11"/>
      <c r="O5" s="11"/>
      <c r="P5" s="11"/>
      <c r="Q5" s="11"/>
      <c r="R5" s="11" t="b">
        <v>0</v>
      </c>
      <c r="S5" s="11"/>
    </row>
    <row r="6" spans="1:19" x14ac:dyDescent="0.2">
      <c r="A6" s="11" t="s">
        <v>21</v>
      </c>
      <c r="B6" s="11" t="s">
        <v>38</v>
      </c>
      <c r="C6" s="11" t="s">
        <v>98</v>
      </c>
      <c r="D6" s="11" t="s">
        <v>91</v>
      </c>
      <c r="E6" s="11" t="s">
        <v>92</v>
      </c>
      <c r="F6" s="11" t="s">
        <v>93</v>
      </c>
      <c r="G6" s="11" t="s">
        <v>93</v>
      </c>
      <c r="H6" s="11"/>
      <c r="I6" s="11" t="b">
        <v>0</v>
      </c>
      <c r="J6" s="11" t="b">
        <v>0</v>
      </c>
      <c r="K6" s="11" t="b">
        <v>0</v>
      </c>
      <c r="L6" s="11" t="b">
        <v>0</v>
      </c>
      <c r="M6" s="11" t="b">
        <v>0</v>
      </c>
      <c r="N6" s="11"/>
      <c r="O6" s="11"/>
      <c r="P6" s="11"/>
      <c r="Q6" s="11"/>
      <c r="R6" s="11" t="b">
        <v>0</v>
      </c>
      <c r="S6" s="11"/>
    </row>
    <row r="7" spans="1:19" x14ac:dyDescent="0.2">
      <c r="A7" s="11" t="s">
        <v>21</v>
      </c>
      <c r="B7" s="11" t="s">
        <v>99</v>
      </c>
      <c r="C7" s="11" t="s">
        <v>100</v>
      </c>
      <c r="D7" s="11" t="s">
        <v>91</v>
      </c>
      <c r="E7" s="11" t="s">
        <v>96</v>
      </c>
      <c r="F7" s="11" t="s">
        <v>93</v>
      </c>
      <c r="G7" s="11" t="s">
        <v>93</v>
      </c>
      <c r="H7" s="11"/>
      <c r="I7" s="11" t="b">
        <v>0</v>
      </c>
      <c r="J7" s="11" t="b">
        <v>0</v>
      </c>
      <c r="K7" s="11" t="b">
        <v>0</v>
      </c>
      <c r="L7" s="11" t="b">
        <v>0</v>
      </c>
      <c r="M7" s="11" t="b">
        <v>0</v>
      </c>
      <c r="N7" s="11"/>
      <c r="O7" s="11"/>
      <c r="P7" s="11"/>
      <c r="Q7" s="11"/>
      <c r="R7" s="11" t="b">
        <v>0</v>
      </c>
      <c r="S7" s="11"/>
    </row>
    <row r="8" spans="1:19" x14ac:dyDescent="0.2">
      <c r="A8" s="11" t="s">
        <v>21</v>
      </c>
      <c r="B8" s="11" t="s">
        <v>26</v>
      </c>
      <c r="C8" s="11" t="s">
        <v>101</v>
      </c>
      <c r="D8" s="11" t="s">
        <v>102</v>
      </c>
      <c r="E8" s="11" t="s">
        <v>92</v>
      </c>
      <c r="F8" s="11" t="s">
        <v>93</v>
      </c>
      <c r="G8" s="11" t="s">
        <v>93</v>
      </c>
      <c r="H8" s="11"/>
      <c r="I8" s="11" t="b">
        <v>0</v>
      </c>
      <c r="J8" s="11" t="b">
        <v>0</v>
      </c>
      <c r="K8" s="11" t="b">
        <v>0</v>
      </c>
      <c r="L8" s="11" t="b">
        <v>0</v>
      </c>
      <c r="M8" s="11" t="b">
        <v>0</v>
      </c>
      <c r="N8" s="11"/>
      <c r="O8" s="11"/>
      <c r="P8" s="11"/>
      <c r="Q8" s="11"/>
      <c r="R8" s="11" t="b">
        <v>0</v>
      </c>
      <c r="S8" s="11"/>
    </row>
    <row r="9" spans="1:19" x14ac:dyDescent="0.2">
      <c r="A9" s="11" t="s">
        <v>21</v>
      </c>
      <c r="B9" s="11" t="s">
        <v>103</v>
      </c>
      <c r="C9" s="11" t="s">
        <v>104</v>
      </c>
      <c r="D9" s="11" t="s">
        <v>105</v>
      </c>
      <c r="E9" s="11" t="s">
        <v>92</v>
      </c>
      <c r="F9" s="11" t="s">
        <v>93</v>
      </c>
      <c r="G9" s="11" t="s">
        <v>93</v>
      </c>
      <c r="H9" s="11"/>
      <c r="I9" s="11" t="b">
        <v>0</v>
      </c>
      <c r="J9" s="11" t="b">
        <v>0</v>
      </c>
      <c r="K9" s="11" t="b">
        <v>0</v>
      </c>
      <c r="L9" s="11" t="b">
        <v>0</v>
      </c>
      <c r="M9" s="11" t="b">
        <v>0</v>
      </c>
      <c r="N9" s="11"/>
      <c r="O9" s="11"/>
      <c r="P9" s="11"/>
      <c r="Q9" s="11"/>
      <c r="R9" s="11" t="b">
        <v>0</v>
      </c>
      <c r="S9" s="11"/>
    </row>
    <row r="10" spans="1:19" x14ac:dyDescent="0.2">
      <c r="A10" s="11" t="s">
        <v>21</v>
      </c>
      <c r="B10" s="11" t="s">
        <v>106</v>
      </c>
      <c r="C10" s="11" t="s">
        <v>107</v>
      </c>
      <c r="D10" s="11" t="s">
        <v>105</v>
      </c>
      <c r="E10" s="11" t="s">
        <v>92</v>
      </c>
      <c r="F10" s="11" t="s">
        <v>93</v>
      </c>
      <c r="G10" s="11" t="s">
        <v>93</v>
      </c>
      <c r="H10" s="11"/>
      <c r="I10" s="11" t="b">
        <v>0</v>
      </c>
      <c r="J10" s="11" t="b">
        <v>0</v>
      </c>
      <c r="K10" s="11" t="b">
        <v>0</v>
      </c>
      <c r="L10" s="11" t="b">
        <v>0</v>
      </c>
      <c r="M10" s="11" t="b">
        <v>0</v>
      </c>
      <c r="N10" s="11"/>
      <c r="O10" s="11"/>
      <c r="P10" s="11"/>
      <c r="Q10" s="11"/>
      <c r="R10" s="11" t="b">
        <v>0</v>
      </c>
      <c r="S10" s="11"/>
    </row>
    <row r="11" spans="1:19" x14ac:dyDescent="0.2">
      <c r="A11" s="11" t="s">
        <v>21</v>
      </c>
      <c r="B11" s="11" t="s">
        <v>108</v>
      </c>
      <c r="C11" s="11" t="s">
        <v>109</v>
      </c>
      <c r="D11" s="11" t="s">
        <v>105</v>
      </c>
      <c r="E11" s="11" t="s">
        <v>92</v>
      </c>
      <c r="F11" s="11" t="s">
        <v>93</v>
      </c>
      <c r="G11" s="11" t="s">
        <v>93</v>
      </c>
      <c r="H11" s="11"/>
      <c r="I11" s="11" t="b">
        <v>0</v>
      </c>
      <c r="J11" s="11" t="b">
        <v>0</v>
      </c>
      <c r="K11" s="11" t="b">
        <v>0</v>
      </c>
      <c r="L11" s="11" t="b">
        <v>0</v>
      </c>
      <c r="M11" s="11" t="b">
        <v>0</v>
      </c>
      <c r="N11" s="11"/>
      <c r="O11" s="11"/>
      <c r="P11" s="11"/>
      <c r="Q11" s="11"/>
      <c r="R11" s="11" t="b">
        <v>0</v>
      </c>
      <c r="S11" s="11"/>
    </row>
    <row r="12" spans="1:19" x14ac:dyDescent="0.2">
      <c r="A12" s="11" t="s">
        <v>21</v>
      </c>
      <c r="B12" s="11" t="s">
        <v>110</v>
      </c>
      <c r="C12" s="11" t="s">
        <v>100</v>
      </c>
      <c r="D12" s="11" t="s">
        <v>91</v>
      </c>
      <c r="E12" s="11" t="s">
        <v>96</v>
      </c>
      <c r="F12" s="11" t="s">
        <v>93</v>
      </c>
      <c r="G12" s="11" t="s">
        <v>93</v>
      </c>
      <c r="H12" s="11"/>
      <c r="I12" s="11" t="b">
        <v>0</v>
      </c>
      <c r="J12" s="11" t="b">
        <v>0</v>
      </c>
      <c r="K12" s="11" t="b">
        <v>0</v>
      </c>
      <c r="L12" s="11" t="b">
        <v>0</v>
      </c>
      <c r="M12" s="11" t="b">
        <v>0</v>
      </c>
      <c r="N12" s="11"/>
      <c r="O12" s="11"/>
      <c r="P12" s="11"/>
      <c r="Q12" s="11"/>
      <c r="R12" s="11" t="b">
        <v>0</v>
      </c>
      <c r="S12" s="11"/>
    </row>
    <row r="13" spans="1:19" x14ac:dyDescent="0.2">
      <c r="A13" s="11" t="s">
        <v>21</v>
      </c>
      <c r="B13" s="11" t="s">
        <v>28</v>
      </c>
      <c r="C13" s="11" t="s">
        <v>111</v>
      </c>
      <c r="D13" s="11" t="s">
        <v>112</v>
      </c>
      <c r="E13" s="11" t="s">
        <v>92</v>
      </c>
      <c r="F13" s="11" t="s">
        <v>93</v>
      </c>
      <c r="G13" s="11" t="s">
        <v>93</v>
      </c>
      <c r="H13" s="11"/>
      <c r="I13" s="11" t="b">
        <v>0</v>
      </c>
      <c r="J13" s="11" t="b">
        <v>0</v>
      </c>
      <c r="K13" s="11" t="b">
        <v>0</v>
      </c>
      <c r="L13" s="11" t="b">
        <v>0</v>
      </c>
      <c r="M13" s="11" t="b">
        <v>0</v>
      </c>
      <c r="N13" s="11"/>
      <c r="O13" s="11"/>
      <c r="P13" s="11"/>
      <c r="Q13" s="11"/>
      <c r="R13" s="11" t="b">
        <v>0</v>
      </c>
      <c r="S13" s="11"/>
    </row>
    <row r="14" spans="1:19" x14ac:dyDescent="0.2">
      <c r="A14" s="11" t="s">
        <v>21</v>
      </c>
      <c r="B14" s="11" t="s">
        <v>113</v>
      </c>
      <c r="C14" s="11" t="s">
        <v>114</v>
      </c>
      <c r="D14" s="11" t="s">
        <v>115</v>
      </c>
      <c r="E14" s="11" t="s">
        <v>92</v>
      </c>
      <c r="F14" s="11" t="s">
        <v>93</v>
      </c>
      <c r="G14" s="11" t="s">
        <v>93</v>
      </c>
      <c r="H14" s="11"/>
      <c r="I14" s="11" t="b">
        <v>0</v>
      </c>
      <c r="J14" s="11" t="b">
        <v>0</v>
      </c>
      <c r="K14" s="11" t="b">
        <v>0</v>
      </c>
      <c r="L14" s="11" t="b">
        <v>0</v>
      </c>
      <c r="M14" s="11" t="b">
        <v>0</v>
      </c>
      <c r="N14" s="11"/>
      <c r="O14" s="11"/>
      <c r="P14" s="11"/>
      <c r="Q14" s="11"/>
      <c r="R14" s="11" t="b">
        <v>0</v>
      </c>
      <c r="S14" s="11"/>
    </row>
    <row r="15" spans="1:19" x14ac:dyDescent="0.2">
      <c r="A15" s="11" t="s">
        <v>21</v>
      </c>
      <c r="B15" s="11" t="s">
        <v>116</v>
      </c>
      <c r="C15" s="11" t="s">
        <v>100</v>
      </c>
      <c r="D15" s="11" t="s">
        <v>91</v>
      </c>
      <c r="E15" s="11" t="s">
        <v>96</v>
      </c>
      <c r="F15" s="11" t="s">
        <v>93</v>
      </c>
      <c r="G15" s="11" t="s">
        <v>93</v>
      </c>
      <c r="H15" s="11"/>
      <c r="I15" s="11" t="b">
        <v>0</v>
      </c>
      <c r="J15" s="11" t="b">
        <v>0</v>
      </c>
      <c r="K15" s="11" t="b">
        <v>0</v>
      </c>
      <c r="L15" s="11" t="b">
        <v>0</v>
      </c>
      <c r="M15" s="11" t="b">
        <v>0</v>
      </c>
      <c r="N15" s="11"/>
      <c r="O15" s="11"/>
      <c r="P15" s="11"/>
      <c r="Q15" s="11"/>
      <c r="R15" s="11" t="b">
        <v>0</v>
      </c>
      <c r="S15" s="11"/>
    </row>
    <row r="16" spans="1:19" x14ac:dyDescent="0.2">
      <c r="A16" s="11" t="s">
        <v>30</v>
      </c>
      <c r="B16" s="11" t="s">
        <v>117</v>
      </c>
      <c r="C16" s="11" t="s">
        <v>97</v>
      </c>
      <c r="D16" s="11" t="s">
        <v>91</v>
      </c>
      <c r="E16" s="11" t="s">
        <v>92</v>
      </c>
      <c r="F16" s="11" t="s">
        <v>93</v>
      </c>
      <c r="G16" s="11" t="s">
        <v>93</v>
      </c>
      <c r="H16" s="11"/>
      <c r="I16" s="11" t="b">
        <v>0</v>
      </c>
      <c r="J16" s="11" t="b">
        <v>0</v>
      </c>
      <c r="K16" s="11" t="b">
        <v>0</v>
      </c>
      <c r="L16" s="11" t="b">
        <v>0</v>
      </c>
      <c r="M16" s="11" t="b">
        <v>0</v>
      </c>
      <c r="N16" s="11"/>
      <c r="O16" s="11"/>
      <c r="P16" s="11"/>
      <c r="Q16" s="11"/>
      <c r="R16" s="11" t="b">
        <v>0</v>
      </c>
      <c r="S16" s="11"/>
    </row>
    <row r="17" spans="1:19" x14ac:dyDescent="0.2">
      <c r="A17" s="11" t="s">
        <v>30</v>
      </c>
      <c r="B17" s="11" t="s">
        <v>45</v>
      </c>
      <c r="C17" s="11" t="s">
        <v>98</v>
      </c>
      <c r="D17" s="11" t="s">
        <v>91</v>
      </c>
      <c r="E17" s="11" t="s">
        <v>92</v>
      </c>
      <c r="F17" s="11" t="s">
        <v>93</v>
      </c>
      <c r="G17" s="11" t="s">
        <v>93</v>
      </c>
      <c r="H17" s="11"/>
      <c r="I17" s="11" t="b">
        <v>0</v>
      </c>
      <c r="J17" s="11" t="b">
        <v>0</v>
      </c>
      <c r="K17" s="11" t="b">
        <v>0</v>
      </c>
      <c r="L17" s="11" t="b">
        <v>0</v>
      </c>
      <c r="M17" s="11" t="b">
        <v>0</v>
      </c>
      <c r="N17" s="11"/>
      <c r="O17" s="11"/>
      <c r="P17" s="11"/>
      <c r="Q17" s="11"/>
      <c r="R17" s="11" t="b">
        <v>0</v>
      </c>
      <c r="S17" s="11"/>
    </row>
    <row r="18" spans="1:19" x14ac:dyDescent="0.2">
      <c r="A18" s="11" t="s">
        <v>30</v>
      </c>
      <c r="B18" s="11" t="s">
        <v>32</v>
      </c>
      <c r="C18" s="11" t="s">
        <v>118</v>
      </c>
      <c r="D18" s="11" t="s">
        <v>112</v>
      </c>
      <c r="E18" s="11" t="s">
        <v>92</v>
      </c>
      <c r="F18" s="11" t="s">
        <v>93</v>
      </c>
      <c r="G18" s="11" t="s">
        <v>93</v>
      </c>
      <c r="H18" s="11"/>
      <c r="I18" s="11" t="b">
        <v>0</v>
      </c>
      <c r="J18" s="11" t="b">
        <v>0</v>
      </c>
      <c r="K18" s="11" t="b">
        <v>0</v>
      </c>
      <c r="L18" s="11" t="b">
        <v>0</v>
      </c>
      <c r="M18" s="11" t="b">
        <v>0</v>
      </c>
      <c r="N18" s="11"/>
      <c r="O18" s="11"/>
      <c r="P18" s="11"/>
      <c r="Q18" s="11"/>
      <c r="R18" s="11" t="b">
        <v>0</v>
      </c>
      <c r="S18" s="11"/>
    </row>
    <row r="19" spans="1:19" x14ac:dyDescent="0.2">
      <c r="A19" s="11" t="s">
        <v>30</v>
      </c>
      <c r="B19" s="11" t="s">
        <v>34</v>
      </c>
      <c r="C19" s="11" t="s">
        <v>119</v>
      </c>
      <c r="D19" s="11" t="s">
        <v>112</v>
      </c>
      <c r="E19" s="11" t="s">
        <v>92</v>
      </c>
      <c r="F19" s="11" t="s">
        <v>93</v>
      </c>
      <c r="G19" s="11" t="s">
        <v>93</v>
      </c>
      <c r="H19" s="11"/>
      <c r="I19" s="11" t="b">
        <v>0</v>
      </c>
      <c r="J19" s="11" t="b">
        <v>0</v>
      </c>
      <c r="K19" s="11" t="b">
        <v>0</v>
      </c>
      <c r="L19" s="11" t="b">
        <v>0</v>
      </c>
      <c r="M19" s="11" t="b">
        <v>0</v>
      </c>
      <c r="N19" s="11"/>
      <c r="O19" s="11"/>
      <c r="P19" s="11"/>
      <c r="Q19" s="11"/>
      <c r="R19" s="11" t="b">
        <v>0</v>
      </c>
      <c r="S19" s="11"/>
    </row>
    <row r="20" spans="1:19" x14ac:dyDescent="0.2">
      <c r="A20" s="11" t="s">
        <v>30</v>
      </c>
      <c r="B20" s="11" t="s">
        <v>38</v>
      </c>
      <c r="C20" s="11" t="s">
        <v>120</v>
      </c>
      <c r="D20" s="11" t="s">
        <v>91</v>
      </c>
      <c r="E20" s="11" t="s">
        <v>92</v>
      </c>
      <c r="F20" s="11" t="s">
        <v>93</v>
      </c>
      <c r="G20" s="11" t="s">
        <v>93</v>
      </c>
      <c r="H20" s="11"/>
      <c r="I20" s="11" t="b">
        <v>0</v>
      </c>
      <c r="J20" s="11" t="b">
        <v>0</v>
      </c>
      <c r="K20" s="11" t="b">
        <v>0</v>
      </c>
      <c r="L20" s="11" t="b">
        <v>1</v>
      </c>
      <c r="M20" s="11" t="b">
        <v>1</v>
      </c>
      <c r="N20" s="11"/>
      <c r="O20" s="11"/>
      <c r="P20" s="11"/>
      <c r="Q20" s="11"/>
      <c r="R20" s="11" t="b">
        <v>0</v>
      </c>
      <c r="S20" s="11"/>
    </row>
    <row r="21" spans="1:19" x14ac:dyDescent="0.2">
      <c r="A21" s="11" t="s">
        <v>30</v>
      </c>
      <c r="B21" s="11" t="s">
        <v>121</v>
      </c>
      <c r="C21" s="11" t="s">
        <v>100</v>
      </c>
      <c r="D21" s="11" t="s">
        <v>91</v>
      </c>
      <c r="E21" s="11" t="s">
        <v>96</v>
      </c>
      <c r="F21" s="11" t="s">
        <v>93</v>
      </c>
      <c r="G21" s="11" t="s">
        <v>93</v>
      </c>
      <c r="H21" s="11"/>
      <c r="I21" s="11" t="b">
        <v>0</v>
      </c>
      <c r="J21" s="11" t="b">
        <v>1</v>
      </c>
      <c r="K21" s="11" t="b">
        <v>0</v>
      </c>
      <c r="L21" s="11" t="b">
        <v>0</v>
      </c>
      <c r="M21" s="11" t="b">
        <v>0</v>
      </c>
      <c r="N21" s="11"/>
      <c r="O21" s="11" t="s">
        <v>70</v>
      </c>
      <c r="P21" s="11" t="s">
        <v>122</v>
      </c>
      <c r="Q21" s="11" t="s">
        <v>123</v>
      </c>
      <c r="R21" s="11" t="b">
        <v>0</v>
      </c>
      <c r="S21" s="11"/>
    </row>
    <row r="22" spans="1:19" x14ac:dyDescent="0.2">
      <c r="A22" s="11" t="s">
        <v>39</v>
      </c>
      <c r="B22" s="11" t="s">
        <v>124</v>
      </c>
      <c r="C22" s="11" t="s">
        <v>97</v>
      </c>
      <c r="D22" s="11" t="s">
        <v>91</v>
      </c>
      <c r="E22" s="11" t="s">
        <v>92</v>
      </c>
      <c r="F22" s="11" t="s">
        <v>93</v>
      </c>
      <c r="G22" s="11" t="s">
        <v>93</v>
      </c>
      <c r="H22" s="11"/>
      <c r="I22" s="11" t="b">
        <v>0</v>
      </c>
      <c r="J22" s="11" t="b">
        <v>0</v>
      </c>
      <c r="K22" s="11" t="b">
        <v>0</v>
      </c>
      <c r="L22" s="11" t="b">
        <v>0</v>
      </c>
      <c r="M22" s="11" t="b">
        <v>0</v>
      </c>
      <c r="N22" s="11"/>
      <c r="O22" s="11"/>
      <c r="P22" s="11"/>
      <c r="Q22" s="11"/>
      <c r="R22" s="11" t="b">
        <v>0</v>
      </c>
      <c r="S22" s="11"/>
    </row>
    <row r="23" spans="1:19" x14ac:dyDescent="0.2">
      <c r="A23" s="11" t="s">
        <v>39</v>
      </c>
      <c r="B23" s="11" t="s">
        <v>125</v>
      </c>
      <c r="C23" s="11" t="s">
        <v>98</v>
      </c>
      <c r="D23" s="11" t="s">
        <v>91</v>
      </c>
      <c r="E23" s="11" t="s">
        <v>92</v>
      </c>
      <c r="F23" s="11" t="s">
        <v>93</v>
      </c>
      <c r="G23" s="11" t="s">
        <v>93</v>
      </c>
      <c r="H23" s="11"/>
      <c r="I23" s="11" t="b">
        <v>0</v>
      </c>
      <c r="J23" s="11" t="b">
        <v>0</v>
      </c>
      <c r="K23" s="11" t="b">
        <v>0</v>
      </c>
      <c r="L23" s="11" t="b">
        <v>0</v>
      </c>
      <c r="M23" s="11" t="b">
        <v>0</v>
      </c>
      <c r="N23" s="11"/>
      <c r="O23" s="11"/>
      <c r="P23" s="11"/>
      <c r="Q23" s="11"/>
      <c r="R23" s="11" t="b">
        <v>0</v>
      </c>
      <c r="S23" s="11"/>
    </row>
    <row r="24" spans="1:19" x14ac:dyDescent="0.2">
      <c r="A24" s="11" t="s">
        <v>39</v>
      </c>
      <c r="B24" s="11" t="s">
        <v>45</v>
      </c>
      <c r="C24" s="11" t="s">
        <v>126</v>
      </c>
      <c r="D24" s="11" t="s">
        <v>112</v>
      </c>
      <c r="E24" s="11" t="s">
        <v>92</v>
      </c>
      <c r="F24" s="11" t="s">
        <v>93</v>
      </c>
      <c r="G24" s="11" t="s">
        <v>93</v>
      </c>
      <c r="H24" s="11"/>
      <c r="I24" s="11" t="b">
        <v>0</v>
      </c>
      <c r="J24" s="11" t="b">
        <v>0</v>
      </c>
      <c r="K24" s="11" t="b">
        <v>0</v>
      </c>
      <c r="L24" s="11" t="b">
        <v>0</v>
      </c>
      <c r="M24" s="11" t="b">
        <v>0</v>
      </c>
      <c r="N24" s="11"/>
      <c r="O24" s="11"/>
      <c r="P24" s="11"/>
      <c r="Q24" s="11"/>
      <c r="R24" s="11" t="b">
        <v>0</v>
      </c>
      <c r="S24" s="11"/>
    </row>
    <row r="25" spans="1:19" x14ac:dyDescent="0.2">
      <c r="A25" s="11" t="s">
        <v>39</v>
      </c>
      <c r="B25" s="11" t="s">
        <v>41</v>
      </c>
      <c r="C25" s="11" t="s">
        <v>127</v>
      </c>
      <c r="D25" s="11" t="s">
        <v>112</v>
      </c>
      <c r="E25" s="11" t="s">
        <v>92</v>
      </c>
      <c r="F25" s="11" t="s">
        <v>93</v>
      </c>
      <c r="G25" s="11" t="s">
        <v>93</v>
      </c>
      <c r="H25" s="11"/>
      <c r="I25" s="11" t="b">
        <v>0</v>
      </c>
      <c r="J25" s="11" t="b">
        <v>0</v>
      </c>
      <c r="K25" s="11" t="b">
        <v>0</v>
      </c>
      <c r="L25" s="11" t="b">
        <v>0</v>
      </c>
      <c r="M25" s="11" t="b">
        <v>0</v>
      </c>
      <c r="N25" s="11"/>
      <c r="O25" s="11"/>
      <c r="P25" s="11"/>
      <c r="Q25" s="11"/>
      <c r="R25" s="11" t="b">
        <v>0</v>
      </c>
      <c r="S25" s="11"/>
    </row>
    <row r="26" spans="1:19" x14ac:dyDescent="0.2">
      <c r="A26" s="11" t="s">
        <v>39</v>
      </c>
      <c r="B26" s="11" t="s">
        <v>46</v>
      </c>
      <c r="C26" s="11" t="s">
        <v>128</v>
      </c>
      <c r="D26" s="11" t="s">
        <v>112</v>
      </c>
      <c r="E26" s="11" t="s">
        <v>92</v>
      </c>
      <c r="F26" s="11" t="s">
        <v>93</v>
      </c>
      <c r="G26" s="11" t="s">
        <v>93</v>
      </c>
      <c r="H26" s="11"/>
      <c r="I26" s="11" t="b">
        <v>0</v>
      </c>
      <c r="J26" s="11" t="b">
        <v>0</v>
      </c>
      <c r="K26" s="11" t="b">
        <v>0</v>
      </c>
      <c r="L26" s="11" t="b">
        <v>0</v>
      </c>
      <c r="M26" s="11" t="b">
        <v>0</v>
      </c>
      <c r="N26" s="11"/>
      <c r="O26" s="11"/>
      <c r="P26" s="11"/>
      <c r="Q26" s="11"/>
      <c r="R26" s="11" t="b">
        <v>0</v>
      </c>
      <c r="S26" s="11"/>
    </row>
    <row r="27" spans="1:19" x14ac:dyDescent="0.2">
      <c r="A27" s="11" t="s">
        <v>39</v>
      </c>
      <c r="B27" s="11" t="s">
        <v>43</v>
      </c>
      <c r="C27" s="11" t="s">
        <v>129</v>
      </c>
      <c r="D27" s="11" t="s">
        <v>112</v>
      </c>
      <c r="E27" s="11" t="s">
        <v>92</v>
      </c>
      <c r="F27" s="11" t="s">
        <v>93</v>
      </c>
      <c r="G27" s="11" t="s">
        <v>93</v>
      </c>
      <c r="H27" s="11"/>
      <c r="I27" s="11" t="b">
        <v>0</v>
      </c>
      <c r="J27" s="11" t="b">
        <v>0</v>
      </c>
      <c r="K27" s="11" t="b">
        <v>0</v>
      </c>
      <c r="L27" s="11" t="b">
        <v>0</v>
      </c>
      <c r="M27" s="11" t="b">
        <v>0</v>
      </c>
      <c r="N27" s="11"/>
      <c r="O27" s="11"/>
      <c r="P27" s="11"/>
      <c r="Q27" s="11"/>
      <c r="R27" s="11" t="b">
        <v>0</v>
      </c>
      <c r="S27" s="11"/>
    </row>
    <row r="28" spans="1:19" x14ac:dyDescent="0.2">
      <c r="A28" s="11" t="s">
        <v>42</v>
      </c>
      <c r="B28" s="11" t="s">
        <v>49</v>
      </c>
      <c r="C28" s="11" t="s">
        <v>97</v>
      </c>
      <c r="D28" s="11" t="s">
        <v>91</v>
      </c>
      <c r="E28" s="11" t="s">
        <v>92</v>
      </c>
      <c r="F28" s="11" t="s">
        <v>93</v>
      </c>
      <c r="G28" s="11" t="s">
        <v>93</v>
      </c>
      <c r="H28" s="11"/>
      <c r="I28" s="11" t="b">
        <v>0</v>
      </c>
      <c r="J28" s="11" t="b">
        <v>0</v>
      </c>
      <c r="K28" s="11" t="b">
        <v>0</v>
      </c>
      <c r="L28" s="11" t="b">
        <v>0</v>
      </c>
      <c r="M28" s="11" t="b">
        <v>0</v>
      </c>
      <c r="N28" s="11"/>
      <c r="O28" s="11"/>
      <c r="P28" s="11"/>
      <c r="Q28" s="11"/>
      <c r="R28" s="11" t="b">
        <v>0</v>
      </c>
      <c r="S28" s="11"/>
    </row>
    <row r="29" spans="1:19" x14ac:dyDescent="0.2">
      <c r="A29" s="11" t="s">
        <v>42</v>
      </c>
      <c r="B29" s="11" t="s">
        <v>41</v>
      </c>
      <c r="C29" s="11" t="s">
        <v>98</v>
      </c>
      <c r="D29" s="11" t="s">
        <v>91</v>
      </c>
      <c r="E29" s="11" t="s">
        <v>92</v>
      </c>
      <c r="F29" s="11" t="s">
        <v>93</v>
      </c>
      <c r="G29" s="11" t="s">
        <v>93</v>
      </c>
      <c r="H29" s="11"/>
      <c r="I29" s="11" t="b">
        <v>0</v>
      </c>
      <c r="J29" s="11" t="b">
        <v>0</v>
      </c>
      <c r="K29" s="11" t="b">
        <v>0</v>
      </c>
      <c r="L29" s="11" t="b">
        <v>0</v>
      </c>
      <c r="M29" s="11" t="b">
        <v>0</v>
      </c>
      <c r="N29" s="11"/>
      <c r="O29" s="11"/>
      <c r="P29" s="11"/>
      <c r="Q29" s="11"/>
      <c r="R29" s="11" t="b">
        <v>0</v>
      </c>
      <c r="S29" s="11"/>
    </row>
    <row r="30" spans="1:19" x14ac:dyDescent="0.2">
      <c r="A30" s="11" t="s">
        <v>42</v>
      </c>
      <c r="B30" s="11" t="s">
        <v>99</v>
      </c>
      <c r="C30" s="11" t="s">
        <v>100</v>
      </c>
      <c r="D30" s="11" t="s">
        <v>91</v>
      </c>
      <c r="E30" s="11" t="s">
        <v>96</v>
      </c>
      <c r="F30" s="11" t="s">
        <v>93</v>
      </c>
      <c r="G30" s="11" t="s">
        <v>93</v>
      </c>
      <c r="H30" s="11"/>
      <c r="I30" s="11" t="b">
        <v>0</v>
      </c>
      <c r="J30" s="11" t="b">
        <v>0</v>
      </c>
      <c r="K30" s="11" t="b">
        <v>0</v>
      </c>
      <c r="L30" s="11" t="b">
        <v>0</v>
      </c>
      <c r="M30" s="11" t="b">
        <v>0</v>
      </c>
      <c r="N30" s="11"/>
      <c r="O30" s="11"/>
      <c r="P30" s="11"/>
      <c r="Q30" s="11"/>
      <c r="R30" s="11" t="b">
        <v>0</v>
      </c>
      <c r="S30" s="11"/>
    </row>
    <row r="31" spans="1:19" x14ac:dyDescent="0.2">
      <c r="A31" s="11" t="s">
        <v>42</v>
      </c>
      <c r="B31" s="11" t="s">
        <v>50</v>
      </c>
      <c r="C31" s="11" t="s">
        <v>101</v>
      </c>
      <c r="D31" s="11" t="s">
        <v>102</v>
      </c>
      <c r="E31" s="11" t="s">
        <v>92</v>
      </c>
      <c r="F31" s="11" t="s">
        <v>93</v>
      </c>
      <c r="G31" s="11" t="s">
        <v>93</v>
      </c>
      <c r="H31" s="11"/>
      <c r="I31" s="11" t="b">
        <v>0</v>
      </c>
      <c r="J31" s="11" t="b">
        <v>0</v>
      </c>
      <c r="K31" s="11" t="b">
        <v>0</v>
      </c>
      <c r="L31" s="11" t="b">
        <v>0</v>
      </c>
      <c r="M31" s="11" t="b">
        <v>0</v>
      </c>
      <c r="N31" s="11"/>
      <c r="O31" s="11"/>
      <c r="P31" s="11"/>
      <c r="Q31" s="11"/>
      <c r="R31" s="11" t="b">
        <v>0</v>
      </c>
      <c r="S31" s="11"/>
    </row>
    <row r="32" spans="1:19" x14ac:dyDescent="0.2">
      <c r="A32" s="11" t="s">
        <v>42</v>
      </c>
      <c r="B32" s="11" t="s">
        <v>51</v>
      </c>
      <c r="C32" s="11" t="s">
        <v>130</v>
      </c>
      <c r="D32" s="11" t="s">
        <v>112</v>
      </c>
      <c r="E32" s="11" t="s">
        <v>92</v>
      </c>
      <c r="F32" s="11" t="s">
        <v>93</v>
      </c>
      <c r="G32" s="11" t="s">
        <v>93</v>
      </c>
      <c r="H32" s="11"/>
      <c r="I32" s="11" t="b">
        <v>0</v>
      </c>
      <c r="J32" s="11" t="b">
        <v>0</v>
      </c>
      <c r="K32" s="11" t="b">
        <v>0</v>
      </c>
      <c r="L32" s="11" t="b">
        <v>0</v>
      </c>
      <c r="M32" s="11" t="b">
        <v>0</v>
      </c>
      <c r="N32" s="11"/>
      <c r="O32" s="11"/>
      <c r="P32" s="11"/>
      <c r="Q32" s="11"/>
      <c r="R32" s="11" t="b">
        <v>0</v>
      </c>
      <c r="S32" s="11"/>
    </row>
    <row r="33" spans="1:19" x14ac:dyDescent="0.2">
      <c r="A33" s="11" t="s">
        <v>42</v>
      </c>
      <c r="B33" s="11" t="s">
        <v>131</v>
      </c>
      <c r="C33" s="11" t="s">
        <v>100</v>
      </c>
      <c r="D33" s="11" t="s">
        <v>91</v>
      </c>
      <c r="E33" s="11" t="s">
        <v>96</v>
      </c>
      <c r="F33" s="11" t="s">
        <v>93</v>
      </c>
      <c r="G33" s="11" t="s">
        <v>93</v>
      </c>
      <c r="H33" s="11"/>
      <c r="I33" s="11" t="b">
        <v>0</v>
      </c>
      <c r="J33" s="11" t="b">
        <v>0</v>
      </c>
      <c r="K33" s="11" t="b">
        <v>0</v>
      </c>
      <c r="L33" s="11" t="b">
        <v>0</v>
      </c>
      <c r="M33" s="11" t="b">
        <v>0</v>
      </c>
      <c r="N33" s="11"/>
      <c r="O33" s="11"/>
      <c r="P33" s="11"/>
      <c r="Q33" s="11"/>
      <c r="R33" s="11" t="b">
        <v>0</v>
      </c>
      <c r="S33" s="11"/>
    </row>
    <row r="34" spans="1:19" x14ac:dyDescent="0.2">
      <c r="A34" s="11" t="s">
        <v>42</v>
      </c>
      <c r="B34" s="11" t="s">
        <v>113</v>
      </c>
      <c r="C34" s="11" t="s">
        <v>114</v>
      </c>
      <c r="D34" s="11" t="s">
        <v>115</v>
      </c>
      <c r="E34" s="11" t="s">
        <v>92</v>
      </c>
      <c r="F34" s="11" t="s">
        <v>93</v>
      </c>
      <c r="G34" s="11" t="s">
        <v>93</v>
      </c>
      <c r="H34" s="11"/>
      <c r="I34" s="11" t="b">
        <v>0</v>
      </c>
      <c r="J34" s="11" t="b">
        <v>0</v>
      </c>
      <c r="K34" s="11" t="b">
        <v>0</v>
      </c>
      <c r="L34" s="11" t="b">
        <v>0</v>
      </c>
      <c r="M34" s="11" t="b">
        <v>0</v>
      </c>
      <c r="N34" s="11"/>
      <c r="O34" s="11"/>
      <c r="P34" s="11"/>
      <c r="Q34" s="11"/>
      <c r="R34" s="11" t="b">
        <v>0</v>
      </c>
      <c r="S34" s="11"/>
    </row>
    <row r="35" spans="1:19" x14ac:dyDescent="0.2">
      <c r="A35" s="11" t="s">
        <v>42</v>
      </c>
      <c r="B35" s="11" t="s">
        <v>116</v>
      </c>
      <c r="C35" s="11" t="s">
        <v>100</v>
      </c>
      <c r="D35" s="11" t="s">
        <v>91</v>
      </c>
      <c r="E35" s="11" t="s">
        <v>96</v>
      </c>
      <c r="F35" s="11" t="s">
        <v>93</v>
      </c>
      <c r="G35" s="11" t="s">
        <v>93</v>
      </c>
      <c r="H35" s="11"/>
      <c r="I35" s="11" t="b">
        <v>0</v>
      </c>
      <c r="J35" s="11" t="b">
        <v>0</v>
      </c>
      <c r="K35" s="11" t="b">
        <v>0</v>
      </c>
      <c r="L35" s="11" t="b">
        <v>0</v>
      </c>
      <c r="M35" s="11" t="b">
        <v>0</v>
      </c>
      <c r="N35" s="11"/>
      <c r="O35" s="11"/>
      <c r="P35" s="11"/>
      <c r="Q35" s="11"/>
      <c r="R35" s="11" t="b">
        <v>0</v>
      </c>
      <c r="S35" s="11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1" width="25" customWidth="1"/>
  </cols>
  <sheetData>
    <row r="1" spans="1:11" ht="20" customHeight="1" x14ac:dyDescent="0.2">
      <c r="A1" s="10" t="s">
        <v>22</v>
      </c>
      <c r="B1" s="10" t="s">
        <v>38</v>
      </c>
      <c r="C1" s="10" t="s">
        <v>99</v>
      </c>
      <c r="D1" s="10" t="s">
        <v>26</v>
      </c>
      <c r="E1" s="10" t="s">
        <v>103</v>
      </c>
      <c r="F1" s="10" t="s">
        <v>106</v>
      </c>
      <c r="G1" s="10" t="s">
        <v>108</v>
      </c>
      <c r="H1" s="10" t="s">
        <v>110</v>
      </c>
      <c r="I1" s="10" t="s">
        <v>28</v>
      </c>
      <c r="J1" s="10" t="s">
        <v>113</v>
      </c>
      <c r="K1" s="10" t="s">
        <v>116</v>
      </c>
    </row>
    <row r="2" spans="1:11" x14ac:dyDescent="0.2">
      <c r="A2" s="15" t="s">
        <v>165</v>
      </c>
      <c r="B2" s="18" t="str">
        <f>IF(assay[[#This Row],[Assay Name]]="","",SUBSTITUTE(SUBSTITUTE(TRIM(assay[[#This Row],[Assay Name]])," ","_"),"-","_"))</f>
        <v>new_pTT384_Plate1</v>
      </c>
      <c r="C2" s="18"/>
      <c r="D2" s="15" t="s">
        <v>167</v>
      </c>
      <c r="E2" s="11"/>
      <c r="F2" s="11"/>
      <c r="G2" s="15" t="s">
        <v>166</v>
      </c>
      <c r="H2" s="18"/>
      <c r="I2" s="11">
        <v>30</v>
      </c>
      <c r="J2" s="11"/>
      <c r="K2" s="18"/>
    </row>
  </sheetData>
  <pageMargins left="0.75" right="0.75" top="1" bottom="1" header="0.5" footer="0.5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97"/>
  <sheetViews>
    <sheetView zoomScale="160" zoomScaleNormal="160" workbookViewId="0">
      <pane ySplit="1" topLeftCell="A78" activePane="bottomLeft" state="frozen"/>
      <selection pane="bottomLeft" activeCell="E81" sqref="E81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0" t="s">
        <v>117</v>
      </c>
      <c r="B1" s="10" t="s">
        <v>45</v>
      </c>
      <c r="C1" s="10" t="s">
        <v>32</v>
      </c>
      <c r="D1" s="10" t="s">
        <v>34</v>
      </c>
      <c r="E1" s="10" t="s">
        <v>38</v>
      </c>
      <c r="F1" s="10" t="s">
        <v>121</v>
      </c>
    </row>
    <row r="2" spans="1:6" ht="16" x14ac:dyDescent="0.2">
      <c r="A2" s="16" t="str">
        <f>"Sample_A"&amp;[1]!Table_178[[#This Row],[Column]]&amp;"_"&amp;[1]!Table_178[[#This Row],[Assay ID]]</f>
        <v>Sample_A1_Plate1</v>
      </c>
      <c r="B2" s="18" t="str">
        <f>IF(sample[[#This Row],[Sample Name]]="","",SUBSTITUTE(SUBSTITUTE(TRIM(sample[[#This Row],[Sample Name]])," ","_"),"-","_"))</f>
        <v>Sample_A1_Plate1</v>
      </c>
      <c r="C2" s="16">
        <v>1</v>
      </c>
      <c r="D2" s="16">
        <v>1</v>
      </c>
      <c r="E2" s="17" t="s">
        <v>165</v>
      </c>
      <c r="F2" s="11" t="s">
        <v>132</v>
      </c>
    </row>
    <row r="3" spans="1:6" ht="16" x14ac:dyDescent="0.2">
      <c r="A3" s="16" t="str">
        <f>"Sample_A"&amp;[1]!Table_178[[#This Row],[Column]]&amp;"_"&amp;[1]!Table_178[[#This Row],[Assay ID]]</f>
        <v>Sample_A2_Plate1</v>
      </c>
      <c r="B3" s="19" t="str">
        <f>IF(sample[[#This Row],[Sample Name]]="","",SUBSTITUTE(SUBSTITUTE(TRIM(sample[[#This Row],[Sample Name]])," ","_"),"-","_"))</f>
        <v>Sample_A2_Plate1</v>
      </c>
      <c r="C3" s="16">
        <v>1</v>
      </c>
      <c r="D3" s="16">
        <v>2</v>
      </c>
      <c r="E3" s="17" t="s">
        <v>165</v>
      </c>
      <c r="F3" t="s">
        <v>132</v>
      </c>
    </row>
    <row r="4" spans="1:6" ht="16" x14ac:dyDescent="0.2">
      <c r="A4" s="16" t="str">
        <f>"Sample_A"&amp;[1]!Table_178[[#This Row],[Column]]&amp;"_"&amp;[1]!Table_178[[#This Row],[Assay ID]]</f>
        <v>Sample_A3_Plate1</v>
      </c>
      <c r="B4" s="19" t="str">
        <f>IF(sample[[#This Row],[Sample Name]]="","",SUBSTITUTE(SUBSTITUTE(TRIM(sample[[#This Row],[Sample Name]])," ","_"),"-","_"))</f>
        <v>Sample_A3_Plate1</v>
      </c>
      <c r="C4" s="16">
        <v>1</v>
      </c>
      <c r="D4" s="16">
        <v>3</v>
      </c>
      <c r="E4" s="17" t="s">
        <v>165</v>
      </c>
      <c r="F4" t="s">
        <v>132</v>
      </c>
    </row>
    <row r="5" spans="1:6" ht="16" x14ac:dyDescent="0.2">
      <c r="A5" s="16" t="str">
        <f>"Sample_A"&amp;[1]!Table_178[[#This Row],[Column]]&amp;"_"&amp;[1]!Table_178[[#This Row],[Assay ID]]</f>
        <v>Sample_A4_Plate1</v>
      </c>
      <c r="B5" s="19" t="str">
        <f>IF(sample[[#This Row],[Sample Name]]="","",SUBSTITUTE(SUBSTITUTE(TRIM(sample[[#This Row],[Sample Name]])," ","_"),"-","_"))</f>
        <v>Sample_A4_Plate1</v>
      </c>
      <c r="C5" s="16">
        <v>1</v>
      </c>
      <c r="D5" s="16">
        <v>4</v>
      </c>
      <c r="E5" s="17" t="s">
        <v>165</v>
      </c>
      <c r="F5" t="s">
        <v>132</v>
      </c>
    </row>
    <row r="6" spans="1:6" ht="16" x14ac:dyDescent="0.2">
      <c r="A6" s="16" t="str">
        <f>"Sample_A"&amp;[1]!Table_178[[#This Row],[Column]]&amp;"_"&amp;[1]!Table_178[[#This Row],[Assay ID]]</f>
        <v>Sample_A5_Plate1</v>
      </c>
      <c r="B6" s="19" t="str">
        <f>IF(sample[[#This Row],[Sample Name]]="","",SUBSTITUTE(SUBSTITUTE(TRIM(sample[[#This Row],[Sample Name]])," ","_"),"-","_"))</f>
        <v>Sample_A5_Plate1</v>
      </c>
      <c r="C6" s="16">
        <v>1</v>
      </c>
      <c r="D6" s="16">
        <v>5</v>
      </c>
      <c r="E6" s="17" t="s">
        <v>165</v>
      </c>
      <c r="F6" t="s">
        <v>132</v>
      </c>
    </row>
    <row r="7" spans="1:6" ht="16" x14ac:dyDescent="0.2">
      <c r="A7" s="16" t="str">
        <f>"Sample_A"&amp;[1]!Table_178[[#This Row],[Column]]&amp;"_"&amp;[1]!Table_178[[#This Row],[Assay ID]]</f>
        <v>Sample_A6_Plate1</v>
      </c>
      <c r="B7" s="19" t="str">
        <f>IF(sample[[#This Row],[Sample Name]]="","",SUBSTITUTE(SUBSTITUTE(TRIM(sample[[#This Row],[Sample Name]])," ","_"),"-","_"))</f>
        <v>Sample_A6_Plate1</v>
      </c>
      <c r="C7" s="16">
        <v>1</v>
      </c>
      <c r="D7" s="16">
        <v>6</v>
      </c>
      <c r="E7" s="17" t="s">
        <v>165</v>
      </c>
      <c r="F7" t="s">
        <v>132</v>
      </c>
    </row>
    <row r="8" spans="1:6" ht="16" x14ac:dyDescent="0.2">
      <c r="A8" s="16" t="str">
        <f>"Sample_A"&amp;[1]!Table_178[[#This Row],[Column]]&amp;"_"&amp;[1]!Table_178[[#This Row],[Assay ID]]</f>
        <v>Sample_A7_Plate1</v>
      </c>
      <c r="B8" s="19" t="str">
        <f>IF(sample[[#This Row],[Sample Name]]="","",SUBSTITUTE(SUBSTITUTE(TRIM(sample[[#This Row],[Sample Name]])," ","_"),"-","_"))</f>
        <v>Sample_A7_Plate1</v>
      </c>
      <c r="C8" s="16">
        <v>1</v>
      </c>
      <c r="D8" s="16">
        <v>7</v>
      </c>
      <c r="E8" s="17" t="s">
        <v>165</v>
      </c>
      <c r="F8" t="s">
        <v>132</v>
      </c>
    </row>
    <row r="9" spans="1:6" ht="16" x14ac:dyDescent="0.2">
      <c r="A9" s="16" t="str">
        <f>"Sample_A"&amp;[1]!Table_178[[#This Row],[Column]]&amp;"_"&amp;[1]!Table_178[[#This Row],[Assay ID]]</f>
        <v>Sample_A8_Plate1</v>
      </c>
      <c r="B9" s="19" t="str">
        <f>IF(sample[[#This Row],[Sample Name]]="","",SUBSTITUTE(SUBSTITUTE(TRIM(sample[[#This Row],[Sample Name]])," ","_"),"-","_"))</f>
        <v>Sample_A8_Plate1</v>
      </c>
      <c r="C9" s="16">
        <v>1</v>
      </c>
      <c r="D9" s="16">
        <v>8</v>
      </c>
      <c r="E9" s="17" t="s">
        <v>165</v>
      </c>
      <c r="F9" t="s">
        <v>132</v>
      </c>
    </row>
    <row r="10" spans="1:6" ht="16" x14ac:dyDescent="0.2">
      <c r="A10" s="16" t="str">
        <f>"Sample_A"&amp;[1]!Table_178[[#This Row],[Column]]&amp;"_"&amp;[1]!Table_178[[#This Row],[Assay ID]]</f>
        <v>Sample_A9_Plate1</v>
      </c>
      <c r="B10" s="19" t="str">
        <f>IF(sample[[#This Row],[Sample Name]]="","",SUBSTITUTE(SUBSTITUTE(TRIM(sample[[#This Row],[Sample Name]])," ","_"),"-","_"))</f>
        <v>Sample_A9_Plate1</v>
      </c>
      <c r="C10" s="16">
        <v>1</v>
      </c>
      <c r="D10" s="16">
        <v>9</v>
      </c>
      <c r="E10" s="17" t="s">
        <v>165</v>
      </c>
      <c r="F10" t="s">
        <v>132</v>
      </c>
    </row>
    <row r="11" spans="1:6" ht="16" x14ac:dyDescent="0.2">
      <c r="A11" s="16" t="str">
        <f>"Sample_A"&amp;[1]!Table_178[[#This Row],[Column]]&amp;"_"&amp;[1]!Table_178[[#This Row],[Assay ID]]</f>
        <v>Sample_A10_Plate1</v>
      </c>
      <c r="B11" s="19" t="str">
        <f>IF(sample[[#This Row],[Sample Name]]="","",SUBSTITUTE(SUBSTITUTE(TRIM(sample[[#This Row],[Sample Name]])," ","_"),"-","_"))</f>
        <v>Sample_A10_Plate1</v>
      </c>
      <c r="C11" s="16">
        <v>1</v>
      </c>
      <c r="D11" s="16">
        <v>10</v>
      </c>
      <c r="E11" s="17" t="s">
        <v>165</v>
      </c>
      <c r="F11" t="s">
        <v>132</v>
      </c>
    </row>
    <row r="12" spans="1:6" ht="16" x14ac:dyDescent="0.2">
      <c r="A12" s="16" t="str">
        <f>"Sample_A"&amp;[1]!Table_178[[#This Row],[Column]]&amp;"_"&amp;[1]!Table_178[[#This Row],[Assay ID]]</f>
        <v>Sample_A11_Plate1</v>
      </c>
      <c r="B12" s="19" t="str">
        <f>IF(sample[[#This Row],[Sample Name]]="","",SUBSTITUTE(SUBSTITUTE(TRIM(sample[[#This Row],[Sample Name]])," ","_"),"-","_"))</f>
        <v>Sample_A11_Plate1</v>
      </c>
      <c r="C12" s="16">
        <v>1</v>
      </c>
      <c r="D12" s="16">
        <v>11</v>
      </c>
      <c r="E12" s="17" t="s">
        <v>165</v>
      </c>
      <c r="F12" t="s">
        <v>132</v>
      </c>
    </row>
    <row r="13" spans="1:6" ht="16" x14ac:dyDescent="0.2">
      <c r="A13" s="16" t="str">
        <f>"Sample_A"&amp;[1]!Table_178[[#This Row],[Column]]&amp;"_"&amp;[1]!Table_178[[#This Row],[Assay ID]]</f>
        <v>Sample_A12_Plate1</v>
      </c>
      <c r="B13" s="19" t="str">
        <f>IF(sample[[#This Row],[Sample Name]]="","",SUBSTITUTE(SUBSTITUTE(TRIM(sample[[#This Row],[Sample Name]])," ","_"),"-","_"))</f>
        <v>Sample_A12_Plate1</v>
      </c>
      <c r="C13" s="16">
        <v>1</v>
      </c>
      <c r="D13" s="16">
        <v>12</v>
      </c>
      <c r="E13" s="17" t="s">
        <v>165</v>
      </c>
      <c r="F13" t="s">
        <v>132</v>
      </c>
    </row>
    <row r="14" spans="1:6" ht="16" x14ac:dyDescent="0.2">
      <c r="A14" s="16" t="str">
        <f>"Sample_B"&amp;[1]!Table_178[[#This Row],[Column]]&amp;"_"&amp;[1]!Table_178[[#This Row],[Assay ID]]</f>
        <v>Sample_B1_Plate1</v>
      </c>
      <c r="B14" s="19" t="str">
        <f>IF(sample[[#This Row],[Sample Name]]="","",SUBSTITUTE(SUBSTITUTE(TRIM(sample[[#This Row],[Sample Name]])," ","_"),"-","_"))</f>
        <v>Sample_B1_Plate1</v>
      </c>
      <c r="C14" s="16">
        <f>C2+1</f>
        <v>2</v>
      </c>
      <c r="D14" s="16">
        <f>D2</f>
        <v>1</v>
      </c>
      <c r="E14" s="17" t="s">
        <v>165</v>
      </c>
      <c r="F14" t="s">
        <v>132</v>
      </c>
    </row>
    <row r="15" spans="1:6" ht="16" x14ac:dyDescent="0.2">
      <c r="A15" s="16" t="str">
        <f>"Sample_B"&amp;[1]!Table_178[[#This Row],[Column]]&amp;"_"&amp;[1]!Table_178[[#This Row],[Assay ID]]</f>
        <v>Sample_B2_Plate1</v>
      </c>
      <c r="B15" s="19" t="str">
        <f>IF(sample[[#This Row],[Sample Name]]="","",SUBSTITUTE(SUBSTITUTE(TRIM(sample[[#This Row],[Sample Name]])," ","_"),"-","_"))</f>
        <v>Sample_B2_Plate1</v>
      </c>
      <c r="C15" s="16">
        <f t="shared" ref="C15:C78" si="0">C3+1</f>
        <v>2</v>
      </c>
      <c r="D15" s="16">
        <f t="shared" ref="D15:D78" si="1">D3</f>
        <v>2</v>
      </c>
      <c r="E15" s="17" t="s">
        <v>165</v>
      </c>
      <c r="F15" t="s">
        <v>133</v>
      </c>
    </row>
    <row r="16" spans="1:6" ht="16" x14ac:dyDescent="0.2">
      <c r="A16" s="16" t="str">
        <f>"Sample_B"&amp;[1]!Table_178[[#This Row],[Column]]&amp;"_"&amp;[1]!Table_178[[#This Row],[Assay ID]]</f>
        <v>Sample_B3_Plate1</v>
      </c>
      <c r="B16" s="19" t="str">
        <f>IF(sample[[#This Row],[Sample Name]]="","",SUBSTITUTE(SUBSTITUTE(TRIM(sample[[#This Row],[Sample Name]])," ","_"),"-","_"))</f>
        <v>Sample_B3_Plate1</v>
      </c>
      <c r="C16" s="16">
        <f t="shared" si="0"/>
        <v>2</v>
      </c>
      <c r="D16" s="16">
        <f t="shared" si="1"/>
        <v>3</v>
      </c>
      <c r="E16" s="17" t="s">
        <v>165</v>
      </c>
      <c r="F16" t="s">
        <v>134</v>
      </c>
    </row>
    <row r="17" spans="1:6" ht="16" x14ac:dyDescent="0.2">
      <c r="A17" s="16" t="str">
        <f>"Sample_B"&amp;[1]!Table_178[[#This Row],[Column]]&amp;"_"&amp;[1]!Table_178[[#This Row],[Assay ID]]</f>
        <v>Sample_B4_Plate1</v>
      </c>
      <c r="B17" s="19" t="str">
        <f>IF(sample[[#This Row],[Sample Name]]="","",SUBSTITUTE(SUBSTITUTE(TRIM(sample[[#This Row],[Sample Name]])," ","_"),"-","_"))</f>
        <v>Sample_B4_Plate1</v>
      </c>
      <c r="C17" s="16">
        <f t="shared" si="0"/>
        <v>2</v>
      </c>
      <c r="D17" s="16">
        <f t="shared" si="1"/>
        <v>4</v>
      </c>
      <c r="E17" s="17" t="s">
        <v>165</v>
      </c>
      <c r="F17" t="s">
        <v>135</v>
      </c>
    </row>
    <row r="18" spans="1:6" ht="16" x14ac:dyDescent="0.2">
      <c r="A18" s="16" t="str">
        <f>"Sample_B"&amp;[1]!Table_178[[#This Row],[Column]]&amp;"_"&amp;[1]!Table_178[[#This Row],[Assay ID]]</f>
        <v>Sample_B5_Plate1</v>
      </c>
      <c r="B18" s="19" t="str">
        <f>IF(sample[[#This Row],[Sample Name]]="","",SUBSTITUTE(SUBSTITUTE(TRIM(sample[[#This Row],[Sample Name]])," ","_"),"-","_"))</f>
        <v>Sample_B5_Plate1</v>
      </c>
      <c r="C18" s="16">
        <f t="shared" si="0"/>
        <v>2</v>
      </c>
      <c r="D18" s="16">
        <f t="shared" si="1"/>
        <v>5</v>
      </c>
      <c r="E18" s="17" t="s">
        <v>165</v>
      </c>
      <c r="F18" t="s">
        <v>136</v>
      </c>
    </row>
    <row r="19" spans="1:6" ht="16" x14ac:dyDescent="0.2">
      <c r="A19" s="16" t="str">
        <f>"Sample_B"&amp;[1]!Table_178[[#This Row],[Column]]&amp;"_"&amp;[1]!Table_178[[#This Row],[Assay ID]]</f>
        <v>Sample_B6_Plate1</v>
      </c>
      <c r="B19" s="19" t="str">
        <f>IF(sample[[#This Row],[Sample Name]]="","",SUBSTITUTE(SUBSTITUTE(TRIM(sample[[#This Row],[Sample Name]])," ","_"),"-","_"))</f>
        <v>Sample_B6_Plate1</v>
      </c>
      <c r="C19" s="16">
        <f t="shared" si="0"/>
        <v>2</v>
      </c>
      <c r="D19" s="16">
        <f t="shared" si="1"/>
        <v>6</v>
      </c>
      <c r="E19" s="17" t="s">
        <v>165</v>
      </c>
      <c r="F19" t="s">
        <v>137</v>
      </c>
    </row>
    <row r="20" spans="1:6" ht="16" x14ac:dyDescent="0.2">
      <c r="A20" s="16" t="str">
        <f>"Sample_B"&amp;[1]!Table_178[[#This Row],[Column]]&amp;"_"&amp;[1]!Table_178[[#This Row],[Assay ID]]</f>
        <v>Sample_B7_Plate1</v>
      </c>
      <c r="B20" s="19" t="str">
        <f>IF(sample[[#This Row],[Sample Name]]="","",SUBSTITUTE(SUBSTITUTE(TRIM(sample[[#This Row],[Sample Name]])," ","_"),"-","_"))</f>
        <v>Sample_B7_Plate1</v>
      </c>
      <c r="C20" s="16">
        <f t="shared" si="0"/>
        <v>2</v>
      </c>
      <c r="D20" s="16">
        <f t="shared" si="1"/>
        <v>7</v>
      </c>
      <c r="E20" s="17" t="s">
        <v>165</v>
      </c>
      <c r="F20" t="s">
        <v>138</v>
      </c>
    </row>
    <row r="21" spans="1:6" ht="16" x14ac:dyDescent="0.2">
      <c r="A21" s="16" t="str">
        <f>"Sample_B"&amp;[1]!Table_178[[#This Row],[Column]]&amp;"_"&amp;[1]!Table_178[[#This Row],[Assay ID]]</f>
        <v>Sample_B8_Plate1</v>
      </c>
      <c r="B21" s="19" t="str">
        <f>IF(sample[[#This Row],[Sample Name]]="","",SUBSTITUTE(SUBSTITUTE(TRIM(sample[[#This Row],[Sample Name]])," ","_"),"-","_"))</f>
        <v>Sample_B8_Plate1</v>
      </c>
      <c r="C21" s="16">
        <f t="shared" si="0"/>
        <v>2</v>
      </c>
      <c r="D21" s="16">
        <f t="shared" si="1"/>
        <v>8</v>
      </c>
      <c r="E21" s="17" t="s">
        <v>165</v>
      </c>
      <c r="F21" t="s">
        <v>139</v>
      </c>
    </row>
    <row r="22" spans="1:6" ht="16" x14ac:dyDescent="0.2">
      <c r="A22" s="16" t="str">
        <f>"Sample_B"&amp;[1]!Table_178[[#This Row],[Column]]&amp;"_"&amp;[1]!Table_178[[#This Row],[Assay ID]]</f>
        <v>Sample_B9_Plate1</v>
      </c>
      <c r="B22" s="19" t="str">
        <f>IF(sample[[#This Row],[Sample Name]]="","",SUBSTITUTE(SUBSTITUTE(TRIM(sample[[#This Row],[Sample Name]])," ","_"),"-","_"))</f>
        <v>Sample_B9_Plate1</v>
      </c>
      <c r="C22" s="16">
        <f t="shared" si="0"/>
        <v>2</v>
      </c>
      <c r="D22" s="16">
        <f t="shared" si="1"/>
        <v>9</v>
      </c>
      <c r="E22" s="17" t="s">
        <v>165</v>
      </c>
      <c r="F22" t="s">
        <v>140</v>
      </c>
    </row>
    <row r="23" spans="1:6" ht="16" x14ac:dyDescent="0.2">
      <c r="A23" s="16" t="str">
        <f>"Sample_B"&amp;[1]!Table_178[[#This Row],[Column]]&amp;"_"&amp;[1]!Table_178[[#This Row],[Assay ID]]</f>
        <v>Sample_B10_Plate1</v>
      </c>
      <c r="B23" s="19" t="str">
        <f>IF(sample[[#This Row],[Sample Name]]="","",SUBSTITUTE(SUBSTITUTE(TRIM(sample[[#This Row],[Sample Name]])," ","_"),"-","_"))</f>
        <v>Sample_B10_Plate1</v>
      </c>
      <c r="C23" s="16">
        <f t="shared" si="0"/>
        <v>2</v>
      </c>
      <c r="D23" s="16">
        <f t="shared" si="1"/>
        <v>10</v>
      </c>
      <c r="E23" s="17" t="s">
        <v>165</v>
      </c>
      <c r="F23" t="s">
        <v>141</v>
      </c>
    </row>
    <row r="24" spans="1:6" ht="16" x14ac:dyDescent="0.2">
      <c r="A24" s="16" t="str">
        <f>"Sample_B"&amp;[1]!Table_178[[#This Row],[Column]]&amp;"_"&amp;[1]!Table_178[[#This Row],[Assay ID]]</f>
        <v>Sample_B11_Plate1</v>
      </c>
      <c r="B24" s="19" t="str">
        <f>IF(sample[[#This Row],[Sample Name]]="","",SUBSTITUTE(SUBSTITUTE(TRIM(sample[[#This Row],[Sample Name]])," ","_"),"-","_"))</f>
        <v>Sample_B11_Plate1</v>
      </c>
      <c r="C24" s="16">
        <f t="shared" si="0"/>
        <v>2</v>
      </c>
      <c r="D24" s="16">
        <f t="shared" si="1"/>
        <v>11</v>
      </c>
      <c r="E24" s="17" t="s">
        <v>165</v>
      </c>
      <c r="F24" t="s">
        <v>142</v>
      </c>
    </row>
    <row r="25" spans="1:6" ht="16" x14ac:dyDescent="0.2">
      <c r="A25" s="16" t="str">
        <f>"Sample_B"&amp;[1]!Table_178[[#This Row],[Column]]&amp;"_"&amp;[1]!Table_178[[#This Row],[Assay ID]]</f>
        <v>Sample_B12_Plate1</v>
      </c>
      <c r="B25" s="19" t="str">
        <f>IF(sample[[#This Row],[Sample Name]]="","",SUBSTITUTE(SUBSTITUTE(TRIM(sample[[#This Row],[Sample Name]])," ","_"),"-","_"))</f>
        <v>Sample_B12_Plate1</v>
      </c>
      <c r="C25" s="16">
        <f t="shared" si="0"/>
        <v>2</v>
      </c>
      <c r="D25" s="16">
        <f t="shared" si="1"/>
        <v>12</v>
      </c>
      <c r="E25" s="17" t="s">
        <v>165</v>
      </c>
      <c r="F25" t="s">
        <v>132</v>
      </c>
    </row>
    <row r="26" spans="1:6" ht="16" x14ac:dyDescent="0.2">
      <c r="A26" s="16" t="str">
        <f>"Sample_C"&amp;[1]!Table_178[[#This Row],[Column]]&amp;"_"&amp;[1]!Table_178[[#This Row],[Assay ID]]</f>
        <v>Sample_C1_Plate1</v>
      </c>
      <c r="B26" s="19" t="str">
        <f>IF(sample[[#This Row],[Sample Name]]="","",SUBSTITUTE(SUBSTITUTE(TRIM(sample[[#This Row],[Sample Name]])," ","_"),"-","_"))</f>
        <v>Sample_C1_Plate1</v>
      </c>
      <c r="C26" s="16">
        <f t="shared" si="0"/>
        <v>3</v>
      </c>
      <c r="D26" s="16">
        <f t="shared" si="1"/>
        <v>1</v>
      </c>
      <c r="E26" s="17" t="s">
        <v>165</v>
      </c>
      <c r="F26" t="s">
        <v>132</v>
      </c>
    </row>
    <row r="27" spans="1:6" ht="16" x14ac:dyDescent="0.2">
      <c r="A27" s="16" t="str">
        <f>"Sample_C"&amp;[1]!Table_178[[#This Row],[Column]]&amp;"_"&amp;[1]!Table_178[[#This Row],[Assay ID]]</f>
        <v>Sample_C2_Plate1</v>
      </c>
      <c r="B27" s="19" t="str">
        <f>IF(sample[[#This Row],[Sample Name]]="","",SUBSTITUTE(SUBSTITUTE(TRIM(sample[[#This Row],[Sample Name]])," ","_"),"-","_"))</f>
        <v>Sample_C2_Plate1</v>
      </c>
      <c r="C27" s="16">
        <f t="shared" si="0"/>
        <v>3</v>
      </c>
      <c r="D27" s="16">
        <f t="shared" si="1"/>
        <v>2</v>
      </c>
      <c r="E27" s="17" t="s">
        <v>165</v>
      </c>
      <c r="F27" t="s">
        <v>133</v>
      </c>
    </row>
    <row r="28" spans="1:6" ht="16" x14ac:dyDescent="0.2">
      <c r="A28" s="16" t="str">
        <f>"Sample_C"&amp;[1]!Table_178[[#This Row],[Column]]&amp;"_"&amp;[1]!Table_178[[#This Row],[Assay ID]]</f>
        <v>Sample_C3_Plate1</v>
      </c>
      <c r="B28" s="19" t="str">
        <f>IF(sample[[#This Row],[Sample Name]]="","",SUBSTITUTE(SUBSTITUTE(TRIM(sample[[#This Row],[Sample Name]])," ","_"),"-","_"))</f>
        <v>Sample_C3_Plate1</v>
      </c>
      <c r="C28" s="16">
        <f t="shared" si="0"/>
        <v>3</v>
      </c>
      <c r="D28" s="16">
        <f t="shared" si="1"/>
        <v>3</v>
      </c>
      <c r="E28" s="17" t="s">
        <v>165</v>
      </c>
      <c r="F28" t="s">
        <v>134</v>
      </c>
    </row>
    <row r="29" spans="1:6" ht="16" x14ac:dyDescent="0.2">
      <c r="A29" s="16" t="str">
        <f>"Sample_C"&amp;[1]!Table_178[[#This Row],[Column]]&amp;"_"&amp;[1]!Table_178[[#This Row],[Assay ID]]</f>
        <v>Sample_C4_Plate1</v>
      </c>
      <c r="B29" s="19" t="str">
        <f>IF(sample[[#This Row],[Sample Name]]="","",SUBSTITUTE(SUBSTITUTE(TRIM(sample[[#This Row],[Sample Name]])," ","_"),"-","_"))</f>
        <v>Sample_C4_Plate1</v>
      </c>
      <c r="C29" s="16">
        <f t="shared" si="0"/>
        <v>3</v>
      </c>
      <c r="D29" s="16">
        <f t="shared" si="1"/>
        <v>4</v>
      </c>
      <c r="E29" s="17" t="s">
        <v>165</v>
      </c>
      <c r="F29" t="s">
        <v>135</v>
      </c>
    </row>
    <row r="30" spans="1:6" ht="16" x14ac:dyDescent="0.2">
      <c r="A30" s="16" t="str">
        <f>"Sample_C"&amp;[1]!Table_178[[#This Row],[Column]]&amp;"_"&amp;[1]!Table_178[[#This Row],[Assay ID]]</f>
        <v>Sample_C5_Plate1</v>
      </c>
      <c r="B30" s="19" t="str">
        <f>IF(sample[[#This Row],[Sample Name]]="","",SUBSTITUTE(SUBSTITUTE(TRIM(sample[[#This Row],[Sample Name]])," ","_"),"-","_"))</f>
        <v>Sample_C5_Plate1</v>
      </c>
      <c r="C30" s="16">
        <f t="shared" si="0"/>
        <v>3</v>
      </c>
      <c r="D30" s="16">
        <f t="shared" si="1"/>
        <v>5</v>
      </c>
      <c r="E30" s="17" t="s">
        <v>165</v>
      </c>
      <c r="F30" t="s">
        <v>136</v>
      </c>
    </row>
    <row r="31" spans="1:6" ht="16" x14ac:dyDescent="0.2">
      <c r="A31" s="16" t="str">
        <f>"Sample_C"&amp;[1]!Table_178[[#This Row],[Column]]&amp;"_"&amp;[1]!Table_178[[#This Row],[Assay ID]]</f>
        <v>Sample_C6_Plate1</v>
      </c>
      <c r="B31" s="19" t="str">
        <f>IF(sample[[#This Row],[Sample Name]]="","",SUBSTITUTE(SUBSTITUTE(TRIM(sample[[#This Row],[Sample Name]])," ","_"),"-","_"))</f>
        <v>Sample_C6_Plate1</v>
      </c>
      <c r="C31" s="16">
        <f t="shared" si="0"/>
        <v>3</v>
      </c>
      <c r="D31" s="16">
        <f t="shared" si="1"/>
        <v>6</v>
      </c>
      <c r="E31" s="17" t="s">
        <v>165</v>
      </c>
      <c r="F31" t="s">
        <v>137</v>
      </c>
    </row>
    <row r="32" spans="1:6" ht="16" x14ac:dyDescent="0.2">
      <c r="A32" s="16" t="str">
        <f>"Sample_C"&amp;[1]!Table_178[[#This Row],[Column]]&amp;"_"&amp;[1]!Table_178[[#This Row],[Assay ID]]</f>
        <v>Sample_C7_Plate1</v>
      </c>
      <c r="B32" s="19" t="str">
        <f>IF(sample[[#This Row],[Sample Name]]="","",SUBSTITUTE(SUBSTITUTE(TRIM(sample[[#This Row],[Sample Name]])," ","_"),"-","_"))</f>
        <v>Sample_C7_Plate1</v>
      </c>
      <c r="C32" s="16">
        <f t="shared" si="0"/>
        <v>3</v>
      </c>
      <c r="D32" s="16">
        <f t="shared" si="1"/>
        <v>7</v>
      </c>
      <c r="E32" s="17" t="s">
        <v>165</v>
      </c>
      <c r="F32" t="s">
        <v>138</v>
      </c>
    </row>
    <row r="33" spans="1:6" ht="16" x14ac:dyDescent="0.2">
      <c r="A33" s="16" t="str">
        <f>"Sample_C"&amp;[1]!Table_178[[#This Row],[Column]]&amp;"_"&amp;[1]!Table_178[[#This Row],[Assay ID]]</f>
        <v>Sample_C8_Plate1</v>
      </c>
      <c r="B33" s="19" t="str">
        <f>IF(sample[[#This Row],[Sample Name]]="","",SUBSTITUTE(SUBSTITUTE(TRIM(sample[[#This Row],[Sample Name]])," ","_"),"-","_"))</f>
        <v>Sample_C8_Plate1</v>
      </c>
      <c r="C33" s="16">
        <f t="shared" si="0"/>
        <v>3</v>
      </c>
      <c r="D33" s="16">
        <f t="shared" si="1"/>
        <v>8</v>
      </c>
      <c r="E33" s="17" t="s">
        <v>165</v>
      </c>
      <c r="F33" t="s">
        <v>139</v>
      </c>
    </row>
    <row r="34" spans="1:6" ht="16" x14ac:dyDescent="0.2">
      <c r="A34" s="16" t="str">
        <f>"Sample_C"&amp;[1]!Table_178[[#This Row],[Column]]&amp;"_"&amp;[1]!Table_178[[#This Row],[Assay ID]]</f>
        <v>Sample_C9_Plate1</v>
      </c>
      <c r="B34" s="19" t="str">
        <f>IF(sample[[#This Row],[Sample Name]]="","",SUBSTITUTE(SUBSTITUTE(TRIM(sample[[#This Row],[Sample Name]])," ","_"),"-","_"))</f>
        <v>Sample_C9_Plate1</v>
      </c>
      <c r="C34" s="16">
        <f t="shared" si="0"/>
        <v>3</v>
      </c>
      <c r="D34" s="16">
        <f t="shared" si="1"/>
        <v>9</v>
      </c>
      <c r="E34" s="17" t="s">
        <v>165</v>
      </c>
      <c r="F34" t="s">
        <v>140</v>
      </c>
    </row>
    <row r="35" spans="1:6" ht="16" x14ac:dyDescent="0.2">
      <c r="A35" s="16" t="str">
        <f>"Sample_C"&amp;[1]!Table_178[[#This Row],[Column]]&amp;"_"&amp;[1]!Table_178[[#This Row],[Assay ID]]</f>
        <v>Sample_C10_Plate1</v>
      </c>
      <c r="B35" s="19" t="str">
        <f>IF(sample[[#This Row],[Sample Name]]="","",SUBSTITUTE(SUBSTITUTE(TRIM(sample[[#This Row],[Sample Name]])," ","_"),"-","_"))</f>
        <v>Sample_C10_Plate1</v>
      </c>
      <c r="C35" s="16">
        <f t="shared" si="0"/>
        <v>3</v>
      </c>
      <c r="D35" s="16">
        <f t="shared" si="1"/>
        <v>10</v>
      </c>
      <c r="E35" s="17" t="s">
        <v>165</v>
      </c>
      <c r="F35" t="s">
        <v>141</v>
      </c>
    </row>
    <row r="36" spans="1:6" ht="16" x14ac:dyDescent="0.2">
      <c r="A36" s="16" t="str">
        <f>"Sample_C"&amp;[1]!Table_178[[#This Row],[Column]]&amp;"_"&amp;[1]!Table_178[[#This Row],[Assay ID]]</f>
        <v>Sample_C11_Plate1</v>
      </c>
      <c r="B36" s="19" t="str">
        <f>IF(sample[[#This Row],[Sample Name]]="","",SUBSTITUTE(SUBSTITUTE(TRIM(sample[[#This Row],[Sample Name]])," ","_"),"-","_"))</f>
        <v>Sample_C11_Plate1</v>
      </c>
      <c r="C36" s="16">
        <f t="shared" si="0"/>
        <v>3</v>
      </c>
      <c r="D36" s="16">
        <f t="shared" si="1"/>
        <v>11</v>
      </c>
      <c r="E36" s="17" t="s">
        <v>165</v>
      </c>
      <c r="F36" t="s">
        <v>143</v>
      </c>
    </row>
    <row r="37" spans="1:6" ht="16" x14ac:dyDescent="0.2">
      <c r="A37" s="16" t="str">
        <f>"Sample_C"&amp;[1]!Table_178[[#This Row],[Column]]&amp;"_"&amp;[1]!Table_178[[#This Row],[Assay ID]]</f>
        <v>Sample_C12_Plate1</v>
      </c>
      <c r="B37" s="19" t="str">
        <f>IF(sample[[#This Row],[Sample Name]]="","",SUBSTITUTE(SUBSTITUTE(TRIM(sample[[#This Row],[Sample Name]])," ","_"),"-","_"))</f>
        <v>Sample_C12_Plate1</v>
      </c>
      <c r="C37" s="16">
        <f t="shared" si="0"/>
        <v>3</v>
      </c>
      <c r="D37" s="16">
        <f t="shared" si="1"/>
        <v>12</v>
      </c>
      <c r="E37" s="17" t="s">
        <v>165</v>
      </c>
      <c r="F37" t="s">
        <v>132</v>
      </c>
    </row>
    <row r="38" spans="1:6" ht="16" x14ac:dyDescent="0.2">
      <c r="A38" s="16" t="str">
        <f>"Sample_D"&amp;[1]!Table_178[[#This Row],[Column]]&amp;"_"&amp;[1]!Table_178[[#This Row],[Assay ID]]</f>
        <v>Sample_D1_Plate1</v>
      </c>
      <c r="B38" s="19" t="str">
        <f>IF(sample[[#This Row],[Sample Name]]="","",SUBSTITUTE(SUBSTITUTE(TRIM(sample[[#This Row],[Sample Name]])," ","_"),"-","_"))</f>
        <v>Sample_D1_Plate1</v>
      </c>
      <c r="C38" s="16">
        <f t="shared" si="0"/>
        <v>4</v>
      </c>
      <c r="D38" s="16">
        <f t="shared" si="1"/>
        <v>1</v>
      </c>
      <c r="E38" s="17" t="s">
        <v>165</v>
      </c>
      <c r="F38" t="s">
        <v>132</v>
      </c>
    </row>
    <row r="39" spans="1:6" ht="16" x14ac:dyDescent="0.2">
      <c r="A39" s="16" t="str">
        <f>"Sample_D"&amp;[1]!Table_178[[#This Row],[Column]]&amp;"_"&amp;[1]!Table_178[[#This Row],[Assay ID]]</f>
        <v>Sample_D2_Plate1</v>
      </c>
      <c r="B39" s="19" t="str">
        <f>IF(sample[[#This Row],[Sample Name]]="","",SUBSTITUTE(SUBSTITUTE(TRIM(sample[[#This Row],[Sample Name]])," ","_"),"-","_"))</f>
        <v>Sample_D2_Plate1</v>
      </c>
      <c r="C39" s="16">
        <f t="shared" si="0"/>
        <v>4</v>
      </c>
      <c r="D39" s="16">
        <f t="shared" si="1"/>
        <v>2</v>
      </c>
      <c r="E39" s="17" t="s">
        <v>165</v>
      </c>
      <c r="F39" t="s">
        <v>143</v>
      </c>
    </row>
    <row r="40" spans="1:6" ht="16" x14ac:dyDescent="0.2">
      <c r="A40" s="16" t="str">
        <f>"Sample_D"&amp;[1]!Table_178[[#This Row],[Column]]&amp;"_"&amp;[1]!Table_178[[#This Row],[Assay ID]]</f>
        <v>Sample_D3_Plate1</v>
      </c>
      <c r="B40" s="19" t="str">
        <f>IF(sample[[#This Row],[Sample Name]]="","",SUBSTITUTE(SUBSTITUTE(TRIM(sample[[#This Row],[Sample Name]])," ","_"),"-","_"))</f>
        <v>Sample_D3_Plate1</v>
      </c>
      <c r="C40" s="16">
        <f t="shared" si="0"/>
        <v>4</v>
      </c>
      <c r="D40" s="16">
        <f t="shared" si="1"/>
        <v>3</v>
      </c>
      <c r="E40" s="17" t="s">
        <v>165</v>
      </c>
      <c r="F40" t="s">
        <v>144</v>
      </c>
    </row>
    <row r="41" spans="1:6" ht="16" x14ac:dyDescent="0.2">
      <c r="A41" s="16" t="str">
        <f>"Sample_D"&amp;[1]!Table_178[[#This Row],[Column]]&amp;"_"&amp;[1]!Table_178[[#This Row],[Assay ID]]</f>
        <v>Sample_D4_Plate1</v>
      </c>
      <c r="B41" s="19" t="str">
        <f>IF(sample[[#This Row],[Sample Name]]="","",SUBSTITUTE(SUBSTITUTE(TRIM(sample[[#This Row],[Sample Name]])," ","_"),"-","_"))</f>
        <v>Sample_D4_Plate1</v>
      </c>
      <c r="C41" s="16">
        <f t="shared" si="0"/>
        <v>4</v>
      </c>
      <c r="D41" s="16">
        <f t="shared" si="1"/>
        <v>4</v>
      </c>
      <c r="E41" s="17" t="s">
        <v>165</v>
      </c>
      <c r="F41" t="s">
        <v>145</v>
      </c>
    </row>
    <row r="42" spans="1:6" ht="16" x14ac:dyDescent="0.2">
      <c r="A42" s="16" t="str">
        <f>"Sample_D"&amp;[1]!Table_178[[#This Row],[Column]]&amp;"_"&amp;[1]!Table_178[[#This Row],[Assay ID]]</f>
        <v>Sample_D5_Plate1</v>
      </c>
      <c r="B42" s="19" t="str">
        <f>IF(sample[[#This Row],[Sample Name]]="","",SUBSTITUTE(SUBSTITUTE(TRIM(sample[[#This Row],[Sample Name]])," ","_"),"-","_"))</f>
        <v>Sample_D5_Plate1</v>
      </c>
      <c r="C42" s="16">
        <f t="shared" si="0"/>
        <v>4</v>
      </c>
      <c r="D42" s="16">
        <f t="shared" si="1"/>
        <v>5</v>
      </c>
      <c r="E42" s="17" t="s">
        <v>165</v>
      </c>
      <c r="F42" t="s">
        <v>146</v>
      </c>
    </row>
    <row r="43" spans="1:6" ht="16" x14ac:dyDescent="0.2">
      <c r="A43" s="16" t="str">
        <f>"Sample_D"&amp;[1]!Table_178[[#This Row],[Column]]&amp;"_"&amp;[1]!Table_178[[#This Row],[Assay ID]]</f>
        <v>Sample_D6_Plate1</v>
      </c>
      <c r="B43" s="19" t="str">
        <f>IF(sample[[#This Row],[Sample Name]]="","",SUBSTITUTE(SUBSTITUTE(TRIM(sample[[#This Row],[Sample Name]])," ","_"),"-","_"))</f>
        <v>Sample_D6_Plate1</v>
      </c>
      <c r="C43" s="16">
        <f t="shared" si="0"/>
        <v>4</v>
      </c>
      <c r="D43" s="16">
        <f t="shared" si="1"/>
        <v>6</v>
      </c>
      <c r="E43" s="17" t="s">
        <v>165</v>
      </c>
      <c r="F43" t="s">
        <v>147</v>
      </c>
    </row>
    <row r="44" spans="1:6" ht="16" x14ac:dyDescent="0.2">
      <c r="A44" s="16" t="str">
        <f>"Sample_D"&amp;[1]!Table_178[[#This Row],[Column]]&amp;"_"&amp;[1]!Table_178[[#This Row],[Assay ID]]</f>
        <v>Sample_D7_Plate1</v>
      </c>
      <c r="B44" s="19" t="str">
        <f>IF(sample[[#This Row],[Sample Name]]="","",SUBSTITUTE(SUBSTITUTE(TRIM(sample[[#This Row],[Sample Name]])," ","_"),"-","_"))</f>
        <v>Sample_D7_Plate1</v>
      </c>
      <c r="C44" s="16">
        <f t="shared" si="0"/>
        <v>4</v>
      </c>
      <c r="D44" s="16">
        <f t="shared" si="1"/>
        <v>7</v>
      </c>
      <c r="E44" s="17" t="s">
        <v>165</v>
      </c>
      <c r="F44" t="s">
        <v>148</v>
      </c>
    </row>
    <row r="45" spans="1:6" ht="16" x14ac:dyDescent="0.2">
      <c r="A45" s="16" t="str">
        <f>"Sample_D"&amp;[1]!Table_178[[#This Row],[Column]]&amp;"_"&amp;[1]!Table_178[[#This Row],[Assay ID]]</f>
        <v>Sample_D8_Plate1</v>
      </c>
      <c r="B45" s="19" t="str">
        <f>IF(sample[[#This Row],[Sample Name]]="","",SUBSTITUTE(SUBSTITUTE(TRIM(sample[[#This Row],[Sample Name]])," ","_"),"-","_"))</f>
        <v>Sample_D8_Plate1</v>
      </c>
      <c r="C45" s="16">
        <f t="shared" si="0"/>
        <v>4</v>
      </c>
      <c r="D45" s="16">
        <f t="shared" si="1"/>
        <v>8</v>
      </c>
      <c r="E45" s="17" t="s">
        <v>165</v>
      </c>
      <c r="F45" t="s">
        <v>149</v>
      </c>
    </row>
    <row r="46" spans="1:6" ht="16" x14ac:dyDescent="0.2">
      <c r="A46" s="16" t="str">
        <f>"Sample_D"&amp;[1]!Table_178[[#This Row],[Column]]&amp;"_"&amp;[1]!Table_178[[#This Row],[Assay ID]]</f>
        <v>Sample_D9_Plate1</v>
      </c>
      <c r="B46" s="19" t="str">
        <f>IF(sample[[#This Row],[Sample Name]]="","",SUBSTITUTE(SUBSTITUTE(TRIM(sample[[#This Row],[Sample Name]])," ","_"),"-","_"))</f>
        <v>Sample_D9_Plate1</v>
      </c>
      <c r="C46" s="16">
        <f t="shared" si="0"/>
        <v>4</v>
      </c>
      <c r="D46" s="16">
        <f t="shared" si="1"/>
        <v>9</v>
      </c>
      <c r="E46" s="17" t="s">
        <v>165</v>
      </c>
      <c r="F46" t="s">
        <v>150</v>
      </c>
    </row>
    <row r="47" spans="1:6" ht="16" x14ac:dyDescent="0.2">
      <c r="A47" s="16" t="str">
        <f>"Sample_D"&amp;[1]!Table_178[[#This Row],[Column]]&amp;"_"&amp;[1]!Table_178[[#This Row],[Assay ID]]</f>
        <v>Sample_D10_Plate1</v>
      </c>
      <c r="B47" s="19" t="str">
        <f>IF(sample[[#This Row],[Sample Name]]="","",SUBSTITUTE(SUBSTITUTE(TRIM(sample[[#This Row],[Sample Name]])," ","_"),"-","_"))</f>
        <v>Sample_D10_Plate1</v>
      </c>
      <c r="C47" s="16">
        <f t="shared" si="0"/>
        <v>4</v>
      </c>
      <c r="D47" s="16">
        <f t="shared" si="1"/>
        <v>10</v>
      </c>
      <c r="E47" s="17" t="s">
        <v>165</v>
      </c>
      <c r="F47" t="s">
        <v>151</v>
      </c>
    </row>
    <row r="48" spans="1:6" ht="16" x14ac:dyDescent="0.2">
      <c r="A48" s="16" t="str">
        <f>"Sample_D"&amp;[1]!Table_178[[#This Row],[Column]]&amp;"_"&amp;[1]!Table_178[[#This Row],[Assay ID]]</f>
        <v>Sample_D11_Plate1</v>
      </c>
      <c r="B48" s="19" t="str">
        <f>IF(sample[[#This Row],[Sample Name]]="","",SUBSTITUTE(SUBSTITUTE(TRIM(sample[[#This Row],[Sample Name]])," ","_"),"-","_"))</f>
        <v>Sample_D11_Plate1</v>
      </c>
      <c r="C48" s="16">
        <f t="shared" si="0"/>
        <v>4</v>
      </c>
      <c r="D48" s="16">
        <f t="shared" si="1"/>
        <v>11</v>
      </c>
      <c r="E48" s="17" t="s">
        <v>165</v>
      </c>
      <c r="F48" t="s">
        <v>162</v>
      </c>
    </row>
    <row r="49" spans="1:6" ht="16" x14ac:dyDescent="0.2">
      <c r="A49" s="16" t="str">
        <f>"Sample_D"&amp;[1]!Table_178[[#This Row],[Column]]&amp;"_"&amp;[1]!Table_178[[#This Row],[Assay ID]]</f>
        <v>Sample_D12_Plate1</v>
      </c>
      <c r="B49" s="19" t="str">
        <f>IF(sample[[#This Row],[Sample Name]]="","",SUBSTITUTE(SUBSTITUTE(TRIM(sample[[#This Row],[Sample Name]])," ","_"),"-","_"))</f>
        <v>Sample_D12_Plate1</v>
      </c>
      <c r="C49" s="16">
        <f t="shared" si="0"/>
        <v>4</v>
      </c>
      <c r="D49" s="16">
        <f t="shared" si="1"/>
        <v>12</v>
      </c>
      <c r="E49" s="17" t="s">
        <v>165</v>
      </c>
      <c r="F49" t="s">
        <v>132</v>
      </c>
    </row>
    <row r="50" spans="1:6" ht="16" x14ac:dyDescent="0.2">
      <c r="A50" s="16" t="str">
        <f>"Sample_E"&amp;[1]!Table_178[[#This Row],[Column]]&amp;"_"&amp;[1]!Table_178[[#This Row],[Assay ID]]</f>
        <v>Sample_E1_Plate1</v>
      </c>
      <c r="B50" s="19" t="str">
        <f>IF(sample[[#This Row],[Sample Name]]="","",SUBSTITUTE(SUBSTITUTE(TRIM(sample[[#This Row],[Sample Name]])," ","_"),"-","_"))</f>
        <v>Sample_E1_Plate1</v>
      </c>
      <c r="C50" s="16">
        <f t="shared" si="0"/>
        <v>5</v>
      </c>
      <c r="D50" s="16">
        <f t="shared" si="1"/>
        <v>1</v>
      </c>
      <c r="E50" s="17" t="s">
        <v>165</v>
      </c>
      <c r="F50" t="s">
        <v>132</v>
      </c>
    </row>
    <row r="51" spans="1:6" ht="16" x14ac:dyDescent="0.2">
      <c r="A51" s="16" t="str">
        <f>"Sample_E"&amp;[1]!Table_178[[#This Row],[Column]]&amp;"_"&amp;[1]!Table_178[[#This Row],[Assay ID]]</f>
        <v>Sample_E2_Plate1</v>
      </c>
      <c r="B51" s="19" t="str">
        <f>IF(sample[[#This Row],[Sample Name]]="","",SUBSTITUTE(SUBSTITUTE(TRIM(sample[[#This Row],[Sample Name]])," ","_"),"-","_"))</f>
        <v>Sample_E2_Plate1</v>
      </c>
      <c r="C51" s="16">
        <f t="shared" si="0"/>
        <v>5</v>
      </c>
      <c r="D51" s="16">
        <f t="shared" si="1"/>
        <v>2</v>
      </c>
      <c r="E51" s="17" t="s">
        <v>165</v>
      </c>
      <c r="F51" t="s">
        <v>143</v>
      </c>
    </row>
    <row r="52" spans="1:6" ht="16" x14ac:dyDescent="0.2">
      <c r="A52" s="16" t="str">
        <f>"Sample_E"&amp;[1]!Table_178[[#This Row],[Column]]&amp;"_"&amp;[1]!Table_178[[#This Row],[Assay ID]]</f>
        <v>Sample_E3_Plate1</v>
      </c>
      <c r="B52" s="19" t="str">
        <f>IF(sample[[#This Row],[Sample Name]]="","",SUBSTITUTE(SUBSTITUTE(TRIM(sample[[#This Row],[Sample Name]])," ","_"),"-","_"))</f>
        <v>Sample_E3_Plate1</v>
      </c>
      <c r="C52" s="16">
        <f t="shared" si="0"/>
        <v>5</v>
      </c>
      <c r="D52" s="16">
        <f t="shared" si="1"/>
        <v>3</v>
      </c>
      <c r="E52" s="17" t="s">
        <v>165</v>
      </c>
      <c r="F52" t="s">
        <v>144</v>
      </c>
    </row>
    <row r="53" spans="1:6" ht="16" x14ac:dyDescent="0.2">
      <c r="A53" s="16" t="str">
        <f>"Sample_E"&amp;[1]!Table_178[[#This Row],[Column]]&amp;"_"&amp;[1]!Table_178[[#This Row],[Assay ID]]</f>
        <v>Sample_E4_Plate1</v>
      </c>
      <c r="B53" s="19" t="str">
        <f>IF(sample[[#This Row],[Sample Name]]="","",SUBSTITUTE(SUBSTITUTE(TRIM(sample[[#This Row],[Sample Name]])," ","_"),"-","_"))</f>
        <v>Sample_E4_Plate1</v>
      </c>
      <c r="C53" s="16">
        <f t="shared" si="0"/>
        <v>5</v>
      </c>
      <c r="D53" s="16">
        <f t="shared" si="1"/>
        <v>4</v>
      </c>
      <c r="E53" s="17" t="s">
        <v>165</v>
      </c>
      <c r="F53" t="s">
        <v>145</v>
      </c>
    </row>
    <row r="54" spans="1:6" ht="16" x14ac:dyDescent="0.2">
      <c r="A54" s="16" t="str">
        <f>"Sample_E"&amp;[1]!Table_178[[#This Row],[Column]]&amp;"_"&amp;[1]!Table_178[[#This Row],[Assay ID]]</f>
        <v>Sample_E5_Plate1</v>
      </c>
      <c r="B54" s="19" t="str">
        <f>IF(sample[[#This Row],[Sample Name]]="","",SUBSTITUTE(SUBSTITUTE(TRIM(sample[[#This Row],[Sample Name]])," ","_"),"-","_"))</f>
        <v>Sample_E5_Plate1</v>
      </c>
      <c r="C54" s="16">
        <f t="shared" si="0"/>
        <v>5</v>
      </c>
      <c r="D54" s="16">
        <f t="shared" si="1"/>
        <v>5</v>
      </c>
      <c r="E54" s="17" t="s">
        <v>165</v>
      </c>
      <c r="F54" t="s">
        <v>146</v>
      </c>
    </row>
    <row r="55" spans="1:6" ht="16" x14ac:dyDescent="0.2">
      <c r="A55" s="16" t="str">
        <f>"Sample_E"&amp;[1]!Table_178[[#This Row],[Column]]&amp;"_"&amp;[1]!Table_178[[#This Row],[Assay ID]]</f>
        <v>Sample_E6_Plate1</v>
      </c>
      <c r="B55" s="19" t="str">
        <f>IF(sample[[#This Row],[Sample Name]]="","",SUBSTITUTE(SUBSTITUTE(TRIM(sample[[#This Row],[Sample Name]])," ","_"),"-","_"))</f>
        <v>Sample_E6_Plate1</v>
      </c>
      <c r="C55" s="16">
        <f t="shared" si="0"/>
        <v>5</v>
      </c>
      <c r="D55" s="16">
        <f t="shared" si="1"/>
        <v>6</v>
      </c>
      <c r="E55" s="17" t="s">
        <v>165</v>
      </c>
      <c r="F55" t="s">
        <v>147</v>
      </c>
    </row>
    <row r="56" spans="1:6" ht="16" x14ac:dyDescent="0.2">
      <c r="A56" s="16" t="str">
        <f>"Sample_E"&amp;[1]!Table_178[[#This Row],[Column]]&amp;"_"&amp;[1]!Table_178[[#This Row],[Assay ID]]</f>
        <v>Sample_E7_Plate1</v>
      </c>
      <c r="B56" s="19" t="str">
        <f>IF(sample[[#This Row],[Sample Name]]="","",SUBSTITUTE(SUBSTITUTE(TRIM(sample[[#This Row],[Sample Name]])," ","_"),"-","_"))</f>
        <v>Sample_E7_Plate1</v>
      </c>
      <c r="C56" s="16">
        <f t="shared" si="0"/>
        <v>5</v>
      </c>
      <c r="D56" s="16">
        <f t="shared" si="1"/>
        <v>7</v>
      </c>
      <c r="E56" s="17" t="s">
        <v>165</v>
      </c>
      <c r="F56" t="s">
        <v>148</v>
      </c>
    </row>
    <row r="57" spans="1:6" ht="16" x14ac:dyDescent="0.2">
      <c r="A57" s="16" t="str">
        <f>"Sample_E"&amp;[1]!Table_178[[#This Row],[Column]]&amp;"_"&amp;[1]!Table_178[[#This Row],[Assay ID]]</f>
        <v>Sample_E8_Plate1</v>
      </c>
      <c r="B57" s="19" t="str">
        <f>IF(sample[[#This Row],[Sample Name]]="","",SUBSTITUTE(SUBSTITUTE(TRIM(sample[[#This Row],[Sample Name]])," ","_"),"-","_"))</f>
        <v>Sample_E8_Plate1</v>
      </c>
      <c r="C57" s="16">
        <f t="shared" si="0"/>
        <v>5</v>
      </c>
      <c r="D57" s="16">
        <f t="shared" si="1"/>
        <v>8</v>
      </c>
      <c r="E57" s="17" t="s">
        <v>165</v>
      </c>
      <c r="F57" t="s">
        <v>149</v>
      </c>
    </row>
    <row r="58" spans="1:6" ht="16" x14ac:dyDescent="0.2">
      <c r="A58" s="16" t="str">
        <f>"Sample_E"&amp;[1]!Table_178[[#This Row],[Column]]&amp;"_"&amp;[1]!Table_178[[#This Row],[Assay ID]]</f>
        <v>Sample_E9_Plate1</v>
      </c>
      <c r="B58" s="19" t="str">
        <f>IF(sample[[#This Row],[Sample Name]]="","",SUBSTITUTE(SUBSTITUTE(TRIM(sample[[#This Row],[Sample Name]])," ","_"),"-","_"))</f>
        <v>Sample_E9_Plate1</v>
      </c>
      <c r="C58" s="16">
        <f t="shared" si="0"/>
        <v>5</v>
      </c>
      <c r="D58" s="16">
        <f t="shared" si="1"/>
        <v>9</v>
      </c>
      <c r="E58" s="17" t="s">
        <v>165</v>
      </c>
      <c r="F58" t="s">
        <v>150</v>
      </c>
    </row>
    <row r="59" spans="1:6" ht="16" x14ac:dyDescent="0.2">
      <c r="A59" s="16" t="str">
        <f>"Sample_E"&amp;[1]!Table_178[[#This Row],[Column]]&amp;"_"&amp;[1]!Table_178[[#This Row],[Assay ID]]</f>
        <v>Sample_E10_Plate1</v>
      </c>
      <c r="B59" s="19" t="str">
        <f>IF(sample[[#This Row],[Sample Name]]="","",SUBSTITUTE(SUBSTITUTE(TRIM(sample[[#This Row],[Sample Name]])," ","_"),"-","_"))</f>
        <v>Sample_E10_Plate1</v>
      </c>
      <c r="C59" s="16">
        <f t="shared" si="0"/>
        <v>5</v>
      </c>
      <c r="D59" s="16">
        <f t="shared" si="1"/>
        <v>10</v>
      </c>
      <c r="E59" s="17" t="s">
        <v>165</v>
      </c>
      <c r="F59" t="s">
        <v>151</v>
      </c>
    </row>
    <row r="60" spans="1:6" ht="16" x14ac:dyDescent="0.2">
      <c r="A60" s="16" t="str">
        <f>"Sample_E"&amp;[1]!Table_178[[#This Row],[Column]]&amp;"_"&amp;[1]!Table_178[[#This Row],[Assay ID]]</f>
        <v>Sample_E11_Plate1</v>
      </c>
      <c r="B60" s="19" t="str">
        <f>IF(sample[[#This Row],[Sample Name]]="","",SUBSTITUTE(SUBSTITUTE(TRIM(sample[[#This Row],[Sample Name]])," ","_"),"-","_"))</f>
        <v>Sample_E11_Plate1</v>
      </c>
      <c r="C60" s="16">
        <f t="shared" si="0"/>
        <v>5</v>
      </c>
      <c r="D60" s="16">
        <f t="shared" si="1"/>
        <v>11</v>
      </c>
      <c r="E60" s="17" t="s">
        <v>165</v>
      </c>
      <c r="F60" t="s">
        <v>142</v>
      </c>
    </row>
    <row r="61" spans="1:6" ht="16" x14ac:dyDescent="0.2">
      <c r="A61" s="16" t="str">
        <f>"Sample_E"&amp;[1]!Table_178[[#This Row],[Column]]&amp;"_"&amp;[1]!Table_178[[#This Row],[Assay ID]]</f>
        <v>Sample_E12_Plate1</v>
      </c>
      <c r="B61" s="19" t="str">
        <f>IF(sample[[#This Row],[Sample Name]]="","",SUBSTITUTE(SUBSTITUTE(TRIM(sample[[#This Row],[Sample Name]])," ","_"),"-","_"))</f>
        <v>Sample_E12_Plate1</v>
      </c>
      <c r="C61" s="16">
        <f t="shared" si="0"/>
        <v>5</v>
      </c>
      <c r="D61" s="16">
        <f t="shared" si="1"/>
        <v>12</v>
      </c>
      <c r="E61" s="17" t="s">
        <v>165</v>
      </c>
      <c r="F61" t="s">
        <v>152</v>
      </c>
    </row>
    <row r="62" spans="1:6" ht="16" x14ac:dyDescent="0.2">
      <c r="A62" s="16" t="str">
        <f>"Sample_F"&amp;[1]!Table_178[[#This Row],[Column]]&amp;"_"&amp;[1]!Table_178[[#This Row],[Assay ID]]</f>
        <v>Sample_F1_Plate1</v>
      </c>
      <c r="B62" s="19" t="str">
        <f>IF(sample[[#This Row],[Sample Name]]="","",SUBSTITUTE(SUBSTITUTE(TRIM(sample[[#This Row],[Sample Name]])," ","_"),"-","_"))</f>
        <v>Sample_F1_Plate1</v>
      </c>
      <c r="C62" s="16">
        <f t="shared" si="0"/>
        <v>6</v>
      </c>
      <c r="D62" s="16">
        <f t="shared" si="1"/>
        <v>1</v>
      </c>
      <c r="E62" s="17" t="s">
        <v>165</v>
      </c>
      <c r="F62" t="s">
        <v>132</v>
      </c>
    </row>
    <row r="63" spans="1:6" ht="16" x14ac:dyDescent="0.2">
      <c r="A63" s="16" t="str">
        <f>"Sample_F"&amp;[1]!Table_178[[#This Row],[Column]]&amp;"_"&amp;[1]!Table_178[[#This Row],[Assay ID]]</f>
        <v>Sample_F2_Plate1</v>
      </c>
      <c r="B63" s="19" t="str">
        <f>IF(sample[[#This Row],[Sample Name]]="","",SUBSTITUTE(SUBSTITUTE(TRIM(sample[[#This Row],[Sample Name]])," ","_"),"-","_"))</f>
        <v>Sample_F2_Plate1</v>
      </c>
      <c r="C63" s="16">
        <f t="shared" si="0"/>
        <v>6</v>
      </c>
      <c r="D63" s="16">
        <f t="shared" si="1"/>
        <v>2</v>
      </c>
      <c r="E63" s="17" t="s">
        <v>165</v>
      </c>
      <c r="F63" t="s">
        <v>153</v>
      </c>
    </row>
    <row r="64" spans="1:6" ht="16" x14ac:dyDescent="0.2">
      <c r="A64" s="16" t="str">
        <f>"Sample_F"&amp;[1]!Table_178[[#This Row],[Column]]&amp;"_"&amp;[1]!Table_178[[#This Row],[Assay ID]]</f>
        <v>Sample_F3_Plate1</v>
      </c>
      <c r="B64" s="19" t="str">
        <f>IF(sample[[#This Row],[Sample Name]]="","",SUBSTITUTE(SUBSTITUTE(TRIM(sample[[#This Row],[Sample Name]])," ","_"),"-","_"))</f>
        <v>Sample_F3_Plate1</v>
      </c>
      <c r="C64" s="16">
        <f t="shared" si="0"/>
        <v>6</v>
      </c>
      <c r="D64" s="16">
        <f t="shared" si="1"/>
        <v>3</v>
      </c>
      <c r="E64" s="17" t="s">
        <v>165</v>
      </c>
      <c r="F64" t="s">
        <v>154</v>
      </c>
    </row>
    <row r="65" spans="1:6" ht="16" x14ac:dyDescent="0.2">
      <c r="A65" s="16" t="str">
        <f>"Sample_F"&amp;[1]!Table_178[[#This Row],[Column]]&amp;"_"&amp;[1]!Table_178[[#This Row],[Assay ID]]</f>
        <v>Sample_F4_Plate1</v>
      </c>
      <c r="B65" s="19" t="str">
        <f>IF(sample[[#This Row],[Sample Name]]="","",SUBSTITUTE(SUBSTITUTE(TRIM(sample[[#This Row],[Sample Name]])," ","_"),"-","_"))</f>
        <v>Sample_F4_Plate1</v>
      </c>
      <c r="C65" s="16">
        <f t="shared" si="0"/>
        <v>6</v>
      </c>
      <c r="D65" s="16">
        <f t="shared" si="1"/>
        <v>4</v>
      </c>
      <c r="E65" s="17" t="s">
        <v>165</v>
      </c>
      <c r="F65" t="s">
        <v>155</v>
      </c>
    </row>
    <row r="66" spans="1:6" ht="16" x14ac:dyDescent="0.2">
      <c r="A66" s="16" t="str">
        <f>"Sample_F"&amp;[1]!Table_178[[#This Row],[Column]]&amp;"_"&amp;[1]!Table_178[[#This Row],[Assay ID]]</f>
        <v>Sample_F5_Plate1</v>
      </c>
      <c r="B66" s="19" t="str">
        <f>IF(sample[[#This Row],[Sample Name]]="","",SUBSTITUTE(SUBSTITUTE(TRIM(sample[[#This Row],[Sample Name]])," ","_"),"-","_"))</f>
        <v>Sample_F5_Plate1</v>
      </c>
      <c r="C66" s="16">
        <f t="shared" si="0"/>
        <v>6</v>
      </c>
      <c r="D66" s="16">
        <f t="shared" si="1"/>
        <v>5</v>
      </c>
      <c r="E66" s="17" t="s">
        <v>165</v>
      </c>
      <c r="F66" t="s">
        <v>156</v>
      </c>
    </row>
    <row r="67" spans="1:6" ht="16" x14ac:dyDescent="0.2">
      <c r="A67" s="16" t="str">
        <f>"Sample_F"&amp;[1]!Table_178[[#This Row],[Column]]&amp;"_"&amp;[1]!Table_178[[#This Row],[Assay ID]]</f>
        <v>Sample_F6_Plate1</v>
      </c>
      <c r="B67" s="19" t="str">
        <f>IF(sample[[#This Row],[Sample Name]]="","",SUBSTITUTE(SUBSTITUTE(TRIM(sample[[#This Row],[Sample Name]])," ","_"),"-","_"))</f>
        <v>Sample_F6_Plate1</v>
      </c>
      <c r="C67" s="16">
        <f t="shared" si="0"/>
        <v>6</v>
      </c>
      <c r="D67" s="16">
        <f t="shared" si="1"/>
        <v>6</v>
      </c>
      <c r="E67" s="17" t="s">
        <v>165</v>
      </c>
      <c r="F67" t="s">
        <v>157</v>
      </c>
    </row>
    <row r="68" spans="1:6" ht="16" x14ac:dyDescent="0.2">
      <c r="A68" s="16" t="str">
        <f>"Sample_F"&amp;[1]!Table_178[[#This Row],[Column]]&amp;"_"&amp;[1]!Table_178[[#This Row],[Assay ID]]</f>
        <v>Sample_F7_Plate1</v>
      </c>
      <c r="B68" s="19" t="str">
        <f>IF(sample[[#This Row],[Sample Name]]="","",SUBSTITUTE(SUBSTITUTE(TRIM(sample[[#This Row],[Sample Name]])," ","_"),"-","_"))</f>
        <v>Sample_F7_Plate1</v>
      </c>
      <c r="C68" s="16">
        <f t="shared" si="0"/>
        <v>6</v>
      </c>
      <c r="D68" s="16">
        <f t="shared" si="1"/>
        <v>7</v>
      </c>
      <c r="E68" s="17" t="s">
        <v>165</v>
      </c>
      <c r="F68" t="s">
        <v>158</v>
      </c>
    </row>
    <row r="69" spans="1:6" ht="16" x14ac:dyDescent="0.2">
      <c r="A69" s="16" t="str">
        <f>"Sample_F"&amp;[1]!Table_178[[#This Row],[Column]]&amp;"_"&amp;[1]!Table_178[[#This Row],[Assay ID]]</f>
        <v>Sample_F8_Plate1</v>
      </c>
      <c r="B69" s="19" t="str">
        <f>IF(sample[[#This Row],[Sample Name]]="","",SUBSTITUTE(SUBSTITUTE(TRIM(sample[[#This Row],[Sample Name]])," ","_"),"-","_"))</f>
        <v>Sample_F8_Plate1</v>
      </c>
      <c r="C69" s="16">
        <f t="shared" si="0"/>
        <v>6</v>
      </c>
      <c r="D69" s="16">
        <f t="shared" si="1"/>
        <v>8</v>
      </c>
      <c r="E69" s="17" t="s">
        <v>165</v>
      </c>
      <c r="F69" t="s">
        <v>159</v>
      </c>
    </row>
    <row r="70" spans="1:6" ht="16" x14ac:dyDescent="0.2">
      <c r="A70" s="16" t="str">
        <f>"Sample_F"&amp;[1]!Table_178[[#This Row],[Column]]&amp;"_"&amp;[1]!Table_178[[#This Row],[Assay ID]]</f>
        <v>Sample_F9_Plate1</v>
      </c>
      <c r="B70" s="19" t="str">
        <f>IF(sample[[#This Row],[Sample Name]]="","",SUBSTITUTE(SUBSTITUTE(TRIM(sample[[#This Row],[Sample Name]])," ","_"),"-","_"))</f>
        <v>Sample_F9_Plate1</v>
      </c>
      <c r="C70" s="16">
        <f t="shared" si="0"/>
        <v>6</v>
      </c>
      <c r="D70" s="16">
        <f t="shared" si="1"/>
        <v>9</v>
      </c>
      <c r="E70" s="17" t="s">
        <v>165</v>
      </c>
      <c r="F70" t="s">
        <v>160</v>
      </c>
    </row>
    <row r="71" spans="1:6" ht="16" x14ac:dyDescent="0.2">
      <c r="A71" s="16" t="str">
        <f>"Sample_F"&amp;[1]!Table_178[[#This Row],[Column]]&amp;"_"&amp;[1]!Table_178[[#This Row],[Assay ID]]</f>
        <v>Sample_F10_Plate1</v>
      </c>
      <c r="B71" s="19" t="str">
        <f>IF(sample[[#This Row],[Sample Name]]="","",SUBSTITUTE(SUBSTITUTE(TRIM(sample[[#This Row],[Sample Name]])," ","_"),"-","_"))</f>
        <v>Sample_F10_Plate1</v>
      </c>
      <c r="C71" s="16">
        <f t="shared" si="0"/>
        <v>6</v>
      </c>
      <c r="D71" s="16">
        <f t="shared" si="1"/>
        <v>10</v>
      </c>
      <c r="E71" s="17" t="s">
        <v>165</v>
      </c>
      <c r="F71" t="s">
        <v>161</v>
      </c>
    </row>
    <row r="72" spans="1:6" ht="16" x14ac:dyDescent="0.2">
      <c r="A72" s="16" t="str">
        <f>"Sample_F"&amp;[1]!Table_178[[#This Row],[Column]]&amp;"_"&amp;[1]!Table_178[[#This Row],[Assay ID]]</f>
        <v>Sample_F11_Plate1</v>
      </c>
      <c r="B72" s="19" t="str">
        <f>IF(sample[[#This Row],[Sample Name]]="","",SUBSTITUTE(SUBSTITUTE(TRIM(sample[[#This Row],[Sample Name]])," ","_"),"-","_"))</f>
        <v>Sample_F11_Plate1</v>
      </c>
      <c r="C72" s="16">
        <f t="shared" si="0"/>
        <v>6</v>
      </c>
      <c r="D72" s="16">
        <f t="shared" si="1"/>
        <v>11</v>
      </c>
      <c r="E72" s="17" t="s">
        <v>165</v>
      </c>
      <c r="F72" t="s">
        <v>164</v>
      </c>
    </row>
    <row r="73" spans="1:6" ht="16" x14ac:dyDescent="0.2">
      <c r="A73" s="16" t="str">
        <f>"Sample_F"&amp;[1]!Table_178[[#This Row],[Column]]&amp;"_"&amp;[1]!Table_178[[#This Row],[Assay ID]]</f>
        <v>Sample_F12_Plate1</v>
      </c>
      <c r="B73" s="19" t="str">
        <f>IF(sample[[#This Row],[Sample Name]]="","",SUBSTITUTE(SUBSTITUTE(TRIM(sample[[#This Row],[Sample Name]])," ","_"),"-","_"))</f>
        <v>Sample_F12_Plate1</v>
      </c>
      <c r="C73" s="16">
        <f t="shared" si="0"/>
        <v>6</v>
      </c>
      <c r="D73" s="16">
        <f t="shared" si="1"/>
        <v>12</v>
      </c>
      <c r="E73" s="17" t="s">
        <v>165</v>
      </c>
      <c r="F73" t="s">
        <v>152</v>
      </c>
    </row>
    <row r="74" spans="1:6" ht="16" x14ac:dyDescent="0.2">
      <c r="A74" s="16" t="str">
        <f>"Sample_G"&amp;[1]!Table_178[[#This Row],[Column]]&amp;"_"&amp;[1]!Table_178[[#This Row],[Assay ID]]</f>
        <v>Sample_G1_Plate1</v>
      </c>
      <c r="B74" s="19" t="str">
        <f>IF(sample[[#This Row],[Sample Name]]="","",SUBSTITUTE(SUBSTITUTE(TRIM(sample[[#This Row],[Sample Name]])," ","_"),"-","_"))</f>
        <v>Sample_G1_Plate1</v>
      </c>
      <c r="C74" s="16">
        <f t="shared" si="0"/>
        <v>7</v>
      </c>
      <c r="D74" s="16">
        <f t="shared" si="1"/>
        <v>1</v>
      </c>
      <c r="E74" s="17" t="s">
        <v>165</v>
      </c>
      <c r="F74" t="s">
        <v>132</v>
      </c>
    </row>
    <row r="75" spans="1:6" ht="16" x14ac:dyDescent="0.2">
      <c r="A75" s="16" t="str">
        <f>"Sample_G"&amp;[1]!Table_178[[#This Row],[Column]]&amp;"_"&amp;[1]!Table_178[[#This Row],[Assay ID]]</f>
        <v>Sample_G2_Plate1</v>
      </c>
      <c r="B75" s="19" t="str">
        <f>IF(sample[[#This Row],[Sample Name]]="","",SUBSTITUTE(SUBSTITUTE(TRIM(sample[[#This Row],[Sample Name]])," ","_"),"-","_"))</f>
        <v>Sample_G2_Plate1</v>
      </c>
      <c r="C75" s="16">
        <f t="shared" si="0"/>
        <v>7</v>
      </c>
      <c r="D75" s="16">
        <f t="shared" si="1"/>
        <v>2</v>
      </c>
      <c r="E75" s="17" t="s">
        <v>165</v>
      </c>
      <c r="F75" t="s">
        <v>153</v>
      </c>
    </row>
    <row r="76" spans="1:6" ht="16" x14ac:dyDescent="0.2">
      <c r="A76" s="16" t="str">
        <f>"Sample_G"&amp;[1]!Table_178[[#This Row],[Column]]&amp;"_"&amp;[1]!Table_178[[#This Row],[Assay ID]]</f>
        <v>Sample_G3_Plate1</v>
      </c>
      <c r="B76" s="19" t="str">
        <f>IF(sample[[#This Row],[Sample Name]]="","",SUBSTITUTE(SUBSTITUTE(TRIM(sample[[#This Row],[Sample Name]])," ","_"),"-","_"))</f>
        <v>Sample_G3_Plate1</v>
      </c>
      <c r="C76" s="16">
        <f t="shared" si="0"/>
        <v>7</v>
      </c>
      <c r="D76" s="16">
        <f t="shared" si="1"/>
        <v>3</v>
      </c>
      <c r="E76" s="17" t="s">
        <v>165</v>
      </c>
      <c r="F76" t="s">
        <v>154</v>
      </c>
    </row>
    <row r="77" spans="1:6" ht="16" x14ac:dyDescent="0.2">
      <c r="A77" s="16" t="str">
        <f>"Sample_G"&amp;[1]!Table_178[[#This Row],[Column]]&amp;"_"&amp;[1]!Table_178[[#This Row],[Assay ID]]</f>
        <v>Sample_G4_Plate1</v>
      </c>
      <c r="B77" s="19" t="str">
        <f>IF(sample[[#This Row],[Sample Name]]="","",SUBSTITUTE(SUBSTITUTE(TRIM(sample[[#This Row],[Sample Name]])," ","_"),"-","_"))</f>
        <v>Sample_G4_Plate1</v>
      </c>
      <c r="C77" s="16">
        <f t="shared" si="0"/>
        <v>7</v>
      </c>
      <c r="D77" s="16">
        <f t="shared" si="1"/>
        <v>4</v>
      </c>
      <c r="E77" s="17" t="s">
        <v>165</v>
      </c>
      <c r="F77" t="s">
        <v>155</v>
      </c>
    </row>
    <row r="78" spans="1:6" ht="16" x14ac:dyDescent="0.2">
      <c r="A78" s="16" t="str">
        <f>"Sample_G"&amp;[1]!Table_178[[#This Row],[Column]]&amp;"_"&amp;[1]!Table_178[[#This Row],[Assay ID]]</f>
        <v>Sample_G5_Plate1</v>
      </c>
      <c r="B78" s="19" t="str">
        <f>IF(sample[[#This Row],[Sample Name]]="","",SUBSTITUTE(SUBSTITUTE(TRIM(sample[[#This Row],[Sample Name]])," ","_"),"-","_"))</f>
        <v>Sample_G5_Plate1</v>
      </c>
      <c r="C78" s="16">
        <f t="shared" si="0"/>
        <v>7</v>
      </c>
      <c r="D78" s="16">
        <f t="shared" si="1"/>
        <v>5</v>
      </c>
      <c r="E78" s="17" t="s">
        <v>165</v>
      </c>
      <c r="F78" t="s">
        <v>156</v>
      </c>
    </row>
    <row r="79" spans="1:6" ht="16" x14ac:dyDescent="0.2">
      <c r="A79" s="16" t="str">
        <f>"Sample_G"&amp;[1]!Table_178[[#This Row],[Column]]&amp;"_"&amp;[1]!Table_178[[#This Row],[Assay ID]]</f>
        <v>Sample_G6_Plate1</v>
      </c>
      <c r="B79" s="19" t="str">
        <f>IF(sample[[#This Row],[Sample Name]]="","",SUBSTITUTE(SUBSTITUTE(TRIM(sample[[#This Row],[Sample Name]])," ","_"),"-","_"))</f>
        <v>Sample_G6_Plate1</v>
      </c>
      <c r="C79" s="16">
        <f t="shared" ref="C79:C97" si="2">C67+1</f>
        <v>7</v>
      </c>
      <c r="D79" s="16">
        <f t="shared" ref="D79:D97" si="3">D67</f>
        <v>6</v>
      </c>
      <c r="E79" s="17" t="s">
        <v>165</v>
      </c>
      <c r="F79" t="s">
        <v>157</v>
      </c>
    </row>
    <row r="80" spans="1:6" ht="16" x14ac:dyDescent="0.2">
      <c r="A80" s="16" t="str">
        <f>"Sample_G"&amp;[1]!Table_178[[#This Row],[Column]]&amp;"_"&amp;[1]!Table_178[[#This Row],[Assay ID]]</f>
        <v>Sample_G7_Plate1</v>
      </c>
      <c r="B80" s="19" t="str">
        <f>IF(sample[[#This Row],[Sample Name]]="","",SUBSTITUTE(SUBSTITUTE(TRIM(sample[[#This Row],[Sample Name]])," ","_"),"-","_"))</f>
        <v>Sample_G7_Plate1</v>
      </c>
      <c r="C80" s="16">
        <f t="shared" si="2"/>
        <v>7</v>
      </c>
      <c r="D80" s="16">
        <f t="shared" si="3"/>
        <v>7</v>
      </c>
      <c r="E80" s="17" t="s">
        <v>165</v>
      </c>
      <c r="F80" t="s">
        <v>158</v>
      </c>
    </row>
    <row r="81" spans="1:6" ht="16" x14ac:dyDescent="0.2">
      <c r="A81" s="16" t="str">
        <f>"Sample_G"&amp;[1]!Table_178[[#This Row],[Column]]&amp;"_"&amp;[1]!Table_178[[#This Row],[Assay ID]]</f>
        <v>Sample_G8_Plate1</v>
      </c>
      <c r="B81" s="19" t="str">
        <f>IF(sample[[#This Row],[Sample Name]]="","",SUBSTITUTE(SUBSTITUTE(TRIM(sample[[#This Row],[Sample Name]])," ","_"),"-","_"))</f>
        <v>Sample_G8_Plate1</v>
      </c>
      <c r="C81" s="16">
        <f t="shared" si="2"/>
        <v>7</v>
      </c>
      <c r="D81" s="16">
        <f t="shared" si="3"/>
        <v>8</v>
      </c>
      <c r="E81" s="17" t="s">
        <v>165</v>
      </c>
      <c r="F81" t="s">
        <v>159</v>
      </c>
    </row>
    <row r="82" spans="1:6" ht="16" x14ac:dyDescent="0.2">
      <c r="A82" s="16" t="str">
        <f>"Sample_G"&amp;[1]!Table_178[[#This Row],[Column]]&amp;"_"&amp;[1]!Table_178[[#This Row],[Assay ID]]</f>
        <v>Sample_G9_Plate1</v>
      </c>
      <c r="B82" s="19" t="str">
        <f>IF(sample[[#This Row],[Sample Name]]="","",SUBSTITUTE(SUBSTITUTE(TRIM(sample[[#This Row],[Sample Name]])," ","_"),"-","_"))</f>
        <v>Sample_G9_Plate1</v>
      </c>
      <c r="C82" s="16">
        <f t="shared" si="2"/>
        <v>7</v>
      </c>
      <c r="D82" s="16">
        <f t="shared" si="3"/>
        <v>9</v>
      </c>
      <c r="E82" s="17" t="s">
        <v>165</v>
      </c>
      <c r="F82" t="s">
        <v>160</v>
      </c>
    </row>
    <row r="83" spans="1:6" ht="16" x14ac:dyDescent="0.2">
      <c r="A83" s="16" t="str">
        <f>"Sample_G"&amp;[1]!Table_178[[#This Row],[Column]]&amp;"_"&amp;[1]!Table_178[[#This Row],[Assay ID]]</f>
        <v>Sample_G10_Plate1</v>
      </c>
      <c r="B83" s="19" t="str">
        <f>IF(sample[[#This Row],[Sample Name]]="","",SUBSTITUTE(SUBSTITUTE(TRIM(sample[[#This Row],[Sample Name]])," ","_"),"-","_"))</f>
        <v>Sample_G10_Plate1</v>
      </c>
      <c r="C83" s="16">
        <f t="shared" si="2"/>
        <v>7</v>
      </c>
      <c r="D83" s="16">
        <f t="shared" si="3"/>
        <v>10</v>
      </c>
      <c r="E83" s="17" t="s">
        <v>165</v>
      </c>
      <c r="F83" t="s">
        <v>161</v>
      </c>
    </row>
    <row r="84" spans="1:6" ht="16" x14ac:dyDescent="0.2">
      <c r="A84" s="16" t="str">
        <f>"Sample_G"&amp;[1]!Table_178[[#This Row],[Column]]&amp;"_"&amp;[1]!Table_178[[#This Row],[Assay ID]]</f>
        <v>Sample_G11_Plate1</v>
      </c>
      <c r="B84" s="19" t="str">
        <f>IF(sample[[#This Row],[Sample Name]]="","",SUBSTITUTE(SUBSTITUTE(TRIM(sample[[#This Row],[Sample Name]])," ","_"),"-","_"))</f>
        <v>Sample_G11_Plate1</v>
      </c>
      <c r="C84" s="16">
        <f t="shared" si="2"/>
        <v>7</v>
      </c>
      <c r="D84" s="16">
        <f t="shared" si="3"/>
        <v>11</v>
      </c>
      <c r="E84" s="17" t="s">
        <v>165</v>
      </c>
      <c r="F84" t="s">
        <v>164</v>
      </c>
    </row>
    <row r="85" spans="1:6" ht="16" x14ac:dyDescent="0.2">
      <c r="A85" s="16" t="str">
        <f>"Sample_G"&amp;[1]!Table_178[[#This Row],[Column]]&amp;"_"&amp;[1]!Table_178[[#This Row],[Assay ID]]</f>
        <v>Sample_G12_Plate1</v>
      </c>
      <c r="B85" s="19" t="str">
        <f>IF(sample[[#This Row],[Sample Name]]="","",SUBSTITUTE(SUBSTITUTE(TRIM(sample[[#This Row],[Sample Name]])," ","_"),"-","_"))</f>
        <v>Sample_G12_Plate1</v>
      </c>
      <c r="C85" s="16">
        <f t="shared" si="2"/>
        <v>7</v>
      </c>
      <c r="D85" s="16">
        <f t="shared" si="3"/>
        <v>12</v>
      </c>
      <c r="E85" s="17" t="s">
        <v>165</v>
      </c>
      <c r="F85" t="s">
        <v>163</v>
      </c>
    </row>
    <row r="86" spans="1:6" ht="16" x14ac:dyDescent="0.2">
      <c r="A86" s="16" t="str">
        <f>"Sample_H"&amp;[1]!Table_178[[#This Row],[Column]]&amp;"_"&amp;[1]!Table_178[[#This Row],[Assay ID]]</f>
        <v>Sample_H1_Plate1</v>
      </c>
      <c r="B86" s="19" t="str">
        <f>IF(sample[[#This Row],[Sample Name]]="","",SUBSTITUTE(SUBSTITUTE(TRIM(sample[[#This Row],[Sample Name]])," ","_"),"-","_"))</f>
        <v>Sample_H1_Plate1</v>
      </c>
      <c r="C86" s="16">
        <f t="shared" si="2"/>
        <v>8</v>
      </c>
      <c r="D86" s="16">
        <f t="shared" si="3"/>
        <v>1</v>
      </c>
      <c r="E86" s="17" t="s">
        <v>165</v>
      </c>
      <c r="F86" t="s">
        <v>132</v>
      </c>
    </row>
    <row r="87" spans="1:6" ht="16" x14ac:dyDescent="0.2">
      <c r="A87" s="16" t="str">
        <f>"Sample_H"&amp;[1]!Table_178[[#This Row],[Column]]&amp;"_"&amp;[1]!Table_178[[#This Row],[Assay ID]]</f>
        <v>Sample_H2_Plate1</v>
      </c>
      <c r="B87" s="19" t="str">
        <f>IF(sample[[#This Row],[Sample Name]]="","",SUBSTITUTE(SUBSTITUTE(TRIM(sample[[#This Row],[Sample Name]])," ","_"),"-","_"))</f>
        <v>Sample_H2_Plate1</v>
      </c>
      <c r="C87" s="16">
        <f t="shared" si="2"/>
        <v>8</v>
      </c>
      <c r="D87" s="16">
        <f t="shared" si="3"/>
        <v>2</v>
      </c>
      <c r="E87" s="17" t="s">
        <v>165</v>
      </c>
      <c r="F87" t="s">
        <v>132</v>
      </c>
    </row>
    <row r="88" spans="1:6" ht="16" x14ac:dyDescent="0.2">
      <c r="A88" s="16" t="str">
        <f>"Sample_H"&amp;[1]!Table_178[[#This Row],[Column]]&amp;"_"&amp;[1]!Table_178[[#This Row],[Assay ID]]</f>
        <v>Sample_H3_Plate1</v>
      </c>
      <c r="B88" s="19" t="str">
        <f>IF(sample[[#This Row],[Sample Name]]="","",SUBSTITUTE(SUBSTITUTE(TRIM(sample[[#This Row],[Sample Name]])," ","_"),"-","_"))</f>
        <v>Sample_H3_Plate1</v>
      </c>
      <c r="C88" s="16">
        <f t="shared" si="2"/>
        <v>8</v>
      </c>
      <c r="D88" s="16">
        <f t="shared" si="3"/>
        <v>3</v>
      </c>
      <c r="E88" s="17" t="s">
        <v>165</v>
      </c>
      <c r="F88" t="s">
        <v>132</v>
      </c>
    </row>
    <row r="89" spans="1:6" ht="16" x14ac:dyDescent="0.2">
      <c r="A89" s="16" t="str">
        <f>"Sample_H"&amp;[1]!Table_178[[#This Row],[Column]]&amp;"_"&amp;[1]!Table_178[[#This Row],[Assay ID]]</f>
        <v>Sample_H4_Plate1</v>
      </c>
      <c r="B89" s="19" t="str">
        <f>IF(sample[[#This Row],[Sample Name]]="","",SUBSTITUTE(SUBSTITUTE(TRIM(sample[[#This Row],[Sample Name]])," ","_"),"-","_"))</f>
        <v>Sample_H4_Plate1</v>
      </c>
      <c r="C89" s="16">
        <f t="shared" si="2"/>
        <v>8</v>
      </c>
      <c r="D89" s="16">
        <f t="shared" si="3"/>
        <v>4</v>
      </c>
      <c r="E89" s="17" t="s">
        <v>165</v>
      </c>
      <c r="F89" t="s">
        <v>132</v>
      </c>
    </row>
    <row r="90" spans="1:6" ht="16" x14ac:dyDescent="0.2">
      <c r="A90" s="16" t="str">
        <f>"Sample_H"&amp;[1]!Table_178[[#This Row],[Column]]&amp;"_"&amp;[1]!Table_178[[#This Row],[Assay ID]]</f>
        <v>Sample_H5_Plate1</v>
      </c>
      <c r="B90" s="19" t="str">
        <f>IF(sample[[#This Row],[Sample Name]]="","",SUBSTITUTE(SUBSTITUTE(TRIM(sample[[#This Row],[Sample Name]])," ","_"),"-","_"))</f>
        <v>Sample_H5_Plate1</v>
      </c>
      <c r="C90" s="16">
        <f t="shared" si="2"/>
        <v>8</v>
      </c>
      <c r="D90" s="16">
        <f t="shared" si="3"/>
        <v>5</v>
      </c>
      <c r="E90" s="17" t="s">
        <v>165</v>
      </c>
      <c r="F90" t="s">
        <v>132</v>
      </c>
    </row>
    <row r="91" spans="1:6" ht="16" x14ac:dyDescent="0.2">
      <c r="A91" s="16" t="str">
        <f>"Sample_H"&amp;[1]!Table_178[[#This Row],[Column]]&amp;"_"&amp;[1]!Table_178[[#This Row],[Assay ID]]</f>
        <v>Sample_H6_Plate1</v>
      </c>
      <c r="B91" s="19" t="str">
        <f>IF(sample[[#This Row],[Sample Name]]="","",SUBSTITUTE(SUBSTITUTE(TRIM(sample[[#This Row],[Sample Name]])," ","_"),"-","_"))</f>
        <v>Sample_H6_Plate1</v>
      </c>
      <c r="C91" s="16">
        <f t="shared" si="2"/>
        <v>8</v>
      </c>
      <c r="D91" s="16">
        <f t="shared" si="3"/>
        <v>6</v>
      </c>
      <c r="E91" s="17" t="s">
        <v>165</v>
      </c>
      <c r="F91" t="s">
        <v>132</v>
      </c>
    </row>
    <row r="92" spans="1:6" ht="16" x14ac:dyDescent="0.2">
      <c r="A92" s="16" t="str">
        <f>"Sample_H"&amp;[1]!Table_178[[#This Row],[Column]]&amp;"_"&amp;[1]!Table_178[[#This Row],[Assay ID]]</f>
        <v>Sample_H7_Plate1</v>
      </c>
      <c r="B92" s="19" t="str">
        <f>IF(sample[[#This Row],[Sample Name]]="","",SUBSTITUTE(SUBSTITUTE(TRIM(sample[[#This Row],[Sample Name]])," ","_"),"-","_"))</f>
        <v>Sample_H7_Plate1</v>
      </c>
      <c r="C92" s="16">
        <f t="shared" si="2"/>
        <v>8</v>
      </c>
      <c r="D92" s="16">
        <f t="shared" si="3"/>
        <v>7</v>
      </c>
      <c r="E92" s="17" t="s">
        <v>165</v>
      </c>
      <c r="F92" t="s">
        <v>132</v>
      </c>
    </row>
    <row r="93" spans="1:6" ht="16" x14ac:dyDescent="0.2">
      <c r="A93" s="16" t="str">
        <f>"Sample_H"&amp;[1]!Table_178[[#This Row],[Column]]&amp;"_"&amp;[1]!Table_178[[#This Row],[Assay ID]]</f>
        <v>Sample_H8_Plate1</v>
      </c>
      <c r="B93" s="19" t="str">
        <f>IF(sample[[#This Row],[Sample Name]]="","",SUBSTITUTE(SUBSTITUTE(TRIM(sample[[#This Row],[Sample Name]])," ","_"),"-","_"))</f>
        <v>Sample_H8_Plate1</v>
      </c>
      <c r="C93" s="16">
        <f t="shared" si="2"/>
        <v>8</v>
      </c>
      <c r="D93" s="16">
        <f t="shared" si="3"/>
        <v>8</v>
      </c>
      <c r="E93" s="17" t="s">
        <v>165</v>
      </c>
      <c r="F93" t="s">
        <v>132</v>
      </c>
    </row>
    <row r="94" spans="1:6" ht="16" x14ac:dyDescent="0.2">
      <c r="A94" s="16" t="str">
        <f>"Sample_H"&amp;[1]!Table_178[[#This Row],[Column]]&amp;"_"&amp;[1]!Table_178[[#This Row],[Assay ID]]</f>
        <v>Sample_H9_Plate1</v>
      </c>
      <c r="B94" s="19" t="str">
        <f>IF(sample[[#This Row],[Sample Name]]="","",SUBSTITUTE(SUBSTITUTE(TRIM(sample[[#This Row],[Sample Name]])," ","_"),"-","_"))</f>
        <v>Sample_H9_Plate1</v>
      </c>
      <c r="C94" s="16">
        <f t="shared" si="2"/>
        <v>8</v>
      </c>
      <c r="D94" s="16">
        <f t="shared" si="3"/>
        <v>9</v>
      </c>
      <c r="E94" s="17" t="s">
        <v>165</v>
      </c>
      <c r="F94" t="s">
        <v>132</v>
      </c>
    </row>
    <row r="95" spans="1:6" ht="16" x14ac:dyDescent="0.2">
      <c r="A95" s="16" t="str">
        <f>"Sample_H"&amp;[1]!Table_178[[#This Row],[Column]]&amp;"_"&amp;[1]!Table_178[[#This Row],[Assay ID]]</f>
        <v>Sample_H10_Plate1</v>
      </c>
      <c r="B95" s="19" t="str">
        <f>IF(sample[[#This Row],[Sample Name]]="","",SUBSTITUTE(SUBSTITUTE(TRIM(sample[[#This Row],[Sample Name]])," ","_"),"-","_"))</f>
        <v>Sample_H10_Plate1</v>
      </c>
      <c r="C95" s="16">
        <f t="shared" si="2"/>
        <v>8</v>
      </c>
      <c r="D95" s="16">
        <f t="shared" si="3"/>
        <v>10</v>
      </c>
      <c r="E95" s="17" t="s">
        <v>165</v>
      </c>
      <c r="F95" t="s">
        <v>132</v>
      </c>
    </row>
    <row r="96" spans="1:6" ht="16" x14ac:dyDescent="0.2">
      <c r="A96" s="16" t="str">
        <f>"Sample_H"&amp;[1]!Table_178[[#This Row],[Column]]&amp;"_"&amp;[1]!Table_178[[#This Row],[Assay ID]]</f>
        <v>Sample_H11_Plate1</v>
      </c>
      <c r="B96" s="19" t="str">
        <f>IF(sample[[#This Row],[Sample Name]]="","",SUBSTITUTE(SUBSTITUTE(TRIM(sample[[#This Row],[Sample Name]])," ","_"),"-","_"))</f>
        <v>Sample_H11_Plate1</v>
      </c>
      <c r="C96" s="16">
        <f t="shared" si="2"/>
        <v>8</v>
      </c>
      <c r="D96" s="16">
        <f t="shared" si="3"/>
        <v>11</v>
      </c>
      <c r="E96" s="17" t="s">
        <v>165</v>
      </c>
      <c r="F96" t="s">
        <v>132</v>
      </c>
    </row>
    <row r="97" spans="1:6" ht="16" x14ac:dyDescent="0.2">
      <c r="A97" s="16" t="str">
        <f>"Sample_H"&amp;[1]!Table_178[[#This Row],[Column]]&amp;"_"&amp;[1]!Table_178[[#This Row],[Assay ID]]</f>
        <v>Sample_H12_Plate1</v>
      </c>
      <c r="B97" s="19" t="str">
        <f>IF(sample[[#This Row],[Sample Name]]="","",SUBSTITUTE(SUBSTITUTE(TRIM(sample[[#This Row],[Sample Name]])," ","_"),"-","_"))</f>
        <v>Sample_H12_Plate1</v>
      </c>
      <c r="C97" s="16">
        <f t="shared" si="2"/>
        <v>8</v>
      </c>
      <c r="D97" s="16">
        <f t="shared" si="3"/>
        <v>12</v>
      </c>
      <c r="E97" s="17" t="s">
        <v>165</v>
      </c>
      <c r="F97" t="s">
        <v>163</v>
      </c>
    </row>
  </sheetData>
  <phoneticPr fontId="15" type="noConversion"/>
  <dataValidations count="1">
    <dataValidation type="list" allowBlank="1" showInputMessage="1" showErrorMessage="1" sqref="F2:F57 F59:F97" xr:uid="{00000000-0002-0000-0500-000000000000}">
      <formula1>dv_SBH_sampledesigns_collection_Name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93"/>
  <sheetViews>
    <sheetView tabSelected="1" workbookViewId="0">
      <pane ySplit="1" topLeftCell="A2" activePane="bottomLeft" state="frozen"/>
      <selection pane="bottomLeft" activeCell="C24" sqref="C24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0" t="s">
        <v>124</v>
      </c>
      <c r="B1" s="10" t="s">
        <v>125</v>
      </c>
      <c r="C1" s="10" t="s">
        <v>45</v>
      </c>
      <c r="D1" s="10" t="s">
        <v>41</v>
      </c>
      <c r="E1" s="10" t="s">
        <v>46</v>
      </c>
      <c r="F1" s="10" t="s">
        <v>43</v>
      </c>
    </row>
    <row r="2" spans="1:6" ht="16" x14ac:dyDescent="0.2">
      <c r="A2" s="16" t="str">
        <f>"Measurement_"&amp;ROW()-1</f>
        <v>Measurement_1</v>
      </c>
      <c r="B2" s="18" t="str">
        <f>IF(measurement[[#This Row],[Measurement Name]]="","",SUBSTITUTE(SUBSTITUTE(TRIM(measurement[[#This Row],[Measurement Name]])," ","_"),"-","_"))</f>
        <v>Measurement_1</v>
      </c>
      <c r="C2" s="16" t="str">
        <f>"Sample_A"&amp;[1]!Table_178[[#This Row],[Column]]&amp;"_"&amp;[1]!Table_178[[#This Row],[Assay ID]]</f>
        <v>Sample_A1_Plate1</v>
      </c>
      <c r="D2" s="16" t="s">
        <v>205</v>
      </c>
      <c r="E2" s="16">
        <v>120</v>
      </c>
      <c r="F2" s="21">
        <v>8.5999999999999993E-2</v>
      </c>
    </row>
    <row r="3" spans="1:6" ht="16" x14ac:dyDescent="0.2">
      <c r="A3" s="16" t="str">
        <f t="shared" ref="A3:A66" si="0">"Measurement_"&amp;ROW()-1</f>
        <v>Measurement_2</v>
      </c>
      <c r="B3" s="19" t="str">
        <f>IF(measurement[[#This Row],[Measurement Name]]="","",SUBSTITUTE(SUBSTITUTE(TRIM(measurement[[#This Row],[Measurement Name]])," ","_"),"-","_"))</f>
        <v>Measurement_2</v>
      </c>
      <c r="C3" s="16" t="str">
        <f>"Sample_A"&amp;[1]!Table_178[[#This Row],[Column]]&amp;"_"&amp;[1]!Table_178[[#This Row],[Assay ID]]</f>
        <v>Sample_A2_Plate1</v>
      </c>
      <c r="D3" s="16" t="s">
        <v>205</v>
      </c>
      <c r="E3" s="16">
        <v>120</v>
      </c>
      <c r="F3" s="21">
        <v>8.3000000000000004E-2</v>
      </c>
    </row>
    <row r="4" spans="1:6" ht="16" x14ac:dyDescent="0.2">
      <c r="A4" s="16" t="str">
        <f t="shared" si="0"/>
        <v>Measurement_3</v>
      </c>
      <c r="B4" s="19" t="str">
        <f>IF(measurement[[#This Row],[Measurement Name]]="","",SUBSTITUTE(SUBSTITUTE(TRIM(measurement[[#This Row],[Measurement Name]])," ","_"),"-","_"))</f>
        <v>Measurement_3</v>
      </c>
      <c r="C4" s="16" t="str">
        <f>"Sample_A"&amp;[1]!Table_178[[#This Row],[Column]]&amp;"_"&amp;[1]!Table_178[[#This Row],[Assay ID]]</f>
        <v>Sample_A3_Plate1</v>
      </c>
      <c r="D4" s="16" t="s">
        <v>205</v>
      </c>
      <c r="E4" s="16">
        <v>120</v>
      </c>
      <c r="F4" s="21">
        <v>8.4000000000000005E-2</v>
      </c>
    </row>
    <row r="5" spans="1:6" ht="16" x14ac:dyDescent="0.2">
      <c r="A5" s="16" t="str">
        <f t="shared" si="0"/>
        <v>Measurement_4</v>
      </c>
      <c r="B5" s="19" t="str">
        <f>IF(measurement[[#This Row],[Measurement Name]]="","",SUBSTITUTE(SUBSTITUTE(TRIM(measurement[[#This Row],[Measurement Name]])," ","_"),"-","_"))</f>
        <v>Measurement_4</v>
      </c>
      <c r="C5" s="16" t="str">
        <f>"Sample_A"&amp;[1]!Table_178[[#This Row],[Column]]&amp;"_"&amp;[1]!Table_178[[#This Row],[Assay ID]]</f>
        <v>Sample_A4_Plate1</v>
      </c>
      <c r="D5" s="16" t="s">
        <v>205</v>
      </c>
      <c r="E5" s="16">
        <v>120</v>
      </c>
      <c r="F5" s="21">
        <v>8.5000000000000006E-2</v>
      </c>
    </row>
    <row r="6" spans="1:6" ht="16" x14ac:dyDescent="0.2">
      <c r="A6" s="16" t="str">
        <f t="shared" si="0"/>
        <v>Measurement_5</v>
      </c>
      <c r="B6" s="19" t="str">
        <f>IF(measurement[[#This Row],[Measurement Name]]="","",SUBSTITUTE(SUBSTITUTE(TRIM(measurement[[#This Row],[Measurement Name]])," ","_"),"-","_"))</f>
        <v>Measurement_5</v>
      </c>
      <c r="C6" s="16" t="str">
        <f>"Sample_A"&amp;[1]!Table_178[[#This Row],[Column]]&amp;"_"&amp;[1]!Table_178[[#This Row],[Assay ID]]</f>
        <v>Sample_A5_Plate1</v>
      </c>
      <c r="D6" s="16" t="s">
        <v>205</v>
      </c>
      <c r="E6" s="16">
        <v>120</v>
      </c>
      <c r="F6" s="21">
        <v>8.4000000000000005E-2</v>
      </c>
    </row>
    <row r="7" spans="1:6" ht="16" x14ac:dyDescent="0.2">
      <c r="A7" s="16" t="str">
        <f t="shared" si="0"/>
        <v>Measurement_6</v>
      </c>
      <c r="B7" s="19" t="str">
        <f>IF(measurement[[#This Row],[Measurement Name]]="","",SUBSTITUTE(SUBSTITUTE(TRIM(measurement[[#This Row],[Measurement Name]])," ","_"),"-","_"))</f>
        <v>Measurement_6</v>
      </c>
      <c r="C7" s="16" t="str">
        <f>"Sample_A"&amp;[1]!Table_178[[#This Row],[Column]]&amp;"_"&amp;[1]!Table_178[[#This Row],[Assay ID]]</f>
        <v>Sample_A6_Plate1</v>
      </c>
      <c r="D7" s="16" t="s">
        <v>205</v>
      </c>
      <c r="E7" s="16">
        <v>120</v>
      </c>
      <c r="F7" s="21">
        <v>8.4000000000000005E-2</v>
      </c>
    </row>
    <row r="8" spans="1:6" ht="16" x14ac:dyDescent="0.2">
      <c r="A8" s="16" t="str">
        <f t="shared" si="0"/>
        <v>Measurement_7</v>
      </c>
      <c r="B8" s="19" t="str">
        <f>IF(measurement[[#This Row],[Measurement Name]]="","",SUBSTITUTE(SUBSTITUTE(TRIM(measurement[[#This Row],[Measurement Name]])," ","_"),"-","_"))</f>
        <v>Measurement_7</v>
      </c>
      <c r="C8" s="16" t="str">
        <f>"Sample_A"&amp;[1]!Table_178[[#This Row],[Column]]&amp;"_"&amp;[1]!Table_178[[#This Row],[Assay ID]]</f>
        <v>Sample_A7_Plate1</v>
      </c>
      <c r="D8" s="16" t="s">
        <v>205</v>
      </c>
      <c r="E8" s="16">
        <v>120</v>
      </c>
      <c r="F8" s="21">
        <v>8.4000000000000005E-2</v>
      </c>
    </row>
    <row r="9" spans="1:6" ht="16" x14ac:dyDescent="0.2">
      <c r="A9" s="16" t="str">
        <f t="shared" si="0"/>
        <v>Measurement_8</v>
      </c>
      <c r="B9" s="19" t="str">
        <f>IF(measurement[[#This Row],[Measurement Name]]="","",SUBSTITUTE(SUBSTITUTE(TRIM(measurement[[#This Row],[Measurement Name]])," ","_"),"-","_"))</f>
        <v>Measurement_8</v>
      </c>
      <c r="C9" s="16" t="str">
        <f>"Sample_A"&amp;[1]!Table_178[[#This Row],[Column]]&amp;"_"&amp;[1]!Table_178[[#This Row],[Assay ID]]</f>
        <v>Sample_A8_Plate1</v>
      </c>
      <c r="D9" s="16" t="s">
        <v>205</v>
      </c>
      <c r="E9" s="16">
        <v>120</v>
      </c>
      <c r="F9" s="21">
        <v>8.4000000000000005E-2</v>
      </c>
    </row>
    <row r="10" spans="1:6" ht="16" x14ac:dyDescent="0.2">
      <c r="A10" s="16" t="str">
        <f t="shared" si="0"/>
        <v>Measurement_9</v>
      </c>
      <c r="B10" s="19" t="str">
        <f>IF(measurement[[#This Row],[Measurement Name]]="","",SUBSTITUTE(SUBSTITUTE(TRIM(measurement[[#This Row],[Measurement Name]])," ","_"),"-","_"))</f>
        <v>Measurement_9</v>
      </c>
      <c r="C10" s="16" t="str">
        <f>"Sample_A"&amp;[1]!Table_178[[#This Row],[Column]]&amp;"_"&amp;[1]!Table_178[[#This Row],[Assay ID]]</f>
        <v>Sample_A9_Plate1</v>
      </c>
      <c r="D10" s="16" t="s">
        <v>205</v>
      </c>
      <c r="E10" s="16">
        <v>120</v>
      </c>
      <c r="F10" s="21">
        <v>8.4000000000000005E-2</v>
      </c>
    </row>
    <row r="11" spans="1:6" ht="16" x14ac:dyDescent="0.2">
      <c r="A11" s="16" t="str">
        <f t="shared" si="0"/>
        <v>Measurement_10</v>
      </c>
      <c r="B11" s="19" t="str">
        <f>IF(measurement[[#This Row],[Measurement Name]]="","",SUBSTITUTE(SUBSTITUTE(TRIM(measurement[[#This Row],[Measurement Name]])," ","_"),"-","_"))</f>
        <v>Measurement_10</v>
      </c>
      <c r="C11" s="16" t="str">
        <f>"Sample_A"&amp;[1]!Table_178[[#This Row],[Column]]&amp;"_"&amp;[1]!Table_178[[#This Row],[Assay ID]]</f>
        <v>Sample_A10_Plate1</v>
      </c>
      <c r="D11" s="16" t="s">
        <v>205</v>
      </c>
      <c r="E11" s="16">
        <v>120</v>
      </c>
      <c r="F11" s="21">
        <v>8.4000000000000005E-2</v>
      </c>
    </row>
    <row r="12" spans="1:6" ht="16" x14ac:dyDescent="0.2">
      <c r="A12" s="16" t="str">
        <f t="shared" si="0"/>
        <v>Measurement_11</v>
      </c>
      <c r="B12" s="19" t="str">
        <f>IF(measurement[[#This Row],[Measurement Name]]="","",SUBSTITUTE(SUBSTITUTE(TRIM(measurement[[#This Row],[Measurement Name]])," ","_"),"-","_"))</f>
        <v>Measurement_11</v>
      </c>
      <c r="C12" s="16" t="str">
        <f>"Sample_A"&amp;[1]!Table_178[[#This Row],[Column]]&amp;"_"&amp;[1]!Table_178[[#This Row],[Assay ID]]</f>
        <v>Sample_A11_Plate1</v>
      </c>
      <c r="D12" s="16" t="s">
        <v>205</v>
      </c>
      <c r="E12" s="16">
        <v>120</v>
      </c>
      <c r="F12" s="21">
        <v>8.4000000000000005E-2</v>
      </c>
    </row>
    <row r="13" spans="1:6" ht="16" x14ac:dyDescent="0.2">
      <c r="A13" s="16" t="str">
        <f t="shared" si="0"/>
        <v>Measurement_12</v>
      </c>
      <c r="B13" s="19" t="str">
        <f>IF(measurement[[#This Row],[Measurement Name]]="","",SUBSTITUTE(SUBSTITUTE(TRIM(measurement[[#This Row],[Measurement Name]])," ","_"),"-","_"))</f>
        <v>Measurement_12</v>
      </c>
      <c r="C13" s="16" t="str">
        <f>"Sample_A"&amp;[1]!Table_178[[#This Row],[Column]]&amp;"_"&amp;[1]!Table_178[[#This Row],[Assay ID]]</f>
        <v>Sample_A12_Plate1</v>
      </c>
      <c r="D13" s="16" t="s">
        <v>205</v>
      </c>
      <c r="E13" s="16">
        <v>120</v>
      </c>
      <c r="F13" s="21">
        <v>8.3000000000000004E-2</v>
      </c>
    </row>
    <row r="14" spans="1:6" ht="16" x14ac:dyDescent="0.2">
      <c r="A14" s="16" t="str">
        <f t="shared" si="0"/>
        <v>Measurement_13</v>
      </c>
      <c r="B14" s="19" t="str">
        <f>IF(measurement[[#This Row],[Measurement Name]]="","",SUBSTITUTE(SUBSTITUTE(TRIM(measurement[[#This Row],[Measurement Name]])," ","_"),"-","_"))</f>
        <v>Measurement_13</v>
      </c>
      <c r="C14" s="16" t="str">
        <f>"Sample_B"&amp;[1]!Table_178[[#This Row],[Column]]&amp;"_"&amp;[1]!Table_178[[#This Row],[Assay ID]]</f>
        <v>Sample_B1_Plate1</v>
      </c>
      <c r="D14" s="16" t="s">
        <v>205</v>
      </c>
      <c r="E14" s="16">
        <v>120</v>
      </c>
      <c r="F14" s="21">
        <v>8.4000000000000005E-2</v>
      </c>
    </row>
    <row r="15" spans="1:6" ht="16" x14ac:dyDescent="0.2">
      <c r="A15" s="16" t="str">
        <f t="shared" si="0"/>
        <v>Measurement_14</v>
      </c>
      <c r="B15" s="19" t="str">
        <f>IF(measurement[[#This Row],[Measurement Name]]="","",SUBSTITUTE(SUBSTITUTE(TRIM(measurement[[#This Row],[Measurement Name]])," ","_"),"-","_"))</f>
        <v>Measurement_14</v>
      </c>
      <c r="C15" s="16" t="str">
        <f>"Sample_B"&amp;[1]!Table_178[[#This Row],[Column]]&amp;"_"&amp;[1]!Table_178[[#This Row],[Assay ID]]</f>
        <v>Sample_B2_Plate1</v>
      </c>
      <c r="D15" s="16" t="s">
        <v>205</v>
      </c>
      <c r="E15" s="16">
        <v>120</v>
      </c>
      <c r="F15" s="21">
        <v>0.38900000000000001</v>
      </c>
    </row>
    <row r="16" spans="1:6" ht="16" x14ac:dyDescent="0.2">
      <c r="A16" s="16" t="str">
        <f t="shared" si="0"/>
        <v>Measurement_15</v>
      </c>
      <c r="B16" s="19" t="str">
        <f>IF(measurement[[#This Row],[Measurement Name]]="","",SUBSTITUTE(SUBSTITUTE(TRIM(measurement[[#This Row],[Measurement Name]])," ","_"),"-","_"))</f>
        <v>Measurement_15</v>
      </c>
      <c r="C16" s="16" t="str">
        <f>"Sample_B"&amp;[1]!Table_178[[#This Row],[Column]]&amp;"_"&amp;[1]!Table_178[[#This Row],[Assay ID]]</f>
        <v>Sample_B3_Plate1</v>
      </c>
      <c r="D16" s="16" t="s">
        <v>205</v>
      </c>
      <c r="E16" s="16">
        <v>120</v>
      </c>
      <c r="F16" s="21">
        <v>0.38900000000000001</v>
      </c>
    </row>
    <row r="17" spans="1:6" ht="16" x14ac:dyDescent="0.2">
      <c r="A17" s="16" t="str">
        <f t="shared" si="0"/>
        <v>Measurement_16</v>
      </c>
      <c r="B17" s="19" t="str">
        <f>IF(measurement[[#This Row],[Measurement Name]]="","",SUBSTITUTE(SUBSTITUTE(TRIM(measurement[[#This Row],[Measurement Name]])," ","_"),"-","_"))</f>
        <v>Measurement_16</v>
      </c>
      <c r="C17" s="16" t="str">
        <f>"Sample_B"&amp;[1]!Table_178[[#This Row],[Column]]&amp;"_"&amp;[1]!Table_178[[#This Row],[Assay ID]]</f>
        <v>Sample_B4_Plate1</v>
      </c>
      <c r="D17" s="16" t="s">
        <v>205</v>
      </c>
      <c r="E17" s="16">
        <v>120</v>
      </c>
      <c r="F17" s="21">
        <v>0.38600000000000001</v>
      </c>
    </row>
    <row r="18" spans="1:6" ht="16" x14ac:dyDescent="0.2">
      <c r="A18" s="16" t="str">
        <f t="shared" si="0"/>
        <v>Measurement_17</v>
      </c>
      <c r="B18" s="19" t="str">
        <f>IF(measurement[[#This Row],[Measurement Name]]="","",SUBSTITUTE(SUBSTITUTE(TRIM(measurement[[#This Row],[Measurement Name]])," ","_"),"-","_"))</f>
        <v>Measurement_17</v>
      </c>
      <c r="C18" s="16" t="str">
        <f>"Sample_B"&amp;[1]!Table_178[[#This Row],[Column]]&amp;"_"&amp;[1]!Table_178[[#This Row],[Assay ID]]</f>
        <v>Sample_B5_Plate1</v>
      </c>
      <c r="D18" s="16" t="s">
        <v>205</v>
      </c>
      <c r="E18" s="16">
        <v>120</v>
      </c>
      <c r="F18" s="21">
        <v>0.378</v>
      </c>
    </row>
    <row r="19" spans="1:6" ht="16" x14ac:dyDescent="0.2">
      <c r="A19" s="16" t="str">
        <f t="shared" si="0"/>
        <v>Measurement_18</v>
      </c>
      <c r="B19" s="19" t="str">
        <f>IF(measurement[[#This Row],[Measurement Name]]="","",SUBSTITUTE(SUBSTITUTE(TRIM(measurement[[#This Row],[Measurement Name]])," ","_"),"-","_"))</f>
        <v>Measurement_18</v>
      </c>
      <c r="C19" s="16" t="str">
        <f>"Sample_B"&amp;[1]!Table_178[[#This Row],[Column]]&amp;"_"&amp;[1]!Table_178[[#This Row],[Assay ID]]</f>
        <v>Sample_B6_Plate1</v>
      </c>
      <c r="D19" s="16" t="s">
        <v>205</v>
      </c>
      <c r="E19" s="16">
        <v>120</v>
      </c>
      <c r="F19" s="21">
        <v>0.38400000000000001</v>
      </c>
    </row>
    <row r="20" spans="1:6" ht="16" x14ac:dyDescent="0.2">
      <c r="A20" s="16" t="str">
        <f t="shared" si="0"/>
        <v>Measurement_19</v>
      </c>
      <c r="B20" s="19" t="str">
        <f>IF(measurement[[#This Row],[Measurement Name]]="","",SUBSTITUTE(SUBSTITUTE(TRIM(measurement[[#This Row],[Measurement Name]])," ","_"),"-","_"))</f>
        <v>Measurement_19</v>
      </c>
      <c r="C20" s="16" t="str">
        <f>"Sample_B"&amp;[1]!Table_178[[#This Row],[Column]]&amp;"_"&amp;[1]!Table_178[[#This Row],[Assay ID]]</f>
        <v>Sample_B7_Plate1</v>
      </c>
      <c r="D20" s="16" t="s">
        <v>205</v>
      </c>
      <c r="E20" s="16">
        <v>120</v>
      </c>
      <c r="F20" s="21">
        <v>0.39300000000000002</v>
      </c>
    </row>
    <row r="21" spans="1:6" ht="16" x14ac:dyDescent="0.2">
      <c r="A21" s="16" t="str">
        <f t="shared" si="0"/>
        <v>Measurement_20</v>
      </c>
      <c r="B21" s="19" t="str">
        <f>IF(measurement[[#This Row],[Measurement Name]]="","",SUBSTITUTE(SUBSTITUTE(TRIM(measurement[[#This Row],[Measurement Name]])," ","_"),"-","_"))</f>
        <v>Measurement_20</v>
      </c>
      <c r="C21" s="16" t="str">
        <f>"Sample_B"&amp;[1]!Table_178[[#This Row],[Column]]&amp;"_"&amp;[1]!Table_178[[#This Row],[Assay ID]]</f>
        <v>Sample_B8_Plate1</v>
      </c>
      <c r="D21" s="16" t="s">
        <v>205</v>
      </c>
      <c r="E21" s="16">
        <v>120</v>
      </c>
      <c r="F21" s="21">
        <v>0.38500000000000001</v>
      </c>
    </row>
    <row r="22" spans="1:6" ht="16" x14ac:dyDescent="0.2">
      <c r="A22" s="16" t="str">
        <f t="shared" si="0"/>
        <v>Measurement_21</v>
      </c>
      <c r="B22" s="19" t="str">
        <f>IF(measurement[[#This Row],[Measurement Name]]="","",SUBSTITUTE(SUBSTITUTE(TRIM(measurement[[#This Row],[Measurement Name]])," ","_"),"-","_"))</f>
        <v>Measurement_21</v>
      </c>
      <c r="C22" s="16" t="str">
        <f>"Sample_B"&amp;[1]!Table_178[[#This Row],[Column]]&amp;"_"&amp;[1]!Table_178[[#This Row],[Assay ID]]</f>
        <v>Sample_B9_Plate1</v>
      </c>
      <c r="D22" s="16" t="s">
        <v>205</v>
      </c>
      <c r="E22" s="16">
        <v>120</v>
      </c>
      <c r="F22" s="21">
        <v>0.4</v>
      </c>
    </row>
    <row r="23" spans="1:6" ht="16" x14ac:dyDescent="0.2">
      <c r="A23" s="16" t="str">
        <f t="shared" si="0"/>
        <v>Measurement_22</v>
      </c>
      <c r="B23" s="19" t="str">
        <f>IF(measurement[[#This Row],[Measurement Name]]="","",SUBSTITUTE(SUBSTITUTE(TRIM(measurement[[#This Row],[Measurement Name]])," ","_"),"-","_"))</f>
        <v>Measurement_22</v>
      </c>
      <c r="C23" s="16" t="str">
        <f>"Sample_B"&amp;[1]!Table_178[[#This Row],[Column]]&amp;"_"&amp;[1]!Table_178[[#This Row],[Assay ID]]</f>
        <v>Sample_B10_Plate1</v>
      </c>
      <c r="D23" s="16" t="s">
        <v>205</v>
      </c>
      <c r="E23" s="16">
        <v>120</v>
      </c>
      <c r="F23" s="21">
        <v>0.38800000000000001</v>
      </c>
    </row>
    <row r="24" spans="1:6" ht="16" x14ac:dyDescent="0.2">
      <c r="A24" s="16" t="str">
        <f t="shared" si="0"/>
        <v>Measurement_23</v>
      </c>
      <c r="B24" s="19" t="str">
        <f>IF(measurement[[#This Row],[Measurement Name]]="","",SUBSTITUTE(SUBSTITUTE(TRIM(measurement[[#This Row],[Measurement Name]])," ","_"),"-","_"))</f>
        <v>Measurement_23</v>
      </c>
      <c r="C24" s="16" t="str">
        <f>"Sample_B"&amp;[1]!Table_178[[#This Row],[Column]]&amp;"_"&amp;[1]!Table_178[[#This Row],[Assay ID]]</f>
        <v>Sample_B11_Plate1</v>
      </c>
      <c r="D24" s="16" t="s">
        <v>205</v>
      </c>
      <c r="E24" s="16">
        <v>120</v>
      </c>
      <c r="F24" s="21">
        <v>0.97099999999999997</v>
      </c>
    </row>
    <row r="25" spans="1:6" ht="16" x14ac:dyDescent="0.2">
      <c r="A25" s="16" t="str">
        <f t="shared" si="0"/>
        <v>Measurement_24</v>
      </c>
      <c r="B25" s="19" t="str">
        <f>IF(measurement[[#This Row],[Measurement Name]]="","",SUBSTITUTE(SUBSTITUTE(TRIM(measurement[[#This Row],[Measurement Name]])," ","_"),"-","_"))</f>
        <v>Measurement_24</v>
      </c>
      <c r="C25" s="16" t="str">
        <f>"Sample_B"&amp;[1]!Table_178[[#This Row],[Column]]&amp;"_"&amp;[1]!Table_178[[#This Row],[Assay ID]]</f>
        <v>Sample_B12_Plate1</v>
      </c>
      <c r="D25" s="16" t="s">
        <v>205</v>
      </c>
      <c r="E25" s="16">
        <v>120</v>
      </c>
      <c r="F25" s="21">
        <v>8.4000000000000005E-2</v>
      </c>
    </row>
    <row r="26" spans="1:6" ht="16" x14ac:dyDescent="0.2">
      <c r="A26" s="16" t="str">
        <f t="shared" si="0"/>
        <v>Measurement_25</v>
      </c>
      <c r="B26" s="19" t="str">
        <f>IF(measurement[[#This Row],[Measurement Name]]="","",SUBSTITUTE(SUBSTITUTE(TRIM(measurement[[#This Row],[Measurement Name]])," ","_"),"-","_"))</f>
        <v>Measurement_25</v>
      </c>
      <c r="C26" s="16" t="str">
        <f>"Sample_C"&amp;[1]!Table_178[[#This Row],[Column]]&amp;"_"&amp;[1]!Table_178[[#This Row],[Assay ID]]</f>
        <v>Sample_C1_Plate1</v>
      </c>
      <c r="D26" s="16" t="s">
        <v>205</v>
      </c>
      <c r="E26" s="16">
        <v>120</v>
      </c>
      <c r="F26" s="21">
        <v>8.3000000000000004E-2</v>
      </c>
    </row>
    <row r="27" spans="1:6" ht="16" x14ac:dyDescent="0.2">
      <c r="A27" s="16" t="str">
        <f t="shared" si="0"/>
        <v>Measurement_26</v>
      </c>
      <c r="B27" s="19" t="str">
        <f>IF(measurement[[#This Row],[Measurement Name]]="","",SUBSTITUTE(SUBSTITUTE(TRIM(measurement[[#This Row],[Measurement Name]])," ","_"),"-","_"))</f>
        <v>Measurement_26</v>
      </c>
      <c r="C27" s="16" t="str">
        <f>"Sample_C"&amp;[1]!Table_178[[#This Row],[Column]]&amp;"_"&amp;[1]!Table_178[[#This Row],[Assay ID]]</f>
        <v>Sample_C2_Plate1</v>
      </c>
      <c r="D27" s="16" t="s">
        <v>205</v>
      </c>
      <c r="E27" s="16">
        <v>120</v>
      </c>
      <c r="F27" s="21">
        <v>0.39700000000000002</v>
      </c>
    </row>
    <row r="28" spans="1:6" ht="16" x14ac:dyDescent="0.2">
      <c r="A28" s="16" t="str">
        <f t="shared" si="0"/>
        <v>Measurement_27</v>
      </c>
      <c r="B28" s="19" t="str">
        <f>IF(measurement[[#This Row],[Measurement Name]]="","",SUBSTITUTE(SUBSTITUTE(TRIM(measurement[[#This Row],[Measurement Name]])," ","_"),"-","_"))</f>
        <v>Measurement_27</v>
      </c>
      <c r="C28" s="16" t="str">
        <f>"Sample_C"&amp;[1]!Table_178[[#This Row],[Column]]&amp;"_"&amp;[1]!Table_178[[#This Row],[Assay ID]]</f>
        <v>Sample_C3_Plate1</v>
      </c>
      <c r="D28" s="16" t="s">
        <v>205</v>
      </c>
      <c r="E28" s="16">
        <v>120</v>
      </c>
      <c r="F28" s="21">
        <v>0.39400000000000002</v>
      </c>
    </row>
    <row r="29" spans="1:6" ht="16" x14ac:dyDescent="0.2">
      <c r="A29" s="16" t="str">
        <f t="shared" si="0"/>
        <v>Measurement_28</v>
      </c>
      <c r="B29" s="19" t="str">
        <f>IF(measurement[[#This Row],[Measurement Name]]="","",SUBSTITUTE(SUBSTITUTE(TRIM(measurement[[#This Row],[Measurement Name]])," ","_"),"-","_"))</f>
        <v>Measurement_28</v>
      </c>
      <c r="C29" s="16" t="str">
        <f>"Sample_C"&amp;[1]!Table_178[[#This Row],[Column]]&amp;"_"&amp;[1]!Table_178[[#This Row],[Assay ID]]</f>
        <v>Sample_C4_Plate1</v>
      </c>
      <c r="D29" s="16" t="s">
        <v>205</v>
      </c>
      <c r="E29" s="16">
        <v>120</v>
      </c>
      <c r="F29" s="21">
        <v>0.39700000000000002</v>
      </c>
    </row>
    <row r="30" spans="1:6" ht="16" x14ac:dyDescent="0.2">
      <c r="A30" s="16" t="str">
        <f t="shared" si="0"/>
        <v>Measurement_29</v>
      </c>
      <c r="B30" s="19" t="str">
        <f>IF(measurement[[#This Row],[Measurement Name]]="","",SUBSTITUTE(SUBSTITUTE(TRIM(measurement[[#This Row],[Measurement Name]])," ","_"),"-","_"))</f>
        <v>Measurement_29</v>
      </c>
      <c r="C30" s="16" t="str">
        <f>"Sample_C"&amp;[1]!Table_178[[#This Row],[Column]]&amp;"_"&amp;[1]!Table_178[[#This Row],[Assay ID]]</f>
        <v>Sample_C5_Plate1</v>
      </c>
      <c r="D30" s="16" t="s">
        <v>205</v>
      </c>
      <c r="E30" s="16">
        <v>120</v>
      </c>
      <c r="F30" s="21">
        <v>0.39500000000000002</v>
      </c>
    </row>
    <row r="31" spans="1:6" ht="16" x14ac:dyDescent="0.2">
      <c r="A31" s="16" t="str">
        <f t="shared" si="0"/>
        <v>Measurement_30</v>
      </c>
      <c r="B31" s="19" t="str">
        <f>IF(measurement[[#This Row],[Measurement Name]]="","",SUBSTITUTE(SUBSTITUTE(TRIM(measurement[[#This Row],[Measurement Name]])," ","_"),"-","_"))</f>
        <v>Measurement_30</v>
      </c>
      <c r="C31" s="16" t="str">
        <f>"Sample_C"&amp;[1]!Table_178[[#This Row],[Column]]&amp;"_"&amp;[1]!Table_178[[#This Row],[Assay ID]]</f>
        <v>Sample_C6_Plate1</v>
      </c>
      <c r="D31" s="16" t="s">
        <v>205</v>
      </c>
      <c r="E31" s="16">
        <v>120</v>
      </c>
      <c r="F31" s="21">
        <v>0.39800000000000002</v>
      </c>
    </row>
    <row r="32" spans="1:6" ht="16" x14ac:dyDescent="0.2">
      <c r="A32" s="16" t="str">
        <f t="shared" si="0"/>
        <v>Measurement_31</v>
      </c>
      <c r="B32" s="19" t="str">
        <f>IF(measurement[[#This Row],[Measurement Name]]="","",SUBSTITUTE(SUBSTITUTE(TRIM(measurement[[#This Row],[Measurement Name]])," ","_"),"-","_"))</f>
        <v>Measurement_31</v>
      </c>
      <c r="C32" s="16" t="str">
        <f>"Sample_C"&amp;[1]!Table_178[[#This Row],[Column]]&amp;"_"&amp;[1]!Table_178[[#This Row],[Assay ID]]</f>
        <v>Sample_C7_Plate1</v>
      </c>
      <c r="D32" s="16" t="s">
        <v>205</v>
      </c>
      <c r="E32" s="16">
        <v>120</v>
      </c>
      <c r="F32" s="21">
        <v>0.39600000000000002</v>
      </c>
    </row>
    <row r="33" spans="1:6" ht="16" x14ac:dyDescent="0.2">
      <c r="A33" s="16" t="str">
        <f t="shared" si="0"/>
        <v>Measurement_32</v>
      </c>
      <c r="B33" s="19" t="str">
        <f>IF(measurement[[#This Row],[Measurement Name]]="","",SUBSTITUTE(SUBSTITUTE(TRIM(measurement[[#This Row],[Measurement Name]])," ","_"),"-","_"))</f>
        <v>Measurement_32</v>
      </c>
      <c r="C33" s="16" t="str">
        <f>"Sample_C"&amp;[1]!Table_178[[#This Row],[Column]]&amp;"_"&amp;[1]!Table_178[[#This Row],[Assay ID]]</f>
        <v>Sample_C8_Plate1</v>
      </c>
      <c r="D33" s="16" t="s">
        <v>205</v>
      </c>
      <c r="E33" s="16">
        <v>120</v>
      </c>
      <c r="F33" s="21">
        <v>0.39100000000000001</v>
      </c>
    </row>
    <row r="34" spans="1:6" ht="16" x14ac:dyDescent="0.2">
      <c r="A34" s="16" t="str">
        <f t="shared" si="0"/>
        <v>Measurement_33</v>
      </c>
      <c r="B34" s="19" t="str">
        <f>IF(measurement[[#This Row],[Measurement Name]]="","",SUBSTITUTE(SUBSTITUTE(TRIM(measurement[[#This Row],[Measurement Name]])," ","_"),"-","_"))</f>
        <v>Measurement_33</v>
      </c>
      <c r="C34" s="16" t="str">
        <f>"Sample_C"&amp;[1]!Table_178[[#This Row],[Column]]&amp;"_"&amp;[1]!Table_178[[#This Row],[Assay ID]]</f>
        <v>Sample_C9_Plate1</v>
      </c>
      <c r="D34" s="16" t="s">
        <v>205</v>
      </c>
      <c r="E34" s="16">
        <v>120</v>
      </c>
      <c r="F34" s="21">
        <v>0.39600000000000002</v>
      </c>
    </row>
    <row r="35" spans="1:6" ht="16" x14ac:dyDescent="0.2">
      <c r="A35" s="16" t="str">
        <f t="shared" si="0"/>
        <v>Measurement_34</v>
      </c>
      <c r="B35" s="19" t="str">
        <f>IF(measurement[[#This Row],[Measurement Name]]="","",SUBSTITUTE(SUBSTITUTE(TRIM(measurement[[#This Row],[Measurement Name]])," ","_"),"-","_"))</f>
        <v>Measurement_34</v>
      </c>
      <c r="C35" s="16" t="str">
        <f>"Sample_C"&amp;[1]!Table_178[[#This Row],[Column]]&amp;"_"&amp;[1]!Table_178[[#This Row],[Assay ID]]</f>
        <v>Sample_C10_Plate1</v>
      </c>
      <c r="D35" s="16" t="s">
        <v>205</v>
      </c>
      <c r="E35" s="16">
        <v>120</v>
      </c>
      <c r="F35" s="21">
        <v>0.39300000000000002</v>
      </c>
    </row>
    <row r="36" spans="1:6" ht="16" x14ac:dyDescent="0.2">
      <c r="A36" s="16" t="str">
        <f t="shared" si="0"/>
        <v>Measurement_35</v>
      </c>
      <c r="B36" s="19" t="str">
        <f>IF(measurement[[#This Row],[Measurement Name]]="","",SUBSTITUTE(SUBSTITUTE(TRIM(measurement[[#This Row],[Measurement Name]])," ","_"),"-","_"))</f>
        <v>Measurement_35</v>
      </c>
      <c r="C36" s="16" t="str">
        <f>"Sample_C"&amp;[1]!Table_178[[#This Row],[Column]]&amp;"_"&amp;[1]!Table_178[[#This Row],[Assay ID]]</f>
        <v>Sample_C11_Plate1</v>
      </c>
      <c r="D36" s="16" t="s">
        <v>205</v>
      </c>
      <c r="E36" s="16">
        <v>120</v>
      </c>
      <c r="F36" s="21">
        <v>0.95899999999999996</v>
      </c>
    </row>
    <row r="37" spans="1:6" ht="16" x14ac:dyDescent="0.2">
      <c r="A37" s="16" t="str">
        <f t="shared" si="0"/>
        <v>Measurement_36</v>
      </c>
      <c r="B37" s="19" t="str">
        <f>IF(measurement[[#This Row],[Measurement Name]]="","",SUBSTITUTE(SUBSTITUTE(TRIM(measurement[[#This Row],[Measurement Name]])," ","_"),"-","_"))</f>
        <v>Measurement_36</v>
      </c>
      <c r="C37" s="16" t="str">
        <f>"Sample_C"&amp;[1]!Table_178[[#This Row],[Column]]&amp;"_"&amp;[1]!Table_178[[#This Row],[Assay ID]]</f>
        <v>Sample_C12_Plate1</v>
      </c>
      <c r="D37" s="16" t="s">
        <v>205</v>
      </c>
      <c r="E37" s="16">
        <v>120</v>
      </c>
      <c r="F37" s="21">
        <v>8.4000000000000005E-2</v>
      </c>
    </row>
    <row r="38" spans="1:6" ht="16" x14ac:dyDescent="0.2">
      <c r="A38" s="16" t="str">
        <f t="shared" si="0"/>
        <v>Measurement_37</v>
      </c>
      <c r="B38" s="19" t="str">
        <f>IF(measurement[[#This Row],[Measurement Name]]="","",SUBSTITUTE(SUBSTITUTE(TRIM(measurement[[#This Row],[Measurement Name]])," ","_"),"-","_"))</f>
        <v>Measurement_37</v>
      </c>
      <c r="C38" s="16" t="str">
        <f>"Sample_D"&amp;[1]!Table_178[[#This Row],[Column]]&amp;"_"&amp;[1]!Table_178[[#This Row],[Assay ID]]</f>
        <v>Sample_D1_Plate1</v>
      </c>
      <c r="D38" s="16" t="s">
        <v>205</v>
      </c>
      <c r="E38" s="16">
        <v>120</v>
      </c>
      <c r="F38" s="21">
        <v>8.4000000000000005E-2</v>
      </c>
    </row>
    <row r="39" spans="1:6" ht="16" x14ac:dyDescent="0.2">
      <c r="A39" s="16" t="str">
        <f t="shared" si="0"/>
        <v>Measurement_38</v>
      </c>
      <c r="B39" s="19" t="str">
        <f>IF(measurement[[#This Row],[Measurement Name]]="","",SUBSTITUTE(SUBSTITUTE(TRIM(measurement[[#This Row],[Measurement Name]])," ","_"),"-","_"))</f>
        <v>Measurement_38</v>
      </c>
      <c r="C39" s="16" t="str">
        <f>"Sample_D"&amp;[1]!Table_178[[#This Row],[Column]]&amp;"_"&amp;[1]!Table_178[[#This Row],[Assay ID]]</f>
        <v>Sample_D2_Plate1</v>
      </c>
      <c r="D39" s="16" t="s">
        <v>205</v>
      </c>
      <c r="E39" s="16">
        <v>120</v>
      </c>
      <c r="F39" s="21">
        <v>0.39900000000000002</v>
      </c>
    </row>
    <row r="40" spans="1:6" ht="16" x14ac:dyDescent="0.2">
      <c r="A40" s="16" t="str">
        <f t="shared" si="0"/>
        <v>Measurement_39</v>
      </c>
      <c r="B40" s="19" t="str">
        <f>IF(measurement[[#This Row],[Measurement Name]]="","",SUBSTITUTE(SUBSTITUTE(TRIM(measurement[[#This Row],[Measurement Name]])," ","_"),"-","_"))</f>
        <v>Measurement_39</v>
      </c>
      <c r="C40" s="16" t="str">
        <f>"Sample_D"&amp;[1]!Table_178[[#This Row],[Column]]&amp;"_"&amp;[1]!Table_178[[#This Row],[Assay ID]]</f>
        <v>Sample_D3_Plate1</v>
      </c>
      <c r="D40" s="16" t="s">
        <v>205</v>
      </c>
      <c r="E40" s="16">
        <v>120</v>
      </c>
      <c r="F40" s="21">
        <v>0.39800000000000002</v>
      </c>
    </row>
    <row r="41" spans="1:6" ht="16" x14ac:dyDescent="0.2">
      <c r="A41" s="16" t="str">
        <f t="shared" si="0"/>
        <v>Measurement_40</v>
      </c>
      <c r="B41" s="19" t="str">
        <f>IF(measurement[[#This Row],[Measurement Name]]="","",SUBSTITUTE(SUBSTITUTE(TRIM(measurement[[#This Row],[Measurement Name]])," ","_"),"-","_"))</f>
        <v>Measurement_40</v>
      </c>
      <c r="C41" s="16" t="str">
        <f>"Sample_D"&amp;[1]!Table_178[[#This Row],[Column]]&amp;"_"&amp;[1]!Table_178[[#This Row],[Assay ID]]</f>
        <v>Sample_D4_Plate1</v>
      </c>
      <c r="D41" s="16" t="s">
        <v>205</v>
      </c>
      <c r="E41" s="16">
        <v>120</v>
      </c>
      <c r="F41" s="21">
        <v>0.39900000000000002</v>
      </c>
    </row>
    <row r="42" spans="1:6" ht="16" x14ac:dyDescent="0.2">
      <c r="A42" s="16" t="str">
        <f t="shared" si="0"/>
        <v>Measurement_41</v>
      </c>
      <c r="B42" s="19" t="str">
        <f>IF(measurement[[#This Row],[Measurement Name]]="","",SUBSTITUTE(SUBSTITUTE(TRIM(measurement[[#This Row],[Measurement Name]])," ","_"),"-","_"))</f>
        <v>Measurement_41</v>
      </c>
      <c r="C42" s="16" t="str">
        <f>"Sample_D"&amp;[1]!Table_178[[#This Row],[Column]]&amp;"_"&amp;[1]!Table_178[[#This Row],[Assay ID]]</f>
        <v>Sample_D5_Plate1</v>
      </c>
      <c r="D42" s="16" t="s">
        <v>205</v>
      </c>
      <c r="E42" s="16">
        <v>120</v>
      </c>
      <c r="F42" s="21">
        <v>0.39200000000000002</v>
      </c>
    </row>
    <row r="43" spans="1:6" ht="16" x14ac:dyDescent="0.2">
      <c r="A43" s="16" t="str">
        <f t="shared" si="0"/>
        <v>Measurement_42</v>
      </c>
      <c r="B43" s="19" t="str">
        <f>IF(measurement[[#This Row],[Measurement Name]]="","",SUBSTITUTE(SUBSTITUTE(TRIM(measurement[[#This Row],[Measurement Name]])," ","_"),"-","_"))</f>
        <v>Measurement_42</v>
      </c>
      <c r="C43" s="16" t="str">
        <f>"Sample_D"&amp;[1]!Table_178[[#This Row],[Column]]&amp;"_"&amp;[1]!Table_178[[#This Row],[Assay ID]]</f>
        <v>Sample_D6_Plate1</v>
      </c>
      <c r="D43" s="16" t="s">
        <v>205</v>
      </c>
      <c r="E43" s="16">
        <v>120</v>
      </c>
      <c r="F43" s="21">
        <v>0.39800000000000002</v>
      </c>
    </row>
    <row r="44" spans="1:6" ht="16" x14ac:dyDescent="0.2">
      <c r="A44" s="16" t="str">
        <f t="shared" si="0"/>
        <v>Measurement_43</v>
      </c>
      <c r="B44" s="19" t="str">
        <f>IF(measurement[[#This Row],[Measurement Name]]="","",SUBSTITUTE(SUBSTITUTE(TRIM(measurement[[#This Row],[Measurement Name]])," ","_"),"-","_"))</f>
        <v>Measurement_43</v>
      </c>
      <c r="C44" s="16" t="str">
        <f>"Sample_D"&amp;[1]!Table_178[[#This Row],[Column]]&amp;"_"&amp;[1]!Table_178[[#This Row],[Assay ID]]</f>
        <v>Sample_D7_Plate1</v>
      </c>
      <c r="D44" s="16" t="s">
        <v>205</v>
      </c>
      <c r="E44" s="16">
        <v>120</v>
      </c>
      <c r="F44" s="21">
        <v>0.39900000000000002</v>
      </c>
    </row>
    <row r="45" spans="1:6" ht="16" x14ac:dyDescent="0.2">
      <c r="A45" s="16" t="str">
        <f t="shared" si="0"/>
        <v>Measurement_44</v>
      </c>
      <c r="B45" s="19" t="str">
        <f>IF(measurement[[#This Row],[Measurement Name]]="","",SUBSTITUTE(SUBSTITUTE(TRIM(measurement[[#This Row],[Measurement Name]])," ","_"),"-","_"))</f>
        <v>Measurement_44</v>
      </c>
      <c r="C45" s="16" t="str">
        <f>"Sample_D"&amp;[1]!Table_178[[#This Row],[Column]]&amp;"_"&amp;[1]!Table_178[[#This Row],[Assay ID]]</f>
        <v>Sample_D8_Plate1</v>
      </c>
      <c r="D45" s="16" t="s">
        <v>205</v>
      </c>
      <c r="E45" s="16">
        <v>120</v>
      </c>
      <c r="F45" s="21">
        <v>0.40500000000000003</v>
      </c>
    </row>
    <row r="46" spans="1:6" ht="16" x14ac:dyDescent="0.2">
      <c r="A46" s="16" t="str">
        <f t="shared" si="0"/>
        <v>Measurement_45</v>
      </c>
      <c r="B46" s="19" t="str">
        <f>IF(measurement[[#This Row],[Measurement Name]]="","",SUBSTITUTE(SUBSTITUTE(TRIM(measurement[[#This Row],[Measurement Name]])," ","_"),"-","_"))</f>
        <v>Measurement_45</v>
      </c>
      <c r="C46" s="16" t="str">
        <f>"Sample_D"&amp;[1]!Table_178[[#This Row],[Column]]&amp;"_"&amp;[1]!Table_178[[#This Row],[Assay ID]]</f>
        <v>Sample_D9_Plate1</v>
      </c>
      <c r="D46" s="16" t="s">
        <v>205</v>
      </c>
      <c r="E46" s="16">
        <v>120</v>
      </c>
      <c r="F46" s="21">
        <v>0.40200000000000002</v>
      </c>
    </row>
    <row r="47" spans="1:6" ht="16" x14ac:dyDescent="0.2">
      <c r="A47" s="16" t="str">
        <f t="shared" si="0"/>
        <v>Measurement_46</v>
      </c>
      <c r="B47" s="19" t="str">
        <f>IF(measurement[[#This Row],[Measurement Name]]="","",SUBSTITUTE(SUBSTITUTE(TRIM(measurement[[#This Row],[Measurement Name]])," ","_"),"-","_"))</f>
        <v>Measurement_46</v>
      </c>
      <c r="C47" s="16" t="str">
        <f>"Sample_D"&amp;[1]!Table_178[[#This Row],[Column]]&amp;"_"&amp;[1]!Table_178[[#This Row],[Assay ID]]</f>
        <v>Sample_D10_Plate1</v>
      </c>
      <c r="D47" s="16" t="s">
        <v>205</v>
      </c>
      <c r="E47" s="16">
        <v>120</v>
      </c>
      <c r="F47" s="21">
        <v>0.40300000000000002</v>
      </c>
    </row>
    <row r="48" spans="1:6" ht="16" x14ac:dyDescent="0.2">
      <c r="A48" s="16" t="str">
        <f t="shared" si="0"/>
        <v>Measurement_47</v>
      </c>
      <c r="B48" s="19" t="str">
        <f>IF(measurement[[#This Row],[Measurement Name]]="","",SUBSTITUTE(SUBSTITUTE(TRIM(measurement[[#This Row],[Measurement Name]])," ","_"),"-","_"))</f>
        <v>Measurement_47</v>
      </c>
      <c r="C48" s="16" t="str">
        <f>"Sample_D"&amp;[1]!Table_178[[#This Row],[Column]]&amp;"_"&amp;[1]!Table_178[[#This Row],[Assay ID]]</f>
        <v>Sample_D11_Plate1</v>
      </c>
      <c r="D48" s="16" t="s">
        <v>205</v>
      </c>
      <c r="E48" s="16">
        <v>120</v>
      </c>
      <c r="F48" s="21">
        <v>0.76500000000000001</v>
      </c>
    </row>
    <row r="49" spans="1:6" ht="16" x14ac:dyDescent="0.2">
      <c r="A49" s="16" t="str">
        <f t="shared" si="0"/>
        <v>Measurement_48</v>
      </c>
      <c r="B49" s="19" t="str">
        <f>IF(measurement[[#This Row],[Measurement Name]]="","",SUBSTITUTE(SUBSTITUTE(TRIM(measurement[[#This Row],[Measurement Name]])," ","_"),"-","_"))</f>
        <v>Measurement_48</v>
      </c>
      <c r="C49" s="16" t="str">
        <f>"Sample_D"&amp;[1]!Table_178[[#This Row],[Column]]&amp;"_"&amp;[1]!Table_178[[#This Row],[Assay ID]]</f>
        <v>Sample_D12_Plate1</v>
      </c>
      <c r="D49" s="16" t="s">
        <v>205</v>
      </c>
      <c r="E49" s="16">
        <v>120</v>
      </c>
      <c r="F49" s="21">
        <v>8.4000000000000005E-2</v>
      </c>
    </row>
    <row r="50" spans="1:6" ht="16" x14ac:dyDescent="0.2">
      <c r="A50" s="16" t="str">
        <f t="shared" si="0"/>
        <v>Measurement_49</v>
      </c>
      <c r="B50" s="19" t="str">
        <f>IF(measurement[[#This Row],[Measurement Name]]="","",SUBSTITUTE(SUBSTITUTE(TRIM(measurement[[#This Row],[Measurement Name]])," ","_"),"-","_"))</f>
        <v>Measurement_49</v>
      </c>
      <c r="C50" s="16" t="str">
        <f>"Sample_E"&amp;[1]!Table_178[[#This Row],[Column]]&amp;"_"&amp;[1]!Table_178[[#This Row],[Assay ID]]</f>
        <v>Sample_E1_Plate1</v>
      </c>
      <c r="D50" s="16" t="s">
        <v>205</v>
      </c>
      <c r="E50" s="16">
        <v>120</v>
      </c>
      <c r="F50" s="21">
        <v>8.4000000000000005E-2</v>
      </c>
    </row>
    <row r="51" spans="1:6" ht="16" x14ac:dyDescent="0.2">
      <c r="A51" s="16" t="str">
        <f t="shared" si="0"/>
        <v>Measurement_50</v>
      </c>
      <c r="B51" s="19" t="str">
        <f>IF(measurement[[#This Row],[Measurement Name]]="","",SUBSTITUTE(SUBSTITUTE(TRIM(measurement[[#This Row],[Measurement Name]])," ","_"),"-","_"))</f>
        <v>Measurement_50</v>
      </c>
      <c r="C51" s="16" t="str">
        <f>"Sample_E"&amp;[1]!Table_178[[#This Row],[Column]]&amp;"_"&amp;[1]!Table_178[[#This Row],[Assay ID]]</f>
        <v>Sample_E2_Plate1</v>
      </c>
      <c r="D51" s="16" t="s">
        <v>205</v>
      </c>
      <c r="E51" s="16">
        <v>120</v>
      </c>
      <c r="F51" s="21">
        <v>0.40100000000000002</v>
      </c>
    </row>
    <row r="52" spans="1:6" ht="16" x14ac:dyDescent="0.2">
      <c r="A52" s="16" t="str">
        <f t="shared" si="0"/>
        <v>Measurement_51</v>
      </c>
      <c r="B52" s="19" t="str">
        <f>IF(measurement[[#This Row],[Measurement Name]]="","",SUBSTITUTE(SUBSTITUTE(TRIM(measurement[[#This Row],[Measurement Name]])," ","_"),"-","_"))</f>
        <v>Measurement_51</v>
      </c>
      <c r="C52" s="16" t="str">
        <f>"Sample_E"&amp;[1]!Table_178[[#This Row],[Column]]&amp;"_"&amp;[1]!Table_178[[#This Row],[Assay ID]]</f>
        <v>Sample_E3_Plate1</v>
      </c>
      <c r="D52" s="16" t="s">
        <v>205</v>
      </c>
      <c r="E52" s="16">
        <v>120</v>
      </c>
      <c r="F52" s="21">
        <v>0.39500000000000002</v>
      </c>
    </row>
    <row r="53" spans="1:6" ht="16" x14ac:dyDescent="0.2">
      <c r="A53" s="16" t="str">
        <f t="shared" si="0"/>
        <v>Measurement_52</v>
      </c>
      <c r="B53" s="19" t="str">
        <f>IF(measurement[[#This Row],[Measurement Name]]="","",SUBSTITUTE(SUBSTITUTE(TRIM(measurement[[#This Row],[Measurement Name]])," ","_"),"-","_"))</f>
        <v>Measurement_52</v>
      </c>
      <c r="C53" s="16" t="str">
        <f>"Sample_E"&amp;[1]!Table_178[[#This Row],[Column]]&amp;"_"&amp;[1]!Table_178[[#This Row],[Assay ID]]</f>
        <v>Sample_E4_Plate1</v>
      </c>
      <c r="D53" s="16" t="s">
        <v>205</v>
      </c>
      <c r="E53" s="16">
        <v>120</v>
      </c>
      <c r="F53" s="21">
        <v>0.39800000000000002</v>
      </c>
    </row>
    <row r="54" spans="1:6" ht="16" x14ac:dyDescent="0.2">
      <c r="A54" s="16" t="str">
        <f t="shared" si="0"/>
        <v>Measurement_53</v>
      </c>
      <c r="B54" s="19" t="str">
        <f>IF(measurement[[#This Row],[Measurement Name]]="","",SUBSTITUTE(SUBSTITUTE(TRIM(measurement[[#This Row],[Measurement Name]])," ","_"),"-","_"))</f>
        <v>Measurement_53</v>
      </c>
      <c r="C54" s="16" t="str">
        <f>"Sample_E"&amp;[1]!Table_178[[#This Row],[Column]]&amp;"_"&amp;[1]!Table_178[[#This Row],[Assay ID]]</f>
        <v>Sample_E5_Plate1</v>
      </c>
      <c r="D54" s="16" t="s">
        <v>205</v>
      </c>
      <c r="E54" s="16">
        <v>120</v>
      </c>
      <c r="F54" s="21">
        <v>0.40300000000000002</v>
      </c>
    </row>
    <row r="55" spans="1:6" ht="16" x14ac:dyDescent="0.2">
      <c r="A55" s="16" t="str">
        <f t="shared" si="0"/>
        <v>Measurement_54</v>
      </c>
      <c r="B55" s="19" t="str">
        <f>IF(measurement[[#This Row],[Measurement Name]]="","",SUBSTITUTE(SUBSTITUTE(TRIM(measurement[[#This Row],[Measurement Name]])," ","_"),"-","_"))</f>
        <v>Measurement_54</v>
      </c>
      <c r="C55" s="16" t="str">
        <f>"Sample_E"&amp;[1]!Table_178[[#This Row],[Column]]&amp;"_"&amp;[1]!Table_178[[#This Row],[Assay ID]]</f>
        <v>Sample_E6_Plate1</v>
      </c>
      <c r="D55" s="16" t="s">
        <v>205</v>
      </c>
      <c r="E55" s="16">
        <v>120</v>
      </c>
      <c r="F55" s="21">
        <v>0.4</v>
      </c>
    </row>
    <row r="56" spans="1:6" ht="16" x14ac:dyDescent="0.2">
      <c r="A56" s="16" t="str">
        <f t="shared" si="0"/>
        <v>Measurement_55</v>
      </c>
      <c r="B56" s="19" t="str">
        <f>IF(measurement[[#This Row],[Measurement Name]]="","",SUBSTITUTE(SUBSTITUTE(TRIM(measurement[[#This Row],[Measurement Name]])," ","_"),"-","_"))</f>
        <v>Measurement_55</v>
      </c>
      <c r="C56" s="16" t="str">
        <f>"Sample_E"&amp;[1]!Table_178[[#This Row],[Column]]&amp;"_"&amp;[1]!Table_178[[#This Row],[Assay ID]]</f>
        <v>Sample_E7_Plate1</v>
      </c>
      <c r="D56" s="16" t="s">
        <v>205</v>
      </c>
      <c r="E56" s="16">
        <v>120</v>
      </c>
      <c r="F56" s="21">
        <v>0.39700000000000002</v>
      </c>
    </row>
    <row r="57" spans="1:6" ht="16" x14ac:dyDescent="0.2">
      <c r="A57" s="16" t="str">
        <f t="shared" si="0"/>
        <v>Measurement_56</v>
      </c>
      <c r="B57" s="19" t="str">
        <f>IF(measurement[[#This Row],[Measurement Name]]="","",SUBSTITUTE(SUBSTITUTE(TRIM(measurement[[#This Row],[Measurement Name]])," ","_"),"-","_"))</f>
        <v>Measurement_56</v>
      </c>
      <c r="C57" s="16" t="str">
        <f>"Sample_E"&amp;[1]!Table_178[[#This Row],[Column]]&amp;"_"&amp;[1]!Table_178[[#This Row],[Assay ID]]</f>
        <v>Sample_E8_Plate1</v>
      </c>
      <c r="D57" s="16" t="s">
        <v>205</v>
      </c>
      <c r="E57" s="16">
        <v>120</v>
      </c>
      <c r="F57" s="21">
        <v>0.39600000000000002</v>
      </c>
    </row>
    <row r="58" spans="1:6" ht="16" x14ac:dyDescent="0.2">
      <c r="A58" s="16" t="str">
        <f t="shared" si="0"/>
        <v>Measurement_57</v>
      </c>
      <c r="B58" s="19" t="str">
        <f>IF(measurement[[#This Row],[Measurement Name]]="","",SUBSTITUTE(SUBSTITUTE(TRIM(measurement[[#This Row],[Measurement Name]])," ","_"),"-","_"))</f>
        <v>Measurement_57</v>
      </c>
      <c r="C58" s="16" t="str">
        <f>"Sample_E"&amp;[1]!Table_178[[#This Row],[Column]]&amp;"_"&amp;[1]!Table_178[[#This Row],[Assay ID]]</f>
        <v>Sample_E9_Plate1</v>
      </c>
      <c r="D58" s="16" t="s">
        <v>205</v>
      </c>
      <c r="E58" s="16">
        <v>120</v>
      </c>
      <c r="F58" s="21">
        <v>0.4</v>
      </c>
    </row>
    <row r="59" spans="1:6" ht="16" x14ac:dyDescent="0.2">
      <c r="A59" s="16" t="str">
        <f t="shared" si="0"/>
        <v>Measurement_58</v>
      </c>
      <c r="B59" s="19" t="str">
        <f>IF(measurement[[#This Row],[Measurement Name]]="","",SUBSTITUTE(SUBSTITUTE(TRIM(measurement[[#This Row],[Measurement Name]])," ","_"),"-","_"))</f>
        <v>Measurement_58</v>
      </c>
      <c r="C59" s="16" t="str">
        <f>"Sample_E"&amp;[1]!Table_178[[#This Row],[Column]]&amp;"_"&amp;[1]!Table_178[[#This Row],[Assay ID]]</f>
        <v>Sample_E10_Plate1</v>
      </c>
      <c r="D59" s="16" t="s">
        <v>205</v>
      </c>
      <c r="E59" s="16">
        <v>120</v>
      </c>
      <c r="F59" s="21">
        <v>0.39900000000000002</v>
      </c>
    </row>
    <row r="60" spans="1:6" ht="16" x14ac:dyDescent="0.2">
      <c r="A60" s="16" t="str">
        <f t="shared" si="0"/>
        <v>Measurement_59</v>
      </c>
      <c r="B60" s="19" t="str">
        <f>IF(measurement[[#This Row],[Measurement Name]]="","",SUBSTITUTE(SUBSTITUTE(TRIM(measurement[[#This Row],[Measurement Name]])," ","_"),"-","_"))</f>
        <v>Measurement_59</v>
      </c>
      <c r="C60" s="16" t="str">
        <f>"Sample_E"&amp;[1]!Table_178[[#This Row],[Column]]&amp;"_"&amp;[1]!Table_178[[#This Row],[Assay ID]]</f>
        <v>Sample_E11_Plate1</v>
      </c>
      <c r="D60" s="16" t="s">
        <v>205</v>
      </c>
      <c r="E60" s="16">
        <v>120</v>
      </c>
      <c r="F60" s="21">
        <v>0.77200000000000002</v>
      </c>
    </row>
    <row r="61" spans="1:6" ht="16" x14ac:dyDescent="0.2">
      <c r="A61" s="16" t="str">
        <f t="shared" si="0"/>
        <v>Measurement_60</v>
      </c>
      <c r="B61" s="19" t="str">
        <f>IF(measurement[[#This Row],[Measurement Name]]="","",SUBSTITUTE(SUBSTITUTE(TRIM(measurement[[#This Row],[Measurement Name]])," ","_"),"-","_"))</f>
        <v>Measurement_60</v>
      </c>
      <c r="C61" s="16" t="str">
        <f>"Sample_E"&amp;[1]!Table_178[[#This Row],[Column]]&amp;"_"&amp;[1]!Table_178[[#This Row],[Assay ID]]</f>
        <v>Sample_E12_Plate1</v>
      </c>
      <c r="D61" s="16" t="s">
        <v>205</v>
      </c>
      <c r="E61" s="16">
        <v>120</v>
      </c>
      <c r="F61" s="21">
        <v>8.4000000000000005E-2</v>
      </c>
    </row>
    <row r="62" spans="1:6" ht="16" x14ac:dyDescent="0.2">
      <c r="A62" s="16" t="str">
        <f t="shared" si="0"/>
        <v>Measurement_61</v>
      </c>
      <c r="B62" s="19" t="str">
        <f>IF(measurement[[#This Row],[Measurement Name]]="","",SUBSTITUTE(SUBSTITUTE(TRIM(measurement[[#This Row],[Measurement Name]])," ","_"),"-","_"))</f>
        <v>Measurement_61</v>
      </c>
      <c r="C62" s="16" t="str">
        <f>"Sample_F"&amp;[1]!Table_178[[#This Row],[Column]]&amp;"_"&amp;[1]!Table_178[[#This Row],[Assay ID]]</f>
        <v>Sample_F1_Plate1</v>
      </c>
      <c r="D62" s="16" t="s">
        <v>205</v>
      </c>
      <c r="E62" s="16">
        <v>120</v>
      </c>
      <c r="F62" s="21">
        <v>8.4000000000000005E-2</v>
      </c>
    </row>
    <row r="63" spans="1:6" ht="16" x14ac:dyDescent="0.2">
      <c r="A63" s="16" t="str">
        <f t="shared" si="0"/>
        <v>Measurement_62</v>
      </c>
      <c r="B63" s="19" t="str">
        <f>IF(measurement[[#This Row],[Measurement Name]]="","",SUBSTITUTE(SUBSTITUTE(TRIM(measurement[[#This Row],[Measurement Name]])," ","_"),"-","_"))</f>
        <v>Measurement_62</v>
      </c>
      <c r="C63" s="16" t="str">
        <f>"Sample_F"&amp;[1]!Table_178[[#This Row],[Column]]&amp;"_"&amp;[1]!Table_178[[#This Row],[Assay ID]]</f>
        <v>Sample_F2_Plate1</v>
      </c>
      <c r="D63" s="16" t="s">
        <v>205</v>
      </c>
      <c r="E63" s="16">
        <v>120</v>
      </c>
      <c r="F63" s="21">
        <v>0.40500000000000003</v>
      </c>
    </row>
    <row r="64" spans="1:6" ht="16" x14ac:dyDescent="0.2">
      <c r="A64" s="16" t="str">
        <f t="shared" si="0"/>
        <v>Measurement_63</v>
      </c>
      <c r="B64" s="19" t="str">
        <f>IF(measurement[[#This Row],[Measurement Name]]="","",SUBSTITUTE(SUBSTITUTE(TRIM(measurement[[#This Row],[Measurement Name]])," ","_"),"-","_"))</f>
        <v>Measurement_63</v>
      </c>
      <c r="C64" s="16" t="str">
        <f>"Sample_F"&amp;[1]!Table_178[[#This Row],[Column]]&amp;"_"&amp;[1]!Table_178[[#This Row],[Assay ID]]</f>
        <v>Sample_F3_Plate1</v>
      </c>
      <c r="D64" s="16" t="s">
        <v>205</v>
      </c>
      <c r="E64" s="16">
        <v>120</v>
      </c>
      <c r="F64" s="21">
        <v>0.40400000000000003</v>
      </c>
    </row>
    <row r="65" spans="1:6" ht="16" x14ac:dyDescent="0.2">
      <c r="A65" s="16" t="str">
        <f t="shared" si="0"/>
        <v>Measurement_64</v>
      </c>
      <c r="B65" s="19" t="str">
        <f>IF(measurement[[#This Row],[Measurement Name]]="","",SUBSTITUTE(SUBSTITUTE(TRIM(measurement[[#This Row],[Measurement Name]])," ","_"),"-","_"))</f>
        <v>Measurement_64</v>
      </c>
      <c r="C65" s="16" t="str">
        <f>"Sample_F"&amp;[1]!Table_178[[#This Row],[Column]]&amp;"_"&amp;[1]!Table_178[[#This Row],[Assay ID]]</f>
        <v>Sample_F4_Plate1</v>
      </c>
      <c r="D65" s="16" t="s">
        <v>205</v>
      </c>
      <c r="E65" s="16">
        <v>120</v>
      </c>
      <c r="F65" s="21">
        <v>0.40200000000000002</v>
      </c>
    </row>
    <row r="66" spans="1:6" ht="16" x14ac:dyDescent="0.2">
      <c r="A66" s="16" t="str">
        <f t="shared" si="0"/>
        <v>Measurement_65</v>
      </c>
      <c r="B66" s="19" t="str">
        <f>IF(measurement[[#This Row],[Measurement Name]]="","",SUBSTITUTE(SUBSTITUTE(TRIM(measurement[[#This Row],[Measurement Name]])," ","_"),"-","_"))</f>
        <v>Measurement_65</v>
      </c>
      <c r="C66" s="16" t="str">
        <f>"Sample_F"&amp;[1]!Table_178[[#This Row],[Column]]&amp;"_"&amp;[1]!Table_178[[#This Row],[Assay ID]]</f>
        <v>Sample_F5_Plate1</v>
      </c>
      <c r="D66" s="16" t="s">
        <v>205</v>
      </c>
      <c r="E66" s="16">
        <v>120</v>
      </c>
      <c r="F66" s="21">
        <v>0.39800000000000002</v>
      </c>
    </row>
    <row r="67" spans="1:6" ht="16" x14ac:dyDescent="0.2">
      <c r="A67" s="16" t="str">
        <f t="shared" ref="A67:A130" si="1">"Measurement_"&amp;ROW()-1</f>
        <v>Measurement_66</v>
      </c>
      <c r="B67" s="19" t="str">
        <f>IF(measurement[[#This Row],[Measurement Name]]="","",SUBSTITUTE(SUBSTITUTE(TRIM(measurement[[#This Row],[Measurement Name]])," ","_"),"-","_"))</f>
        <v>Measurement_66</v>
      </c>
      <c r="C67" s="16" t="str">
        <f>"Sample_F"&amp;[1]!Table_178[[#This Row],[Column]]&amp;"_"&amp;[1]!Table_178[[#This Row],[Assay ID]]</f>
        <v>Sample_F6_Plate1</v>
      </c>
      <c r="D67" s="16" t="s">
        <v>205</v>
      </c>
      <c r="E67" s="16">
        <v>120</v>
      </c>
      <c r="F67" s="21">
        <v>0.39900000000000002</v>
      </c>
    </row>
    <row r="68" spans="1:6" ht="16" x14ac:dyDescent="0.2">
      <c r="A68" s="16" t="str">
        <f t="shared" si="1"/>
        <v>Measurement_67</v>
      </c>
      <c r="B68" s="19" t="str">
        <f>IF(measurement[[#This Row],[Measurement Name]]="","",SUBSTITUTE(SUBSTITUTE(TRIM(measurement[[#This Row],[Measurement Name]])," ","_"),"-","_"))</f>
        <v>Measurement_67</v>
      </c>
      <c r="C68" s="16" t="str">
        <f>"Sample_F"&amp;[1]!Table_178[[#This Row],[Column]]&amp;"_"&amp;[1]!Table_178[[#This Row],[Assay ID]]</f>
        <v>Sample_F7_Plate1</v>
      </c>
      <c r="D68" s="16" t="s">
        <v>205</v>
      </c>
      <c r="E68" s="16">
        <v>120</v>
      </c>
      <c r="F68" s="21">
        <v>0.40200000000000002</v>
      </c>
    </row>
    <row r="69" spans="1:6" ht="16" x14ac:dyDescent="0.2">
      <c r="A69" s="16" t="str">
        <f t="shared" si="1"/>
        <v>Measurement_68</v>
      </c>
      <c r="B69" s="19" t="str">
        <f>IF(measurement[[#This Row],[Measurement Name]]="","",SUBSTITUTE(SUBSTITUTE(TRIM(measurement[[#This Row],[Measurement Name]])," ","_"),"-","_"))</f>
        <v>Measurement_68</v>
      </c>
      <c r="C69" s="16" t="str">
        <f>"Sample_F"&amp;[1]!Table_178[[#This Row],[Column]]&amp;"_"&amp;[1]!Table_178[[#This Row],[Assay ID]]</f>
        <v>Sample_F8_Plate1</v>
      </c>
      <c r="D69" s="16" t="s">
        <v>205</v>
      </c>
      <c r="E69" s="16">
        <v>120</v>
      </c>
      <c r="F69" s="21">
        <v>0.40200000000000002</v>
      </c>
    </row>
    <row r="70" spans="1:6" ht="16" x14ac:dyDescent="0.2">
      <c r="A70" s="16" t="str">
        <f t="shared" si="1"/>
        <v>Measurement_69</v>
      </c>
      <c r="B70" s="19" t="str">
        <f>IF(measurement[[#This Row],[Measurement Name]]="","",SUBSTITUTE(SUBSTITUTE(TRIM(measurement[[#This Row],[Measurement Name]])," ","_"),"-","_"))</f>
        <v>Measurement_69</v>
      </c>
      <c r="C70" s="16" t="str">
        <f>"Sample_F"&amp;[1]!Table_178[[#This Row],[Column]]&amp;"_"&amp;[1]!Table_178[[#This Row],[Assay ID]]</f>
        <v>Sample_F9_Plate1</v>
      </c>
      <c r="D70" s="16" t="s">
        <v>205</v>
      </c>
      <c r="E70" s="16">
        <v>120</v>
      </c>
      <c r="F70" s="21">
        <v>0.40300000000000002</v>
      </c>
    </row>
    <row r="71" spans="1:6" ht="16" x14ac:dyDescent="0.2">
      <c r="A71" s="16" t="str">
        <f t="shared" si="1"/>
        <v>Measurement_70</v>
      </c>
      <c r="B71" s="19" t="str">
        <f>IF(measurement[[#This Row],[Measurement Name]]="","",SUBSTITUTE(SUBSTITUTE(TRIM(measurement[[#This Row],[Measurement Name]])," ","_"),"-","_"))</f>
        <v>Measurement_70</v>
      </c>
      <c r="C71" s="16" t="str">
        <f>"Sample_F"&amp;[1]!Table_178[[#This Row],[Column]]&amp;"_"&amp;[1]!Table_178[[#This Row],[Assay ID]]</f>
        <v>Sample_F10_Plate1</v>
      </c>
      <c r="D71" s="16" t="s">
        <v>205</v>
      </c>
      <c r="E71" s="16">
        <v>120</v>
      </c>
      <c r="F71" s="21">
        <v>0.40200000000000002</v>
      </c>
    </row>
    <row r="72" spans="1:6" ht="16" x14ac:dyDescent="0.2">
      <c r="A72" s="16" t="str">
        <f t="shared" si="1"/>
        <v>Measurement_71</v>
      </c>
      <c r="B72" s="19" t="str">
        <f>IF(measurement[[#This Row],[Measurement Name]]="","",SUBSTITUTE(SUBSTITUTE(TRIM(measurement[[#This Row],[Measurement Name]])," ","_"),"-","_"))</f>
        <v>Measurement_71</v>
      </c>
      <c r="C72" s="16" t="str">
        <f>"Sample_F"&amp;[1]!Table_178[[#This Row],[Column]]&amp;"_"&amp;[1]!Table_178[[#This Row],[Assay ID]]</f>
        <v>Sample_F11_Plate1</v>
      </c>
      <c r="D72" s="16" t="s">
        <v>205</v>
      </c>
      <c r="E72" s="16">
        <v>120</v>
      </c>
      <c r="F72" s="21">
        <v>8.8999999999999996E-2</v>
      </c>
    </row>
    <row r="73" spans="1:6" ht="16" x14ac:dyDescent="0.2">
      <c r="A73" s="16" t="str">
        <f t="shared" si="1"/>
        <v>Measurement_72</v>
      </c>
      <c r="B73" s="19" t="str">
        <f>IF(measurement[[#This Row],[Measurement Name]]="","",SUBSTITUTE(SUBSTITUTE(TRIM(measurement[[#This Row],[Measurement Name]])," ","_"),"-","_"))</f>
        <v>Measurement_72</v>
      </c>
      <c r="C73" s="16" t="str">
        <f>"Sample_F"&amp;[1]!Table_178[[#This Row],[Column]]&amp;"_"&amp;[1]!Table_178[[#This Row],[Assay ID]]</f>
        <v>Sample_F12_Plate1</v>
      </c>
      <c r="D73" s="16" t="s">
        <v>205</v>
      </c>
      <c r="E73" s="16">
        <v>120</v>
      </c>
      <c r="F73" s="21">
        <v>8.4000000000000005E-2</v>
      </c>
    </row>
    <row r="74" spans="1:6" ht="16" x14ac:dyDescent="0.2">
      <c r="A74" s="16" t="str">
        <f t="shared" si="1"/>
        <v>Measurement_73</v>
      </c>
      <c r="B74" s="19" t="str">
        <f>IF(measurement[[#This Row],[Measurement Name]]="","",SUBSTITUTE(SUBSTITUTE(TRIM(measurement[[#This Row],[Measurement Name]])," ","_"),"-","_"))</f>
        <v>Measurement_73</v>
      </c>
      <c r="C74" s="16" t="str">
        <f>"Sample_G"&amp;[1]!Table_178[[#This Row],[Column]]&amp;"_"&amp;[1]!Table_178[[#This Row],[Assay ID]]</f>
        <v>Sample_G1_Plate1</v>
      </c>
      <c r="D74" s="16" t="s">
        <v>205</v>
      </c>
      <c r="E74" s="16">
        <v>120</v>
      </c>
      <c r="F74" s="21">
        <v>8.4000000000000005E-2</v>
      </c>
    </row>
    <row r="75" spans="1:6" ht="16" x14ac:dyDescent="0.2">
      <c r="A75" s="16" t="str">
        <f t="shared" si="1"/>
        <v>Measurement_74</v>
      </c>
      <c r="B75" s="19" t="str">
        <f>IF(measurement[[#This Row],[Measurement Name]]="","",SUBSTITUTE(SUBSTITUTE(TRIM(measurement[[#This Row],[Measurement Name]])," ","_"),"-","_"))</f>
        <v>Measurement_74</v>
      </c>
      <c r="C75" s="16" t="str">
        <f>"Sample_G"&amp;[1]!Table_178[[#This Row],[Column]]&amp;"_"&amp;[1]!Table_178[[#This Row],[Assay ID]]</f>
        <v>Sample_G2_Plate1</v>
      </c>
      <c r="D75" s="16" t="s">
        <v>205</v>
      </c>
      <c r="E75" s="16">
        <v>120</v>
      </c>
      <c r="F75" s="21">
        <v>0.40300000000000002</v>
      </c>
    </row>
    <row r="76" spans="1:6" ht="16" x14ac:dyDescent="0.2">
      <c r="A76" s="16" t="str">
        <f t="shared" si="1"/>
        <v>Measurement_75</v>
      </c>
      <c r="B76" s="19" t="str">
        <f>IF(measurement[[#This Row],[Measurement Name]]="","",SUBSTITUTE(SUBSTITUTE(TRIM(measurement[[#This Row],[Measurement Name]])," ","_"),"-","_"))</f>
        <v>Measurement_75</v>
      </c>
      <c r="C76" s="16" t="str">
        <f>"Sample_G"&amp;[1]!Table_178[[#This Row],[Column]]&amp;"_"&amp;[1]!Table_178[[#This Row],[Assay ID]]</f>
        <v>Sample_G3_Plate1</v>
      </c>
      <c r="D76" s="16" t="s">
        <v>205</v>
      </c>
      <c r="E76" s="16">
        <v>120</v>
      </c>
      <c r="F76" s="21">
        <v>0.39900000000000002</v>
      </c>
    </row>
    <row r="77" spans="1:6" ht="16" x14ac:dyDescent="0.2">
      <c r="A77" s="16" t="str">
        <f t="shared" si="1"/>
        <v>Measurement_76</v>
      </c>
      <c r="B77" s="19" t="str">
        <f>IF(measurement[[#This Row],[Measurement Name]]="","",SUBSTITUTE(SUBSTITUTE(TRIM(measurement[[#This Row],[Measurement Name]])," ","_"),"-","_"))</f>
        <v>Measurement_76</v>
      </c>
      <c r="C77" s="16" t="str">
        <f>"Sample_G"&amp;[1]!Table_178[[#This Row],[Column]]&amp;"_"&amp;[1]!Table_178[[#This Row],[Assay ID]]</f>
        <v>Sample_G4_Plate1</v>
      </c>
      <c r="D77" s="16" t="s">
        <v>205</v>
      </c>
      <c r="E77" s="16">
        <v>120</v>
      </c>
      <c r="F77" s="21">
        <v>0.40400000000000003</v>
      </c>
    </row>
    <row r="78" spans="1:6" ht="16" x14ac:dyDescent="0.2">
      <c r="A78" s="16" t="str">
        <f t="shared" si="1"/>
        <v>Measurement_77</v>
      </c>
      <c r="B78" s="19" t="str">
        <f>IF(measurement[[#This Row],[Measurement Name]]="","",SUBSTITUTE(SUBSTITUTE(TRIM(measurement[[#This Row],[Measurement Name]])," ","_"),"-","_"))</f>
        <v>Measurement_77</v>
      </c>
      <c r="C78" s="16" t="str">
        <f>"Sample_G"&amp;[1]!Table_178[[#This Row],[Column]]&amp;"_"&amp;[1]!Table_178[[#This Row],[Assay ID]]</f>
        <v>Sample_G5_Plate1</v>
      </c>
      <c r="D78" s="16" t="s">
        <v>205</v>
      </c>
      <c r="E78" s="16">
        <v>120</v>
      </c>
      <c r="F78" s="21">
        <v>0.40200000000000002</v>
      </c>
    </row>
    <row r="79" spans="1:6" ht="16" x14ac:dyDescent="0.2">
      <c r="A79" s="16" t="str">
        <f t="shared" si="1"/>
        <v>Measurement_78</v>
      </c>
      <c r="B79" s="19" t="str">
        <f>IF(measurement[[#This Row],[Measurement Name]]="","",SUBSTITUTE(SUBSTITUTE(TRIM(measurement[[#This Row],[Measurement Name]])," ","_"),"-","_"))</f>
        <v>Measurement_78</v>
      </c>
      <c r="C79" s="16" t="str">
        <f>"Sample_G"&amp;[1]!Table_178[[#This Row],[Column]]&amp;"_"&amp;[1]!Table_178[[#This Row],[Assay ID]]</f>
        <v>Sample_G6_Plate1</v>
      </c>
      <c r="D79" s="16" t="s">
        <v>205</v>
      </c>
      <c r="E79" s="16">
        <v>120</v>
      </c>
      <c r="F79" s="21">
        <v>0.40799999999999997</v>
      </c>
    </row>
    <row r="80" spans="1:6" ht="16" x14ac:dyDescent="0.2">
      <c r="A80" s="16" t="str">
        <f t="shared" si="1"/>
        <v>Measurement_79</v>
      </c>
      <c r="B80" s="19" t="str">
        <f>IF(measurement[[#This Row],[Measurement Name]]="","",SUBSTITUTE(SUBSTITUTE(TRIM(measurement[[#This Row],[Measurement Name]])," ","_"),"-","_"))</f>
        <v>Measurement_79</v>
      </c>
      <c r="C80" s="16" t="str">
        <f>"Sample_G"&amp;[1]!Table_178[[#This Row],[Column]]&amp;"_"&amp;[1]!Table_178[[#This Row],[Assay ID]]</f>
        <v>Sample_G7_Plate1</v>
      </c>
      <c r="D80" s="16" t="s">
        <v>205</v>
      </c>
      <c r="E80" s="16">
        <v>120</v>
      </c>
      <c r="F80" s="21">
        <v>0.40699999999999997</v>
      </c>
    </row>
    <row r="81" spans="1:6" ht="16" x14ac:dyDescent="0.2">
      <c r="A81" s="16" t="str">
        <f t="shared" si="1"/>
        <v>Measurement_80</v>
      </c>
      <c r="B81" s="19" t="str">
        <f>IF(measurement[[#This Row],[Measurement Name]]="","",SUBSTITUTE(SUBSTITUTE(TRIM(measurement[[#This Row],[Measurement Name]])," ","_"),"-","_"))</f>
        <v>Measurement_80</v>
      </c>
      <c r="C81" s="16" t="str">
        <f>"Sample_G"&amp;[1]!Table_178[[#This Row],[Column]]&amp;"_"&amp;[1]!Table_178[[#This Row],[Assay ID]]</f>
        <v>Sample_G8_Plate1</v>
      </c>
      <c r="D81" s="16" t="s">
        <v>205</v>
      </c>
      <c r="E81" s="16">
        <v>120</v>
      </c>
      <c r="F81" s="21">
        <v>0.41399999999999998</v>
      </c>
    </row>
    <row r="82" spans="1:6" ht="16" x14ac:dyDescent="0.2">
      <c r="A82" s="16" t="str">
        <f t="shared" si="1"/>
        <v>Measurement_81</v>
      </c>
      <c r="B82" s="19" t="str">
        <f>IF(measurement[[#This Row],[Measurement Name]]="","",SUBSTITUTE(SUBSTITUTE(TRIM(measurement[[#This Row],[Measurement Name]])," ","_"),"-","_"))</f>
        <v>Measurement_81</v>
      </c>
      <c r="C82" s="16" t="str">
        <f>"Sample_G"&amp;[1]!Table_178[[#This Row],[Column]]&amp;"_"&amp;[1]!Table_178[[#This Row],[Assay ID]]</f>
        <v>Sample_G9_Plate1</v>
      </c>
      <c r="D82" s="16" t="s">
        <v>205</v>
      </c>
      <c r="E82" s="16">
        <v>120</v>
      </c>
      <c r="F82" s="21">
        <v>0.4</v>
      </c>
    </row>
    <row r="83" spans="1:6" ht="16" x14ac:dyDescent="0.2">
      <c r="A83" s="16" t="str">
        <f t="shared" si="1"/>
        <v>Measurement_82</v>
      </c>
      <c r="B83" s="19" t="str">
        <f>IF(measurement[[#This Row],[Measurement Name]]="","",SUBSTITUTE(SUBSTITUTE(TRIM(measurement[[#This Row],[Measurement Name]])," ","_"),"-","_"))</f>
        <v>Measurement_82</v>
      </c>
      <c r="C83" s="16" t="str">
        <f>"Sample_G"&amp;[1]!Table_178[[#This Row],[Column]]&amp;"_"&amp;[1]!Table_178[[#This Row],[Assay ID]]</f>
        <v>Sample_G10_Plate1</v>
      </c>
      <c r="D83" s="16" t="s">
        <v>205</v>
      </c>
      <c r="E83" s="16">
        <v>120</v>
      </c>
      <c r="F83" s="21">
        <v>0.40600000000000003</v>
      </c>
    </row>
    <row r="84" spans="1:6" ht="16" x14ac:dyDescent="0.2">
      <c r="A84" s="16" t="str">
        <f t="shared" si="1"/>
        <v>Measurement_83</v>
      </c>
      <c r="B84" s="19" t="str">
        <f>IF(measurement[[#This Row],[Measurement Name]]="","",SUBSTITUTE(SUBSTITUTE(TRIM(measurement[[#This Row],[Measurement Name]])," ","_"),"-","_"))</f>
        <v>Measurement_83</v>
      </c>
      <c r="C84" s="16" t="str">
        <f>"Sample_G"&amp;[1]!Table_178[[#This Row],[Column]]&amp;"_"&amp;[1]!Table_178[[#This Row],[Assay ID]]</f>
        <v>Sample_G11_Plate1</v>
      </c>
      <c r="D84" s="16" t="s">
        <v>205</v>
      </c>
      <c r="E84" s="16">
        <v>120</v>
      </c>
      <c r="F84" s="21">
        <v>8.8999999999999996E-2</v>
      </c>
    </row>
    <row r="85" spans="1:6" ht="16" x14ac:dyDescent="0.2">
      <c r="A85" s="16" t="str">
        <f t="shared" si="1"/>
        <v>Measurement_84</v>
      </c>
      <c r="B85" s="19" t="str">
        <f>IF(measurement[[#This Row],[Measurement Name]]="","",SUBSTITUTE(SUBSTITUTE(TRIM(measurement[[#This Row],[Measurement Name]])," ","_"),"-","_"))</f>
        <v>Measurement_84</v>
      </c>
      <c r="C85" s="16" t="str">
        <f>"Sample_G"&amp;[1]!Table_178[[#This Row],[Column]]&amp;"_"&amp;[1]!Table_178[[#This Row],[Assay ID]]</f>
        <v>Sample_G12_Plate1</v>
      </c>
      <c r="D85" s="16" t="s">
        <v>205</v>
      </c>
      <c r="E85" s="16">
        <v>120</v>
      </c>
      <c r="F85" s="21">
        <v>1.2689999999999999</v>
      </c>
    </row>
    <row r="86" spans="1:6" ht="16" x14ac:dyDescent="0.2">
      <c r="A86" s="16" t="str">
        <f t="shared" si="1"/>
        <v>Measurement_85</v>
      </c>
      <c r="B86" s="19" t="str">
        <f>IF(measurement[[#This Row],[Measurement Name]]="","",SUBSTITUTE(SUBSTITUTE(TRIM(measurement[[#This Row],[Measurement Name]])," ","_"),"-","_"))</f>
        <v>Measurement_85</v>
      </c>
      <c r="C86" s="16" t="str">
        <f>"Sample_H"&amp;[1]!Table_178[[#This Row],[Column]]&amp;"_"&amp;[1]!Table_178[[#This Row],[Assay ID]]</f>
        <v>Sample_H1_Plate1</v>
      </c>
      <c r="D86" s="16" t="s">
        <v>205</v>
      </c>
      <c r="E86" s="16">
        <v>120</v>
      </c>
      <c r="F86" s="21">
        <v>8.3000000000000004E-2</v>
      </c>
    </row>
    <row r="87" spans="1:6" ht="16" x14ac:dyDescent="0.2">
      <c r="A87" s="16" t="str">
        <f t="shared" si="1"/>
        <v>Measurement_86</v>
      </c>
      <c r="B87" s="19" t="str">
        <f>IF(measurement[[#This Row],[Measurement Name]]="","",SUBSTITUTE(SUBSTITUTE(TRIM(measurement[[#This Row],[Measurement Name]])," ","_"),"-","_"))</f>
        <v>Measurement_86</v>
      </c>
      <c r="C87" s="16" t="str">
        <f>"Sample_H"&amp;[1]!Table_178[[#This Row],[Column]]&amp;"_"&amp;[1]!Table_178[[#This Row],[Assay ID]]</f>
        <v>Sample_H2_Plate1</v>
      </c>
      <c r="D87" s="16" t="s">
        <v>205</v>
      </c>
      <c r="E87" s="16">
        <v>120</v>
      </c>
      <c r="F87" s="21">
        <v>8.3000000000000004E-2</v>
      </c>
    </row>
    <row r="88" spans="1:6" ht="16" x14ac:dyDescent="0.2">
      <c r="A88" s="16" t="str">
        <f t="shared" si="1"/>
        <v>Measurement_87</v>
      </c>
      <c r="B88" s="19" t="str">
        <f>IF(measurement[[#This Row],[Measurement Name]]="","",SUBSTITUTE(SUBSTITUTE(TRIM(measurement[[#This Row],[Measurement Name]])," ","_"),"-","_"))</f>
        <v>Measurement_87</v>
      </c>
      <c r="C88" s="16" t="str">
        <f>"Sample_H"&amp;[1]!Table_178[[#This Row],[Column]]&amp;"_"&amp;[1]!Table_178[[#This Row],[Assay ID]]</f>
        <v>Sample_H3_Plate1</v>
      </c>
      <c r="D88" s="16" t="s">
        <v>205</v>
      </c>
      <c r="E88" s="16">
        <v>120</v>
      </c>
      <c r="F88" s="21">
        <v>8.5000000000000006E-2</v>
      </c>
    </row>
    <row r="89" spans="1:6" ht="16" x14ac:dyDescent="0.2">
      <c r="A89" s="16" t="str">
        <f t="shared" si="1"/>
        <v>Measurement_88</v>
      </c>
      <c r="B89" s="19" t="str">
        <f>IF(measurement[[#This Row],[Measurement Name]]="","",SUBSTITUTE(SUBSTITUTE(TRIM(measurement[[#This Row],[Measurement Name]])," ","_"),"-","_"))</f>
        <v>Measurement_88</v>
      </c>
      <c r="C89" s="16" t="str">
        <f>"Sample_H"&amp;[1]!Table_178[[#This Row],[Column]]&amp;"_"&amp;[1]!Table_178[[#This Row],[Assay ID]]</f>
        <v>Sample_H4_Plate1</v>
      </c>
      <c r="D89" s="16" t="s">
        <v>205</v>
      </c>
      <c r="E89" s="16">
        <v>120</v>
      </c>
      <c r="F89" s="21">
        <v>8.5000000000000006E-2</v>
      </c>
    </row>
    <row r="90" spans="1:6" ht="16" x14ac:dyDescent="0.2">
      <c r="A90" s="16" t="str">
        <f t="shared" si="1"/>
        <v>Measurement_89</v>
      </c>
      <c r="B90" s="19" t="str">
        <f>IF(measurement[[#This Row],[Measurement Name]]="","",SUBSTITUTE(SUBSTITUTE(TRIM(measurement[[#This Row],[Measurement Name]])," ","_"),"-","_"))</f>
        <v>Measurement_89</v>
      </c>
      <c r="C90" s="16" t="str">
        <f>"Sample_H"&amp;[1]!Table_178[[#This Row],[Column]]&amp;"_"&amp;[1]!Table_178[[#This Row],[Assay ID]]</f>
        <v>Sample_H5_Plate1</v>
      </c>
      <c r="D90" s="16" t="s">
        <v>205</v>
      </c>
      <c r="E90" s="16">
        <v>120</v>
      </c>
      <c r="F90" s="21">
        <v>8.4000000000000005E-2</v>
      </c>
    </row>
    <row r="91" spans="1:6" ht="16" x14ac:dyDescent="0.2">
      <c r="A91" s="16" t="str">
        <f t="shared" si="1"/>
        <v>Measurement_90</v>
      </c>
      <c r="B91" s="19" t="str">
        <f>IF(measurement[[#This Row],[Measurement Name]]="","",SUBSTITUTE(SUBSTITUTE(TRIM(measurement[[#This Row],[Measurement Name]])," ","_"),"-","_"))</f>
        <v>Measurement_90</v>
      </c>
      <c r="C91" s="16" t="str">
        <f>"Sample_H"&amp;[1]!Table_178[[#This Row],[Column]]&amp;"_"&amp;[1]!Table_178[[#This Row],[Assay ID]]</f>
        <v>Sample_H6_Plate1</v>
      </c>
      <c r="D91" s="16" t="s">
        <v>205</v>
      </c>
      <c r="E91" s="16">
        <v>120</v>
      </c>
      <c r="F91" s="21">
        <v>8.4000000000000005E-2</v>
      </c>
    </row>
    <row r="92" spans="1:6" ht="16" x14ac:dyDescent="0.2">
      <c r="A92" s="16" t="str">
        <f t="shared" si="1"/>
        <v>Measurement_91</v>
      </c>
      <c r="B92" s="19" t="str">
        <f>IF(measurement[[#This Row],[Measurement Name]]="","",SUBSTITUTE(SUBSTITUTE(TRIM(measurement[[#This Row],[Measurement Name]])," ","_"),"-","_"))</f>
        <v>Measurement_91</v>
      </c>
      <c r="C92" s="16" t="str">
        <f>"Sample_H"&amp;[1]!Table_178[[#This Row],[Column]]&amp;"_"&amp;[1]!Table_178[[#This Row],[Assay ID]]</f>
        <v>Sample_H7_Plate1</v>
      </c>
      <c r="D92" s="16" t="s">
        <v>205</v>
      </c>
      <c r="E92" s="16">
        <v>120</v>
      </c>
      <c r="F92" s="21">
        <v>8.4000000000000005E-2</v>
      </c>
    </row>
    <row r="93" spans="1:6" ht="16" x14ac:dyDescent="0.2">
      <c r="A93" s="16" t="str">
        <f t="shared" si="1"/>
        <v>Measurement_92</v>
      </c>
      <c r="B93" s="19" t="str">
        <f>IF(measurement[[#This Row],[Measurement Name]]="","",SUBSTITUTE(SUBSTITUTE(TRIM(measurement[[#This Row],[Measurement Name]])," ","_"),"-","_"))</f>
        <v>Measurement_92</v>
      </c>
      <c r="C93" s="16" t="str">
        <f>"Sample_H"&amp;[1]!Table_178[[#This Row],[Column]]&amp;"_"&amp;[1]!Table_178[[#This Row],[Assay ID]]</f>
        <v>Sample_H8_Plate1</v>
      </c>
      <c r="D93" s="16" t="s">
        <v>205</v>
      </c>
      <c r="E93" s="16">
        <v>120</v>
      </c>
      <c r="F93" s="21">
        <v>8.5000000000000006E-2</v>
      </c>
    </row>
    <row r="94" spans="1:6" ht="16" x14ac:dyDescent="0.2">
      <c r="A94" s="16" t="str">
        <f t="shared" si="1"/>
        <v>Measurement_93</v>
      </c>
      <c r="B94" s="19" t="str">
        <f>IF(measurement[[#This Row],[Measurement Name]]="","",SUBSTITUTE(SUBSTITUTE(TRIM(measurement[[#This Row],[Measurement Name]])," ","_"),"-","_"))</f>
        <v>Measurement_93</v>
      </c>
      <c r="C94" s="16" t="str">
        <f>"Sample_H"&amp;[1]!Table_178[[#This Row],[Column]]&amp;"_"&amp;[1]!Table_178[[#This Row],[Assay ID]]</f>
        <v>Sample_H9_Plate1</v>
      </c>
      <c r="D94" s="16" t="s">
        <v>205</v>
      </c>
      <c r="E94" s="16">
        <v>120</v>
      </c>
      <c r="F94" s="21">
        <v>8.4000000000000005E-2</v>
      </c>
    </row>
    <row r="95" spans="1:6" ht="16" x14ac:dyDescent="0.2">
      <c r="A95" s="16" t="str">
        <f t="shared" si="1"/>
        <v>Measurement_94</v>
      </c>
      <c r="B95" s="19" t="str">
        <f>IF(measurement[[#This Row],[Measurement Name]]="","",SUBSTITUTE(SUBSTITUTE(TRIM(measurement[[#This Row],[Measurement Name]])," ","_"),"-","_"))</f>
        <v>Measurement_94</v>
      </c>
      <c r="C95" s="16" t="str">
        <f>"Sample_H"&amp;[1]!Table_178[[#This Row],[Column]]&amp;"_"&amp;[1]!Table_178[[#This Row],[Assay ID]]</f>
        <v>Sample_H10_Plate1</v>
      </c>
      <c r="D95" s="16" t="s">
        <v>205</v>
      </c>
      <c r="E95" s="16">
        <v>120</v>
      </c>
      <c r="F95" s="21">
        <v>8.3000000000000004E-2</v>
      </c>
    </row>
    <row r="96" spans="1:6" ht="16" x14ac:dyDescent="0.2">
      <c r="A96" s="16" t="str">
        <f t="shared" si="1"/>
        <v>Measurement_95</v>
      </c>
      <c r="B96" s="19" t="str">
        <f>IF(measurement[[#This Row],[Measurement Name]]="","",SUBSTITUTE(SUBSTITUTE(TRIM(measurement[[#This Row],[Measurement Name]])," ","_"),"-","_"))</f>
        <v>Measurement_95</v>
      </c>
      <c r="C96" s="16" t="str">
        <f>"Sample_H"&amp;[1]!Table_178[[#This Row],[Column]]&amp;"_"&amp;[1]!Table_178[[#This Row],[Assay ID]]</f>
        <v>Sample_H11_Plate1</v>
      </c>
      <c r="D96" s="16" t="s">
        <v>205</v>
      </c>
      <c r="E96" s="16">
        <v>120</v>
      </c>
      <c r="F96" s="21">
        <v>8.4000000000000005E-2</v>
      </c>
    </row>
    <row r="97" spans="1:6" ht="16" x14ac:dyDescent="0.2">
      <c r="A97" s="16" t="str">
        <f t="shared" si="1"/>
        <v>Measurement_96</v>
      </c>
      <c r="B97" s="19" t="str">
        <f>IF(measurement[[#This Row],[Measurement Name]]="","",SUBSTITUTE(SUBSTITUTE(TRIM(measurement[[#This Row],[Measurement Name]])," ","_"),"-","_"))</f>
        <v>Measurement_96</v>
      </c>
      <c r="C97" s="16" t="str">
        <f>"Sample_H"&amp;[1]!Table_178[[#This Row],[Column]]&amp;"_"&amp;[1]!Table_178[[#This Row],[Assay ID]]</f>
        <v>Sample_H12_Plate1</v>
      </c>
      <c r="D97" s="16" t="s">
        <v>205</v>
      </c>
      <c r="E97" s="16">
        <v>120</v>
      </c>
      <c r="F97" s="21">
        <v>1.0009999999999999</v>
      </c>
    </row>
    <row r="98" spans="1:6" ht="16" x14ac:dyDescent="0.2">
      <c r="A98" s="16" t="str">
        <f t="shared" si="1"/>
        <v>Measurement_97</v>
      </c>
      <c r="B98" s="19" t="str">
        <f>IF(measurement[[#This Row],[Measurement Name]]="","",SUBSTITUTE(SUBSTITUTE(TRIM(measurement[[#This Row],[Measurement Name]])," ","_"),"-","_"))</f>
        <v>Measurement_97</v>
      </c>
      <c r="C98" s="16" t="s">
        <v>206</v>
      </c>
      <c r="D98" s="16" t="s">
        <v>207</v>
      </c>
      <c r="E98" s="16">
        <v>120</v>
      </c>
      <c r="F98" s="21">
        <v>17</v>
      </c>
    </row>
    <row r="99" spans="1:6" ht="16" x14ac:dyDescent="0.2">
      <c r="A99" s="16" t="str">
        <f t="shared" si="1"/>
        <v>Measurement_98</v>
      </c>
      <c r="B99" s="19" t="str">
        <f>IF(measurement[[#This Row],[Measurement Name]]="","",SUBSTITUTE(SUBSTITUTE(TRIM(measurement[[#This Row],[Measurement Name]])," ","_"),"-","_"))</f>
        <v>Measurement_98</v>
      </c>
      <c r="C99" s="16" t="s">
        <v>208</v>
      </c>
      <c r="D99" s="16" t="s">
        <v>207</v>
      </c>
      <c r="E99" s="16">
        <v>120</v>
      </c>
      <c r="F99" s="21">
        <v>20</v>
      </c>
    </row>
    <row r="100" spans="1:6" ht="16" x14ac:dyDescent="0.2">
      <c r="A100" s="16" t="str">
        <f t="shared" si="1"/>
        <v>Measurement_99</v>
      </c>
      <c r="B100" s="19" t="str">
        <f>IF(measurement[[#This Row],[Measurement Name]]="","",SUBSTITUTE(SUBSTITUTE(TRIM(measurement[[#This Row],[Measurement Name]])," ","_"),"-","_"))</f>
        <v>Measurement_99</v>
      </c>
      <c r="C100" s="16" t="s">
        <v>209</v>
      </c>
      <c r="D100" s="16" t="s">
        <v>207</v>
      </c>
      <c r="E100" s="16">
        <v>120</v>
      </c>
      <c r="F100" s="21">
        <v>17</v>
      </c>
    </row>
    <row r="101" spans="1:6" ht="16" x14ac:dyDescent="0.2">
      <c r="A101" s="16" t="str">
        <f t="shared" si="1"/>
        <v>Measurement_100</v>
      </c>
      <c r="B101" s="19" t="str">
        <f>IF(measurement[[#This Row],[Measurement Name]]="","",SUBSTITUTE(SUBSTITUTE(TRIM(measurement[[#This Row],[Measurement Name]])," ","_"),"-","_"))</f>
        <v>Measurement_100</v>
      </c>
      <c r="C101" s="16" t="s">
        <v>210</v>
      </c>
      <c r="D101" s="16" t="s">
        <v>207</v>
      </c>
      <c r="E101" s="16">
        <v>120</v>
      </c>
      <c r="F101" s="21">
        <v>18</v>
      </c>
    </row>
    <row r="102" spans="1:6" ht="16" x14ac:dyDescent="0.2">
      <c r="A102" s="16" t="str">
        <f t="shared" si="1"/>
        <v>Measurement_101</v>
      </c>
      <c r="B102" s="19" t="str">
        <f>IF(measurement[[#This Row],[Measurement Name]]="","",SUBSTITUTE(SUBSTITUTE(TRIM(measurement[[#This Row],[Measurement Name]])," ","_"),"-","_"))</f>
        <v>Measurement_101</v>
      </c>
      <c r="C102" s="16" t="s">
        <v>211</v>
      </c>
      <c r="D102" s="16" t="s">
        <v>207</v>
      </c>
      <c r="E102" s="16">
        <v>120</v>
      </c>
      <c r="F102" s="21">
        <v>17</v>
      </c>
    </row>
    <row r="103" spans="1:6" ht="16" x14ac:dyDescent="0.2">
      <c r="A103" s="16" t="str">
        <f t="shared" si="1"/>
        <v>Measurement_102</v>
      </c>
      <c r="B103" s="19" t="str">
        <f>IF(measurement[[#This Row],[Measurement Name]]="","",SUBSTITUTE(SUBSTITUTE(TRIM(measurement[[#This Row],[Measurement Name]])," ","_"),"-","_"))</f>
        <v>Measurement_102</v>
      </c>
      <c r="C103" s="16" t="s">
        <v>212</v>
      </c>
      <c r="D103" s="16" t="s">
        <v>207</v>
      </c>
      <c r="E103" s="16">
        <v>120</v>
      </c>
      <c r="F103" s="21">
        <v>17</v>
      </c>
    </row>
    <row r="104" spans="1:6" ht="16" x14ac:dyDescent="0.2">
      <c r="A104" s="16" t="str">
        <f t="shared" si="1"/>
        <v>Measurement_103</v>
      </c>
      <c r="B104" s="19" t="str">
        <f>IF(measurement[[#This Row],[Measurement Name]]="","",SUBSTITUTE(SUBSTITUTE(TRIM(measurement[[#This Row],[Measurement Name]])," ","_"),"-","_"))</f>
        <v>Measurement_103</v>
      </c>
      <c r="C104" s="16" t="s">
        <v>213</v>
      </c>
      <c r="D104" s="16" t="s">
        <v>207</v>
      </c>
      <c r="E104" s="16">
        <v>120</v>
      </c>
      <c r="F104" s="21">
        <v>18</v>
      </c>
    </row>
    <row r="105" spans="1:6" ht="16" x14ac:dyDescent="0.2">
      <c r="A105" s="16" t="str">
        <f t="shared" si="1"/>
        <v>Measurement_104</v>
      </c>
      <c r="B105" s="19" t="str">
        <f>IF(measurement[[#This Row],[Measurement Name]]="","",SUBSTITUTE(SUBSTITUTE(TRIM(measurement[[#This Row],[Measurement Name]])," ","_"),"-","_"))</f>
        <v>Measurement_104</v>
      </c>
      <c r="C105" s="16" t="s">
        <v>214</v>
      </c>
      <c r="D105" s="16" t="s">
        <v>207</v>
      </c>
      <c r="E105" s="16">
        <v>120</v>
      </c>
      <c r="F105" s="21">
        <v>18</v>
      </c>
    </row>
    <row r="106" spans="1:6" ht="16" x14ac:dyDescent="0.2">
      <c r="A106" s="16" t="str">
        <f t="shared" si="1"/>
        <v>Measurement_105</v>
      </c>
      <c r="B106" s="19" t="str">
        <f>IF(measurement[[#This Row],[Measurement Name]]="","",SUBSTITUTE(SUBSTITUTE(TRIM(measurement[[#This Row],[Measurement Name]])," ","_"),"-","_"))</f>
        <v>Measurement_105</v>
      </c>
      <c r="C106" s="16" t="s">
        <v>215</v>
      </c>
      <c r="D106" s="16" t="s">
        <v>207</v>
      </c>
      <c r="E106" s="16">
        <v>120</v>
      </c>
      <c r="F106" s="21">
        <v>18</v>
      </c>
    </row>
    <row r="107" spans="1:6" ht="16" x14ac:dyDescent="0.2">
      <c r="A107" s="16" t="str">
        <f t="shared" si="1"/>
        <v>Measurement_106</v>
      </c>
      <c r="B107" s="19" t="str">
        <f>IF(measurement[[#This Row],[Measurement Name]]="","",SUBSTITUTE(SUBSTITUTE(TRIM(measurement[[#This Row],[Measurement Name]])," ","_"),"-","_"))</f>
        <v>Measurement_106</v>
      </c>
      <c r="C107" s="16" t="s">
        <v>216</v>
      </c>
      <c r="D107" s="16" t="s">
        <v>207</v>
      </c>
      <c r="E107" s="16">
        <v>120</v>
      </c>
      <c r="F107" s="21">
        <v>18</v>
      </c>
    </row>
    <row r="108" spans="1:6" ht="16" x14ac:dyDescent="0.2">
      <c r="A108" s="16" t="str">
        <f t="shared" si="1"/>
        <v>Measurement_107</v>
      </c>
      <c r="B108" s="19" t="str">
        <f>IF(measurement[[#This Row],[Measurement Name]]="","",SUBSTITUTE(SUBSTITUTE(TRIM(measurement[[#This Row],[Measurement Name]])," ","_"),"-","_"))</f>
        <v>Measurement_107</v>
      </c>
      <c r="C108" s="16" t="s">
        <v>217</v>
      </c>
      <c r="D108" s="16" t="s">
        <v>207</v>
      </c>
      <c r="E108" s="16">
        <v>120</v>
      </c>
      <c r="F108" s="21">
        <v>18</v>
      </c>
    </row>
    <row r="109" spans="1:6" ht="16" x14ac:dyDescent="0.2">
      <c r="A109" s="16" t="str">
        <f t="shared" si="1"/>
        <v>Measurement_108</v>
      </c>
      <c r="B109" s="19" t="str">
        <f>IF(measurement[[#This Row],[Measurement Name]]="","",SUBSTITUTE(SUBSTITUTE(TRIM(measurement[[#This Row],[Measurement Name]])," ","_"),"-","_"))</f>
        <v>Measurement_108</v>
      </c>
      <c r="C109" s="16" t="s">
        <v>218</v>
      </c>
      <c r="D109" s="16" t="s">
        <v>207</v>
      </c>
      <c r="E109" s="16">
        <v>120</v>
      </c>
      <c r="F109" s="21">
        <v>18</v>
      </c>
    </row>
    <row r="110" spans="1:6" ht="16" x14ac:dyDescent="0.2">
      <c r="A110" s="16" t="str">
        <f t="shared" si="1"/>
        <v>Measurement_109</v>
      </c>
      <c r="B110" s="19" t="str">
        <f>IF(measurement[[#This Row],[Measurement Name]]="","",SUBSTITUTE(SUBSTITUTE(TRIM(measurement[[#This Row],[Measurement Name]])," ","_"),"-","_"))</f>
        <v>Measurement_109</v>
      </c>
      <c r="C110" s="16" t="s">
        <v>219</v>
      </c>
      <c r="D110" s="16" t="s">
        <v>207</v>
      </c>
      <c r="E110" s="16">
        <v>120</v>
      </c>
      <c r="F110" s="21">
        <v>18</v>
      </c>
    </row>
    <row r="111" spans="1:6" ht="16" x14ac:dyDescent="0.2">
      <c r="A111" s="16" t="str">
        <f t="shared" si="1"/>
        <v>Measurement_110</v>
      </c>
      <c r="B111" s="19" t="str">
        <f>IF(measurement[[#This Row],[Measurement Name]]="","",SUBSTITUTE(SUBSTITUTE(TRIM(measurement[[#This Row],[Measurement Name]])," ","_"),"-","_"))</f>
        <v>Measurement_110</v>
      </c>
      <c r="C111" s="16" t="s">
        <v>220</v>
      </c>
      <c r="D111" s="16" t="s">
        <v>207</v>
      </c>
      <c r="E111" s="16">
        <v>120</v>
      </c>
      <c r="F111" s="21">
        <v>176</v>
      </c>
    </row>
    <row r="112" spans="1:6" ht="16" x14ac:dyDescent="0.2">
      <c r="A112" s="16" t="str">
        <f t="shared" si="1"/>
        <v>Measurement_111</v>
      </c>
      <c r="B112" s="19" t="str">
        <f>IF(measurement[[#This Row],[Measurement Name]]="","",SUBSTITUTE(SUBSTITUTE(TRIM(measurement[[#This Row],[Measurement Name]])," ","_"),"-","_"))</f>
        <v>Measurement_111</v>
      </c>
      <c r="C112" s="16" t="s">
        <v>221</v>
      </c>
      <c r="D112" s="16" t="s">
        <v>207</v>
      </c>
      <c r="E112" s="16">
        <v>120</v>
      </c>
      <c r="F112" s="21">
        <v>168</v>
      </c>
    </row>
    <row r="113" spans="1:6" ht="16" x14ac:dyDescent="0.2">
      <c r="A113" s="16" t="str">
        <f t="shared" si="1"/>
        <v>Measurement_112</v>
      </c>
      <c r="B113" s="19" t="str">
        <f>IF(measurement[[#This Row],[Measurement Name]]="","",SUBSTITUTE(SUBSTITUTE(TRIM(measurement[[#This Row],[Measurement Name]])," ","_"),"-","_"))</f>
        <v>Measurement_112</v>
      </c>
      <c r="C113" s="16" t="s">
        <v>222</v>
      </c>
      <c r="D113" s="16" t="s">
        <v>207</v>
      </c>
      <c r="E113" s="16">
        <v>120</v>
      </c>
      <c r="F113" s="21">
        <v>167</v>
      </c>
    </row>
    <row r="114" spans="1:6" ht="16" x14ac:dyDescent="0.2">
      <c r="A114" s="16" t="str">
        <f t="shared" si="1"/>
        <v>Measurement_113</v>
      </c>
      <c r="B114" s="19" t="str">
        <f>IF(measurement[[#This Row],[Measurement Name]]="","",SUBSTITUTE(SUBSTITUTE(TRIM(measurement[[#This Row],[Measurement Name]])," ","_"),"-","_"))</f>
        <v>Measurement_113</v>
      </c>
      <c r="C114" s="16" t="s">
        <v>223</v>
      </c>
      <c r="D114" s="16" t="s">
        <v>207</v>
      </c>
      <c r="E114" s="16">
        <v>120</v>
      </c>
      <c r="F114" s="21">
        <v>156</v>
      </c>
    </row>
    <row r="115" spans="1:6" ht="16" x14ac:dyDescent="0.2">
      <c r="A115" s="16" t="str">
        <f t="shared" si="1"/>
        <v>Measurement_114</v>
      </c>
      <c r="B115" s="19" t="str">
        <f>IF(measurement[[#This Row],[Measurement Name]]="","",SUBSTITUTE(SUBSTITUTE(TRIM(measurement[[#This Row],[Measurement Name]])," ","_"),"-","_"))</f>
        <v>Measurement_114</v>
      </c>
      <c r="C115" s="16" t="s">
        <v>224</v>
      </c>
      <c r="D115" s="16" t="s">
        <v>207</v>
      </c>
      <c r="E115" s="16">
        <v>120</v>
      </c>
      <c r="F115" s="21">
        <v>156</v>
      </c>
    </row>
    <row r="116" spans="1:6" ht="16" x14ac:dyDescent="0.2">
      <c r="A116" s="16" t="str">
        <f t="shared" si="1"/>
        <v>Measurement_115</v>
      </c>
      <c r="B116" s="19" t="str">
        <f>IF(measurement[[#This Row],[Measurement Name]]="","",SUBSTITUTE(SUBSTITUTE(TRIM(measurement[[#This Row],[Measurement Name]])," ","_"),"-","_"))</f>
        <v>Measurement_115</v>
      </c>
      <c r="C116" s="16" t="s">
        <v>225</v>
      </c>
      <c r="D116" s="16" t="s">
        <v>207</v>
      </c>
      <c r="E116" s="16">
        <v>120</v>
      </c>
      <c r="F116" s="21">
        <v>157</v>
      </c>
    </row>
    <row r="117" spans="1:6" ht="16" x14ac:dyDescent="0.2">
      <c r="A117" s="16" t="str">
        <f t="shared" si="1"/>
        <v>Measurement_116</v>
      </c>
      <c r="B117" s="19" t="str">
        <f>IF(measurement[[#This Row],[Measurement Name]]="","",SUBSTITUTE(SUBSTITUTE(TRIM(measurement[[#This Row],[Measurement Name]])," ","_"),"-","_"))</f>
        <v>Measurement_116</v>
      </c>
      <c r="C117" s="16" t="s">
        <v>226</v>
      </c>
      <c r="D117" s="16" t="s">
        <v>207</v>
      </c>
      <c r="E117" s="16">
        <v>120</v>
      </c>
      <c r="F117" s="21">
        <v>158</v>
      </c>
    </row>
    <row r="118" spans="1:6" ht="16" x14ac:dyDescent="0.2">
      <c r="A118" s="16" t="str">
        <f t="shared" si="1"/>
        <v>Measurement_117</v>
      </c>
      <c r="B118" s="19" t="str">
        <f>IF(measurement[[#This Row],[Measurement Name]]="","",SUBSTITUTE(SUBSTITUTE(TRIM(measurement[[#This Row],[Measurement Name]])," ","_"),"-","_"))</f>
        <v>Measurement_117</v>
      </c>
      <c r="C118" s="16" t="s">
        <v>227</v>
      </c>
      <c r="D118" s="16" t="s">
        <v>207</v>
      </c>
      <c r="E118" s="16">
        <v>120</v>
      </c>
      <c r="F118" s="21">
        <v>156</v>
      </c>
    </row>
    <row r="119" spans="1:6" ht="16" x14ac:dyDescent="0.2">
      <c r="A119" s="16" t="str">
        <f t="shared" si="1"/>
        <v>Measurement_118</v>
      </c>
      <c r="B119" s="19" t="str">
        <f>IF(measurement[[#This Row],[Measurement Name]]="","",SUBSTITUTE(SUBSTITUTE(TRIM(measurement[[#This Row],[Measurement Name]])," ","_"),"-","_"))</f>
        <v>Measurement_118</v>
      </c>
      <c r="C119" s="16" t="s">
        <v>228</v>
      </c>
      <c r="D119" s="16" t="s">
        <v>207</v>
      </c>
      <c r="E119" s="16">
        <v>120</v>
      </c>
      <c r="F119" s="21">
        <v>158</v>
      </c>
    </row>
    <row r="120" spans="1:6" ht="16" x14ac:dyDescent="0.2">
      <c r="A120" s="16" t="str">
        <f t="shared" si="1"/>
        <v>Measurement_119</v>
      </c>
      <c r="B120" s="19" t="str">
        <f>IF(measurement[[#This Row],[Measurement Name]]="","",SUBSTITUTE(SUBSTITUTE(TRIM(measurement[[#This Row],[Measurement Name]])," ","_"),"-","_"))</f>
        <v>Measurement_119</v>
      </c>
      <c r="C120" s="16" t="s">
        <v>229</v>
      </c>
      <c r="D120" s="16" t="s">
        <v>207</v>
      </c>
      <c r="E120" s="16">
        <v>120</v>
      </c>
      <c r="F120" s="21">
        <v>129</v>
      </c>
    </row>
    <row r="121" spans="1:6" ht="16" x14ac:dyDescent="0.2">
      <c r="A121" s="16" t="str">
        <f t="shared" si="1"/>
        <v>Measurement_120</v>
      </c>
      <c r="B121" s="19" t="str">
        <f>IF(measurement[[#This Row],[Measurement Name]]="","",SUBSTITUTE(SUBSTITUTE(TRIM(measurement[[#This Row],[Measurement Name]])," ","_"),"-","_"))</f>
        <v>Measurement_120</v>
      </c>
      <c r="C121" s="16" t="s">
        <v>230</v>
      </c>
      <c r="D121" s="16" t="s">
        <v>207</v>
      </c>
      <c r="E121" s="16">
        <v>120</v>
      </c>
      <c r="F121" s="21">
        <v>18</v>
      </c>
    </row>
    <row r="122" spans="1:6" ht="16" x14ac:dyDescent="0.2">
      <c r="A122" s="16" t="str">
        <f t="shared" si="1"/>
        <v>Measurement_121</v>
      </c>
      <c r="B122" s="19" t="str">
        <f>IF(measurement[[#This Row],[Measurement Name]]="","",SUBSTITUTE(SUBSTITUTE(TRIM(measurement[[#This Row],[Measurement Name]])," ","_"),"-","_"))</f>
        <v>Measurement_121</v>
      </c>
      <c r="C122" s="16" t="s">
        <v>231</v>
      </c>
      <c r="D122" s="16" t="s">
        <v>207</v>
      </c>
      <c r="E122" s="16">
        <v>120</v>
      </c>
      <c r="F122" s="21">
        <v>18</v>
      </c>
    </row>
    <row r="123" spans="1:6" ht="16" x14ac:dyDescent="0.2">
      <c r="A123" s="16" t="str">
        <f t="shared" si="1"/>
        <v>Measurement_122</v>
      </c>
      <c r="B123" s="19" t="str">
        <f>IF(measurement[[#This Row],[Measurement Name]]="","",SUBSTITUTE(SUBSTITUTE(TRIM(measurement[[#This Row],[Measurement Name]])," ","_"),"-","_"))</f>
        <v>Measurement_122</v>
      </c>
      <c r="C123" s="16" t="s">
        <v>232</v>
      </c>
      <c r="D123" s="16" t="s">
        <v>207</v>
      </c>
      <c r="E123" s="16">
        <v>120</v>
      </c>
      <c r="F123" s="21">
        <v>191</v>
      </c>
    </row>
    <row r="124" spans="1:6" ht="16" x14ac:dyDescent="0.2">
      <c r="A124" s="16" t="str">
        <f t="shared" si="1"/>
        <v>Measurement_123</v>
      </c>
      <c r="B124" s="19" t="str">
        <f>IF(measurement[[#This Row],[Measurement Name]]="","",SUBSTITUTE(SUBSTITUTE(TRIM(measurement[[#This Row],[Measurement Name]])," ","_"),"-","_"))</f>
        <v>Measurement_123</v>
      </c>
      <c r="C124" s="16" t="s">
        <v>233</v>
      </c>
      <c r="D124" s="16" t="s">
        <v>207</v>
      </c>
      <c r="E124" s="16">
        <v>120</v>
      </c>
      <c r="F124" s="21">
        <v>171</v>
      </c>
    </row>
    <row r="125" spans="1:6" ht="16" x14ac:dyDescent="0.2">
      <c r="A125" s="16" t="str">
        <f t="shared" si="1"/>
        <v>Measurement_124</v>
      </c>
      <c r="B125" s="19" t="str">
        <f>IF(measurement[[#This Row],[Measurement Name]]="","",SUBSTITUTE(SUBSTITUTE(TRIM(measurement[[#This Row],[Measurement Name]])," ","_"),"-","_"))</f>
        <v>Measurement_124</v>
      </c>
      <c r="C125" s="16" t="s">
        <v>234</v>
      </c>
      <c r="D125" s="16" t="s">
        <v>207</v>
      </c>
      <c r="E125" s="16">
        <v>120</v>
      </c>
      <c r="F125" s="21">
        <v>167</v>
      </c>
    </row>
    <row r="126" spans="1:6" ht="16" x14ac:dyDescent="0.2">
      <c r="A126" s="16" t="str">
        <f t="shared" si="1"/>
        <v>Measurement_125</v>
      </c>
      <c r="B126" s="19" t="str">
        <f>IF(measurement[[#This Row],[Measurement Name]]="","",SUBSTITUTE(SUBSTITUTE(TRIM(measurement[[#This Row],[Measurement Name]])," ","_"),"-","_"))</f>
        <v>Measurement_125</v>
      </c>
      <c r="C126" s="16" t="s">
        <v>235</v>
      </c>
      <c r="D126" s="16" t="s">
        <v>207</v>
      </c>
      <c r="E126" s="16">
        <v>120</v>
      </c>
      <c r="F126" s="21">
        <v>158</v>
      </c>
    </row>
    <row r="127" spans="1:6" ht="16" x14ac:dyDescent="0.2">
      <c r="A127" s="16" t="str">
        <f t="shared" si="1"/>
        <v>Measurement_126</v>
      </c>
      <c r="B127" s="19" t="str">
        <f>IF(measurement[[#This Row],[Measurement Name]]="","",SUBSTITUTE(SUBSTITUTE(TRIM(measurement[[#This Row],[Measurement Name]])," ","_"),"-","_"))</f>
        <v>Measurement_126</v>
      </c>
      <c r="C127" s="16" t="s">
        <v>236</v>
      </c>
      <c r="D127" s="16" t="s">
        <v>207</v>
      </c>
      <c r="E127" s="16">
        <v>120</v>
      </c>
      <c r="F127" s="21">
        <v>159</v>
      </c>
    </row>
    <row r="128" spans="1:6" ht="16" x14ac:dyDescent="0.2">
      <c r="A128" s="16" t="str">
        <f t="shared" si="1"/>
        <v>Measurement_127</v>
      </c>
      <c r="B128" s="19" t="str">
        <f>IF(measurement[[#This Row],[Measurement Name]]="","",SUBSTITUTE(SUBSTITUTE(TRIM(measurement[[#This Row],[Measurement Name]])," ","_"),"-","_"))</f>
        <v>Measurement_127</v>
      </c>
      <c r="C128" s="16" t="s">
        <v>237</v>
      </c>
      <c r="D128" s="16" t="s">
        <v>207</v>
      </c>
      <c r="E128" s="16">
        <v>120</v>
      </c>
      <c r="F128" s="21">
        <v>157</v>
      </c>
    </row>
    <row r="129" spans="1:6" ht="16" x14ac:dyDescent="0.2">
      <c r="A129" s="16" t="str">
        <f t="shared" si="1"/>
        <v>Measurement_128</v>
      </c>
      <c r="B129" s="19" t="str">
        <f>IF(measurement[[#This Row],[Measurement Name]]="","",SUBSTITUTE(SUBSTITUTE(TRIM(measurement[[#This Row],[Measurement Name]])," ","_"),"-","_"))</f>
        <v>Measurement_128</v>
      </c>
      <c r="C129" s="16" t="s">
        <v>238</v>
      </c>
      <c r="D129" s="16" t="s">
        <v>207</v>
      </c>
      <c r="E129" s="16">
        <v>120</v>
      </c>
      <c r="F129" s="21">
        <v>155</v>
      </c>
    </row>
    <row r="130" spans="1:6" ht="16" x14ac:dyDescent="0.2">
      <c r="A130" s="16" t="str">
        <f t="shared" si="1"/>
        <v>Measurement_129</v>
      </c>
      <c r="B130" s="19" t="str">
        <f>IF(measurement[[#This Row],[Measurement Name]]="","",SUBSTITUTE(SUBSTITUTE(TRIM(measurement[[#This Row],[Measurement Name]])," ","_"),"-","_"))</f>
        <v>Measurement_129</v>
      </c>
      <c r="C130" s="16" t="s">
        <v>239</v>
      </c>
      <c r="D130" s="16" t="s">
        <v>207</v>
      </c>
      <c r="E130" s="16">
        <v>120</v>
      </c>
      <c r="F130" s="21">
        <v>154</v>
      </c>
    </row>
    <row r="131" spans="1:6" ht="16" x14ac:dyDescent="0.2">
      <c r="A131" s="16" t="str">
        <f t="shared" ref="A131:A193" si="2">"Measurement_"&amp;ROW()-1</f>
        <v>Measurement_130</v>
      </c>
      <c r="B131" s="19" t="str">
        <f>IF(measurement[[#This Row],[Measurement Name]]="","",SUBSTITUTE(SUBSTITUTE(TRIM(measurement[[#This Row],[Measurement Name]])," ","_"),"-","_"))</f>
        <v>Measurement_130</v>
      </c>
      <c r="C131" s="16" t="s">
        <v>240</v>
      </c>
      <c r="D131" s="16" t="s">
        <v>207</v>
      </c>
      <c r="E131" s="16">
        <v>120</v>
      </c>
      <c r="F131" s="21">
        <v>157</v>
      </c>
    </row>
    <row r="132" spans="1:6" ht="16" x14ac:dyDescent="0.2">
      <c r="A132" s="16" t="str">
        <f t="shared" si="2"/>
        <v>Measurement_131</v>
      </c>
      <c r="B132" s="19" t="str">
        <f>IF(measurement[[#This Row],[Measurement Name]]="","",SUBSTITUTE(SUBSTITUTE(TRIM(measurement[[#This Row],[Measurement Name]])," ","_"),"-","_"))</f>
        <v>Measurement_131</v>
      </c>
      <c r="C132" s="16" t="s">
        <v>241</v>
      </c>
      <c r="D132" s="16" t="s">
        <v>207</v>
      </c>
      <c r="E132" s="16">
        <v>120</v>
      </c>
      <c r="F132" s="21">
        <v>128</v>
      </c>
    </row>
    <row r="133" spans="1:6" ht="16" x14ac:dyDescent="0.2">
      <c r="A133" s="16" t="str">
        <f t="shared" si="2"/>
        <v>Measurement_132</v>
      </c>
      <c r="B133" s="19" t="str">
        <f>IF(measurement[[#This Row],[Measurement Name]]="","",SUBSTITUTE(SUBSTITUTE(TRIM(measurement[[#This Row],[Measurement Name]])," ","_"),"-","_"))</f>
        <v>Measurement_132</v>
      </c>
      <c r="C133" s="16" t="s">
        <v>242</v>
      </c>
      <c r="D133" s="16" t="s">
        <v>207</v>
      </c>
      <c r="E133" s="16">
        <v>120</v>
      </c>
      <c r="F133" s="21">
        <v>17</v>
      </c>
    </row>
    <row r="134" spans="1:6" ht="16" x14ac:dyDescent="0.2">
      <c r="A134" s="16" t="str">
        <f t="shared" si="2"/>
        <v>Measurement_133</v>
      </c>
      <c r="B134" s="19" t="str">
        <f>IF(measurement[[#This Row],[Measurement Name]]="","",SUBSTITUTE(SUBSTITUTE(TRIM(measurement[[#This Row],[Measurement Name]])," ","_"),"-","_"))</f>
        <v>Measurement_133</v>
      </c>
      <c r="C134" s="16" t="s">
        <v>243</v>
      </c>
      <c r="D134" s="16" t="s">
        <v>207</v>
      </c>
      <c r="E134" s="16">
        <v>120</v>
      </c>
      <c r="F134" s="21">
        <v>18</v>
      </c>
    </row>
    <row r="135" spans="1:6" ht="16" x14ac:dyDescent="0.2">
      <c r="A135" s="16" t="str">
        <f t="shared" si="2"/>
        <v>Measurement_134</v>
      </c>
      <c r="B135" s="19" t="str">
        <f>IF(measurement[[#This Row],[Measurement Name]]="","",SUBSTITUTE(SUBSTITUTE(TRIM(measurement[[#This Row],[Measurement Name]])," ","_"),"-","_"))</f>
        <v>Measurement_134</v>
      </c>
      <c r="C135" s="16" t="s">
        <v>244</v>
      </c>
      <c r="D135" s="16" t="s">
        <v>207</v>
      </c>
      <c r="E135" s="16">
        <v>120</v>
      </c>
      <c r="F135" s="21">
        <v>158</v>
      </c>
    </row>
    <row r="136" spans="1:6" ht="16" x14ac:dyDescent="0.2">
      <c r="A136" s="16" t="str">
        <f t="shared" si="2"/>
        <v>Measurement_135</v>
      </c>
      <c r="B136" s="19" t="str">
        <f>IF(measurement[[#This Row],[Measurement Name]]="","",SUBSTITUTE(SUBSTITUTE(TRIM(measurement[[#This Row],[Measurement Name]])," ","_"),"-","_"))</f>
        <v>Measurement_135</v>
      </c>
      <c r="C136" s="16" t="s">
        <v>245</v>
      </c>
      <c r="D136" s="16" t="s">
        <v>207</v>
      </c>
      <c r="E136" s="16">
        <v>120</v>
      </c>
      <c r="F136" s="21">
        <v>158</v>
      </c>
    </row>
    <row r="137" spans="1:6" ht="16" x14ac:dyDescent="0.2">
      <c r="A137" s="16" t="str">
        <f t="shared" si="2"/>
        <v>Measurement_136</v>
      </c>
      <c r="B137" s="19" t="str">
        <f>IF(measurement[[#This Row],[Measurement Name]]="","",SUBSTITUTE(SUBSTITUTE(TRIM(measurement[[#This Row],[Measurement Name]])," ","_"),"-","_"))</f>
        <v>Measurement_136</v>
      </c>
      <c r="C137" s="16" t="s">
        <v>246</v>
      </c>
      <c r="D137" s="16" t="s">
        <v>207</v>
      </c>
      <c r="E137" s="16">
        <v>120</v>
      </c>
      <c r="F137" s="21">
        <v>157</v>
      </c>
    </row>
    <row r="138" spans="1:6" ht="16" x14ac:dyDescent="0.2">
      <c r="A138" s="16" t="str">
        <f t="shared" si="2"/>
        <v>Measurement_137</v>
      </c>
      <c r="B138" s="19" t="str">
        <f>IF(measurement[[#This Row],[Measurement Name]]="","",SUBSTITUTE(SUBSTITUTE(TRIM(measurement[[#This Row],[Measurement Name]])," ","_"),"-","_"))</f>
        <v>Measurement_137</v>
      </c>
      <c r="C138" s="16" t="s">
        <v>247</v>
      </c>
      <c r="D138" s="16" t="s">
        <v>207</v>
      </c>
      <c r="E138" s="16">
        <v>120</v>
      </c>
      <c r="F138" s="21">
        <v>156</v>
      </c>
    </row>
    <row r="139" spans="1:6" ht="16" x14ac:dyDescent="0.2">
      <c r="A139" s="16" t="str">
        <f t="shared" si="2"/>
        <v>Measurement_138</v>
      </c>
      <c r="B139" s="19" t="str">
        <f>IF(measurement[[#This Row],[Measurement Name]]="","",SUBSTITUTE(SUBSTITUTE(TRIM(measurement[[#This Row],[Measurement Name]])," ","_"),"-","_"))</f>
        <v>Measurement_138</v>
      </c>
      <c r="C139" s="16" t="s">
        <v>248</v>
      </c>
      <c r="D139" s="16" t="s">
        <v>207</v>
      </c>
      <c r="E139" s="16">
        <v>120</v>
      </c>
      <c r="F139" s="21">
        <v>156</v>
      </c>
    </row>
    <row r="140" spans="1:6" ht="16" x14ac:dyDescent="0.2">
      <c r="A140" s="16" t="str">
        <f t="shared" si="2"/>
        <v>Measurement_139</v>
      </c>
      <c r="B140" s="19" t="str">
        <f>IF(measurement[[#This Row],[Measurement Name]]="","",SUBSTITUTE(SUBSTITUTE(TRIM(measurement[[#This Row],[Measurement Name]])," ","_"),"-","_"))</f>
        <v>Measurement_139</v>
      </c>
      <c r="C140" s="16" t="s">
        <v>249</v>
      </c>
      <c r="D140" s="16" t="s">
        <v>207</v>
      </c>
      <c r="E140" s="16">
        <v>120</v>
      </c>
      <c r="F140" s="21">
        <v>156</v>
      </c>
    </row>
    <row r="141" spans="1:6" ht="16" x14ac:dyDescent="0.2">
      <c r="A141" s="16" t="str">
        <f t="shared" si="2"/>
        <v>Measurement_140</v>
      </c>
      <c r="B141" s="19" t="str">
        <f>IF(measurement[[#This Row],[Measurement Name]]="","",SUBSTITUTE(SUBSTITUTE(TRIM(measurement[[#This Row],[Measurement Name]])," ","_"),"-","_"))</f>
        <v>Measurement_140</v>
      </c>
      <c r="C141" s="16" t="s">
        <v>250</v>
      </c>
      <c r="D141" s="16" t="s">
        <v>207</v>
      </c>
      <c r="E141" s="16">
        <v>120</v>
      </c>
      <c r="F141" s="21">
        <v>157</v>
      </c>
    </row>
    <row r="142" spans="1:6" ht="16" x14ac:dyDescent="0.2">
      <c r="A142" s="16" t="str">
        <f t="shared" si="2"/>
        <v>Measurement_141</v>
      </c>
      <c r="B142" s="19" t="str">
        <f>IF(measurement[[#This Row],[Measurement Name]]="","",SUBSTITUTE(SUBSTITUTE(TRIM(measurement[[#This Row],[Measurement Name]])," ","_"),"-","_"))</f>
        <v>Measurement_141</v>
      </c>
      <c r="C142" s="16" t="s">
        <v>251</v>
      </c>
      <c r="D142" s="16" t="s">
        <v>207</v>
      </c>
      <c r="E142" s="16">
        <v>120</v>
      </c>
      <c r="F142" s="21">
        <v>158</v>
      </c>
    </row>
    <row r="143" spans="1:6" ht="16" x14ac:dyDescent="0.2">
      <c r="A143" s="16" t="str">
        <f t="shared" si="2"/>
        <v>Measurement_142</v>
      </c>
      <c r="B143" s="19" t="str">
        <f>IF(measurement[[#This Row],[Measurement Name]]="","",SUBSTITUTE(SUBSTITUTE(TRIM(measurement[[#This Row],[Measurement Name]])," ","_"),"-","_"))</f>
        <v>Measurement_142</v>
      </c>
      <c r="C143" s="16" t="s">
        <v>252</v>
      </c>
      <c r="D143" s="16" t="s">
        <v>207</v>
      </c>
      <c r="E143" s="16">
        <v>120</v>
      </c>
      <c r="F143" s="21">
        <v>154</v>
      </c>
    </row>
    <row r="144" spans="1:6" ht="16" x14ac:dyDescent="0.2">
      <c r="A144" s="16" t="str">
        <f t="shared" si="2"/>
        <v>Measurement_143</v>
      </c>
      <c r="B144" s="19" t="str">
        <f>IF(measurement[[#This Row],[Measurement Name]]="","",SUBSTITUTE(SUBSTITUTE(TRIM(measurement[[#This Row],[Measurement Name]])," ","_"),"-","_"))</f>
        <v>Measurement_143</v>
      </c>
      <c r="C144" s="16" t="s">
        <v>253</v>
      </c>
      <c r="D144" s="16" t="s">
        <v>207</v>
      </c>
      <c r="E144" s="16">
        <v>120</v>
      </c>
      <c r="F144" s="21">
        <v>8880</v>
      </c>
    </row>
    <row r="145" spans="1:6" ht="16" x14ac:dyDescent="0.2">
      <c r="A145" s="16" t="str">
        <f t="shared" si="2"/>
        <v>Measurement_144</v>
      </c>
      <c r="B145" s="19" t="str">
        <f>IF(measurement[[#This Row],[Measurement Name]]="","",SUBSTITUTE(SUBSTITUTE(TRIM(measurement[[#This Row],[Measurement Name]])," ","_"),"-","_"))</f>
        <v>Measurement_144</v>
      </c>
      <c r="C145" s="16" t="s">
        <v>254</v>
      </c>
      <c r="D145" s="16" t="s">
        <v>207</v>
      </c>
      <c r="E145" s="16">
        <v>120</v>
      </c>
      <c r="F145" s="21">
        <v>18</v>
      </c>
    </row>
    <row r="146" spans="1:6" ht="16" x14ac:dyDescent="0.2">
      <c r="A146" s="16" t="str">
        <f t="shared" si="2"/>
        <v>Measurement_145</v>
      </c>
      <c r="B146" s="19" t="str">
        <f>IF(measurement[[#This Row],[Measurement Name]]="","",SUBSTITUTE(SUBSTITUTE(TRIM(measurement[[#This Row],[Measurement Name]])," ","_"),"-","_"))</f>
        <v>Measurement_145</v>
      </c>
      <c r="C146" s="16" t="s">
        <v>255</v>
      </c>
      <c r="D146" s="16" t="s">
        <v>207</v>
      </c>
      <c r="E146" s="16">
        <v>120</v>
      </c>
      <c r="F146" s="21">
        <v>19</v>
      </c>
    </row>
    <row r="147" spans="1:6" ht="16" x14ac:dyDescent="0.2">
      <c r="A147" s="16" t="str">
        <f t="shared" si="2"/>
        <v>Measurement_146</v>
      </c>
      <c r="B147" s="19" t="str">
        <f>IF(measurement[[#This Row],[Measurement Name]]="","",SUBSTITUTE(SUBSTITUTE(TRIM(measurement[[#This Row],[Measurement Name]])," ","_"),"-","_"))</f>
        <v>Measurement_146</v>
      </c>
      <c r="C147" s="16" t="s">
        <v>256</v>
      </c>
      <c r="D147" s="16" t="s">
        <v>207</v>
      </c>
      <c r="E147" s="16">
        <v>120</v>
      </c>
      <c r="F147" s="21">
        <v>159</v>
      </c>
    </row>
    <row r="148" spans="1:6" ht="16" x14ac:dyDescent="0.2">
      <c r="A148" s="16" t="str">
        <f t="shared" si="2"/>
        <v>Measurement_147</v>
      </c>
      <c r="B148" s="19" t="str">
        <f>IF(measurement[[#This Row],[Measurement Name]]="","",SUBSTITUTE(SUBSTITUTE(TRIM(measurement[[#This Row],[Measurement Name]])," ","_"),"-","_"))</f>
        <v>Measurement_147</v>
      </c>
      <c r="C148" s="16" t="s">
        <v>257</v>
      </c>
      <c r="D148" s="16" t="s">
        <v>207</v>
      </c>
      <c r="E148" s="16">
        <v>120</v>
      </c>
      <c r="F148" s="21">
        <v>158</v>
      </c>
    </row>
    <row r="149" spans="1:6" ht="16" x14ac:dyDescent="0.2">
      <c r="A149" s="16" t="str">
        <f t="shared" si="2"/>
        <v>Measurement_148</v>
      </c>
      <c r="B149" s="19" t="str">
        <f>IF(measurement[[#This Row],[Measurement Name]]="","",SUBSTITUTE(SUBSTITUTE(TRIM(measurement[[#This Row],[Measurement Name]])," ","_"),"-","_"))</f>
        <v>Measurement_148</v>
      </c>
      <c r="C149" s="16" t="s">
        <v>258</v>
      </c>
      <c r="D149" s="16" t="s">
        <v>207</v>
      </c>
      <c r="E149" s="16">
        <v>120</v>
      </c>
      <c r="F149" s="21">
        <v>153</v>
      </c>
    </row>
    <row r="150" spans="1:6" ht="16" x14ac:dyDescent="0.2">
      <c r="A150" s="16" t="str">
        <f t="shared" si="2"/>
        <v>Measurement_149</v>
      </c>
      <c r="B150" s="19" t="str">
        <f>IF(measurement[[#This Row],[Measurement Name]]="","",SUBSTITUTE(SUBSTITUTE(TRIM(measurement[[#This Row],[Measurement Name]])," ","_"),"-","_"))</f>
        <v>Measurement_149</v>
      </c>
      <c r="C150" s="16" t="s">
        <v>259</v>
      </c>
      <c r="D150" s="16" t="s">
        <v>207</v>
      </c>
      <c r="E150" s="16">
        <v>120</v>
      </c>
      <c r="F150" s="21">
        <v>155</v>
      </c>
    </row>
    <row r="151" spans="1:6" ht="16" x14ac:dyDescent="0.2">
      <c r="A151" s="16" t="str">
        <f t="shared" si="2"/>
        <v>Measurement_150</v>
      </c>
      <c r="B151" s="19" t="str">
        <f>IF(measurement[[#This Row],[Measurement Name]]="","",SUBSTITUTE(SUBSTITUTE(TRIM(measurement[[#This Row],[Measurement Name]])," ","_"),"-","_"))</f>
        <v>Measurement_150</v>
      </c>
      <c r="C151" s="16" t="s">
        <v>260</v>
      </c>
      <c r="D151" s="16" t="s">
        <v>207</v>
      </c>
      <c r="E151" s="16">
        <v>120</v>
      </c>
      <c r="F151" s="21">
        <v>157</v>
      </c>
    </row>
    <row r="152" spans="1:6" ht="16" x14ac:dyDescent="0.2">
      <c r="A152" s="16" t="str">
        <f t="shared" si="2"/>
        <v>Measurement_151</v>
      </c>
      <c r="B152" s="19" t="str">
        <f>IF(measurement[[#This Row],[Measurement Name]]="","",SUBSTITUTE(SUBSTITUTE(TRIM(measurement[[#This Row],[Measurement Name]])," ","_"),"-","_"))</f>
        <v>Measurement_151</v>
      </c>
      <c r="C152" s="16" t="s">
        <v>261</v>
      </c>
      <c r="D152" s="16" t="s">
        <v>207</v>
      </c>
      <c r="E152" s="16">
        <v>120</v>
      </c>
      <c r="F152" s="21">
        <v>157</v>
      </c>
    </row>
    <row r="153" spans="1:6" ht="16" x14ac:dyDescent="0.2">
      <c r="A153" s="16" t="str">
        <f t="shared" si="2"/>
        <v>Measurement_152</v>
      </c>
      <c r="B153" s="19" t="str">
        <f>IF(measurement[[#This Row],[Measurement Name]]="","",SUBSTITUTE(SUBSTITUTE(TRIM(measurement[[#This Row],[Measurement Name]])," ","_"),"-","_"))</f>
        <v>Measurement_152</v>
      </c>
      <c r="C153" s="16" t="s">
        <v>262</v>
      </c>
      <c r="D153" s="16" t="s">
        <v>207</v>
      </c>
      <c r="E153" s="16">
        <v>120</v>
      </c>
      <c r="F153" s="21">
        <v>156</v>
      </c>
    </row>
    <row r="154" spans="1:6" ht="16" x14ac:dyDescent="0.2">
      <c r="A154" s="16" t="str">
        <f t="shared" si="2"/>
        <v>Measurement_153</v>
      </c>
      <c r="B154" s="19" t="str">
        <f>IF(measurement[[#This Row],[Measurement Name]]="","",SUBSTITUTE(SUBSTITUTE(TRIM(measurement[[#This Row],[Measurement Name]])," ","_"),"-","_"))</f>
        <v>Measurement_153</v>
      </c>
      <c r="C154" s="16" t="s">
        <v>263</v>
      </c>
      <c r="D154" s="16" t="s">
        <v>207</v>
      </c>
      <c r="E154" s="16">
        <v>120</v>
      </c>
      <c r="F154" s="21">
        <v>155</v>
      </c>
    </row>
    <row r="155" spans="1:6" ht="16" x14ac:dyDescent="0.2">
      <c r="A155" s="16" t="str">
        <f t="shared" si="2"/>
        <v>Measurement_154</v>
      </c>
      <c r="B155" s="19" t="str">
        <f>IF(measurement[[#This Row],[Measurement Name]]="","",SUBSTITUTE(SUBSTITUTE(TRIM(measurement[[#This Row],[Measurement Name]])," ","_"),"-","_"))</f>
        <v>Measurement_154</v>
      </c>
      <c r="C155" s="16" t="s">
        <v>264</v>
      </c>
      <c r="D155" s="16" t="s">
        <v>207</v>
      </c>
      <c r="E155" s="16">
        <v>120</v>
      </c>
      <c r="F155" s="21">
        <v>157</v>
      </c>
    </row>
    <row r="156" spans="1:6" ht="16" x14ac:dyDescent="0.2">
      <c r="A156" s="16" t="str">
        <f t="shared" si="2"/>
        <v>Measurement_155</v>
      </c>
      <c r="B156" s="19" t="str">
        <f>IF(measurement[[#This Row],[Measurement Name]]="","",SUBSTITUTE(SUBSTITUTE(TRIM(measurement[[#This Row],[Measurement Name]])," ","_"),"-","_"))</f>
        <v>Measurement_155</v>
      </c>
      <c r="C156" s="16" t="s">
        <v>265</v>
      </c>
      <c r="D156" s="16" t="s">
        <v>207</v>
      </c>
      <c r="E156" s="16">
        <v>120</v>
      </c>
      <c r="F156" s="21">
        <v>8785</v>
      </c>
    </row>
    <row r="157" spans="1:6" ht="16" x14ac:dyDescent="0.2">
      <c r="A157" s="16" t="str">
        <f t="shared" si="2"/>
        <v>Measurement_156</v>
      </c>
      <c r="B157" s="19" t="str">
        <f>IF(measurement[[#This Row],[Measurement Name]]="","",SUBSTITUTE(SUBSTITUTE(TRIM(measurement[[#This Row],[Measurement Name]])," ","_"),"-","_"))</f>
        <v>Measurement_156</v>
      </c>
      <c r="C157" s="16" t="s">
        <v>266</v>
      </c>
      <c r="D157" s="16" t="s">
        <v>207</v>
      </c>
      <c r="E157" s="16">
        <v>120</v>
      </c>
      <c r="F157" s="21" t="s">
        <v>267</v>
      </c>
    </row>
    <row r="158" spans="1:6" ht="16" x14ac:dyDescent="0.2">
      <c r="A158" s="16" t="str">
        <f t="shared" si="2"/>
        <v>Measurement_157</v>
      </c>
      <c r="B158" s="19" t="str">
        <f>IF(measurement[[#This Row],[Measurement Name]]="","",SUBSTITUTE(SUBSTITUTE(TRIM(measurement[[#This Row],[Measurement Name]])," ","_"),"-","_"))</f>
        <v>Measurement_157</v>
      </c>
      <c r="C158" s="16" t="s">
        <v>268</v>
      </c>
      <c r="D158" s="16" t="s">
        <v>207</v>
      </c>
      <c r="E158" s="16">
        <v>120</v>
      </c>
      <c r="F158" s="21">
        <v>16</v>
      </c>
    </row>
    <row r="159" spans="1:6" ht="16" x14ac:dyDescent="0.2">
      <c r="A159" s="16" t="str">
        <f t="shared" si="2"/>
        <v>Measurement_158</v>
      </c>
      <c r="B159" s="19" t="str">
        <f>IF(measurement[[#This Row],[Measurement Name]]="","",SUBSTITUTE(SUBSTITUTE(TRIM(measurement[[#This Row],[Measurement Name]])," ","_"),"-","_"))</f>
        <v>Measurement_158</v>
      </c>
      <c r="C159" s="16" t="s">
        <v>269</v>
      </c>
      <c r="D159" s="16" t="s">
        <v>207</v>
      </c>
      <c r="E159" s="16">
        <v>120</v>
      </c>
      <c r="F159" s="21">
        <v>153</v>
      </c>
    </row>
    <row r="160" spans="1:6" ht="16" x14ac:dyDescent="0.2">
      <c r="A160" s="16" t="str">
        <f t="shared" si="2"/>
        <v>Measurement_159</v>
      </c>
      <c r="B160" s="19" t="str">
        <f>IF(measurement[[#This Row],[Measurement Name]]="","",SUBSTITUTE(SUBSTITUTE(TRIM(measurement[[#This Row],[Measurement Name]])," ","_"),"-","_"))</f>
        <v>Measurement_159</v>
      </c>
      <c r="C160" s="16" t="s">
        <v>270</v>
      </c>
      <c r="D160" s="16" t="s">
        <v>207</v>
      </c>
      <c r="E160" s="16">
        <v>120</v>
      </c>
      <c r="F160" s="21">
        <v>155</v>
      </c>
    </row>
    <row r="161" spans="1:6" ht="16" x14ac:dyDescent="0.2">
      <c r="A161" s="16" t="str">
        <f t="shared" si="2"/>
        <v>Measurement_160</v>
      </c>
      <c r="B161" s="19" t="str">
        <f>IF(measurement[[#This Row],[Measurement Name]]="","",SUBSTITUTE(SUBSTITUTE(TRIM(measurement[[#This Row],[Measurement Name]])," ","_"),"-","_"))</f>
        <v>Measurement_160</v>
      </c>
      <c r="C161" s="16" t="s">
        <v>271</v>
      </c>
      <c r="D161" s="16" t="s">
        <v>207</v>
      </c>
      <c r="E161" s="16">
        <v>120</v>
      </c>
      <c r="F161" s="21">
        <v>157</v>
      </c>
    </row>
    <row r="162" spans="1:6" ht="16" x14ac:dyDescent="0.2">
      <c r="A162" s="16" t="str">
        <f t="shared" si="2"/>
        <v>Measurement_161</v>
      </c>
      <c r="B162" s="19" t="str">
        <f>IF(measurement[[#This Row],[Measurement Name]]="","",SUBSTITUTE(SUBSTITUTE(TRIM(measurement[[#This Row],[Measurement Name]])," ","_"),"-","_"))</f>
        <v>Measurement_161</v>
      </c>
      <c r="C162" s="16" t="s">
        <v>272</v>
      </c>
      <c r="D162" s="16" t="s">
        <v>207</v>
      </c>
      <c r="E162" s="16">
        <v>120</v>
      </c>
      <c r="F162" s="21">
        <v>156</v>
      </c>
    </row>
    <row r="163" spans="1:6" ht="16" x14ac:dyDescent="0.2">
      <c r="A163" s="16" t="str">
        <f t="shared" si="2"/>
        <v>Measurement_162</v>
      </c>
      <c r="B163" s="19" t="str">
        <f>IF(measurement[[#This Row],[Measurement Name]]="","",SUBSTITUTE(SUBSTITUTE(TRIM(measurement[[#This Row],[Measurement Name]])," ","_"),"-","_"))</f>
        <v>Measurement_162</v>
      </c>
      <c r="C163" s="16" t="s">
        <v>273</v>
      </c>
      <c r="D163" s="16" t="s">
        <v>207</v>
      </c>
      <c r="E163" s="16">
        <v>120</v>
      </c>
      <c r="F163" s="21">
        <v>156</v>
      </c>
    </row>
    <row r="164" spans="1:6" ht="16" x14ac:dyDescent="0.2">
      <c r="A164" s="16" t="str">
        <f t="shared" si="2"/>
        <v>Measurement_163</v>
      </c>
      <c r="B164" s="19" t="str">
        <f>IF(measurement[[#This Row],[Measurement Name]]="","",SUBSTITUTE(SUBSTITUTE(TRIM(measurement[[#This Row],[Measurement Name]])," ","_"),"-","_"))</f>
        <v>Measurement_163</v>
      </c>
      <c r="C164" s="16" t="s">
        <v>274</v>
      </c>
      <c r="D164" s="16" t="s">
        <v>207</v>
      </c>
      <c r="E164" s="16">
        <v>120</v>
      </c>
      <c r="F164" s="21">
        <v>155</v>
      </c>
    </row>
    <row r="165" spans="1:6" ht="16" x14ac:dyDescent="0.2">
      <c r="A165" s="16" t="str">
        <f t="shared" si="2"/>
        <v>Measurement_164</v>
      </c>
      <c r="B165" s="19" t="str">
        <f>IF(measurement[[#This Row],[Measurement Name]]="","",SUBSTITUTE(SUBSTITUTE(TRIM(measurement[[#This Row],[Measurement Name]])," ","_"),"-","_"))</f>
        <v>Measurement_164</v>
      </c>
      <c r="C165" s="16" t="s">
        <v>275</v>
      </c>
      <c r="D165" s="16" t="s">
        <v>207</v>
      </c>
      <c r="E165" s="16">
        <v>120</v>
      </c>
      <c r="F165" s="21">
        <v>156</v>
      </c>
    </row>
    <row r="166" spans="1:6" ht="16" x14ac:dyDescent="0.2">
      <c r="A166" s="16" t="str">
        <f t="shared" si="2"/>
        <v>Measurement_165</v>
      </c>
      <c r="B166" s="19" t="str">
        <f>IF(measurement[[#This Row],[Measurement Name]]="","",SUBSTITUTE(SUBSTITUTE(TRIM(measurement[[#This Row],[Measurement Name]])," ","_"),"-","_"))</f>
        <v>Measurement_165</v>
      </c>
      <c r="C166" s="16" t="s">
        <v>276</v>
      </c>
      <c r="D166" s="16" t="s">
        <v>207</v>
      </c>
      <c r="E166" s="16">
        <v>120</v>
      </c>
      <c r="F166" s="21">
        <v>157</v>
      </c>
    </row>
    <row r="167" spans="1:6" ht="16" x14ac:dyDescent="0.2">
      <c r="A167" s="16" t="str">
        <f t="shared" si="2"/>
        <v>Measurement_166</v>
      </c>
      <c r="B167" s="19" t="str">
        <f>IF(measurement[[#This Row],[Measurement Name]]="","",SUBSTITUTE(SUBSTITUTE(TRIM(measurement[[#This Row],[Measurement Name]])," ","_"),"-","_"))</f>
        <v>Measurement_166</v>
      </c>
      <c r="C167" s="16" t="s">
        <v>277</v>
      </c>
      <c r="D167" s="16" t="s">
        <v>207</v>
      </c>
      <c r="E167" s="16">
        <v>120</v>
      </c>
      <c r="F167" s="21">
        <v>156</v>
      </c>
    </row>
    <row r="168" spans="1:6" ht="16" x14ac:dyDescent="0.2">
      <c r="A168" s="16" t="str">
        <f t="shared" si="2"/>
        <v>Measurement_167</v>
      </c>
      <c r="B168" s="19" t="str">
        <f>IF(measurement[[#This Row],[Measurement Name]]="","",SUBSTITUTE(SUBSTITUTE(TRIM(measurement[[#This Row],[Measurement Name]])," ","_"),"-","_"))</f>
        <v>Measurement_167</v>
      </c>
      <c r="C168" s="16" t="s">
        <v>278</v>
      </c>
      <c r="D168" s="16" t="s">
        <v>207</v>
      </c>
      <c r="E168" s="16">
        <v>120</v>
      </c>
      <c r="F168" s="21">
        <v>163</v>
      </c>
    </row>
    <row r="169" spans="1:6" ht="16" x14ac:dyDescent="0.2">
      <c r="A169" s="16" t="str">
        <f t="shared" si="2"/>
        <v>Measurement_168</v>
      </c>
      <c r="B169" s="19" t="str">
        <f>IF(measurement[[#This Row],[Measurement Name]]="","",SUBSTITUTE(SUBSTITUTE(TRIM(measurement[[#This Row],[Measurement Name]])," ","_"),"-","_"))</f>
        <v>Measurement_168</v>
      </c>
      <c r="C169" s="16" t="s">
        <v>279</v>
      </c>
      <c r="D169" s="16" t="s">
        <v>207</v>
      </c>
      <c r="E169" s="16">
        <v>120</v>
      </c>
      <c r="F169" s="21">
        <v>91071</v>
      </c>
    </row>
    <row r="170" spans="1:6" ht="16" x14ac:dyDescent="0.2">
      <c r="A170" s="16" t="str">
        <f t="shared" si="2"/>
        <v>Measurement_169</v>
      </c>
      <c r="B170" s="19" t="str">
        <f>IF(measurement[[#This Row],[Measurement Name]]="","",SUBSTITUTE(SUBSTITUTE(TRIM(measurement[[#This Row],[Measurement Name]])," ","_"),"-","_"))</f>
        <v>Measurement_169</v>
      </c>
      <c r="C170" s="16" t="s">
        <v>280</v>
      </c>
      <c r="D170" s="16" t="s">
        <v>207</v>
      </c>
      <c r="E170" s="16">
        <v>120</v>
      </c>
      <c r="F170" s="21">
        <v>16</v>
      </c>
    </row>
    <row r="171" spans="1:6" ht="16" x14ac:dyDescent="0.2">
      <c r="A171" s="16" t="str">
        <f t="shared" si="2"/>
        <v>Measurement_170</v>
      </c>
      <c r="B171" s="19" t="str">
        <f>IF(measurement[[#This Row],[Measurement Name]]="","",SUBSTITUTE(SUBSTITUTE(TRIM(measurement[[#This Row],[Measurement Name]])," ","_"),"-","_"))</f>
        <v>Measurement_170</v>
      </c>
      <c r="C171" s="16" t="s">
        <v>281</v>
      </c>
      <c r="D171" s="16" t="s">
        <v>207</v>
      </c>
      <c r="E171" s="16">
        <v>120</v>
      </c>
      <c r="F171" s="21">
        <v>152</v>
      </c>
    </row>
    <row r="172" spans="1:6" ht="16" x14ac:dyDescent="0.2">
      <c r="A172" s="16" t="str">
        <f t="shared" si="2"/>
        <v>Measurement_171</v>
      </c>
      <c r="B172" s="19" t="str">
        <f>IF(measurement[[#This Row],[Measurement Name]]="","",SUBSTITUTE(SUBSTITUTE(TRIM(measurement[[#This Row],[Measurement Name]])," ","_"),"-","_"))</f>
        <v>Measurement_171</v>
      </c>
      <c r="C172" s="16" t="s">
        <v>282</v>
      </c>
      <c r="D172" s="16" t="s">
        <v>207</v>
      </c>
      <c r="E172" s="16">
        <v>120</v>
      </c>
      <c r="F172" s="21">
        <v>155</v>
      </c>
    </row>
    <row r="173" spans="1:6" ht="16" x14ac:dyDescent="0.2">
      <c r="A173" s="16" t="str">
        <f t="shared" si="2"/>
        <v>Measurement_172</v>
      </c>
      <c r="B173" s="19" t="str">
        <f>IF(measurement[[#This Row],[Measurement Name]]="","",SUBSTITUTE(SUBSTITUTE(TRIM(measurement[[#This Row],[Measurement Name]])," ","_"),"-","_"))</f>
        <v>Measurement_172</v>
      </c>
      <c r="C173" s="16" t="s">
        <v>283</v>
      </c>
      <c r="D173" s="16" t="s">
        <v>207</v>
      </c>
      <c r="E173" s="16">
        <v>120</v>
      </c>
      <c r="F173" s="21">
        <v>152</v>
      </c>
    </row>
    <row r="174" spans="1:6" ht="16" x14ac:dyDescent="0.2">
      <c r="A174" s="16" t="str">
        <f t="shared" si="2"/>
        <v>Measurement_173</v>
      </c>
      <c r="B174" s="19" t="str">
        <f>IF(measurement[[#This Row],[Measurement Name]]="","",SUBSTITUTE(SUBSTITUTE(TRIM(measurement[[#This Row],[Measurement Name]])," ","_"),"-","_"))</f>
        <v>Measurement_173</v>
      </c>
      <c r="C174" s="16" t="s">
        <v>284</v>
      </c>
      <c r="D174" s="16" t="s">
        <v>207</v>
      </c>
      <c r="E174" s="16">
        <v>120</v>
      </c>
      <c r="F174" s="21">
        <v>152</v>
      </c>
    </row>
    <row r="175" spans="1:6" ht="16" x14ac:dyDescent="0.2">
      <c r="A175" s="16" t="str">
        <f t="shared" si="2"/>
        <v>Measurement_174</v>
      </c>
      <c r="B175" s="19" t="str">
        <f>IF(measurement[[#This Row],[Measurement Name]]="","",SUBSTITUTE(SUBSTITUTE(TRIM(measurement[[#This Row],[Measurement Name]])," ","_"),"-","_"))</f>
        <v>Measurement_174</v>
      </c>
      <c r="C175" s="16" t="s">
        <v>285</v>
      </c>
      <c r="D175" s="16" t="s">
        <v>207</v>
      </c>
      <c r="E175" s="16">
        <v>120</v>
      </c>
      <c r="F175" s="21">
        <v>151</v>
      </c>
    </row>
    <row r="176" spans="1:6" ht="16" x14ac:dyDescent="0.2">
      <c r="A176" s="16" t="str">
        <f t="shared" si="2"/>
        <v>Measurement_175</v>
      </c>
      <c r="B176" s="19" t="str">
        <f>IF(measurement[[#This Row],[Measurement Name]]="","",SUBSTITUTE(SUBSTITUTE(TRIM(measurement[[#This Row],[Measurement Name]])," ","_"),"-","_"))</f>
        <v>Measurement_175</v>
      </c>
      <c r="C176" s="16" t="s">
        <v>286</v>
      </c>
      <c r="D176" s="16" t="s">
        <v>207</v>
      </c>
      <c r="E176" s="16">
        <v>120</v>
      </c>
      <c r="F176" s="21">
        <v>154</v>
      </c>
    </row>
    <row r="177" spans="1:6" ht="16" x14ac:dyDescent="0.2">
      <c r="A177" s="16" t="str">
        <f t="shared" si="2"/>
        <v>Measurement_176</v>
      </c>
      <c r="B177" s="19" t="str">
        <f>IF(measurement[[#This Row],[Measurement Name]]="","",SUBSTITUTE(SUBSTITUTE(TRIM(measurement[[#This Row],[Measurement Name]])," ","_"),"-","_"))</f>
        <v>Measurement_176</v>
      </c>
      <c r="C177" s="16" t="s">
        <v>287</v>
      </c>
      <c r="D177" s="16" t="s">
        <v>207</v>
      </c>
      <c r="E177" s="16">
        <v>120</v>
      </c>
      <c r="F177" s="21">
        <v>152</v>
      </c>
    </row>
    <row r="178" spans="1:6" ht="16" x14ac:dyDescent="0.2">
      <c r="A178" s="16" t="str">
        <f t="shared" si="2"/>
        <v>Measurement_177</v>
      </c>
      <c r="B178" s="19" t="str">
        <f>IF(measurement[[#This Row],[Measurement Name]]="","",SUBSTITUTE(SUBSTITUTE(TRIM(measurement[[#This Row],[Measurement Name]])," ","_"),"-","_"))</f>
        <v>Measurement_177</v>
      </c>
      <c r="C178" s="16" t="s">
        <v>288</v>
      </c>
      <c r="D178" s="16" t="s">
        <v>207</v>
      </c>
      <c r="E178" s="16">
        <v>120</v>
      </c>
      <c r="F178" s="21">
        <v>155</v>
      </c>
    </row>
    <row r="179" spans="1:6" ht="16" x14ac:dyDescent="0.2">
      <c r="A179" s="16" t="str">
        <f t="shared" si="2"/>
        <v>Measurement_178</v>
      </c>
      <c r="B179" s="19" t="str">
        <f>IF(measurement[[#This Row],[Measurement Name]]="","",SUBSTITUTE(SUBSTITUTE(TRIM(measurement[[#This Row],[Measurement Name]])," ","_"),"-","_"))</f>
        <v>Measurement_178</v>
      </c>
      <c r="C179" s="16" t="s">
        <v>289</v>
      </c>
      <c r="D179" s="16" t="s">
        <v>207</v>
      </c>
      <c r="E179" s="16">
        <v>120</v>
      </c>
      <c r="F179" s="21">
        <v>154</v>
      </c>
    </row>
    <row r="180" spans="1:6" ht="16" x14ac:dyDescent="0.2">
      <c r="A180" s="16" t="str">
        <f t="shared" si="2"/>
        <v>Measurement_179</v>
      </c>
      <c r="B180" s="19" t="str">
        <f>IF(measurement[[#This Row],[Measurement Name]]="","",SUBSTITUTE(SUBSTITUTE(TRIM(measurement[[#This Row],[Measurement Name]])," ","_"),"-","_"))</f>
        <v>Measurement_179</v>
      </c>
      <c r="C180" s="16" t="s">
        <v>290</v>
      </c>
      <c r="D180" s="16" t="s">
        <v>207</v>
      </c>
      <c r="E180" s="16">
        <v>120</v>
      </c>
      <c r="F180" s="21">
        <v>157</v>
      </c>
    </row>
    <row r="181" spans="1:6" ht="16" x14ac:dyDescent="0.2">
      <c r="A181" s="16" t="str">
        <f t="shared" si="2"/>
        <v>Measurement_180</v>
      </c>
      <c r="B181" s="19" t="str">
        <f>IF(measurement[[#This Row],[Measurement Name]]="","",SUBSTITUTE(SUBSTITUTE(TRIM(measurement[[#This Row],[Measurement Name]])," ","_"),"-","_"))</f>
        <v>Measurement_180</v>
      </c>
      <c r="C181" s="16" t="s">
        <v>291</v>
      </c>
      <c r="D181" s="16" t="s">
        <v>207</v>
      </c>
      <c r="E181" s="16">
        <v>120</v>
      </c>
      <c r="F181" s="21">
        <v>21</v>
      </c>
    </row>
    <row r="182" spans="1:6" ht="16" x14ac:dyDescent="0.2">
      <c r="A182" s="16" t="str">
        <f t="shared" si="2"/>
        <v>Measurement_181</v>
      </c>
      <c r="B182" s="19" t="str">
        <f>IF(measurement[[#This Row],[Measurement Name]]="","",SUBSTITUTE(SUBSTITUTE(TRIM(measurement[[#This Row],[Measurement Name]])," ","_"),"-","_"))</f>
        <v>Measurement_181</v>
      </c>
      <c r="C182" s="16" t="s">
        <v>292</v>
      </c>
      <c r="D182" s="16" t="s">
        <v>207</v>
      </c>
      <c r="E182" s="16">
        <v>120</v>
      </c>
      <c r="F182" s="21">
        <v>21</v>
      </c>
    </row>
    <row r="183" spans="1:6" ht="16" x14ac:dyDescent="0.2">
      <c r="A183" s="16" t="str">
        <f t="shared" si="2"/>
        <v>Measurement_182</v>
      </c>
      <c r="B183" s="19" t="str">
        <f>IF(measurement[[#This Row],[Measurement Name]]="","",SUBSTITUTE(SUBSTITUTE(TRIM(measurement[[#This Row],[Measurement Name]])," ","_"),"-","_"))</f>
        <v>Measurement_182</v>
      </c>
      <c r="C183" s="16" t="s">
        <v>293</v>
      </c>
      <c r="D183" s="16" t="s">
        <v>207</v>
      </c>
      <c r="E183" s="16">
        <v>120</v>
      </c>
      <c r="F183" s="21">
        <v>16</v>
      </c>
    </row>
    <row r="184" spans="1:6" ht="16" x14ac:dyDescent="0.2">
      <c r="A184" s="16" t="str">
        <f t="shared" si="2"/>
        <v>Measurement_183</v>
      </c>
      <c r="B184" s="19" t="str">
        <f>IF(measurement[[#This Row],[Measurement Name]]="","",SUBSTITUTE(SUBSTITUTE(TRIM(measurement[[#This Row],[Measurement Name]])," ","_"),"-","_"))</f>
        <v>Measurement_183</v>
      </c>
      <c r="C184" s="16" t="s">
        <v>294</v>
      </c>
      <c r="D184" s="16" t="s">
        <v>207</v>
      </c>
      <c r="E184" s="16">
        <v>120</v>
      </c>
      <c r="F184" s="21">
        <v>18</v>
      </c>
    </row>
    <row r="185" spans="1:6" ht="16" x14ac:dyDescent="0.2">
      <c r="A185" s="16" t="str">
        <f t="shared" si="2"/>
        <v>Measurement_184</v>
      </c>
      <c r="B185" s="19" t="str">
        <f>IF(measurement[[#This Row],[Measurement Name]]="","",SUBSTITUTE(SUBSTITUTE(TRIM(measurement[[#This Row],[Measurement Name]])," ","_"),"-","_"))</f>
        <v>Measurement_184</v>
      </c>
      <c r="C185" s="16" t="s">
        <v>295</v>
      </c>
      <c r="D185" s="16" t="s">
        <v>207</v>
      </c>
      <c r="E185" s="16">
        <v>120</v>
      </c>
      <c r="F185" s="21">
        <v>19</v>
      </c>
    </row>
    <row r="186" spans="1:6" ht="16" x14ac:dyDescent="0.2">
      <c r="A186" s="16" t="str">
        <f t="shared" si="2"/>
        <v>Measurement_185</v>
      </c>
      <c r="B186" s="19" t="str">
        <f>IF(measurement[[#This Row],[Measurement Name]]="","",SUBSTITUTE(SUBSTITUTE(TRIM(measurement[[#This Row],[Measurement Name]])," ","_"),"-","_"))</f>
        <v>Measurement_185</v>
      </c>
      <c r="C186" s="16" t="s">
        <v>296</v>
      </c>
      <c r="D186" s="16" t="s">
        <v>207</v>
      </c>
      <c r="E186" s="16">
        <v>120</v>
      </c>
      <c r="F186" s="21">
        <v>18</v>
      </c>
    </row>
    <row r="187" spans="1:6" ht="16" x14ac:dyDescent="0.2">
      <c r="A187" s="16" t="str">
        <f t="shared" si="2"/>
        <v>Measurement_186</v>
      </c>
      <c r="B187" s="19" t="str">
        <f>IF(measurement[[#This Row],[Measurement Name]]="","",SUBSTITUTE(SUBSTITUTE(TRIM(measurement[[#This Row],[Measurement Name]])," ","_"),"-","_"))</f>
        <v>Measurement_186</v>
      </c>
      <c r="C187" s="16" t="s">
        <v>297</v>
      </c>
      <c r="D187" s="16" t="s">
        <v>207</v>
      </c>
      <c r="E187" s="16">
        <v>120</v>
      </c>
      <c r="F187" s="21">
        <v>18</v>
      </c>
    </row>
    <row r="188" spans="1:6" ht="16" x14ac:dyDescent="0.2">
      <c r="A188" s="16" t="str">
        <f t="shared" si="2"/>
        <v>Measurement_187</v>
      </c>
      <c r="B188" s="19" t="str">
        <f>IF(measurement[[#This Row],[Measurement Name]]="","",SUBSTITUTE(SUBSTITUTE(TRIM(measurement[[#This Row],[Measurement Name]])," ","_"),"-","_"))</f>
        <v>Measurement_187</v>
      </c>
      <c r="C188" s="16" t="s">
        <v>298</v>
      </c>
      <c r="D188" s="16" t="s">
        <v>207</v>
      </c>
      <c r="E188" s="16">
        <v>120</v>
      </c>
      <c r="F188" s="21">
        <v>17</v>
      </c>
    </row>
    <row r="189" spans="1:6" ht="16" x14ac:dyDescent="0.2">
      <c r="A189" s="16" t="str">
        <f t="shared" si="2"/>
        <v>Measurement_188</v>
      </c>
      <c r="B189" s="19" t="str">
        <f>IF(measurement[[#This Row],[Measurement Name]]="","",SUBSTITUTE(SUBSTITUTE(TRIM(measurement[[#This Row],[Measurement Name]])," ","_"),"-","_"))</f>
        <v>Measurement_188</v>
      </c>
      <c r="C189" s="16" t="s">
        <v>299</v>
      </c>
      <c r="D189" s="16" t="s">
        <v>207</v>
      </c>
      <c r="E189" s="16">
        <v>120</v>
      </c>
      <c r="F189" s="21">
        <v>19</v>
      </c>
    </row>
    <row r="190" spans="1:6" ht="16" x14ac:dyDescent="0.2">
      <c r="A190" s="16" t="str">
        <f t="shared" si="2"/>
        <v>Measurement_189</v>
      </c>
      <c r="B190" s="19" t="str">
        <f>IF(measurement[[#This Row],[Measurement Name]]="","",SUBSTITUTE(SUBSTITUTE(TRIM(measurement[[#This Row],[Measurement Name]])," ","_"),"-","_"))</f>
        <v>Measurement_189</v>
      </c>
      <c r="C190" s="16" t="s">
        <v>300</v>
      </c>
      <c r="D190" s="16" t="s">
        <v>207</v>
      </c>
      <c r="E190" s="16">
        <v>120</v>
      </c>
      <c r="F190" s="21">
        <v>18</v>
      </c>
    </row>
    <row r="191" spans="1:6" ht="16" x14ac:dyDescent="0.2">
      <c r="A191" s="16" t="str">
        <f t="shared" si="2"/>
        <v>Measurement_190</v>
      </c>
      <c r="B191" s="19" t="str">
        <f>IF(measurement[[#This Row],[Measurement Name]]="","",SUBSTITUTE(SUBSTITUTE(TRIM(measurement[[#This Row],[Measurement Name]])," ","_"),"-","_"))</f>
        <v>Measurement_190</v>
      </c>
      <c r="C191" s="16" t="s">
        <v>301</v>
      </c>
      <c r="D191" s="16" t="s">
        <v>207</v>
      </c>
      <c r="E191" s="16">
        <v>120</v>
      </c>
      <c r="F191" s="21">
        <v>18</v>
      </c>
    </row>
    <row r="192" spans="1:6" ht="16" x14ac:dyDescent="0.2">
      <c r="A192" s="16" t="str">
        <f t="shared" si="2"/>
        <v>Measurement_191</v>
      </c>
      <c r="B192" s="19" t="str">
        <f>IF(measurement[[#This Row],[Measurement Name]]="","",SUBSTITUTE(SUBSTITUTE(TRIM(measurement[[#This Row],[Measurement Name]])," ","_"),"-","_"))</f>
        <v>Measurement_191</v>
      </c>
      <c r="C192" s="16" t="s">
        <v>302</v>
      </c>
      <c r="D192" s="16" t="s">
        <v>207</v>
      </c>
      <c r="E192" s="16">
        <v>120</v>
      </c>
      <c r="F192" s="21">
        <v>19</v>
      </c>
    </row>
    <row r="193" spans="1:6" ht="16" x14ac:dyDescent="0.2">
      <c r="A193" s="16" t="str">
        <f t="shared" si="2"/>
        <v>Measurement_192</v>
      </c>
      <c r="B193" s="19" t="str">
        <f>IF(measurement[[#This Row],[Measurement Name]]="","",SUBSTITUTE(SUBSTITUTE(TRIM(measurement[[#This Row],[Measurement Name]])," ","_"),"-","_"))</f>
        <v>Measurement_192</v>
      </c>
      <c r="C193" s="16" t="s">
        <v>303</v>
      </c>
      <c r="D193" s="16" t="s">
        <v>207</v>
      </c>
      <c r="E193" s="16">
        <v>120</v>
      </c>
      <c r="F193" s="21">
        <v>20</v>
      </c>
    </row>
  </sheetData>
  <pageMargins left="0.75" right="0.75" top="1" bottom="1" header="0.5" footer="0.5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3"/>
  <sheetViews>
    <sheetView workbookViewId="0">
      <pane ySplit="1" topLeftCell="A2" activePane="bottomLeft" state="frozen"/>
      <selection pane="bottomLeft" activeCell="D10" sqref="D10"/>
    </sheetView>
  </sheetViews>
  <sheetFormatPr baseColWidth="10" defaultColWidth="8.83203125" defaultRowHeight="15" x14ac:dyDescent="0.2"/>
  <cols>
    <col min="1" max="8" width="25" customWidth="1"/>
  </cols>
  <sheetData>
    <row r="1" spans="1:8" ht="20" customHeight="1" x14ac:dyDescent="0.2">
      <c r="A1" s="10" t="s">
        <v>49</v>
      </c>
      <c r="B1" s="10" t="s">
        <v>41</v>
      </c>
      <c r="C1" s="10" t="s">
        <v>99</v>
      </c>
      <c r="D1" s="10" t="s">
        <v>50</v>
      </c>
      <c r="E1" s="10" t="s">
        <v>51</v>
      </c>
      <c r="F1" s="10" t="s">
        <v>131</v>
      </c>
      <c r="G1" s="10" t="s">
        <v>113</v>
      </c>
      <c r="H1" s="10" t="s">
        <v>116</v>
      </c>
    </row>
    <row r="2" spans="1:8" ht="16" x14ac:dyDescent="0.2">
      <c r="A2" s="16" t="s">
        <v>207</v>
      </c>
      <c r="B2" s="22" t="s">
        <v>207</v>
      </c>
      <c r="C2" s="22"/>
      <c r="D2" s="16" t="s">
        <v>304</v>
      </c>
      <c r="E2" s="16" t="s">
        <v>305</v>
      </c>
      <c r="F2" s="18"/>
      <c r="G2" s="11"/>
      <c r="H2" s="18"/>
    </row>
    <row r="3" spans="1:8" ht="16" x14ac:dyDescent="0.2">
      <c r="A3" s="16" t="s">
        <v>205</v>
      </c>
      <c r="B3" s="22" t="s">
        <v>205</v>
      </c>
      <c r="C3" s="22"/>
      <c r="D3" s="16" t="s">
        <v>306</v>
      </c>
      <c r="E3" s="16" t="s">
        <v>307</v>
      </c>
      <c r="F3" s="19"/>
      <c r="H3" s="19"/>
    </row>
  </sheetData>
  <pageMargins left="0.75" right="0.75" top="1" bottom="1" header="0.5" footer="0.5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B34"/>
  <sheetViews>
    <sheetView workbookViewId="0">
      <pane ySplit="1" topLeftCell="A2" activePane="bottomLeft" state="frozen"/>
      <selection pane="bottomLeft" activeCell="H32" sqref="H32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0" t="s">
        <v>3</v>
      </c>
      <c r="B1" s="10" t="s">
        <v>96</v>
      </c>
    </row>
    <row r="2" spans="1:2" x14ac:dyDescent="0.2">
      <c r="A2" s="4" t="s">
        <v>132</v>
      </c>
      <c r="B2" s="13" t="s">
        <v>172</v>
      </c>
    </row>
    <row r="3" spans="1:2" x14ac:dyDescent="0.2">
      <c r="A3" s="5" t="s">
        <v>133</v>
      </c>
      <c r="B3" s="13" t="s">
        <v>186</v>
      </c>
    </row>
    <row r="4" spans="1:2" x14ac:dyDescent="0.2">
      <c r="A4" s="5" t="s">
        <v>134</v>
      </c>
      <c r="B4" s="13" t="s">
        <v>187</v>
      </c>
    </row>
    <row r="5" spans="1:2" x14ac:dyDescent="0.2">
      <c r="A5" s="5" t="s">
        <v>135</v>
      </c>
      <c r="B5" s="13" t="s">
        <v>188</v>
      </c>
    </row>
    <row r="6" spans="1:2" x14ac:dyDescent="0.2">
      <c r="A6" s="5" t="s">
        <v>136</v>
      </c>
      <c r="B6" s="13" t="s">
        <v>189</v>
      </c>
    </row>
    <row r="7" spans="1:2" x14ac:dyDescent="0.2">
      <c r="A7" s="5" t="s">
        <v>137</v>
      </c>
      <c r="B7" s="13" t="s">
        <v>190</v>
      </c>
    </row>
    <row r="8" spans="1:2" x14ac:dyDescent="0.2">
      <c r="A8" s="5" t="s">
        <v>138</v>
      </c>
      <c r="B8" s="13" t="s">
        <v>191</v>
      </c>
    </row>
    <row r="9" spans="1:2" x14ac:dyDescent="0.2">
      <c r="A9" s="5" t="s">
        <v>139</v>
      </c>
      <c r="B9" s="13" t="s">
        <v>192</v>
      </c>
    </row>
    <row r="10" spans="1:2" x14ac:dyDescent="0.2">
      <c r="A10" s="5" t="s">
        <v>140</v>
      </c>
      <c r="B10" s="13" t="s">
        <v>193</v>
      </c>
    </row>
    <row r="11" spans="1:2" x14ac:dyDescent="0.2">
      <c r="A11" s="5" t="s">
        <v>141</v>
      </c>
      <c r="B11" s="13" t="s">
        <v>194</v>
      </c>
    </row>
    <row r="12" spans="1:2" x14ac:dyDescent="0.2">
      <c r="A12" s="5" t="s">
        <v>142</v>
      </c>
      <c r="B12" s="13" t="s">
        <v>176</v>
      </c>
    </row>
    <row r="13" spans="1:2" x14ac:dyDescent="0.2">
      <c r="A13" s="5" t="s">
        <v>143</v>
      </c>
      <c r="B13" s="13" t="s">
        <v>177</v>
      </c>
    </row>
    <row r="14" spans="1:2" x14ac:dyDescent="0.2">
      <c r="A14" s="5" t="s">
        <v>144</v>
      </c>
      <c r="B14" s="13" t="s">
        <v>178</v>
      </c>
    </row>
    <row r="15" spans="1:2" x14ac:dyDescent="0.2">
      <c r="A15" s="5" t="s">
        <v>145</v>
      </c>
      <c r="B15" s="13" t="s">
        <v>179</v>
      </c>
    </row>
    <row r="16" spans="1:2" x14ac:dyDescent="0.2">
      <c r="A16" s="5" t="s">
        <v>146</v>
      </c>
      <c r="B16" s="13" t="s">
        <v>180</v>
      </c>
    </row>
    <row r="17" spans="1:2" x14ac:dyDescent="0.2">
      <c r="A17" s="5" t="s">
        <v>147</v>
      </c>
      <c r="B17" s="13" t="s">
        <v>181</v>
      </c>
    </row>
    <row r="18" spans="1:2" x14ac:dyDescent="0.2">
      <c r="A18" s="5" t="s">
        <v>148</v>
      </c>
      <c r="B18" s="13" t="s">
        <v>182</v>
      </c>
    </row>
    <row r="19" spans="1:2" x14ac:dyDescent="0.2">
      <c r="A19" s="5" t="s">
        <v>149</v>
      </c>
      <c r="B19" s="13" t="s">
        <v>183</v>
      </c>
    </row>
    <row r="20" spans="1:2" x14ac:dyDescent="0.2">
      <c r="A20" s="5" t="s">
        <v>150</v>
      </c>
      <c r="B20" s="13" t="s">
        <v>184</v>
      </c>
    </row>
    <row r="21" spans="1:2" x14ac:dyDescent="0.2">
      <c r="A21" s="5" t="s">
        <v>151</v>
      </c>
      <c r="B21" s="13" t="s">
        <v>185</v>
      </c>
    </row>
    <row r="22" spans="1:2" x14ac:dyDescent="0.2">
      <c r="A22" s="5" t="s">
        <v>152</v>
      </c>
      <c r="B22" s="13" t="s">
        <v>174</v>
      </c>
    </row>
    <row r="23" spans="1:2" x14ac:dyDescent="0.2">
      <c r="A23" s="5" t="s">
        <v>153</v>
      </c>
      <c r="B23" s="13" t="s">
        <v>195</v>
      </c>
    </row>
    <row r="24" spans="1:2" x14ac:dyDescent="0.2">
      <c r="A24" s="5" t="s">
        <v>154</v>
      </c>
      <c r="B24" s="13" t="s">
        <v>196</v>
      </c>
    </row>
    <row r="25" spans="1:2" x14ac:dyDescent="0.2">
      <c r="A25" s="5" t="s">
        <v>155</v>
      </c>
      <c r="B25" s="13" t="s">
        <v>197</v>
      </c>
    </row>
    <row r="26" spans="1:2" x14ac:dyDescent="0.2">
      <c r="A26" s="5" t="s">
        <v>156</v>
      </c>
      <c r="B26" s="13" t="s">
        <v>198</v>
      </c>
    </row>
    <row r="27" spans="1:2" x14ac:dyDescent="0.2">
      <c r="A27" s="5" t="s">
        <v>157</v>
      </c>
      <c r="B27" s="13" t="s">
        <v>199</v>
      </c>
    </row>
    <row r="28" spans="1:2" x14ac:dyDescent="0.2">
      <c r="A28" s="5" t="s">
        <v>158</v>
      </c>
      <c r="B28" s="13" t="s">
        <v>200</v>
      </c>
    </row>
    <row r="29" spans="1:2" x14ac:dyDescent="0.2">
      <c r="A29" s="5" t="s">
        <v>159</v>
      </c>
      <c r="B29" s="13" t="s">
        <v>201</v>
      </c>
    </row>
    <row r="30" spans="1:2" x14ac:dyDescent="0.2">
      <c r="A30" s="5" t="s">
        <v>160</v>
      </c>
      <c r="B30" s="13" t="s">
        <v>202</v>
      </c>
    </row>
    <row r="31" spans="1:2" x14ac:dyDescent="0.2">
      <c r="A31" s="5" t="s">
        <v>161</v>
      </c>
      <c r="B31" s="13" t="s">
        <v>203</v>
      </c>
    </row>
    <row r="32" spans="1:2" x14ac:dyDescent="0.2">
      <c r="A32" s="5" t="s">
        <v>162</v>
      </c>
      <c r="B32" s="13" t="s">
        <v>204</v>
      </c>
    </row>
    <row r="33" spans="1:2" x14ac:dyDescent="0.2">
      <c r="A33" s="14" t="s">
        <v>163</v>
      </c>
      <c r="B33" s="13" t="s">
        <v>173</v>
      </c>
    </row>
    <row r="34" spans="1:2" x14ac:dyDescent="0.2">
      <c r="A34" s="15" t="s">
        <v>164</v>
      </c>
      <c r="B34" s="13" t="s">
        <v>175</v>
      </c>
    </row>
  </sheetData>
  <hyperlinks>
    <hyperlink ref="A33" r:id="rId1" display="https://synbiohub.org/user/Gon/SBS_E2S2_SampleDesigns/Beads_only/1" xr:uid="{6C8EB355-F033-1C4D-87A5-389A7712BA84}"/>
    <hyperlink ref="B33" r:id="rId2" xr:uid="{B08D74C3-A293-D34F-9F10-1EBDA606ECBF}"/>
    <hyperlink ref="B22" r:id="rId3" xr:uid="{F2781F99-A9D2-C945-B345-A1B68422F5AF}"/>
    <hyperlink ref="B2" r:id="rId4" xr:uid="{50E223C8-586E-5D43-BF90-F99D90D01A7D}"/>
    <hyperlink ref="B12" r:id="rId5" xr:uid="{8DA6C7CB-7BD5-EE4A-8404-1AA8DB588448}"/>
    <hyperlink ref="B13" r:id="rId6" xr:uid="{62F1488A-4665-E247-8DD1-9DAB1CF5B726}"/>
    <hyperlink ref="B14" r:id="rId7" xr:uid="{6BB8BEAA-D532-0748-BD60-95FFD52C3FF5}"/>
    <hyperlink ref="B16" r:id="rId8" xr:uid="{7A840C3E-0E23-6947-9546-A3028B173A1A}"/>
    <hyperlink ref="B17" r:id="rId9" xr:uid="{4E43BD87-D7D5-4449-8589-1753FAF6BEC4}"/>
    <hyperlink ref="B18" r:id="rId10" xr:uid="{E7C93B6A-DB21-7A4D-8E09-64344B68EBE0}"/>
    <hyperlink ref="B19" r:id="rId11" xr:uid="{1B3A05F1-96C8-0B41-871C-D72F3D95715C}"/>
    <hyperlink ref="B20" r:id="rId12" xr:uid="{53D89E33-3E9D-4141-BC70-44788EBA491F}"/>
    <hyperlink ref="B21" r:id="rId13" xr:uid="{A5009269-A765-A946-A734-71AED76E5108}"/>
    <hyperlink ref="B3" r:id="rId14" xr:uid="{8FD57DA3-0707-5344-980F-CF87F683C704}"/>
    <hyperlink ref="B4" r:id="rId15" xr:uid="{37F5A66C-043E-4D46-A8FE-5EC290E1D8B1}"/>
    <hyperlink ref="B5" r:id="rId16" xr:uid="{B9ECA7E7-B763-0849-95A2-D7CC55F697AC}"/>
    <hyperlink ref="B6" r:id="rId17" xr:uid="{DA5E3B7B-0494-2C43-A961-DB104E5F7C72}"/>
    <hyperlink ref="B7" r:id="rId18" xr:uid="{7692803D-9721-E143-BE26-D59E53E10BF2}"/>
    <hyperlink ref="B8" r:id="rId19" xr:uid="{0AE4542B-3E2A-1941-ABAB-5AEC73ED9565}"/>
    <hyperlink ref="B9" r:id="rId20" xr:uid="{5E76820B-F7A0-5D41-8C63-6462FF48BA3B}"/>
    <hyperlink ref="B10" r:id="rId21" xr:uid="{3EE5E6B5-3EF1-1745-85DC-840D17DEBFD2}"/>
    <hyperlink ref="B11" r:id="rId22" xr:uid="{07F4FD65-CF8E-2E4B-BF49-F5AC44B7AC92}"/>
    <hyperlink ref="B23" r:id="rId23" xr:uid="{7170509C-C9F8-4943-A620-2773950B9528}"/>
    <hyperlink ref="B24" r:id="rId24" xr:uid="{12445EFE-AD57-BE41-9F91-D52B4A8691FF}"/>
    <hyperlink ref="B25" r:id="rId25" xr:uid="{11CE0403-0315-4A44-A3F5-F5D1F170AD9F}"/>
    <hyperlink ref="B26" r:id="rId26" xr:uid="{AFA2EE8E-8991-284A-A624-CA23E7F16A8A}"/>
    <hyperlink ref="B27" r:id="rId27" xr:uid="{424CFA9F-3641-AC40-8A6B-A5204207C42E}"/>
    <hyperlink ref="B28" r:id="rId28" xr:uid="{5CB7B31C-4DE2-D747-AB9A-D80632E62B51}"/>
    <hyperlink ref="B29" r:id="rId29" xr:uid="{1AFBC9BA-FBAE-8442-AB50-FA91EFC629E2}"/>
    <hyperlink ref="B30" r:id="rId30" xr:uid="{B40A4191-3D44-754E-A2BC-BB6FC5061800}"/>
    <hyperlink ref="B31" r:id="rId31" xr:uid="{483AF123-C165-D543-AB3D-09D23DCBF630}"/>
    <hyperlink ref="B32" r:id="rId32" xr:uid="{7D92C96D-A2B1-E342-9F89-E0C3485B455F}"/>
    <hyperlink ref="B34" r:id="rId33" xr:uid="{7B8AA612-330C-FA4E-84D1-99F54E1EF1E8}"/>
    <hyperlink ref="B15" r:id="rId34" xr:uid="{E7815233-20CA-A740-B217-D5BCD3D680E1}"/>
  </hyperlinks>
  <pageMargins left="0.75" right="0.75" top="1" bottom="1" header="0.5" footer="0.5"/>
  <tableParts count="1">
    <tablePart r:id="rId3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welcome</vt:lpstr>
      <vt:lpstr>flapjack_cols</vt:lpstr>
      <vt:lpstr>Init</vt:lpstr>
      <vt:lpstr>column_definitions</vt:lpstr>
      <vt:lpstr>assay</vt:lpstr>
      <vt:lpstr>sample</vt:lpstr>
      <vt:lpstr>measurement</vt:lpstr>
      <vt:lpstr>signal</vt:lpstr>
      <vt:lpstr>SBH_sampledesigns_collection</vt:lpstr>
      <vt:lpstr>dv_assay_Assay_ID</vt:lpstr>
      <vt:lpstr>dv_SBH_sampledesigns_collection_Name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2026-08-04T19:06:32Z</dcterms:modified>
</cp:coreProperties>
</file>